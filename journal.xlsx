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3641751C-7A5A-4D72-96B3-87C87012486A}" xr6:coauthVersionLast="47" xr6:coauthVersionMax="47" xr10:uidLastSave="{00000000-0000-0000-0000-000000000000}"/>
  <bookViews>
    <workbookView xWindow="-120" yWindow="-120" windowWidth="20730" windowHeight="11040" firstSheet="10" activeTab="13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r:id="rId14"/>
    <sheet name="Загрузка" sheetId="37" r:id="rId15"/>
    <sheet name="Стороний транспорт" sheetId="38" r:id="rId16"/>
  </sheets>
  <definedNames>
    <definedName name="ExternalData_1" localSheetId="0" hidden="1">'1 Ангар Склад 2 въезд'!$A$1:$L$251</definedName>
    <definedName name="ExternalData_1" localSheetId="9" hidden="1">'10 Сушилка навес'!$A$1:$L$622</definedName>
    <definedName name="ExternalData_1" localSheetId="10" hidden="1">'11 С ангара на базу'!$A$1:$L$303</definedName>
    <definedName name="ExternalData_1" localSheetId="11" hidden="1">'12 Площадка 3 кран'!$A$1:$L$199</definedName>
    <definedName name="ExternalData_1" localSheetId="12" hidden="1">'13 Склад хол'!$A$1:$L$175</definedName>
    <definedName name="ExternalData_1" localSheetId="1" hidden="1">'2 Пилорама поката'!$A$1:$L$279</definedName>
    <definedName name="ExternalData_1" localSheetId="2" hidden="1">'3 Въезд на базу'!$A$1:$L$161</definedName>
    <definedName name="ExternalData_1" localSheetId="3" hidden="1">'4 Крыльцо офиса'!$A$1:$L$186</definedName>
    <definedName name="ExternalData_1" localSheetId="4" hidden="1">'5 Крыльцо общага'!$A$1:$L$323</definedName>
    <definedName name="ExternalData_1" localSheetId="5" hidden="1">'6 Площадка 1 общага'!$A$1:$L$141</definedName>
    <definedName name="ExternalData_1" localSheetId="6" hidden="1">'7 Площадка 2 бетонщики'!$A$1:$L$279</definedName>
    <definedName name="ExternalData_1" localSheetId="7" hidden="1">'8 Рейсмус'!$A$1:$L$290</definedName>
    <definedName name="ExternalData_1" localSheetId="8" hidden="1">'9 Ангар пилорама'!$A$1:$L$603</definedName>
    <definedName name="ExternalData_1" localSheetId="14" hidden="1">Загрузка!$A$1:$L$233</definedName>
    <definedName name="ExternalData_1" localSheetId="15" hidden="1">'Стороний транспорт'!$A$1:$L$144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<sst xmlns="http://schemas.openxmlformats.org/spreadsheetml/2006/main" count="50093" uniqueCount="11965">
  <si>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</si>
  <si>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</si>
  <si>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</si>
  <si>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</si>
  <si>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</si>
  <si>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</si>
  <si>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</si>
  <si>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</si>
  <si>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</si>
  <si>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</si>
  <si>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</si>
  <si>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</si>
  <si>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</si>
  <si>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</si>
  <si>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</si>
  <si>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</si>
  <si>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</si>
  <si>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</si>
  <si>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</si>
  <si>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</si>
  <si>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</si>
  <si>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</si>
  <si>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</si>
  <si>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</si>
  <si>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</si>
  <si>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</si>
  <si>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</si>
  <si>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</si>
  <si>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</si>
  <si>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</si>
  <si>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</si>
  <si>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</si>
  <si>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</si>
  <si>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</si>
  <si>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</si>
  <si>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</si>
  <si>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</si>
  <si>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</si>
  <si>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</si>
  <si>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</si>
  <si>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</si>
  <si>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</si>
  <si>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</si>
  <si>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</si>
  <si>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</si>
  <si>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</si>
  <si>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</si>
  <si>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</si>
  <si>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</si>
  <si>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</si>
  <si>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</si>
  <si>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</si>
  <si>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</si>
  <si>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</si>
  <si>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</si>
  <si>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</si>
  <si>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</si>
  <si>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</si>
  <si>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</si>
  <si>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</si>
  <si>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</si>
  <si>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</si>
  <si>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</si>
  <si>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</si>
  <si>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</si>
  <si>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</si>
  <si>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</si>
  <si>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</si>
  <si>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</si>
  <si>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</si>
  <si>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</si>
  <si>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</si>
  <si>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</si>
  <si>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</si>
  <si>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</si>
  <si>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</si>
  <si>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</si>
  <si>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</si>
  <si>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</si>
  <si>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</si>
  <si>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</si>
  <si>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</si>
  <si>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</si>
  <si>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</si>
  <si>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</si>
  <si>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</si>
  <si>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</si>
  <si>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</si>
  <si>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</si>
  <si>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</si>
  <si>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</si>
  <si>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</si>
  <si>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</si>
  <si>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</si>
  <si>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</si>
  <si>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</si>
  <si>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</si>
  <si>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</si>
  <si>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</si>
  <si>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</si>
  <si>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</si>
  <si>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</si>
  <si>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</si>
  <si>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</si>
  <si>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</si>
  <si>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</si>
  <si>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</si>
  <si>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</si>
  <si>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</si>
  <si>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</si>
  <si>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</si>
  <si>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</si>
  <si>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</si>
  <si>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</si>
  <si>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</si>
  <si>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</si>
  <si>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</si>
  <si>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</si>
  <si>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</si>
  <si>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</si>
  <si>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</si>
  <si>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</si>
  <si>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</si>
  <si>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</si>
  <si>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</si>
  <si>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</si>
  <si>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</si>
  <si>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</si>
  <si>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</si>
  <si>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</si>
  <si>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</si>
  <si>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</si>
  <si>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</si>
  <si>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</si>
  <si>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</si>
  <si>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</si>
  <si>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</si>
  <si>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</si>
  <si>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</si>
  <si>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</si>
  <si>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</si>
  <si>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</si>
  <si>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</si>
  <si>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</si>
  <si>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</si>
  <si>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</si>
  <si>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</si>
  <si>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</si>
  <si>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</si>
  <si>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</si>
  <si>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</si>
  <si>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</si>
  <si>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</si>
  <si>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</si>
  <si>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</si>
  <si>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</si>
  <si>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</si>
  <si>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</si>
  <si>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</si>
  <si>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</si>
  <si>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</si>
  <si>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</si>
  <si>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</si>
  <si>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</si>
  <si>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</si>
  <si>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</si>
  <si>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</si>
  <si>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</si>
  <si>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</si>
  <si>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</si>
  <si>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</si>
  <si>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</si>
  <si>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</si>
  <si>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</si>
  <si>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</si>
  <si>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</si>
  <si>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</si>
  <si>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</si>
  <si>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</si>
  <si>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</si>
  <si>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</si>
  <si>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</si>
  <si>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</si>
  <si>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</si>
  <si>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</si>
  <si>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</si>
  <si>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</si>
  <si>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</si>
  <si>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</si>
  <si>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</si>
  <si>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</si>
  <si>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</si>
  <si>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</si>
  <si>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</si>
  <si>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</si>
  <si>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</si>
  <si>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</si>
  <si>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</si>
  <si>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</si>
  <si>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</si>
  <si>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</si>
  <si>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</si>
  <si>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</si>
  <si>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</si>
  <si>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</si>
  <si>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</si>
  <si>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</si>
  <si>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</si>
  <si>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</si>
  <si>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</si>
  <si>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</si>
  <si>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</si>
  <si>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</si>
  <si>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</si>
  <si>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</si>
  <si>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</si>
  <si>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</si>
  <si>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</si>
  <si>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</si>
  <si>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</si>
  <si>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</si>
  <si>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</si>
  <si>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</si>
  <si>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</si>
  <si>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</si>
  <si>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</si>
  <si>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</si>
  <si>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</si>
  <si>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</si>
  <si>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</si>
  <si>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</si>
  <si>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</si>
  <si>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</si>
  <si>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</si>
  <si>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</si>
  <si>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</si>
  <si>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</si>
  <si>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</si>
  <si>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</si>
  <si>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</si>
  <si>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</si>
  <si>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</si>
  <si>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</si>
  <si>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</si>
  <si>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</si>
  <si>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</si>
  <si>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</si>
  <si>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</si>
  <si>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</si>
  <si>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</si>
  <si>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</si>
  <si>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</si>
  <si>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</si>
  <si>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</si>
  <si>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</si>
  <si>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</si>
  <si>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</si>
  <si>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</si>
  <si>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</si>
  <si>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</si>
  <si>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</si>
  <si>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</si>
  <si>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</si>
  <si>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</si>
  <si>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</si>
  <si>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</si>
  <si>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</si>
  <si>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</si>
  <si>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</si>
  <si>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</si>
  <si>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</si>
  <si>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</si>
  <si>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</si>
  <si>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</si>
  <si>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</si>
  <si>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</si>
  <si>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</si>
  <si>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</si>
  <si>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</si>
  <si>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</si>
  <si>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</si>
  <si>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</si>
  <si>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</si>
  <si>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</si>
  <si>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</si>
  <si>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</si>
  <si>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</si>
  <si>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</si>
  <si>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</si>
  <si>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</si>
  <si>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</si>
  <si>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</si>
  <si>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</si>
  <si>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</si>
  <si>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</si>
  <si>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</si>
  <si>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</si>
  <si>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</si>
  <si>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</si>
  <si>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</si>
  <si>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</si>
  <si>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</si>
  <si>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</si>
  <si>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</si>
  <si>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</si>
  <si>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</si>
  <si>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</si>
  <si>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</si>
  <si>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</si>
  <si>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</si>
  <si>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</si>
  <si>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</si>
  <si>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</si>
  <si>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</si>
  <si>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</si>
  <si>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</si>
  <si>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</si>
  <si>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</si>
  <si>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</si>
  <si>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</si>
  <si>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</si>
  <si>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</si>
  <si>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</si>
  <si>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</si>
  <si>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</si>
  <si>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</si>
  <si>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</si>
  <si>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</si>
  <si>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</si>
  <si>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</si>
  <si>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</si>
  <si>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</si>
  <si>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</si>
  <si>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</si>
  <si>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</si>
  <si>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</si>
  <si>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</si>
  <si>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</si>
  <si>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</si>
  <si>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</si>
  <si>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</si>
  <si>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</si>
  <si>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</si>
  <si>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</si>
  <si>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</si>
  <si>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</si>
  <si>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</si>
  <si>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</si>
  <si>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</si>
  <si>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</si>
  <si>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</si>
  <si>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</si>
  <si>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</si>
  <si>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</si>
  <si>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</si>
  <si>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</si>
  <si>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</si>
  <si>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</si>
  <si>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</si>
  <si>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</si>
  <si>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</si>
  <si>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</si>
  <si>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</si>
  <si>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</si>
  <si>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</si>
  <si>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</si>
  <si>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</si>
  <si>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</si>
  <si>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</si>
  <si>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</si>
  <si>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</si>
  <si>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</si>
  <si>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</si>
  <si>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</si>
  <si>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</si>
  <si>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</si>
  <si>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</si>
  <si>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</si>
  <si>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</si>
  <si>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</si>
  <si>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</si>
  <si>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</si>
  <si>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</si>
  <si>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</si>
  <si>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</si>
  <si>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</si>
  <si>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</si>
  <si>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</si>
  <si>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</si>
  <si>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</si>
  <si>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</si>
  <si>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</si>
  <si>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</si>
  <si>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</si>
  <si>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</si>
  <si>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</si>
  <si>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</si>
  <si>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</si>
  <si>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</si>
  <si>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</si>
  <si>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</si>
  <si>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</si>
  <si>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</si>
  <si>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</si>
  <si>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</si>
  <si>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</si>
  <si>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</si>
  <si>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</si>
  <si>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</si>
  <si>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</si>
  <si>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</si>
  <si>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</si>
  <si>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</si>
  <si>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</si>
  <si>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</si>
  <si>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</si>
  <si>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</si>
  <si>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</si>
  <si>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</si>
  <si>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</si>
  <si>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</si>
  <si>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</si>
  <si>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</si>
  <si>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</si>
  <si>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</si>
  <si>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</si>
  <si>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</si>
  <si>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</si>
  <si>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</si>
  <si>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</si>
  <si>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</si>
  <si>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</si>
  <si>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</si>
  <si>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</si>
  <si>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</si>
  <si>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</si>
  <si>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</si>
  <si>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</si>
  <si>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</si>
  <si>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</si>
  <si>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</si>
  <si>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</si>
  <si>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</si>
  <si>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</si>
  <si>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</si>
  <si>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</si>
  <si>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</si>
  <si>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</si>
  <si>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</si>
  <si>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</si>
  <si>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</si>
  <si>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</si>
  <si>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</si>
  <si>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</si>
  <si>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</si>
  <si>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</si>
  <si>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</si>
  <si>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</si>
  <si>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</si>
  <si>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</si>
  <si>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</si>
  <si>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</si>
  <si>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</si>
  <si>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</si>
  <si>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</si>
  <si>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</si>
  <si>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</si>
  <si>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</si>
  <si>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</si>
  <si>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</si>
  <si>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</si>
  <si>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</si>
  <si>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</si>
  <si>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</si>
  <si>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</si>
  <si>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</si>
  <si>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</si>
  <si>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</si>
  <si>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</si>
  <si>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</si>
  <si>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</si>
  <si>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</si>
  <si>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</si>
  <si>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</si>
  <si>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</si>
  <si>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</si>
  <si>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</si>
  <si>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</si>
  <si>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</si>
  <si>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</si>
  <si>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</si>
  <si>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</si>
  <si>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</si>
  <si>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</si>
  <si>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</si>
  <si>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</si>
  <si>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</si>
  <si>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</si>
  <si>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</si>
  <si>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</si>
  <si>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</si>
  <si>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</si>
  <si>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</si>
  <si>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</si>
  <si>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</si>
  <si>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</si>
  <si>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</si>
  <si>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</si>
  <si>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</si>
  <si>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</si>
  <si>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</si>
  <si>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</si>
  <si>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</si>
  <si>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</si>
  <si>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</si>
  <si>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</si>
  <si>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</si>
  <si>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</si>
  <si>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</si>
  <si>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</si>
  <si>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</si>
  <si>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</si>
  <si>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</si>
  <si>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</si>
  <si>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</si>
  <si>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</si>
  <si>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</si>
  <si>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</si>
  <si>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</si>
  <si>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</si>
  <si>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</si>
  <si>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</si>
  <si>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</si>
  <si>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</si>
  <si>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</si>
  <si>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</si>
  <si>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</si>
  <si>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</si>
  <si>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</si>
  <si>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</si>
  <si>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</si>
  <si>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</si>
  <si>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</si>
  <si>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</si>
  <si>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</si>
  <si>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</si>
  <si>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</si>
  <si>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</si>
  <si>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</si>
  <si>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</si>
  <si>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</si>
  <si>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</si>
  <si>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</si>
  <si>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</si>
  <si>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</si>
  <si>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</si>
  <si>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</si>
  <si>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</si>
  <si>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</si>
  <si>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</si>
  <si>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</si>
  <si>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</si>
  <si>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</si>
  <si>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</si>
  <si>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</si>
  <si>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</si>
  <si>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</si>
  <si>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</si>
  <si>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</si>
  <si>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</si>
  <si>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</si>
  <si>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</si>
  <si>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</si>
  <si>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</si>
  <si>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</si>
  <si>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</si>
  <si>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</si>
  <si>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</si>
  <si>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</si>
  <si>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</si>
  <si>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</si>
  <si>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</si>
  <si>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</si>
  <si>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</si>
  <si>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</si>
  <si>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</si>
  <si>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</si>
  <si>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</si>
  <si>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</si>
  <si>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</si>
  <si>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</si>
  <si>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</si>
  <si>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</si>
  <si>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</si>
  <si>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</si>
  <si>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</si>
  <si>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</si>
  <si>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</si>
  <si>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</si>
  <si>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</si>
  <si>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</si>
  <si>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</si>
  <si>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</si>
  <si>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</si>
  <si>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</si>
  <si>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</si>
  <si>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</si>
  <si>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</si>
  <si>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</si>
  <si>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</si>
  <si>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</si>
  <si>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</si>
  <si>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</si>
  <si>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</si>
  <si>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</si>
  <si>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</si>
  <si>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</si>
  <si>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</si>
  <si>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</si>
  <si>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</si>
  <si>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</si>
  <si>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</si>
  <si>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</si>
  <si>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</si>
  <si>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</si>
  <si>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</si>
  <si>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</si>
  <si>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</si>
  <si>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</si>
  <si>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</si>
  <si>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</si>
  <si>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</si>
  <si>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</si>
  <si>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</si>
  <si>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</si>
  <si>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</si>
  <si>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</si>
  <si>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</si>
  <si>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</si>
  <si>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</si>
  <si>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</si>
  <si>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</si>
  <si>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</si>
  <si>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</si>
  <si>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</si>
  <si>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</si>
  <si>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</si>
  <si>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</si>
  <si>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</si>
  <si>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</si>
  <si>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</si>
  <si>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</si>
  <si>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</si>
  <si>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</si>
  <si>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</si>
  <si>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</si>
  <si>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</si>
  <si>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</si>
  <si>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</si>
  <si>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</si>
  <si>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</si>
  <si>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</si>
  <si>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</si>
  <si>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</si>
  <si>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</si>
  <si>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</si>
  <si>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</si>
  <si>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</si>
  <si>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</si>
  <si>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</si>
  <si>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</si>
  <si>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</si>
  <si>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</si>
  <si>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</si>
  <si>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</si>
  <si>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</si>
  <si>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</si>
  <si>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</si>
  <si>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</si>
  <si>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</si>
  <si>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</si>
  <si>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</si>
  <si>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</si>
  <si>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</si>
  <si>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</si>
  <si>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</si>
  <si>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</si>
  <si>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</si>
  <si>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</si>
  <si>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</si>
  <si>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</si>
  <si>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</si>
  <si>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</si>
  <si>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</si>
  <si>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</si>
  <si>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</si>
  <si>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</si>
  <si>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</si>
  <si>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</si>
  <si>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</si>
  <si>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</si>
  <si>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</si>
  <si>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</si>
  <si>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</si>
  <si>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</si>
  <si>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</si>
  <si>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</si>
  <si>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</si>
  <si>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</si>
  <si>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</si>
  <si>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</si>
  <si>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</si>
  <si>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</si>
  <si>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</si>
  <si>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</si>
  <si>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</si>
  <si>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</si>
  <si>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</si>
  <si>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</si>
  <si>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</si>
  <si>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</si>
  <si>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</si>
  <si>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</si>
  <si>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</si>
  <si>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</si>
  <si>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</si>
  <si>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</si>
  <si>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</si>
  <si>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</si>
  <si>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</si>
  <si>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</si>
  <si>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</si>
  <si>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</si>
  <si>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</si>
  <si>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</si>
  <si>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</si>
  <si>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</si>
  <si>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</si>
  <si>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</si>
  <si>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</si>
  <si>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</si>
  <si>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</si>
  <si>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</si>
  <si>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</si>
  <si>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</si>
  <si>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</si>
  <si>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</si>
  <si>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</si>
  <si>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</si>
  <si>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</si>
  <si>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</si>
  <si>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</si>
  <si>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</si>
  <si>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</si>
  <si>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</si>
  <si>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</si>
  <si>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</si>
  <si>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</si>
  <si>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</si>
  <si>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</si>
  <si>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</si>
  <si>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</si>
  <si>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</si>
  <si>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</si>
  <si>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</si>
  <si>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</si>
  <si>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</si>
  <si>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</si>
  <si>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</si>
  <si>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</si>
  <si>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</si>
  <si>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</si>
  <si>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</si>
  <si>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</si>
  <si>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</si>
  <si>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</si>
  <si>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</si>
  <si>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</si>
  <si>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</si>
  <si>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</si>
  <si>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</si>
  <si>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</si>
  <si>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</si>
  <si>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</si>
  <si>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</si>
  <si>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</si>
  <si>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</si>
  <si>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</si>
  <si>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</si>
  <si>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</si>
  <si>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</si>
  <si>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</si>
  <si>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</si>
  <si>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</si>
  <si>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</si>
  <si>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</si>
  <si>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</si>
  <si>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</si>
  <si>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</si>
  <si>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</si>
  <si>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</si>
  <si>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</si>
  <si>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</si>
  <si>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</si>
  <si>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</si>
  <si>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</si>
  <si>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</si>
  <si>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</si>
  <si>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</si>
  <si>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</si>
  <si>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</si>
  <si>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</si>
  <si>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</si>
  <si>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</si>
  <si>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</si>
  <si>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</si>
  <si>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</si>
  <si>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</si>
  <si>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</si>
  <si>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</si>
  <si>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</si>
  <si>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</si>
  <si>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</si>
  <si>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</si>
  <si>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</si>
  <si>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</si>
  <si>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</si>
  <si>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</si>
  <si>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</si>
  <si>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</si>
  <si>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</si>
  <si>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</si>
  <si>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</si>
  <si>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</si>
  <si>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</si>
  <si>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</si>
  <si>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</si>
  <si>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</si>
  <si>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</si>
  <si>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</si>
  <si>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</si>
  <si>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</si>
  <si>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</si>
  <si>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</si>
  <si>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</si>
  <si>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</si>
  <si>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</si>
  <si>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</si>
  <si>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</si>
  <si>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</si>
  <si>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</si>
  <si>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</si>
  <si>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</si>
  <si>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</si>
  <si>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</si>
  <si>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</si>
  <si>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</si>
  <si>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</si>
  <si>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</si>
  <si>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</si>
  <si>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</si>
  <si>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</si>
  <si>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</si>
  <si>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</si>
  <si>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</si>
  <si>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</si>
  <si>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</si>
  <si>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</si>
  <si>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</si>
  <si>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</si>
  <si>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</si>
  <si>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</si>
  <si>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</si>
  <si>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</si>
  <si>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</si>
  <si>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</si>
  <si>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</si>
  <si>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</si>
  <si>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</si>
  <si>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</si>
  <si>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</si>
  <si>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</si>
  <si>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</si>
  <si>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</si>
  <si>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</si>
  <si>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</si>
  <si>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</si>
  <si>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</si>
  <si>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</si>
  <si>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</si>
  <si>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</si>
  <si>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</si>
  <si>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</si>
  <si>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</si>
  <si>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</si>
  <si>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</si>
  <si>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</si>
  <si>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</si>
  <si>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</si>
  <si>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</si>
  <si>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</si>
  <si>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</si>
  <si>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</si>
  <si>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</si>
  <si>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</si>
  <si>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</si>
  <si>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</si>
  <si>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</si>
  <si>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</si>
  <si>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</si>
  <si>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</si>
  <si>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</si>
  <si>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</si>
  <si>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</si>
  <si>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</si>
  <si>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</si>
  <si>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</si>
  <si>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</si>
  <si>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</si>
  <si>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</si>
  <si>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</si>
  <si>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</si>
  <si>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</si>
  <si>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</si>
  <si>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</si>
  <si>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</si>
  <si>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</si>
  <si>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</si>
  <si>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</si>
  <si>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</si>
  <si>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</si>
  <si>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</si>
  <si>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</si>
  <si>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</si>
  <si>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</si>
  <si>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</si>
  <si>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</si>
  <si>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</si>
  <si>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</si>
  <si>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</si>
  <si>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</si>
  <si>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</si>
  <si>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</si>
  <si>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</si>
  <si>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</si>
  <si>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</si>
  <si>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</si>
  <si>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</si>
  <si>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</si>
  <si>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</si>
  <si>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</si>
  <si>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</si>
  <si>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</si>
  <si>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</si>
  <si>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</si>
  <si>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</si>
  <si>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</si>
  <si>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</si>
  <si>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</si>
  <si>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</si>
  <si>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</si>
  <si>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</si>
  <si>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</si>
  <si>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</si>
  <si>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</si>
  <si>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</si>
  <si>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</si>
  <si>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</si>
  <si>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</si>
  <si>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</si>
  <si>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</si>
  <si>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</si>
  <si>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</si>
  <si>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</si>
  <si>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</si>
  <si>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</si>
  <si>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</si>
  <si>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</si>
  <si>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</si>
  <si>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</si>
  <si>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</si>
  <si>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</si>
  <si>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</si>
  <si>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</si>
  <si>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</si>
  <si>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</si>
  <si>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</si>
  <si>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</si>
  <si>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</si>
  <si>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</si>
  <si>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</si>
  <si>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</si>
  <si>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</si>
  <si>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</si>
  <si>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</si>
  <si>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</si>
  <si>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</si>
  <si>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</si>
  <si>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</si>
  <si>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</si>
  <si>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</si>
  <si>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</si>
  <si>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</si>
  <si>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</si>
  <si>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</si>
  <si>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</si>
  <si>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</si>
  <si>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</si>
  <si>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</si>
  <si>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</si>
  <si>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</si>
  <si>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</si>
  <si>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</si>
  <si>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</si>
  <si>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</si>
  <si>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</si>
  <si>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</si>
  <si>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</si>
  <si>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</si>
  <si>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</si>
  <si>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</si>
  <si>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</si>
  <si>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</si>
  <si>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</si>
  <si>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</si>
  <si>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</si>
  <si>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</si>
  <si>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</si>
  <si>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</si>
  <si>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</si>
  <si>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</si>
  <si>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</si>
  <si>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</si>
  <si>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</si>
  <si>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</si>
  <si>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</si>
  <si>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</si>
  <si>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</si>
  <si>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</si>
  <si>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</si>
  <si>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</si>
  <si>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</si>
  <si>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</si>
  <si>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</si>
  <si>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</si>
  <si>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</si>
  <si>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</si>
  <si>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</si>
  <si>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</si>
  <si>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</si>
  <si>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</si>
  <si>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</si>
  <si>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</si>
  <si>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</si>
  <si>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</si>
  <si>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</si>
  <si>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</si>
  <si>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</si>
  <si>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</si>
  <si>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</si>
  <si>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</si>
  <si>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</si>
  <si>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</si>
  <si>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</si>
  <si>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</si>
  <si>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</si>
  <si>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</si>
  <si>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</si>
  <si>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</si>
  <si>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</si>
  <si>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</si>
  <si>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</si>
  <si>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</si>
  <si>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</si>
  <si>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</si>
  <si>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</si>
  <si>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</si>
  <si>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</si>
  <si>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</si>
  <si>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</si>
  <si>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</si>
  <si>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</si>
  <si>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</si>
  <si>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</si>
  <si>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</si>
  <si>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</si>
  <si>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</si>
  <si>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</si>
  <si>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</si>
  <si>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</si>
  <si>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</si>
  <si>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</si>
  <si>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</si>
  <si>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</si>
  <si>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</si>
  <si>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</si>
  <si>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</si>
  <si>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</si>
  <si>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</si>
  <si>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</si>
  <si>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</si>
  <si>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</si>
  <si>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</si>
  <si>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</si>
  <si>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</si>
  <si>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</si>
  <si>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</si>
  <si>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</si>
  <si>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</si>
  <si>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</si>
  <si>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</si>
  <si>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</si>
  <si>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</si>
  <si>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</si>
  <si>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</si>
  <si>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</si>
  <si>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</si>
  <si>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</si>
  <si>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</si>
  <si>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</si>
  <si>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</si>
  <si>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</si>
  <si>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</si>
  <si>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</si>
  <si>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</si>
  <si>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</si>
  <si>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</si>
  <si>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</si>
  <si>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</si>
  <si>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</si>
  <si>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</si>
  <si>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</si>
  <si>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</si>
  <si>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</si>
  <si>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</si>
  <si>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</si>
  <si>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</si>
  <si>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</si>
  <si>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</si>
  <si>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</si>
  <si>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</si>
  <si>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</si>
  <si>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</si>
  <si>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</si>
  <si>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</si>
  <si>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</si>
  <si>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</si>
  <si>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</si>
  <si>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</si>
  <si>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</si>
  <si>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</si>
  <si>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</si>
  <si>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</si>
  <si>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</si>
  <si>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</si>
  <si>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</si>
  <si>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</si>
  <si>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</si>
  <si>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</si>
  <si>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</si>
  <si>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</si>
  <si>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</si>
  <si>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</si>
  <si>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</si>
  <si>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</si>
  <si>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</si>
  <si>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</si>
  <si>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</si>
  <si>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</si>
  <si>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</si>
  <si>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</si>
  <si>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</si>
  <si>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</si>
  <si>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</si>
  <si>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</si>
  <si>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</si>
  <si>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</si>
  <si>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</si>
  <si>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</si>
  <si>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</si>
  <si>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</si>
  <si>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</si>
  <si>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</si>
  <si>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</si>
  <si>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</si>
  <si>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</si>
  <si>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</si>
  <si>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</si>
  <si>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</si>
  <si>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</si>
  <si>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</si>
  <si>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</si>
  <si>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</si>
  <si>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</si>
  <si>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</si>
  <si>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</si>
  <si>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</si>
  <si>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</si>
  <si>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</si>
  <si>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</si>
  <si>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</si>
  <si>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</si>
  <si>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</si>
  <si>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</si>
  <si>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</si>
  <si>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</si>
  <si>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</si>
  <si>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</si>
  <si>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</si>
  <si>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</si>
  <si>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</si>
  <si>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</si>
  <si>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</si>
  <si>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</si>
  <si>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</si>
  <si>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</si>
  <si>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</si>
  <si>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</si>
  <si>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</si>
  <si>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</si>
  <si>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</si>
  <si>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</si>
  <si>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</si>
  <si>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</si>
  <si>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</si>
  <si>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</si>
  <si>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</si>
  <si>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</si>
  <si>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</si>
  <si>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</si>
  <si>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</si>
  <si>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</si>
  <si>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</si>
  <si>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</si>
  <si>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</si>
  <si>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</si>
  <si>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</si>
  <si>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</si>
  <si>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</si>
  <si>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</si>
  <si>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</si>
  <si>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</si>
  <si>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</si>
  <si>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</si>
  <si>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</si>
  <si>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</si>
  <si>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</si>
  <si>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</si>
  <si>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</si>
  <si>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</si>
  <si>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</si>
  <si>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</si>
  <si>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</si>
  <si>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</si>
  <si>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</si>
  <si>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</si>
  <si>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</si>
  <si>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</si>
  <si>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</si>
  <si>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</si>
  <si>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</si>
  <si>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</si>
  <si>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</si>
  <si>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</si>
  <si>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</si>
  <si>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</si>
  <si>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</si>
  <si>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</si>
  <si>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</si>
  <si>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</si>
  <si>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</si>
  <si>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</si>
  <si>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</si>
  <si>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</si>
  <si>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</si>
  <si>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</si>
  <si>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</si>
  <si>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</si>
  <si>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</si>
  <si>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</si>
  <si>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</si>
  <si>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</si>
  <si>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</si>
  <si>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</si>
  <si>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</si>
  <si>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</si>
  <si>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</si>
  <si>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</si>
  <si>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</si>
  <si>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</si>
  <si>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</si>
  <si>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</si>
  <si>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</si>
  <si>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</si>
  <si>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</si>
  <si>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</si>
  <si>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</si>
  <si>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</si>
  <si>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</si>
  <si>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</si>
  <si>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</si>
  <si>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</si>
  <si>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</si>
  <si>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</si>
  <si>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</si>
  <si>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</si>
  <si>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</si>
  <si>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</si>
  <si>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</si>
  <si>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</si>
  <si>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</si>
  <si>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</si>
  <si>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</si>
  <si>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</si>
  <si>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</si>
  <si>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</si>
  <si>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</si>
  <si>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</si>
  <si>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</si>
  <si>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</si>
  <si>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</si>
  <si>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</si>
  <si>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</si>
  <si>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</si>
  <si>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</si>
  <si>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</si>
  <si>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</si>
  <si>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</si>
  <si>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</si>
  <si>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</si>
  <si>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</si>
  <si>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</si>
  <si>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</si>
  <si>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</si>
  <si>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</si>
  <si>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</si>
  <si>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</si>
  <si>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</si>
  <si>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</si>
  <si>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</si>
  <si>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</si>
  <si>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</si>
  <si>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</si>
  <si>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</si>
  <si>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</si>
  <si>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</si>
  <si>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</si>
  <si>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</si>
  <si>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</si>
  <si>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</si>
  <si>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</si>
  <si>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</si>
  <si>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</si>
  <si>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</si>
  <si>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</si>
  <si>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</si>
  <si>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</si>
  <si>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</si>
  <si>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</si>
  <si>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</si>
  <si>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</si>
  <si>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</si>
  <si>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</si>
  <si>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</si>
  <si>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</si>
  <si>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</si>
  <si>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</si>
  <si>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</si>
  <si>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</si>
  <si>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</si>
  <si>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</si>
  <si>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</si>
  <si>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</si>
  <si>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</si>
  <si>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</si>
  <si>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</si>
  <si>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</si>
  <si>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</si>
  <si>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</si>
  <si>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</si>
  <si>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</si>
  <si>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</si>
  <si>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</si>
  <si>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</si>
  <si>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</si>
  <si>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</si>
  <si>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</si>
  <si>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</si>
  <si>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</si>
  <si>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</si>
  <si>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</si>
  <si>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</si>
  <si>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</si>
  <si>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</si>
  <si>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</si>
  <si>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</si>
  <si>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</si>
  <si>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</si>
  <si>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</si>
  <si>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</si>
  <si>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</si>
  <si>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</si>
  <si>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</si>
  <si>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</si>
  <si>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</si>
  <si>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</si>
  <si>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</si>
  <si>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</si>
  <si>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</si>
  <si>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</si>
  <si>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</si>
  <si>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</si>
  <si>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</si>
  <si>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</si>
  <si>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</si>
  <si>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</si>
  <si>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</si>
  <si>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</si>
  <si>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</si>
  <si>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</si>
  <si>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</si>
  <si>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</si>
  <si>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</si>
  <si>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</si>
  <si>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</si>
  <si>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</si>
  <si>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</si>
  <si>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</si>
  <si>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</si>
  <si>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</si>
  <si>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</si>
  <si>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</si>
  <si>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</si>
  <si>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</si>
  <si>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</si>
  <si>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</si>
  <si>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</si>
  <si>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</si>
  <si>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</si>
  <si>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</si>
  <si>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</si>
  <si>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</si>
  <si>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</si>
  <si>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</si>
  <si>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</si>
  <si>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</si>
  <si>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</si>
  <si>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</si>
  <si>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</si>
  <si>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</si>
  <si>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</si>
  <si>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</si>
  <si>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</si>
  <si>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</si>
  <si>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</si>
  <si>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</si>
  <si>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</si>
  <si>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</si>
  <si>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</si>
  <si>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</si>
  <si>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</si>
  <si>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</si>
  <si>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</si>
  <si>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</si>
  <si>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</si>
  <si>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</si>
  <si>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</si>
  <si>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</si>
  <si>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</si>
  <si>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</si>
  <si>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</si>
  <si>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</si>
  <si>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</si>
  <si>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</si>
  <si>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</si>
  <si>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</si>
  <si>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</si>
  <si>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</si>
  <si>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</si>
  <si>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</si>
  <si>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</si>
  <si>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</si>
  <si>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</si>
  <si>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</si>
  <si>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</si>
  <si>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</si>
  <si>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</si>
  <si>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</si>
  <si>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</si>
  <si>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</si>
  <si>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</si>
  <si>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</si>
  <si>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</si>
  <si>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</si>
  <si>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</si>
  <si>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</si>
  <si>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</si>
  <si>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</si>
  <si>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</si>
  <si>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</si>
  <si>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</si>
  <si>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</si>
  <si>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</si>
  <si>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</si>
  <si>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</si>
  <si>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</si>
  <si>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</si>
  <si>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</si>
  <si>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</si>
  <si>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</si>
  <si>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</si>
  <si>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</si>
  <si>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</si>
  <si>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</si>
  <si>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</si>
  <si>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</si>
  <si>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</si>
  <si>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</si>
  <si>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</si>
  <si>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</si>
  <si>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</si>
  <si>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</si>
  <si>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</si>
  <si>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</si>
  <si>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</si>
  <si>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</si>
  <si>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</si>
  <si>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</si>
  <si>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</si>
  <si>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</si>
  <si>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</si>
  <si>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</si>
  <si>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</si>
  <si>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</si>
  <si>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</si>
  <si>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</si>
  <si>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</si>
  <si>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</si>
  <si>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</si>
  <si>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</si>
  <si>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</si>
  <si>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</si>
  <si>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</si>
  <si>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</si>
  <si>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</si>
  <si>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</si>
  <si>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</si>
  <si>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</si>
  <si>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</si>
  <si>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</si>
  <si>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</si>
  <si>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</si>
  <si>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</si>
  <si>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</si>
  <si>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</si>
  <si>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</si>
  <si>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</si>
  <si>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</si>
  <si>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</si>
  <si>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</si>
  <si>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</si>
  <si>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</si>
  <si>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</si>
  <si>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</si>
  <si>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</si>
  <si>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</si>
  <si>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</si>
  <si>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</si>
  <si>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</si>
  <si>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</si>
  <si>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</si>
  <si>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</si>
  <si>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</si>
  <si>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</si>
  <si>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</si>
  <si>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</si>
  <si>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</si>
  <si>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</si>
  <si>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</si>
  <si>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</si>
  <si>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</si>
  <si>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</si>
  <si>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</si>
  <si>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</si>
  <si>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</si>
  <si>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</si>
  <si>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</si>
  <si>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</si>
  <si>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</si>
  <si>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</si>
  <si>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</si>
  <si>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</si>
  <si>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</si>
  <si>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</si>
  <si>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</si>
  <si>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</si>
  <si>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</si>
  <si>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</si>
  <si>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</si>
  <si>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</si>
  <si>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</si>
  <si>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</si>
  <si>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</si>
  <si>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</si>
  <si>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</si>
  <si>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</si>
  <si>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</si>
  <si>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</si>
  <si>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</si>
  <si>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</si>
  <si>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</si>
  <si>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</si>
  <si>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</si>
  <si>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</si>
  <si>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</si>
  <si>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</si>
  <si>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</si>
  <si>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</si>
  <si>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</si>
  <si>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</si>
  <si>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</si>
  <si>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</si>
  <si>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</si>
  <si>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</si>
  <si>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</si>
  <si>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</si>
  <si>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</si>
  <si>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</si>
  <si>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</si>
  <si>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</si>
  <si>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</si>
  <si>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</si>
  <si>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</si>
  <si>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</si>
  <si>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</si>
  <si>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</si>
  <si>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</si>
  <si>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</si>
  <si>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</si>
  <si>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</si>
  <si>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</si>
  <si>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</si>
  <si>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</si>
  <si>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</si>
  <si>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</si>
  <si>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</si>
  <si>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</si>
  <si>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</si>
  <si>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</si>
  <si>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</si>
  <si>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</si>
  <si>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</si>
  <si>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</si>
  <si>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</si>
  <si>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</si>
  <si>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</si>
  <si>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</si>
  <si>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</si>
  <si>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</si>
  <si>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</si>
  <si>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</si>
  <si>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</si>
  <si>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</si>
  <si>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</si>
  <si>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</si>
  <si>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</si>
  <si>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</si>
  <si>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</si>
  <si>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</si>
  <si>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</si>
  <si>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</si>
  <si>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</si>
  <si>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</si>
  <si>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</si>
  <si>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</si>
  <si>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</si>
  <si>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</si>
  <si>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</si>
  <si>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</si>
  <si>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</si>
  <si>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</si>
  <si>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</si>
  <si>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</si>
  <si>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</si>
  <si>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</si>
  <si>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</si>
  <si>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</si>
  <si>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</si>
  <si>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</si>
  <si>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</si>
  <si>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</si>
  <si>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</si>
  <si>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</si>
  <si>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</si>
  <si>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</si>
  <si>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</si>
  <si>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</si>
  <si>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</si>
  <si>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</si>
  <si>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</si>
  <si>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</si>
  <si>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</si>
  <si>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</si>
  <si>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</si>
  <si>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</si>
  <si>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</si>
  <si>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</si>
  <si>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</si>
  <si>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</si>
  <si>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</si>
  <si>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</si>
  <si>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</si>
  <si>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</si>
  <si>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</si>
  <si>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</si>
  <si>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</si>
  <si>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</si>
  <si>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</si>
  <si>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</si>
  <si>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</si>
  <si>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</si>
  <si>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</si>
  <si>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</si>
  <si>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</si>
  <si>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</si>
  <si>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</si>
  <si>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</si>
  <si>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</si>
  <si>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</si>
  <si>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</si>
  <si>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</si>
  <si>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</si>
  <si>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</si>
  <si>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</si>
  <si>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</si>
  <si>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</si>
  <si>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</si>
  <si>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</si>
  <si>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</si>
  <si>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</si>
  <si>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</si>
  <si>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</si>
  <si>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</si>
  <si>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</si>
  <si>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</si>
  <si>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</si>
  <si>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</si>
  <si>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</si>
  <si>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</si>
  <si>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</si>
  <si>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</si>
  <si>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</si>
  <si>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</si>
  <si>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</si>
  <si>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</si>
  <si>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</si>
  <si>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</si>
  <si>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</si>
  <si>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</si>
  <si>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</si>
  <si>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</si>
  <si>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</si>
  <si>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</si>
  <si>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</si>
  <si>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</si>
  <si>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</si>
  <si>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</si>
  <si>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</si>
  <si>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</si>
  <si>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</si>
  <si>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</si>
  <si>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</si>
  <si>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</si>
  <si>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</si>
  <si>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</si>
  <si>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</si>
  <si>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</si>
  <si>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</si>
  <si>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</si>
  <si>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</si>
  <si>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</si>
  <si>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</si>
  <si>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</si>
  <si>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</si>
  <si>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</si>
  <si>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</si>
  <si>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</si>
  <si>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</si>
  <si>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</si>
  <si>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</si>
  <si>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</si>
  <si>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</si>
  <si>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</si>
  <si>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</si>
  <si>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</si>
  <si>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</si>
  <si>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</si>
  <si>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</si>
  <si>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</si>
  <si>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</si>
  <si>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</si>
  <si>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</si>
  <si>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</si>
  <si>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</si>
  <si>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</si>
  <si>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</si>
  <si>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</si>
  <si>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</si>
  <si>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</si>
  <si>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</si>
  <si>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</si>
  <si>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</si>
  <si>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</si>
  <si>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</si>
  <si>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</si>
  <si>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</si>
  <si>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</si>
  <si>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</si>
  <si>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</si>
  <si>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</si>
  <si>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</si>
  <si>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</si>
  <si>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</si>
  <si>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</si>
  <si>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</si>
  <si>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</si>
  <si>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</si>
  <si>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</si>
  <si>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</si>
  <si>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</si>
  <si>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</si>
  <si>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</si>
  <si>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</si>
  <si>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</si>
  <si>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</si>
  <si>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</si>
  <si>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</si>
  <si>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</si>
  <si>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</si>
  <si>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</si>
  <si>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</si>
  <si>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</si>
  <si>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</si>
  <si>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</si>
  <si>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</si>
  <si>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</si>
  <si>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</si>
  <si>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</si>
  <si>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</si>
  <si>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</si>
  <si>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</si>
  <si>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</si>
  <si>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</si>
  <si>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</si>
  <si>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</si>
  <si>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</si>
  <si>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</si>
  <si>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</si>
  <si>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</si>
  <si>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</si>
  <si>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</si>
  <si>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</si>
  <si>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</si>
  <si>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</si>
  <si>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</si>
  <si>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</si>
  <si>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</si>
  <si>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</si>
  <si>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</si>
  <si>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</si>
  <si>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</si>
  <si>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</si>
  <si>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</si>
  <si>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</si>
  <si>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</si>
  <si>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</si>
  <si>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</si>
  <si>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</si>
  <si>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</si>
  <si>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</si>
  <si>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</si>
  <si>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</si>
  <si>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</si>
  <si>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</si>
  <si>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</si>
  <si>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</si>
  <si>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</si>
  <si>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</si>
  <si>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</si>
  <si>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</si>
  <si>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</si>
  <si>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</si>
  <si>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</si>
  <si>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</si>
  <si>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</si>
  <si>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</si>
  <si>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</si>
  <si>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</si>
  <si>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</si>
  <si>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</si>
  <si>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</si>
  <si>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</si>
  <si>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</si>
  <si>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</si>
  <si>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</si>
  <si>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</si>
  <si>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</si>
  <si>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</si>
  <si>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</si>
  <si>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</si>
  <si>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</si>
  <si>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</si>
  <si>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</si>
  <si>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</si>
  <si>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</si>
  <si>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</si>
  <si>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</si>
  <si>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</si>
  <si>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</si>
  <si>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</si>
  <si>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</si>
  <si>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</si>
  <si>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</si>
  <si>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</si>
  <si>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</si>
  <si>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</si>
  <si>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</si>
  <si>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</si>
  <si>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</si>
  <si>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</si>
  <si>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</si>
  <si>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</si>
  <si>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</si>
  <si>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</si>
  <si>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</si>
  <si>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</si>
  <si>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</si>
  <si>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</si>
  <si>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</si>
  <si>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</si>
  <si>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</si>
  <si>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</si>
  <si>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</si>
  <si>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</si>
  <si>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</si>
  <si>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</si>
  <si>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</si>
  <si>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</si>
  <si>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</si>
  <si>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</si>
  <si>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</si>
  <si>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</si>
  <si>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</si>
  <si>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</si>
  <si>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</si>
  <si>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</si>
  <si>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</si>
  <si>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</si>
  <si>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</si>
  <si>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</si>
  <si>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</si>
  <si>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</si>
  <si>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</si>
  <si>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</si>
  <si>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</si>
  <si>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</si>
  <si>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</si>
  <si>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</si>
  <si>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</si>
  <si>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</si>
  <si>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</si>
  <si>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</si>
  <si>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</si>
  <si>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</si>
  <si>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</si>
  <si>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</si>
  <si>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</si>
  <si>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</si>
  <si>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</si>
  <si>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</si>
  <si>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</si>
  <si>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</si>
  <si>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</si>
  <si>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</si>
  <si>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</si>
  <si>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</si>
  <si>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</si>
  <si>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</si>
  <si>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</si>
  <si>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</si>
  <si>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</si>
  <si>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</si>
  <si>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</si>
  <si>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</si>
  <si>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</si>
  <si>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</si>
  <si>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</si>
  <si>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</si>
  <si>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</si>
  <si>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</si>
  <si>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</si>
  <si>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</si>
  <si>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</si>
  <si>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</si>
  <si>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</si>
  <si>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</si>
  <si>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</si>
  <si>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</si>
  <si>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</si>
  <si>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</si>
  <si>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</si>
  <si>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</si>
  <si>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</si>
  <si>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</si>
  <si>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</si>
  <si>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</si>
  <si>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</si>
  <si>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</si>
  <si>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</si>
  <si>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</si>
  <si>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</si>
  <si>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</si>
  <si>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</si>
  <si>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</si>
  <si>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</si>
  <si>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</si>
  <si>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</si>
  <si>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</si>
  <si>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</si>
  <si>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</si>
  <si>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</si>
  <si>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</si>
  <si>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</si>
  <si>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</si>
  <si>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</si>
  <si>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</si>
  <si>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</si>
  <si>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</si>
  <si>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</si>
  <si>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</si>
  <si>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</si>
  <si>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</si>
  <si>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</si>
  <si>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</si>
  <si>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</si>
  <si>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</si>
  <si>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</si>
  <si>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</si>
  <si>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</si>
  <si>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</si>
  <si>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</si>
  <si>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</si>
  <si>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</si>
  <si>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</si>
  <si>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</si>
  <si>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</si>
  <si>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</si>
  <si>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</si>
  <si>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</si>
  <si>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</si>
  <si>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</si>
  <si>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</si>
  <si>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</si>
  <si>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</si>
  <si>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</si>
  <si>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</si>
  <si>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</si>
  <si>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</si>
  <si>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</si>
  <si>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</si>
  <si>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</si>
  <si>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</si>
  <si>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</si>
  <si>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</si>
  <si>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</si>
  <si>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</si>
  <si>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</si>
  <si>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</si>
  <si>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</si>
  <si>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</si>
  <si>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</si>
  <si>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</si>
  <si>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</si>
  <si>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</si>
  <si>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</si>
  <si>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</si>
  <si>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</si>
  <si>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</si>
  <si>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</si>
  <si>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</si>
  <si>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</si>
  <si>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</si>
  <si>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</si>
  <si>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</si>
  <si>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</si>
  <si>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</si>
  <si>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</si>
  <si>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</si>
  <si>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</si>
  <si>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</si>
  <si>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</si>
  <si>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</si>
  <si>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</si>
  <si>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</si>
  <si>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</si>
  <si>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</si>
  <si>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</si>
  <si>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</si>
  <si>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</si>
  <si>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</si>
  <si>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</si>
  <si>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</si>
  <si>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</si>
  <si>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</si>
  <si>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</si>
  <si>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</si>
  <si>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</si>
  <si>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</si>
  <si>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</si>
  <si>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</si>
  <si>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</si>
  <si>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</si>
  <si>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</si>
  <si>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</si>
  <si>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</si>
  <si>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</si>
  <si>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</si>
  <si>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</si>
  <si>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</si>
  <si>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</si>
  <si>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</si>
  <si>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</si>
  <si>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</si>
  <si>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</si>
  <si>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</si>
  <si>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</si>
  <si>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</si>
  <si>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</si>
  <si>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</si>
  <si>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</si>
  <si>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</si>
  <si>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</si>
  <si>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</si>
  <si>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</si>
  <si>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</si>
  <si>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</si>
  <si>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</si>
  <si>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</si>
  <si>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</si>
  <si>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</si>
  <si>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</si>
  <si>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</si>
  <si>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</si>
  <si>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</si>
  <si>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</si>
  <si>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</si>
  <si>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</si>
  <si>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</si>
  <si>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</si>
  <si>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</si>
  <si>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</si>
  <si>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</si>
  <si>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</si>
  <si>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</si>
  <si>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</si>
  <si>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</si>
  <si>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</si>
  <si>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</si>
  <si>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</si>
  <si>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</si>
  <si>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</si>
  <si>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</si>
  <si>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</si>
  <si>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</si>
  <si>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</si>
  <si>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</si>
  <si>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</si>
  <si>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</si>
  <si>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</si>
  <si>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</si>
  <si>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</si>
  <si>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</si>
  <si>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</si>
  <si>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</si>
  <si>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</si>
  <si>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</si>
  <si>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</si>
  <si>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</si>
  <si>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</si>
  <si>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</si>
  <si>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</si>
  <si>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</si>
  <si>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</si>
  <si>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</si>
  <si>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</si>
  <si>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</si>
  <si>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</si>
  <si>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</si>
  <si>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</si>
  <si>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</si>
  <si>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</si>
  <si>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</si>
  <si>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</si>
  <si>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</si>
  <si>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</si>
  <si>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</si>
  <si>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</si>
  <si>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</si>
  <si>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</si>
  <si>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</si>
  <si>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</si>
  <si>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</si>
  <si>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</si>
  <si>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</si>
  <si>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</si>
  <si>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</si>
  <si>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</si>
  <si>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</si>
  <si>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</si>
  <si>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</si>
  <si>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</si>
  <si>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</si>
  <si>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</si>
  <si>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</si>
  <si>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</si>
  <si>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</si>
  <si>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</si>
  <si>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</si>
  <si>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</si>
  <si>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</si>
  <si>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</si>
  <si>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</si>
  <si>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</si>
  <si>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</si>
  <si>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</si>
  <si>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</si>
  <si>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</si>
  <si>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</si>
  <si>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</si>
  <si>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</si>
  <si>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</si>
  <si>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</si>
  <si>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</si>
  <si>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</si>
  <si>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</si>
  <si>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</si>
  <si>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</si>
  <si>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</si>
  <si>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</si>
  <si>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</si>
  <si>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</si>
  <si>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</si>
  <si>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</si>
  <si>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</si>
  <si>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</si>
  <si>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</si>
  <si>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</si>
  <si>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</si>
  <si>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</si>
  <si>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</si>
  <si>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</si>
  <si>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</si>
  <si>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</si>
  <si>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</si>
  <si>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</si>
  <si>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</si>
  <si>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</si>
  <si>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</si>
  <si>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</si>
  <si>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</si>
  <si>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</si>
  <si>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</si>
  <si>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</si>
  <si>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</si>
  <si>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</si>
  <si>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</si>
  <si>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</si>
  <si>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</si>
  <si>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</si>
  <si>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</si>
  <si>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</si>
  <si>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</si>
  <si>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</si>
  <si>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</si>
  <si>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</si>
  <si>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</si>
  <si>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</si>
  <si>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</si>
  <si>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</si>
  <si>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</si>
  <si>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</si>
  <si>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</si>
  <si>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</si>
  <si>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</si>
  <si>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</si>
  <si>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</si>
  <si>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</si>
  <si>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</si>
  <si>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</si>
  <si>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</si>
  <si>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</si>
  <si>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</si>
  <si>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</si>
  <si>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</si>
  <si>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</si>
  <si>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</si>
  <si>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</si>
  <si>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</si>
  <si>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</si>
  <si>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</si>
  <si>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</si>
  <si>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</si>
  <si>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</si>
  <si>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</si>
  <si>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</si>
  <si>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</si>
  <si>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</si>
  <si>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</si>
  <si>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</si>
  <si>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</si>
  <si>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</si>
  <si>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</si>
  <si>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</si>
  <si>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</si>
  <si>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</si>
  <si>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</si>
  <si>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</si>
  <si>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</si>
  <si>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</si>
  <si>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</si>
  <si>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</si>
  <si>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</si>
  <si>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</si>
  <si>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</si>
  <si>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</si>
  <si>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</si>
  <si>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</si>
  <si>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</si>
  <si>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</si>
  <si>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</si>
  <si>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</si>
  <si>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</si>
  <si>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</si>
  <si>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</si>
  <si>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</si>
  <si>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</si>
  <si>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</si>
  <si>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</si>
  <si>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</si>
  <si>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</si>
  <si>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</si>
  <si>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</si>
  <si>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</si>
  <si>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</si>
  <si>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</si>
  <si>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</si>
  <si>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</si>
  <si>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</si>
  <si>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</si>
  <si>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</si>
  <si>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</si>
  <si>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</si>
  <si>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</si>
  <si>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</si>
  <si>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</si>
  <si>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</si>
  <si>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</si>
  <si>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</si>
  <si>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</si>
  <si>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</si>
  <si>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</si>
  <si>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</si>
  <si>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</si>
  <si>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</si>
  <si>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</si>
  <si>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</si>
  <si>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</si>
  <si>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</si>
  <si>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</si>
  <si>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</si>
  <si>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</si>
  <si>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</si>
  <si>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</si>
  <si>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</si>
  <si>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</si>
  <si>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</si>
  <si>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</si>
  <si>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</si>
  <si>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</si>
  <si>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</si>
  <si>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</si>
  <si>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</si>
  <si>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</si>
  <si>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</si>
  <si>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</si>
  <si>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</si>
  <si>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</si>
  <si>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</si>
  <si>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</si>
  <si>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</si>
  <si>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</si>
  <si>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</si>
  <si>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</si>
  <si>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</si>
  <si>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</si>
  <si>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</si>
  <si>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</si>
  <si>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</si>
  <si>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</si>
  <si>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</si>
  <si>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</si>
  <si>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</si>
  <si>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</si>
  <si>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</si>
  <si>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</si>
  <si>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</si>
  <si>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</si>
  <si>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</si>
  <si>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</si>
  <si>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</si>
  <si>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</si>
  <si>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</si>
  <si>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</si>
  <si>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</si>
  <si>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</si>
  <si>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</si>
  <si>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</si>
  <si>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</si>
  <si>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</si>
  <si>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</si>
  <si>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</si>
  <si>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</si>
  <si>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</si>
  <si>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</si>
  <si>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</si>
  <si>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</si>
  <si>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</si>
  <si>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</si>
  <si>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</si>
  <si>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</si>
  <si>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</si>
  <si>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</si>
  <si>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</si>
  <si>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</si>
  <si>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</si>
  <si>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</si>
  <si>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</si>
  <si>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</si>
  <si>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</si>
  <si>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</si>
  <si>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</si>
  <si>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</si>
  <si>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</si>
  <si>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</si>
  <si>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</si>
  <si>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</si>
  <si>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</si>
  <si>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</si>
  <si>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</si>
  <si>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</si>
  <si>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</si>
  <si>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</si>
  <si>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</si>
  <si>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</si>
  <si>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</si>
  <si>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</si>
  <si>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</si>
  <si>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</si>
  <si>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</si>
  <si>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</si>
  <si>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</si>
  <si>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</si>
  <si>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</si>
  <si>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</si>
  <si>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</si>
  <si>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</si>
  <si>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</si>
  <si>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</si>
  <si>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</si>
  <si>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</si>
  <si>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</si>
  <si>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</si>
  <si>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</si>
  <si>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</si>
  <si>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</si>
  <si>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</si>
  <si>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</si>
  <si>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</si>
  <si>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</si>
  <si>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</si>
  <si>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</si>
  <si>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</si>
  <si>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</si>
  <si>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</si>
  <si>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</si>
  <si>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</si>
  <si>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</si>
  <si>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</si>
  <si>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</si>
  <si>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</si>
  <si>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</si>
  <si>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</si>
  <si>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</si>
  <si>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</si>
  <si>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</si>
  <si>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</si>
  <si>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</si>
  <si>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</si>
  <si>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</si>
  <si>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</si>
  <si>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</si>
  <si>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</si>
  <si>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</si>
  <si>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</si>
  <si>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</si>
  <si>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</si>
  <si>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</si>
  <si>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</si>
  <si>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</si>
  <si>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</si>
  <si>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</si>
  <si>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</si>
  <si>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</si>
  <si>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</si>
  <si>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</si>
  <si>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</si>
  <si>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</si>
  <si>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</si>
  <si>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</si>
  <si>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</si>
  <si>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</si>
  <si>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</si>
  <si>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</si>
  <si>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</si>
  <si>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</si>
  <si>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</si>
  <si>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</si>
  <si>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</si>
  <si>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</si>
  <si>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</si>
  <si>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</si>
  <si>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</si>
  <si>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</si>
  <si>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</si>
  <si>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</si>
  <si>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</si>
  <si>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</si>
  <si>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</si>
  <si>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</si>
  <si>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</si>
  <si>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</si>
  <si>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</si>
  <si>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</si>
  <si>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</si>
  <si>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</si>
  <si>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</si>
  <si>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</si>
  <si>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</si>
  <si>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</si>
  <si>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</si>
  <si>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</si>
  <si>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</si>
  <si>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</si>
  <si>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</si>
  <si>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</si>
  <si>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</si>
  <si>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</si>
  <si>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</si>
  <si>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</si>
  <si>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</si>
  <si>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</si>
  <si>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</si>
  <si>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</si>
  <si>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</si>
  <si>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</si>
  <si>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</si>
  <si>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</si>
  <si>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</si>
  <si>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</si>
  <si>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</si>
  <si>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</si>
  <si>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</si>
  <si>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</si>
  <si>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</si>
  <si>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</si>
  <si>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</si>
  <si>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</si>
  <si>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</si>
  <si>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</si>
  <si>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</si>
  <si>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</si>
  <si>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</si>
  <si>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</si>
  <si>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</si>
  <si>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</si>
  <si>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</si>
  <si>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</si>
  <si>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</si>
  <si>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</si>
  <si>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</si>
  <si>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</si>
  <si>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</si>
  <si>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</si>
  <si>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</si>
  <si>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</si>
  <si>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</si>
  <si>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</si>
  <si>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</si>
  <si>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</si>
  <si>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</si>
  <si>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</si>
  <si>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</si>
  <si>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</si>
  <si>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</si>
  <si>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</si>
  <si>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</si>
  <si>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</si>
  <si>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</si>
  <si>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</si>
  <si>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</si>
  <si>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</si>
  <si>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</si>
  <si>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</si>
  <si>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</si>
  <si>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</si>
  <si>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</si>
  <si>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</si>
  <si>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</si>
  <si>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</si>
  <si>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</si>
  <si>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</si>
  <si>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</si>
  <si>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</si>
  <si>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</si>
  <si>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</si>
  <si>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</si>
  <si>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</si>
  <si>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</si>
  <si>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</si>
  <si>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</si>
  <si>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</si>
  <si>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</si>
  <si>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</si>
  <si>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</si>
  <si>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</si>
  <si>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</si>
  <si>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</si>
  <si>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</si>
  <si>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</si>
  <si>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</si>
  <si>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</si>
  <si>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</si>
  <si>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</si>
  <si>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</si>
  <si>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</si>
  <si>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</si>
  <si>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</si>
  <si>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</si>
  <si>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</si>
  <si>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</si>
  <si>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</si>
  <si>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</si>
  <si>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</si>
  <si>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</si>
  <si>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</si>
  <si>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</si>
  <si>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</si>
  <si>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</si>
  <si>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</si>
  <si>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</si>
  <si>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</si>
  <si>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</si>
  <si>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</si>
  <si>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</si>
  <si>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</si>
  <si>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</si>
  <si>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</si>
  <si>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</si>
  <si>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</si>
  <si>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</si>
  <si>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</si>
  <si>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</si>
  <si>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</si>
  <si>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</si>
  <si>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</si>
  <si>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</si>
  <si>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</si>
  <si>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</si>
  <si>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</si>
  <si>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</si>
  <si>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</si>
  <si>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</si>
  <si>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</si>
  <si>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</si>
  <si>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</si>
  <si>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</si>
  <si>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</si>
  <si>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</si>
  <si>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</si>
  <si>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</si>
  <si>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</si>
  <si>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</si>
  <si>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</si>
  <si>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</si>
  <si>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</si>
  <si>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</si>
  <si>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</si>
  <si>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</si>
  <si>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</si>
  <si>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</si>
  <si>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</si>
  <si>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</si>
  <si>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</si>
  <si>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</si>
  <si>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</si>
  <si>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</si>
  <si>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</si>
  <si>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</si>
  <si>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</si>
  <si>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</si>
  <si>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</si>
  <si>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</si>
  <si>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</si>
  <si>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</si>
  <si>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</si>
  <si>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</si>
  <si>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</si>
  <si>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</si>
  <si>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</si>
  <si>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</si>
  <si>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</si>
  <si>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</si>
  <si>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</si>
  <si>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</si>
  <si>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</si>
  <si>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</si>
  <si>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</si>
  <si>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</si>
  <si>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</si>
  <si>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</si>
  <si>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</si>
  <si>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</si>
  <si>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</si>
  <si>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</si>
  <si>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</si>
  <si>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</si>
  <si>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</si>
  <si>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</si>
  <si>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</si>
  <si>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</si>
  <si>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</si>
  <si>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</si>
  <si>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</si>
  <si>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</si>
  <si>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</si>
  <si>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</si>
  <si>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</si>
  <si>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</si>
  <si>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</si>
  <si>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</si>
  <si>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</si>
  <si>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</si>
  <si>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</si>
  <si>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</si>
  <si>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</si>
  <si>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</si>
  <si>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</si>
  <si>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</si>
  <si>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</si>
  <si>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</si>
  <si>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</si>
  <si>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</si>
  <si>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</si>
  <si>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</si>
  <si>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</si>
  <si>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</si>
  <si>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</si>
  <si>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</si>
  <si>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</si>
  <si>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</si>
  <si>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</si>
  <si>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</si>
  <si>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</si>
  <si>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</si>
  <si>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</si>
  <si>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</si>
  <si>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</si>
  <si>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</si>
  <si>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</si>
  <si>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</si>
  <si>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</si>
  <si>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</si>
  <si>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</si>
  <si>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</si>
  <si>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</si>
  <si>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</si>
  <si>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</si>
  <si>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</si>
  <si>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</si>
  <si>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</si>
  <si>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</si>
  <si>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</si>
  <si>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</si>
  <si>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</si>
  <si>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</si>
  <si>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</si>
  <si>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</si>
  <si>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</si>
  <si>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</si>
  <si>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</si>
  <si>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</si>
  <si>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</si>
  <si>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</si>
  <si>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</si>
  <si>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</si>
  <si>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</si>
  <si>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</si>
  <si>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</si>
  <si>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</si>
  <si>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</si>
  <si>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</si>
  <si>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</si>
  <si>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</si>
  <si>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</si>
  <si>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</si>
  <si>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</si>
  <si>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</si>
  <si>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</si>
  <si>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</si>
  <si>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</si>
  <si>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</si>
  <si>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</si>
  <si>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</si>
  <si>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</si>
  <si>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</si>
  <si>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</si>
  <si>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</si>
  <si>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</si>
  <si>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</si>
  <si>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</si>
  <si>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</si>
  <si>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</si>
  <si>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</si>
  <si>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</si>
  <si>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</si>
  <si>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</si>
  <si>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</si>
  <si>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</si>
  <si>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</si>
  <si>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</si>
  <si>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</si>
  <si>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</si>
  <si>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</si>
  <si>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</si>
  <si>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</si>
  <si>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</si>
  <si>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</si>
  <si>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</si>
  <si>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</si>
  <si>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</si>
  <si>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</si>
  <si>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</si>
  <si>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</si>
  <si>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</si>
  <si>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</si>
  <si>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</si>
  <si>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</si>
  <si>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</si>
  <si>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</si>
  <si>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</si>
  <si>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</si>
  <si>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</si>
  <si>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</si>
  <si>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</si>
  <si>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</si>
  <si>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</si>
  <si>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</si>
  <si>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</si>
  <si>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</si>
  <si>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</si>
  <si>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</si>
  <si>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</si>
  <si>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</si>
  <si>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</si>
  <si>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</si>
  <si>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</si>
  <si>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</si>
  <si>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</si>
  <si>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</si>
  <si>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</si>
  <si>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</si>
  <si>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</si>
  <si>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</si>
  <si>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</si>
  <si>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</si>
  <si>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</si>
  <si>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</si>
  <si>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</si>
  <si>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</si>
  <si>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</si>
  <si>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</si>
  <si>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</si>
  <si>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</si>
  <si>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</si>
  <si>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</si>
  <si>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</si>
  <si>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</si>
  <si>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</si>
  <si>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</si>
  <si>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</si>
  <si>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</si>
  <si>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</si>
  <si>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</si>
  <si>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</si>
  <si>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</si>
  <si>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</si>
  <si>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</si>
  <si>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</si>
  <si>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</si>
  <si>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</si>
  <si>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</si>
  <si>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</si>
  <si>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</si>
  <si>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</si>
  <si>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</si>
  <si>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</si>
  <si>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</si>
  <si>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</si>
  <si>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</si>
  <si>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</si>
  <si>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</si>
  <si>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</si>
  <si>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</si>
  <si>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</si>
  <si>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</si>
  <si>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</si>
  <si>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</si>
  <si>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</si>
  <si>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</si>
  <si>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</si>
  <si>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</si>
  <si>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</si>
  <si>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</si>
  <si>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</si>
  <si>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</si>
  <si>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</si>
  <si>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</si>
  <si>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</si>
  <si>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</si>
  <si>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</si>
  <si>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</si>
  <si>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</si>
  <si>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</si>
  <si>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</si>
  <si>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</si>
  <si>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</si>
  <si>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</si>
  <si>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</si>
  <si>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</si>
  <si>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</si>
  <si>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</si>
  <si>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</si>
  <si>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</si>
  <si>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</si>
  <si>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</si>
  <si>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</si>
  <si>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</si>
  <si>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</si>
  <si>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</si>
  <si>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</si>
  <si>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</si>
  <si>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</si>
  <si>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</si>
  <si>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</si>
  <si>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</si>
  <si>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</si>
  <si>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</si>
  <si>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</si>
  <si>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</si>
  <si>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</si>
  <si>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</si>
  <si>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</si>
  <si>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</si>
  <si>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</si>
  <si>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</si>
  <si>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</si>
  <si>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</si>
  <si>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</si>
  <si>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</si>
  <si>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</si>
  <si>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</si>
  <si>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</si>
  <si>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</si>
  <si>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</si>
  <si>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</si>
  <si>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</si>
  <si>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</si>
  <si>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</si>
  <si>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</si>
  <si>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</si>
  <si>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</si>
  <si>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</si>
  <si>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</si>
  <si>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</si>
  <si>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</si>
  <si>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</si>
  <si>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</si>
  <si>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</si>
  <si>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</si>
  <si>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</si>
  <si>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</si>
  <si>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</si>
  <si>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</si>
  <si>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</si>
  <si>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</si>
  <si>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</si>
  <si>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</si>
  <si>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</si>
  <si>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</si>
  <si>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</si>
  <si>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</si>
  <si>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</si>
  <si>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</si>
  <si>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</si>
  <si>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</si>
  <si>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</si>
  <si>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</si>
  <si>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</si>
  <si>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</si>
  <si>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</si>
  <si>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</si>
  <si>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</si>
  <si>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</si>
  <si>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</si>
  <si>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</si>
  <si>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</si>
  <si>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</si>
  <si>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</si>
  <si>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</si>
  <si>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</si>
  <si>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</si>
  <si>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</si>
  <si>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</si>
  <si>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</si>
  <si>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</si>
  <si>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</si>
  <si>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</si>
  <si>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</si>
  <si>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</si>
  <si>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</si>
  <si>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</si>
  <si>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</si>
  <si>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</si>
  <si>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</si>
  <si>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</si>
  <si>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</si>
  <si>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</si>
  <si>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</si>
  <si>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</si>
  <si>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</si>
  <si>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</si>
  <si>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</si>
  <si>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</si>
  <si>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</si>
  <si>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</si>
  <si>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</si>
  <si>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</si>
  <si>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</si>
  <si>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</si>
  <si>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</si>
  <si>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</si>
  <si>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</si>
  <si>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</si>
  <si>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</si>
  <si>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</si>
  <si>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</si>
  <si>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</si>
  <si>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</si>
  <si>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</si>
  <si>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</si>
  <si>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</si>
  <si>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</si>
  <si>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</si>
  <si>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</si>
  <si>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</si>
  <si>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</si>
  <si>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</si>
  <si>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</si>
  <si>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</si>
  <si>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</si>
  <si>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</si>
  <si>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</si>
  <si>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</si>
  <si>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</si>
  <si>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</si>
  <si>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</si>
  <si>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</si>
  <si>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</si>
  <si>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</si>
  <si>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</si>
  <si>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</si>
  <si>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</si>
  <si>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</si>
  <si>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</si>
  <si>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</si>
  <si>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</si>
  <si>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</si>
  <si>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</si>
  <si>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</si>
  <si>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</si>
  <si>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</si>
  <si>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</si>
  <si>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</si>
  <si>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</si>
  <si>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</si>
  <si>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</si>
  <si>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</si>
  <si>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</si>
  <si>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</si>
  <si>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</si>
  <si>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</si>
  <si>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</si>
  <si>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</si>
  <si>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</si>
  <si>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</si>
  <si>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</si>
  <si>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</si>
  <si>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</si>
  <si>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</si>
  <si>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</si>
  <si>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</si>
  <si>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</si>
  <si>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</si>
  <si>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</si>
  <si>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</si>
  <si>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</si>
  <si>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</si>
  <si>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</si>
  <si>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</si>
  <si>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</si>
  <si>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</si>
  <si>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</si>
  <si>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</si>
  <si>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</si>
  <si>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</si>
  <si>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</si>
  <si>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</si>
  <si>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</si>
  <si>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</si>
  <si>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</si>
  <si>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</si>
  <si>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</si>
  <si>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</si>
  <si>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</si>
  <si>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</si>
  <si>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</si>
  <si>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</si>
  <si>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</si>
  <si>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</si>
  <si>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</si>
  <si>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</si>
  <si>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</si>
  <si>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</si>
  <si>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</si>
  <si>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</si>
  <si>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</si>
  <si>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</si>
  <si>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</si>
  <si>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</si>
  <si>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</si>
  <si>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</si>
  <si>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</si>
  <si>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</si>
  <si>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</si>
  <si>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</si>
  <si>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</si>
  <si>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</si>
  <si>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</si>
  <si>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</si>
  <si>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</si>
  <si>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</si>
  <si>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</si>
  <si>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</si>
  <si>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</si>
  <si>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</si>
  <si>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</si>
  <si>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</si>
  <si>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</si>
  <si>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</si>
  <si>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</si>
  <si>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</si>
  <si>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</si>
  <si>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</si>
  <si>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</si>
  <si>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</si>
  <si>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</si>
  <si>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</si>
  <si>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</si>
  <si>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</si>
  <si>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</si>
  <si>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</si>
  <si>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</si>
  <si>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</si>
  <si>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</si>
  <si>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</si>
  <si>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</si>
  <si>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</si>
  <si>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</si>
  <si>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</si>
  <si>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</si>
  <si>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</si>
  <si>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</si>
  <si>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</si>
  <si>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</si>
  <si>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</si>
  <si>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</si>
  <si>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</si>
  <si>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</si>
  <si>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</si>
  <si>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</si>
  <si>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</si>
  <si>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</si>
  <si>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</si>
  <si>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</si>
  <si>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</si>
  <si>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</si>
  <si>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</si>
  <si>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</si>
  <si>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</si>
  <si>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</si>
  <si>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</si>
  <si>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</si>
  <si>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</si>
  <si>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</si>
  <si>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</si>
  <si>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</si>
  <si>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</si>
  <si>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</si>
  <si>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</si>
  <si>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</si>
  <si>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</si>
  <si>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</si>
  <si>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</si>
  <si>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</si>
  <si>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</si>
  <si>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</si>
  <si>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</si>
  <si>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</si>
  <si>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</si>
  <si>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</si>
  <si>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</si>
  <si>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</si>
  <si>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</si>
  <si>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</si>
  <si>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</si>
  <si>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</si>
  <si>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</si>
  <si>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</si>
  <si>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</si>
  <si>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</si>
  <si>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</si>
  <si>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</si>
  <si>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</si>
  <si>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</si>
  <si>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</si>
  <si>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</si>
  <si>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</si>
  <si>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</si>
  <si>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</si>
  <si>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</si>
  <si>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</si>
  <si>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</si>
  <si>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</si>
  <si>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</si>
  <si>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</si>
  <si>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</si>
  <si>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</si>
  <si>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</si>
  <si>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</si>
  <si>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</si>
  <si>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</si>
  <si>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</si>
  <si>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</si>
  <si>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</si>
  <si>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</si>
  <si>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</si>
  <si>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</si>
  <si>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</si>
  <si>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</si>
  <si>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</si>
  <si>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</si>
  <si>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</si>
  <si>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</si>
  <si>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</si>
  <si>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</si>
  <si>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</si>
  <si>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</si>
  <si>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</si>
  <si>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</si>
  <si>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</si>
  <si>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</si>
  <si>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</si>
  <si>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</si>
  <si>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</si>
  <si>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</si>
  <si>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</si>
  <si>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</si>
  <si>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</si>
  <si>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</si>
  <si>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</si>
  <si>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</si>
  <si>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</si>
  <si>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</si>
  <si>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</si>
  <si>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</si>
  <si>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</si>
  <si>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</si>
  <si>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</si>
  <si>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</si>
  <si>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</si>
  <si>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</si>
  <si>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</si>
  <si>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</si>
  <si>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</si>
  <si>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</si>
  <si>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</si>
  <si>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</si>
  <si>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</si>
  <si>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</si>
  <si>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</si>
  <si>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</si>
  <si>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</si>
  <si>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</si>
  <si>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</si>
  <si>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</si>
  <si>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</si>
  <si>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</si>
  <si>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</si>
  <si>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</si>
  <si>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</si>
  <si>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</si>
  <si>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</si>
  <si>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</si>
  <si>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</si>
  <si>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</si>
  <si>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</si>
  <si>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</si>
  <si>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</si>
  <si>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</si>
  <si>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</si>
  <si>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</si>
  <si>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</si>
  <si>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</si>
  <si>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</si>
  <si>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</si>
  <si>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</si>
  <si>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</si>
  <si>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</si>
  <si>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</si>
  <si>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</si>
  <si>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</si>
  <si>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</si>
  <si>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</si>
  <si>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</si>
  <si>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</si>
  <si>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</si>
  <si>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</si>
  <si>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</si>
  <si>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</si>
  <si>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</si>
  <si>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</si>
  <si>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</si>
  <si>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</si>
  <si>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</si>
  <si>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</si>
  <si>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</si>
  <si>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</si>
  <si>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</si>
  <si>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</si>
  <si>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</si>
  <si>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</si>
  <si>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</si>
  <si>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</si>
  <si>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</si>
  <si>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</si>
  <si>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</si>
  <si>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</si>
  <si>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</si>
  <si>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</si>
  <si>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</si>
  <si>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</si>
  <si>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</si>
  <si>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</si>
  <si>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</si>
  <si>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</si>
  <si>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</si>
  <si>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</si>
  <si>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</si>
  <si>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</si>
  <si>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</si>
  <si>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</si>
  <si>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</si>
  <si>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</si>
  <si>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</si>
  <si>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</si>
  <si>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</si>
  <si>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</si>
  <si>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</si>
  <si>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</si>
  <si>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</si>
  <si>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</si>
  <si>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</si>
  <si>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</si>
  <si>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</si>
  <si>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</si>
  <si>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</si>
  <si>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</si>
  <si>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</si>
  <si>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</si>
  <si>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</si>
  <si>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</si>
  <si>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</si>
  <si>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</si>
  <si>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</si>
  <si>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</si>
  <si>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</si>
  <si>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</si>
  <si>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</si>
  <si>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</si>
  <si>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</si>
  <si>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</si>
  <si>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</si>
  <si>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</si>
  <si>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</si>
  <si>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</si>
  <si>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</si>
  <si>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</si>
  <si>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</si>
  <si>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</si>
  <si>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</si>
  <si>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</si>
  <si>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</si>
  <si>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</si>
  <si>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</si>
  <si>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</si>
  <si>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</si>
  <si>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</si>
  <si>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</si>
  <si>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</si>
  <si>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</si>
  <si>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</si>
  <si>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</si>
  <si>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</si>
  <si>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</si>
  <si>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</si>
  <si>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</si>
  <si>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</si>
  <si>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</si>
  <si>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</si>
  <si>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</si>
  <si>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</si>
  <si>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</si>
  <si>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</si>
  <si>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</si>
  <si>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</si>
  <si>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</si>
  <si>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</si>
  <si>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</si>
  <si>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</si>
  <si>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</si>
  <si>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</si>
  <si>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</si>
  <si>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</si>
  <si>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</si>
  <si>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</si>
  <si>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</si>
  <si>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</si>
  <si>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</si>
  <si>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</si>
  <si>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</si>
  <si>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</si>
  <si>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</si>
  <si>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</si>
  <si>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</si>
  <si>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</si>
  <si>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</si>
  <si>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</si>
  <si>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</si>
  <si>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</si>
  <si>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</si>
  <si>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</si>
  <si>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</si>
  <si>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</si>
  <si>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</si>
  <si>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</si>
  <si>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</si>
  <si>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</si>
  <si>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</si>
  <si>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</si>
  <si>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</si>
  <si>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</si>
  <si>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</si>
  <si>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</si>
  <si>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</si>
  <si>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</si>
  <si>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</si>
  <si>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</si>
  <si>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</si>
  <si>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</si>
  <si>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</si>
  <si>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</si>
  <si>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</si>
  <si>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</si>
  <si>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</si>
  <si>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</si>
  <si>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</si>
  <si>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</si>
  <si>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</si>
  <si>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</si>
  <si>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</si>
  <si>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</si>
  <si>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</si>
  <si>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</si>
  <si>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</si>
  <si>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</si>
  <si>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</si>
  <si>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</si>
  <si>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</si>
  <si>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</si>
  <si>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</si>
  <si>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</si>
  <si>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</si>
  <si>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</si>
  <si>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</si>
  <si>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</si>
  <si>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</si>
  <si>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</si>
  <si>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</si>
  <si>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</si>
  <si>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</si>
  <si>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</si>
  <si>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</si>
  <si>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</si>
  <si>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</si>
  <si>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</si>
  <si>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</si>
  <si>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</si>
  <si>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</si>
  <si>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</si>
  <si>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</si>
  <si>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</si>
  <si>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</si>
  <si>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</si>
  <si>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</si>
  <si>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</si>
  <si>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</si>
  <si>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</si>
  <si>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</si>
  <si>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</si>
  <si>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</si>
  <si>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</si>
  <si>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</si>
  <si>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</si>
  <si>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</si>
  <si>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</si>
  <si>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</si>
  <si>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</si>
  <si>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</si>
  <si>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</si>
  <si>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</si>
  <si>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</si>
  <si>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</si>
  <si>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</si>
  <si>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</si>
  <si>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</si>
  <si>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</si>
  <si>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</si>
  <si>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</si>
  <si>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</si>
  <si>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</si>
  <si>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</si>
  <si>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</si>
  <si>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</si>
  <si>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</si>
  <si>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</si>
  <si>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</si>
  <si>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</si>
  <si>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</si>
  <si>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</si>
  <si>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</si>
  <si>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</si>
  <si>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</si>
  <si>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</si>
  <si>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</si>
  <si>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</si>
  <si>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</si>
  <si>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</si>
  <si>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</si>
  <si>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</si>
  <si>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</si>
  <si>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</si>
  <si>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</si>
  <si>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</si>
  <si>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</si>
  <si>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</si>
  <si>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</si>
  <si>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</si>
  <si>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</si>
  <si>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</si>
  <si>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</si>
  <si>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</si>
  <si>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</si>
  <si>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</si>
  <si>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</si>
  <si>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</si>
  <si>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</si>
  <si>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</si>
  <si>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</si>
  <si>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</si>
  <si>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</si>
  <si>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</si>
  <si>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</si>
  <si>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</si>
  <si>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</si>
  <si>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</si>
  <si>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</si>
  <si>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</si>
  <si>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</si>
  <si>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</si>
  <si>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</si>
  <si>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</si>
  <si>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</si>
  <si>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</si>
  <si>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</si>
  <si>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</si>
  <si>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</si>
  <si>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</si>
  <si>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</si>
  <si>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</si>
  <si>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</si>
  <si>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</si>
  <si>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</si>
  <si>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</si>
  <si>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</si>
  <si>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</si>
  <si>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</si>
  <si>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</si>
  <si>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</si>
  <si>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</si>
  <si>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</si>
  <si>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</si>
  <si>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</si>
  <si>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</si>
  <si>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</si>
  <si>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</si>
  <si>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</si>
  <si>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</si>
  <si>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</si>
  <si>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</si>
  <si>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</si>
  <si>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</si>
  <si>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</si>
  <si>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</si>
  <si>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</si>
  <si>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</si>
  <si>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</si>
  <si>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</si>
  <si>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</si>
  <si>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</si>
  <si>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</si>
  <si>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</si>
  <si>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</si>
  <si>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</si>
  <si>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</si>
  <si>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</si>
  <si>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</si>
  <si>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</si>
  <si>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</si>
  <si>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</si>
  <si>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</si>
  <si>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</si>
  <si>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</si>
  <si>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</si>
  <si>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</si>
  <si>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</si>
  <si>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</si>
  <si>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</si>
  <si>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</si>
  <si>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</si>
  <si>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</si>
  <si>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</si>
  <si>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</si>
  <si>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</si>
  <si>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</si>
  <si>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</si>
  <si>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</si>
  <si>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</si>
  <si>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</si>
  <si>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</si>
  <si>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</si>
  <si>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</si>
  <si>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</si>
  <si>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</si>
  <si>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</si>
  <si>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</si>
  <si>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</si>
  <si>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</si>
  <si>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</si>
  <si>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</si>
  <si>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</si>
  <si>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</si>
  <si>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</si>
  <si>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</si>
  <si>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</si>
  <si>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</si>
  <si>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</si>
  <si>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</si>
  <si>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</si>
  <si>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</si>
  <si>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</si>
  <si>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</si>
  <si>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</si>
  <si>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</si>
  <si>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</si>
  <si>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</si>
  <si>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</si>
  <si>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</si>
  <si>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</si>
  <si>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</si>
  <si>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</si>
  <si>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</si>
  <si>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</si>
  <si>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</si>
  <si>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</si>
  <si>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</si>
  <si>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</si>
  <si>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</si>
  <si>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</si>
  <si>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</si>
  <si>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</si>
  <si>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</si>
  <si>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</si>
  <si>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</si>
  <si>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</si>
  <si>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</si>
  <si>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</si>
  <si>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</si>
  <si>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</si>
  <si>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</si>
  <si>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</si>
  <si>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</si>
  <si>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</si>
  <si>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</si>
  <si>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</si>
  <si>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</si>
  <si>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</si>
  <si>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</si>
  <si>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</si>
  <si>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</si>
  <si>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</si>
  <si>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</si>
  <si>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</si>
  <si>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</si>
  <si>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</si>
  <si>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</si>
  <si>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</si>
  <si>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</si>
  <si>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</si>
  <si>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</si>
  <si>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</si>
  <si>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</si>
  <si>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</si>
  <si>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</si>
  <si>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</si>
  <si>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</si>
  <si>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</si>
  <si>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</si>
  <si>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</si>
  <si>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</si>
  <si>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</si>
  <si>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</si>
  <si>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</si>
  <si>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</si>
  <si>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</si>
  <si>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</si>
  <si>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</si>
  <si>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</si>
  <si>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</si>
  <si>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</si>
  <si>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</si>
  <si>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</si>
  <si>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</si>
  <si>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</si>
  <si>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</si>
  <si>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</si>
  <si>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</si>
  <si>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</si>
  <si>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</si>
  <si>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</si>
  <si>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</si>
  <si>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</si>
  <si>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</si>
  <si>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</si>
  <si>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</si>
  <si>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</si>
  <si>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</si>
  <si>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</si>
  <si>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</si>
  <si>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</si>
  <si>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</si>
  <si>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</si>
  <si>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</si>
  <si>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</si>
  <si>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</si>
  <si>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</si>
  <si>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</si>
  <si>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</si>
  <si>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</si>
  <si>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</si>
  <si>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</si>
  <si>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</si>
  <si>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</si>
  <si>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</si>
  <si>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</si>
  <si>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</si>
  <si>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</si>
  <si>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</si>
  <si>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</si>
  <si>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</si>
  <si>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</si>
  <si>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</si>
  <si>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</si>
  <si>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</si>
  <si>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</si>
  <si>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</si>
  <si>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</si>
  <si>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</si>
  <si>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</si>
  <si>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</si>
  <si>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</si>
  <si>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</si>
  <si>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</si>
  <si>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</si>
  <si>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</si>
  <si>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</si>
  <si>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</si>
  <si>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</si>
  <si>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</si>
  <si>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</si>
  <si>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</si>
  <si>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</si>
  <si>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</si>
  <si>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</si>
  <si>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</si>
  <si>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</si>
  <si>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</si>
  <si>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</si>
  <si>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</si>
  <si>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</si>
  <si>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</si>
  <si>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</si>
  <si>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</si>
  <si>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</si>
  <si>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</si>
  <si>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</si>
  <si>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</si>
  <si>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</si>
  <si>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</si>
  <si>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</si>
  <si>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</si>
  <si>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</si>
  <si>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</si>
  <si>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</si>
  <si>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</si>
  <si>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</si>
  <si>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</si>
  <si>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</si>
  <si>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</si>
  <si>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</si>
  <si>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</si>
  <si>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</si>
  <si>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</si>
  <si>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</si>
  <si>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</si>
  <si>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</si>
  <si>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</si>
  <si>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</si>
  <si>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</si>
  <si>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</si>
  <si>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</si>
  <si>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</si>
  <si>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</si>
  <si>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</si>
  <si>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</si>
  <si>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</si>
  <si>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</si>
  <si>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</si>
  <si>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</si>
  <si>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</si>
  <si>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</si>
  <si>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</si>
  <si>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</si>
  <si>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</si>
  <si>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</si>
  <si>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</si>
  <si>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</si>
  <si>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</si>
  <si>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</si>
  <si>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</si>
  <si>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</si>
  <si>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</si>
  <si>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</si>
  <si>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</si>
  <si>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</si>
  <si>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</si>
  <si>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</si>
  <si>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</si>
  <si>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</si>
  <si>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</si>
  <si>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</si>
  <si>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</si>
  <si>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</si>
  <si>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</si>
  <si>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</si>
  <si>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</si>
  <si>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</si>
  <si>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</si>
  <si>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</si>
  <si>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</si>
  <si>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</si>
  <si>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</si>
  <si>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</si>
  <si>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</si>
  <si>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</si>
  <si>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</si>
  <si>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</si>
  <si>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</si>
  <si>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</si>
  <si>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</si>
  <si>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</si>
  <si>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</si>
  <si>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</si>
  <si>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</si>
  <si>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</si>
  <si>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</si>
  <si>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</si>
  <si>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</si>
  <si>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</si>
  <si>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</si>
  <si>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</si>
  <si>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</si>
  <si>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</si>
  <si>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</si>
  <si>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</si>
  <si>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</si>
  <si>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</si>
  <si>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</si>
  <si>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</si>
  <si>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</si>
  <si>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</si>
  <si>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</si>
  <si>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</si>
  <si>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</si>
  <si>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</si>
  <si>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</si>
  <si>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</si>
  <si>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</si>
  <si>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</si>
  <si>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</si>
  <si>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</si>
  <si>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</si>
  <si>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</si>
  <si>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</si>
  <si>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</si>
  <si>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</si>
  <si>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</si>
  <si>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</si>
  <si>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</si>
  <si>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</si>
  <si>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</si>
  <si>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</si>
  <si>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</si>
  <si>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</si>
  <si>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</si>
  <si>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</si>
  <si>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</si>
  <si>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</si>
  <si>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</si>
  <si>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</si>
  <si>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</si>
  <si>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</si>
  <si>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</si>
  <si>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</si>
  <si>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</si>
  <si>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</si>
  <si>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</si>
  <si>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</si>
  <si>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</si>
  <si>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</si>
  <si>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</si>
  <si>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</si>
  <si>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</si>
  <si>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</si>
  <si>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</si>
  <si>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</si>
  <si>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</si>
  <si>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</si>
  <si>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</si>
  <si>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</si>
  <si>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</si>
  <si>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</si>
  <si>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</si>
  <si>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</si>
  <si>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</si>
  <si>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</si>
  <si>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</si>
  <si>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</si>
  <si>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</si>
  <si>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</si>
  <si>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</si>
  <si>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</si>
  <si>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</si>
  <si>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</si>
  <si>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</si>
  <si>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</si>
  <si>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</si>
  <si>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</si>
  <si>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</si>
  <si>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</si>
  <si>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</si>
  <si>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</si>
  <si>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</si>
  <si>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</si>
  <si>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</si>
  <si>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</si>
  <si>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</si>
  <si>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</si>
  <si>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</si>
  <si>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</si>
  <si>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</si>
  <si>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</si>
  <si>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</si>
  <si>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</si>
  <si>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</si>
  <si>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</si>
  <si>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</si>
  <si>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</si>
  <si>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</si>
  <si>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</si>
  <si>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</si>
  <si>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</si>
  <si>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</si>
  <si>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</si>
  <si>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</si>
  <si>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</si>
  <si>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</si>
  <si>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</si>
  <si>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</si>
  <si>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</si>
  <si>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</si>
  <si>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</si>
  <si>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</si>
  <si>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</si>
  <si>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</si>
  <si>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</si>
  <si>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</si>
  <si>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</si>
  <si>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</si>
  <si>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</si>
  <si>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</si>
  <si>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</si>
  <si>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</si>
  <si>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</si>
  <si>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</si>
  <si>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</si>
  <si>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</si>
  <si>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</si>
  <si>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</si>
  <si>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</si>
  <si>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</si>
  <si>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</si>
  <si>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</si>
  <si>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</si>
  <si>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</si>
  <si>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</si>
  <si>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</si>
  <si>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</si>
  <si>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</si>
  <si>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</si>
  <si>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</si>
  <si>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</si>
  <si>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</si>
  <si>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</si>
  <si>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</si>
  <si>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</si>
  <si>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</si>
  <si>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</si>
  <si>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</si>
  <si>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</si>
  <si>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</si>
  <si>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</si>
  <si>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</si>
  <si>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</si>
  <si>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</si>
  <si>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</si>
  <si>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</si>
  <si>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</si>
  <si>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</si>
  <si>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</si>
  <si>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</si>
  <si>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</si>
  <si>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</si>
  <si>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</si>
  <si>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</si>
  <si>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</si>
  <si>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</si>
  <si>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</si>
  <si>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</si>
  <si>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</si>
  <si>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</si>
  <si>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</si>
  <si>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</si>
  <si>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</si>
  <si>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</si>
  <si>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</si>
  <si>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</si>
  <si>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</si>
  <si>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</si>
  <si>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</si>
  <si>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</si>
  <si>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</si>
  <si>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</si>
  <si>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</si>
  <si>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</si>
  <si>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</si>
  <si>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</si>
  <si>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</si>
  <si>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</si>
  <si>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</si>
  <si>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</si>
  <si>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</si>
  <si>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</si>
  <si>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</si>
  <si>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</si>
  <si>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</si>
  <si>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</si>
  <si>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</si>
  <si>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</si>
  <si>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</si>
  <si>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</si>
  <si>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</si>
  <si>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</si>
  <si>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</si>
  <si>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</si>
  <si>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</si>
  <si>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</si>
  <si>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</si>
  <si>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</si>
  <si>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</si>
  <si>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</si>
  <si>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</si>
  <si>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</si>
  <si>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</si>
  <si>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</si>
  <si>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</si>
  <si>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</si>
  <si>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</si>
  <si>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</si>
  <si>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</si>
  <si>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</si>
  <si>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</si>
  <si>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</si>
  <si>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</si>
  <si>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</si>
  <si>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</si>
  <si>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</si>
  <si>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</si>
  <si>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</si>
  <si>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</si>
  <si>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</si>
  <si>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</si>
  <si>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</si>
  <si>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</si>
  <si>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</si>
  <si>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</si>
  <si>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</si>
  <si>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</si>
  <si>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</si>
  <si>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</si>
  <si>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</si>
  <si>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</si>
  <si>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</si>
  <si>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</si>
  <si>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</si>
  <si>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</si>
  <si>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</si>
  <si>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</si>
  <si>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</si>
  <si>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</si>
  <si>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</si>
  <si>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</si>
  <si>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</si>
  <si>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</si>
  <si>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</si>
  <si>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</si>
  <si>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</si>
  <si>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</si>
  <si>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</si>
  <si>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</si>
  <si>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</si>
  <si>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</si>
  <si>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</si>
  <si>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</si>
  <si>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</si>
  <si>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</si>
  <si>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</si>
  <si>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</si>
  <si>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</si>
  <si>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</si>
  <si>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</si>
  <si>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</si>
  <si>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</si>
  <si>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</si>
  <si>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</si>
  <si>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</si>
  <si>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</si>
  <si>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</si>
  <si>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</si>
  <si>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</si>
  <si>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</si>
  <si>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</si>
  <si>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</si>
  <si>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</si>
  <si>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</si>
  <si>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</si>
  <si>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</si>
  <si>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</si>
  <si>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</si>
  <si>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</si>
  <si>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</si>
  <si>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</si>
  <si>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</si>
  <si>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</si>
  <si>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</si>
  <si>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</si>
  <si>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</si>
  <si>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</si>
  <si>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</si>
  <si>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</si>
  <si>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</si>
  <si>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</si>
  <si>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</si>
  <si>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</si>
  <si>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</si>
  <si>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</si>
  <si>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</si>
  <si>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</si>
  <si>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</si>
  <si>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</si>
  <si>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</si>
  <si>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</si>
  <si>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</si>
  <si>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</si>
  <si>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</si>
  <si>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</si>
  <si>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</si>
  <si>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</si>
  <si>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</si>
  <si>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</si>
  <si>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</si>
  <si>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</si>
  <si>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</si>
  <si>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</si>
  <si>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</si>
  <si>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</si>
  <si>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</si>
  <si>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</si>
  <si>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</si>
  <si>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</si>
  <si>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</si>
  <si>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</si>
  <si>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</si>
  <si>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</si>
  <si>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</si>
  <si>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</si>
  <si>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</si>
  <si>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</si>
  <si>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</si>
  <si>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</si>
  <si>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</si>
  <si>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</si>
  <si>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</si>
  <si>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</si>
  <si>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</si>
  <si>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</si>
  <si>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</si>
  <si>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</si>
  <si>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</si>
  <si>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</si>
  <si>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</si>
  <si>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</si>
  <si>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</si>
  <si>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</si>
  <si>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</si>
  <si>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</si>
  <si>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</si>
  <si>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</si>
  <si>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</si>
  <si>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</si>
  <si>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</si>
  <si>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</si>
  <si>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</si>
  <si>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</si>
  <si>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</si>
  <si>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</si>
  <si>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</si>
  <si>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</si>
  <si>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</si>
  <si>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</si>
  <si>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</si>
  <si>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</si>
  <si>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</si>
  <si>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</si>
  <si>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</si>
  <si>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</si>
  <si>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</si>
  <si>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</si>
  <si>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</si>
  <si>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</si>
  <si>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</si>
  <si>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</si>
  <si>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</si>
  <si>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</si>
  <si>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</si>
  <si>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</si>
  <si>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</si>
  <si>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</si>
  <si>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</si>
  <si>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</si>
  <si>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</si>
  <si>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</si>
  <si>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</si>
  <si>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</si>
  <si>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</si>
  <si>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</si>
  <si>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</si>
  <si>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</si>
  <si>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</si>
  <si>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</si>
  <si>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</si>
  <si>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</si>
  <si>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</si>
  <si>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</si>
  <si>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</si>
  <si>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</si>
  <si>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</si>
  <si>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</si>
  <si>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</si>
  <si>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</si>
  <si>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</si>
  <si>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</si>
  <si>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</si>
  <si>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</si>
  <si>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</si>
  <si>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</si>
  <si>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</si>
  <si>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</si>
  <si>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</si>
  <si>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</si>
  <si>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</si>
  <si>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</si>
  <si>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</si>
  <si>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</si>
  <si>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</si>
  <si>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</si>
  <si>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</si>
  <si>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</si>
  <si>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</si>
  <si>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</si>
  <si>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</si>
  <si>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</si>
  <si>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</si>
  <si>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</si>
  <si>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</si>
  <si>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</si>
  <si>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</si>
  <si>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</si>
  <si>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</si>
  <si>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</si>
  <si>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</si>
  <si>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</si>
  <si>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</si>
  <si>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</si>
  <si>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</si>
  <si>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</si>
  <si>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</si>
  <si>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</si>
  <si>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</si>
  <si>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</si>
  <si>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</si>
  <si>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</si>
  <si>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</si>
  <si>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</si>
  <si>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</si>
  <si>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</si>
  <si>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</si>
  <si>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</si>
  <si>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</si>
  <si>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</si>
  <si>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</si>
  <si>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</si>
  <si>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</si>
  <si>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</si>
  <si>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</si>
  <si>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</si>
  <si>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</si>
  <si>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</si>
  <si>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</si>
  <si>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</si>
  <si>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</si>
  <si>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</si>
  <si>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</si>
  <si>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</si>
  <si>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</si>
  <si>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</si>
  <si>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</si>
  <si>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</si>
  <si>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</si>
  <si>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</si>
  <si>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</si>
  <si>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</si>
  <si>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</si>
  <si>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</si>
  <si>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</si>
  <si>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</si>
  <si>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</si>
  <si>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</si>
  <si>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</si>
  <si>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</si>
  <si>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</si>
  <si>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</si>
  <si>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</si>
  <si>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</si>
  <si>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</si>
  <si>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</si>
  <si>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</si>
  <si>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</si>
  <si>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</si>
  <si>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</si>
  <si>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</si>
  <si>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</si>
  <si>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</si>
  <si>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</si>
  <si>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</si>
  <si>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</si>
  <si>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</si>
  <si>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</si>
  <si>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</si>
  <si>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</si>
  <si>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</si>
  <si>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</si>
  <si>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</si>
  <si>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</si>
  <si>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</si>
  <si>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</si>
  <si>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</si>
  <si>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</si>
  <si>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</si>
  <si>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</si>
  <si>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</si>
  <si>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</si>
  <si>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</si>
  <si>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</si>
  <si>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</si>
  <si>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</si>
  <si>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</si>
  <si>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</si>
  <si>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</si>
  <si>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</si>
  <si>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</si>
  <si>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</si>
  <si>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</si>
  <si>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</si>
  <si>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</si>
  <si>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</si>
  <si>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</si>
  <si>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</si>
  <si>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</si>
  <si>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</si>
  <si>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</si>
  <si>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</si>
  <si>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</si>
  <si>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</si>
  <si>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</si>
  <si>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</si>
  <si>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</si>
  <si>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</si>
  <si>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</si>
  <si>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</si>
  <si>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</si>
  <si>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</si>
  <si>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</si>
  <si>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</si>
  <si>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</si>
  <si>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</si>
  <si>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</si>
  <si>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</si>
  <si>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</si>
  <si>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</si>
  <si>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</si>
  <si>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</si>
  <si>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</si>
  <si>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</si>
  <si>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</si>
  <si>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</si>
  <si>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</si>
  <si>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</si>
  <si>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</si>
  <si>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</si>
  <si>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</si>
  <si>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</si>
  <si>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</si>
  <si>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</si>
  <si>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</si>
  <si>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</si>
  <si>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</si>
  <si>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</si>
  <si>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</si>
  <si>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</si>
  <si>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</si>
  <si>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</si>
  <si>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</si>
  <si>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</si>
  <si>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</si>
  <si>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</si>
  <si>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</si>
  <si>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</si>
  <si>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</si>
  <si>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</si>
  <si>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</si>
  <si>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</si>
  <si>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</si>
  <si>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</si>
  <si>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</si>
  <si>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</si>
  <si>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</si>
  <si>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</si>
  <si>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</si>
  <si>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</si>
  <si>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</si>
  <si>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</si>
  <si>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</si>
  <si>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</si>
  <si>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</si>
  <si>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</si>
  <si>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</si>
  <si>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</si>
  <si>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</si>
  <si>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</si>
  <si>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</si>
  <si>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</si>
  <si>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</si>
  <si>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</si>
  <si>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</si>
  <si>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</si>
  <si>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</si>
  <si>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</si>
  <si>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</si>
  <si>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</si>
  <si>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</si>
  <si>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</si>
  <si>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</si>
  <si>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</si>
  <si>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</si>
  <si>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</si>
  <si>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</si>
  <si>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</si>
  <si>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</si>
  <si>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</si>
  <si>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</si>
  <si>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</si>
  <si>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</si>
  <si>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</si>
  <si>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</si>
  <si>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</si>
  <si>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</si>
  <si>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</si>
  <si>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</si>
  <si>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</si>
  <si>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</si>
  <si>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</si>
  <si>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</si>
  <si>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</si>
  <si>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</si>
  <si>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</si>
  <si>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</si>
  <si>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</si>
  <si>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</si>
  <si>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</si>
  <si>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</si>
  <si>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</si>
  <si>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</si>
  <si>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</si>
  <si>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</si>
  <si>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</si>
  <si>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</si>
  <si>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</si>
  <si>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</si>
  <si>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</si>
  <si>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</si>
  <si>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</si>
  <si>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</si>
  <si>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</si>
  <si>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</si>
  <si>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</si>
  <si>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</si>
  <si>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</si>
  <si>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</si>
  <si>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</si>
  <si>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</si>
  <si>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</si>
  <si>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</si>
  <si>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</si>
  <si>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</si>
  <si>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</si>
  <si>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</si>
  <si>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</si>
  <si>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</si>
  <si>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</si>
  <si>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</si>
  <si>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</si>
  <si>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</si>
  <si>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</si>
  <si>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</si>
  <si>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</si>
  <si>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</si>
  <si>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</si>
  <si>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</si>
  <si>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</si>
  <si>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</si>
  <si>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</si>
  <si>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</si>
  <si>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</si>
  <si>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</si>
  <si>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</si>
  <si>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</si>
  <si>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</si>
  <si>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</si>
  <si>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</si>
  <si>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</si>
  <si>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</si>
  <si>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</si>
  <si>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</si>
  <si>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</si>
  <si>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</si>
  <si>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</si>
  <si>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</si>
  <si>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</si>
  <si>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</si>
  <si>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</si>
  <si>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</si>
  <si>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</si>
  <si>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</si>
  <si>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</si>
  <si>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</si>
  <si>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</si>
  <si>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</si>
  <si>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</si>
  <si>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</si>
  <si>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</si>
  <si>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</si>
  <si>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</si>
  <si>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</si>
  <si>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</si>
  <si>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</si>
  <si>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</si>
  <si>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</si>
  <si>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</si>
  <si>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</si>
  <si>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</si>
  <si>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</si>
  <si>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</si>
  <si>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</si>
  <si>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</si>
  <si>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</si>
  <si>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</si>
  <si>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</si>
  <si>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</si>
  <si>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</si>
  <si>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</si>
  <si>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</si>
  <si>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</si>
  <si>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</si>
  <si>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</si>
  <si>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</si>
  <si>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</si>
  <si>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</si>
  <si>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</si>
  <si>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</si>
  <si>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</si>
  <si>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</si>
  <si>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</si>
  <si>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</si>
  <si>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</si>
  <si>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</si>
  <si>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</si>
  <si>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</si>
  <si>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</si>
  <si>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</si>
  <si>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</si>
  <si>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</si>
  <si>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</si>
  <si>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</si>
  <si>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</si>
  <si>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</si>
  <si>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</si>
  <si>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</si>
  <si>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</si>
  <si>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</si>
  <si>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</si>
  <si>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</si>
  <si>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</si>
  <si>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</si>
  <si>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</si>
  <si>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</si>
  <si>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</si>
  <si>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</si>
  <si>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</si>
  <si>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</si>
  <si>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</si>
  <si>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</si>
  <si>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</si>
  <si>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</si>
  <si>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</si>
  <si>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</si>
  <si>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</si>
  <si>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</si>
  <si>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</si>
  <si>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</si>
  <si>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</si>
  <si>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</si>
  <si>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</si>
  <si>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</si>
  <si>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</si>
  <si>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</si>
  <si>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</si>
  <si>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</si>
  <si>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</si>
  <si>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</si>
  <si>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</si>
  <si>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</si>
  <si>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</si>
  <si>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</si>
  <si>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</si>
  <si>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</si>
  <si>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</si>
  <si>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</si>
  <si>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</si>
  <si>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</si>
  <si>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</si>
  <si>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</si>
  <si>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</si>
  <si>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</si>
  <si>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</si>
  <si>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</si>
  <si>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</si>
  <si>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</si>
  <si>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</si>
  <si>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</si>
  <si>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</si>
  <si>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</si>
  <si>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</si>
  <si>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</si>
  <si>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</si>
  <si>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</si>
  <si>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</si>
  <si>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</si>
  <si>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</si>
  <si>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</si>
  <si>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</si>
  <si>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</si>
  <si>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</si>
  <si>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</si>
  <si>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</si>
  <si>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</si>
  <si>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</si>
  <si>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</si>
  <si>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</si>
  <si>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</si>
  <si>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</si>
  <si>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</si>
  <si>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</si>
  <si>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</si>
  <si>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</si>
  <si>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</si>
  <si>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</si>
  <si>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</si>
  <si>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</si>
  <si>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</si>
  <si>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</si>
  <si>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</si>
  <si>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</si>
  <si>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</si>
  <si>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</si>
  <si>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</si>
  <si>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</si>
  <si>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</si>
  <si>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</si>
  <si>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</si>
  <si>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</si>
  <si>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</si>
  <si>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</si>
  <si>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</si>
  <si>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</si>
  <si>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</si>
  <si>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</si>
  <si>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</si>
  <si>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</si>
  <si>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</si>
  <si>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</si>
  <si>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</si>
  <si>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</si>
  <si>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</si>
  <si>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</si>
  <si>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</si>
  <si>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</si>
  <si>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</si>
  <si>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</si>
  <si>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</si>
  <si>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</si>
  <si>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</si>
  <si>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</si>
  <si>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</si>
  <si>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</si>
  <si>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</si>
  <si>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</si>
  <si>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</si>
  <si>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</si>
  <si>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</si>
  <si>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</si>
  <si>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</si>
  <si>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</si>
  <si>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</si>
  <si>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</si>
  <si>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</si>
  <si>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</si>
  <si>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</si>
  <si>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</si>
  <si>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</si>
  <si>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</si>
  <si>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</si>
  <si>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</si>
  <si>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</si>
  <si>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</si>
  <si>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</si>
  <si>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</si>
  <si>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</si>
  <si>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</si>
  <si>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</si>
  <si>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</si>
  <si>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</si>
  <si>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</si>
  <si>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</si>
  <si>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</si>
  <si>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</si>
  <si>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</si>
  <si>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</si>
  <si>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</si>
  <si>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</si>
  <si>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</si>
  <si>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</si>
  <si>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</si>
  <si>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</si>
  <si>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</si>
  <si>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</si>
  <si>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</si>
  <si>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</si>
  <si>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</si>
  <si>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</si>
  <si>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</si>
  <si>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</si>
  <si>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</si>
  <si>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</si>
  <si>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</si>
  <si>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</si>
  <si>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</si>
  <si>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</si>
  <si>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</si>
  <si>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</si>
  <si>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</si>
  <si>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</si>
  <si>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</si>
  <si>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</si>
  <si>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</si>
  <si>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</si>
  <si>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</si>
  <si>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</si>
  <si>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</si>
  <si>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</si>
  <si>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</si>
  <si>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</si>
  <si>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</si>
  <si>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</si>
  <si>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</si>
  <si>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</si>
  <si>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</si>
  <si>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</si>
  <si>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</si>
  <si>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</si>
  <si>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</si>
  <si>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</si>
  <si>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</si>
  <si>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</si>
  <si>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</si>
  <si>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</si>
  <si>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</si>
  <si>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</si>
  <si>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</si>
  <si>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</si>
  <si>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</si>
  <si>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</si>
  <si>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</si>
  <si>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</si>
  <si>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</si>
  <si>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</si>
  <si>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</si>
  <si>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</si>
  <si>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</si>
  <si>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</si>
  <si>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</si>
  <si>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</si>
  <si>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</si>
  <si>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</si>
  <si>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</si>
  <si>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</si>
  <si>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</si>
  <si>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</si>
  <si>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</si>
  <si>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</si>
  <si>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</si>
  <si>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</si>
  <si>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</si>
  <si>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</si>
  <si>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</si>
  <si>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</si>
  <si>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</si>
  <si>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</si>
  <si>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</si>
  <si>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</si>
  <si>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</si>
  <si>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</si>
  <si>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</si>
  <si>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</si>
  <si>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</si>
  <si>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</si>
  <si>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</si>
  <si>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</si>
  <si>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</si>
  <si>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</si>
  <si>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</si>
  <si>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</si>
  <si>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</si>
  <si>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</si>
  <si>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</si>
  <si>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</si>
  <si>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</si>
  <si>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</si>
  <si>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</si>
  <si>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</si>
  <si>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</si>
  <si>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</si>
  <si>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</si>
  <si>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</si>
  <si>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</si>
  <si>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</si>
  <si>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</si>
  <si>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</si>
  <si>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</si>
  <si>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</si>
  <si>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</si>
  <si>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</si>
  <si>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</si>
  <si>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</si>
  <si>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</si>
  <si>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</si>
  <si>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</si>
  <si>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</si>
  <si>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</si>
  <si>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</si>
  <si>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</si>
  <si>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</si>
  <si>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</si>
  <si>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</si>
  <si>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</si>
  <si>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</si>
  <si>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</si>
  <si>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</si>
  <si>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</si>
  <si>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</si>
  <si>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</si>
  <si>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</si>
  <si>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</si>
  <si>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</si>
  <si>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</si>
  <si>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</si>
  <si>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</si>
  <si>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</si>
  <si>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</si>
  <si>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</si>
  <si>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</si>
  <si>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</si>
  <si>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</si>
  <si>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</si>
  <si>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</si>
  <si>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</si>
  <si>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</si>
  <si>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</si>
  <si>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</si>
  <si>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</si>
  <si>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</si>
  <si>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</si>
  <si>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</si>
  <si>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</si>
  <si>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</si>
  <si>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</si>
  <si>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</si>
  <si>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</si>
  <si>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</si>
  <si>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</si>
  <si>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</si>
  <si>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</si>
  <si>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</si>
  <si>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</si>
  <si>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</si>
  <si>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</si>
  <si>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</si>
  <si>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</si>
  <si>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</si>
  <si>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</si>
  <si>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</si>
  <si>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</si>
  <si>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</si>
  <si>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</si>
  <si>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</si>
  <si>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</si>
  <si>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</si>
  <si>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</si>
  <si>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</si>
  <si>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</si>
  <si>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</si>
  <si>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</si>
  <si>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</si>
  <si>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</si>
  <si>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</si>
  <si>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</si>
  <si>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</si>
  <si>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</si>
  <si>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</si>
  <si>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</si>
  <si>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</si>
  <si>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</si>
  <si>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</si>
  <si>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</si>
  <si>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</si>
  <si>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</si>
  <si>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</si>
  <si>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</si>
  <si>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</si>
  <si>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</si>
  <si>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</si>
  <si>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</si>
  <si>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</si>
  <si>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</si>
  <si>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</si>
  <si>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</si>
  <si>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</si>
  <si>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</si>
  <si>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</si>
  <si>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</si>
  <si>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</si>
  <si>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</si>
  <si>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</si>
  <si>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</si>
  <si>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</si>
  <si>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</si>
  <si>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</si>
  <si>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</si>
  <si>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</si>
  <si>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</si>
  <si>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</si>
  <si>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</si>
  <si>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</si>
  <si>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</si>
  <si>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</si>
  <si>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</si>
  <si>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</si>
  <si>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</si>
  <si>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</si>
  <si>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</si>
  <si>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</si>
  <si>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</si>
  <si>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</si>
  <si>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</si>
  <si>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</si>
  <si>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</si>
  <si>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</si>
  <si>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</si>
  <si>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</si>
  <si>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</si>
  <si>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</si>
  <si>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</si>
  <si>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</si>
  <si>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</si>
  <si>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</si>
  <si>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</si>
  <si>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</si>
  <si>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</si>
  <si>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</si>
  <si>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</si>
  <si>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</si>
  <si>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</si>
  <si>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</si>
  <si>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</si>
  <si>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</si>
  <si>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</si>
  <si>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</si>
  <si>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</si>
  <si>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</si>
  <si>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</si>
  <si>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</si>
  <si>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</si>
  <si>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</si>
  <si>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</si>
  <si>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</si>
  <si>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</si>
  <si>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</si>
  <si>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</si>
  <si>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</si>
  <si>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</si>
  <si>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</si>
  <si>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</si>
  <si>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</si>
  <si>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</si>
  <si>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</si>
  <si>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</si>
  <si>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</si>
  <si>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</si>
  <si>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</si>
  <si>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</si>
  <si>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</si>
  <si>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</si>
  <si>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</si>
  <si>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</si>
  <si>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</si>
  <si>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</si>
  <si>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</si>
  <si>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</si>
  <si>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</si>
  <si>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</si>
  <si>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</si>
  <si>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</si>
  <si>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</si>
  <si>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</si>
  <si>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</si>
  <si>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</si>
  <si>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</si>
  <si>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</si>
  <si>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</si>
  <si>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</si>
  <si>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</si>
  <si>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</si>
  <si>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</si>
  <si>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</si>
  <si>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</si>
  <si>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</si>
  <si>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</si>
  <si>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</si>
  <si>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</si>
  <si>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</si>
  <si>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</si>
  <si>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</si>
  <si>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</si>
  <si>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</si>
  <si>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</si>
  <si>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</si>
  <si>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</si>
  <si>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</si>
  <si>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</si>
  <si>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</si>
  <si>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</si>
  <si>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</si>
  <si>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</si>
  <si>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</si>
  <si>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</si>
  <si>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</si>
  <si>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</si>
  <si>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</si>
  <si>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</si>
  <si>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</si>
  <si>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</si>
  <si>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</si>
  <si>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</si>
  <si>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</si>
  <si>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</si>
  <si>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</si>
  <si>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</si>
  <si>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</si>
  <si>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</si>
  <si>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</si>
  <si>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</si>
  <si>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</si>
  <si>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</si>
  <si>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</si>
  <si>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</si>
  <si>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</si>
  <si>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</si>
  <si>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</si>
  <si>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</si>
  <si>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</si>
  <si>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</si>
  <si>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</si>
  <si>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</si>
  <si>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</si>
  <si>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</si>
  <si>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</si>
  <si>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</si>
  <si>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</si>
  <si>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</si>
  <si>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</si>
  <si>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</si>
  <si>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</si>
  <si>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</si>
  <si>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</si>
  <si>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</si>
  <si>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</si>
  <si>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</si>
  <si>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</si>
  <si>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</si>
  <si>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</si>
  <si>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</si>
  <si>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</si>
  <si>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</si>
  <si>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</si>
  <si>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</si>
  <si>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</si>
  <si>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</si>
  <si>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</si>
  <si>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</si>
  <si>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</si>
  <si>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</si>
  <si>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</si>
  <si>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</si>
  <si>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</si>
  <si>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</si>
  <si>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</si>
  <si>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</si>
  <si>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</si>
  <si>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</si>
  <si>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</si>
  <si>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</si>
  <si>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</si>
  <si>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</si>
  <si>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</si>
  <si>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</si>
  <si>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</si>
  <si>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</si>
  <si>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</si>
  <si>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</si>
  <si>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</si>
  <si>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</si>
  <si>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</si>
  <si>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</si>
  <si>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</si>
  <si>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</si>
  <si>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</si>
  <si>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</si>
  <si>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</si>
  <si>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</si>
  <si>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</si>
  <si>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</si>
  <si>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</si>
  <si>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</si>
  <si>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</si>
  <si>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</si>
  <si>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</si>
  <si>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</si>
  <si>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</si>
  <si>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</si>
  <si>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</si>
  <si>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</si>
  <si>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</si>
  <si>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</si>
  <si>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</si>
  <si>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</si>
  <si>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</si>
  <si>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</si>
  <si>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</si>
  <si>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</si>
  <si>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</si>
  <si>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</si>
  <si>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</si>
  <si>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</si>
  <si>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</si>
  <si>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</si>
  <si>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</si>
  <si>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</si>
  <si>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</si>
  <si>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</si>
  <si>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</si>
  <si>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</si>
  <si>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</si>
  <si>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</si>
  <si>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</si>
  <si>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</si>
  <si>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</si>
  <si>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</si>
  <si>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</si>
  <si>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</si>
  <si>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</si>
  <si>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</si>
  <si>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</si>
  <si>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</si>
  <si>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</si>
  <si>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</si>
  <si>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</si>
  <si>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</si>
  <si>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</si>
  <si>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</si>
  <si>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</si>
  <si>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</si>
  <si>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</si>
  <si>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</si>
  <si>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</si>
  <si>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</si>
  <si>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</si>
  <si>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</si>
  <si>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</si>
  <si>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</si>
  <si>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</si>
  <si>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</si>
  <si>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</si>
  <si>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</si>
  <si>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</si>
  <si>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</si>
  <si>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</si>
  <si>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</si>
  <si>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</si>
  <si>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</si>
  <si>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</si>
  <si>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</si>
  <si>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</si>
  <si>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</si>
  <si>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</si>
  <si>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</si>
  <si>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</si>
  <si>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</si>
  <si>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</si>
  <si>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</si>
  <si>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</si>
  <si>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</si>
  <si>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</si>
  <si>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</si>
  <si>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</si>
  <si>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</si>
  <si>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</si>
  <si>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</si>
  <si>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</si>
  <si>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</si>
  <si>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</si>
  <si>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</si>
  <si>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</si>
  <si>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</si>
  <si>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</si>
  <si>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</si>
  <si>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</si>
  <si>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</si>
  <si>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</si>
  <si>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</si>
  <si>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</si>
  <si>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</si>
  <si>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</si>
  <si>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</si>
  <si>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</si>
  <si>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</si>
  <si>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</si>
  <si>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</si>
  <si>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</si>
  <si>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</si>
  <si>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</si>
  <si>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</si>
  <si>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</si>
  <si>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</si>
  <si>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</si>
  <si>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</si>
  <si>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</si>
  <si>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</si>
  <si>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</si>
  <si>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</si>
  <si>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</si>
  <si>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</si>
  <si>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</si>
  <si>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</si>
  <si>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</si>
  <si>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</si>
  <si>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</si>
  <si>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</si>
  <si>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</si>
  <si>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</si>
  <si>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</si>
  <si>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</si>
  <si>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</si>
  <si>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</si>
  <si>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</si>
  <si>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</si>
  <si>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</si>
  <si>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</si>
  <si>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</si>
  <si>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</si>
  <si>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</si>
  <si>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</si>
  <si>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</si>
  <si>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</si>
  <si>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</si>
  <si>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</si>
  <si>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</si>
  <si>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</si>
  <si>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</si>
  <si>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</si>
  <si>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</si>
  <si>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</si>
  <si>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</si>
  <si>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</si>
  <si>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</si>
  <si>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</si>
  <si>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</si>
  <si>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</si>
  <si>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</si>
  <si>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</si>
  <si>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</si>
  <si>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</si>
  <si>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</si>
  <si>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</si>
  <si>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</si>
  <si>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</si>
  <si>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</si>
  <si>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</si>
  <si>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</si>
  <si>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</si>
  <si>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</si>
  <si>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</si>
  <si>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</si>
  <si>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</si>
  <si>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</si>
  <si>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</si>
  <si>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</si>
  <si>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</si>
  <si>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</si>
  <si>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</si>
  <si>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</si>
  <si>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</si>
  <si>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</si>
  <si>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</si>
  <si>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</si>
  <si>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</si>
  <si>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</si>
  <si>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</si>
  <si>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</si>
  <si>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</si>
  <si>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</si>
  <si>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</si>
  <si>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</si>
  <si>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</si>
  <si>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</si>
  <si>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</si>
  <si>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</si>
  <si>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</si>
  <si>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</si>
  <si>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</si>
  <si>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</si>
  <si>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</si>
  <si>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</si>
  <si>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</si>
  <si>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</si>
  <si>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</si>
  <si>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</si>
  <si>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</si>
  <si>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</si>
  <si>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</si>
  <si>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</si>
  <si>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</si>
  <si>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</si>
  <si>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</si>
  <si>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</si>
  <si>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</si>
  <si>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</si>
  <si>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</si>
  <si>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</si>
  <si>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</si>
  <si>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</si>
  <si>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</si>
  <si>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</si>
  <si>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</si>
  <si>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</si>
  <si>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</si>
  <si>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</si>
  <si>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</si>
  <si>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</si>
  <si>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</si>
  <si>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</si>
  <si>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</si>
  <si>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</si>
  <si>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</si>
  <si>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</si>
  <si>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</si>
  <si>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</si>
  <si>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</si>
  <si>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</si>
  <si>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</si>
  <si>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</si>
  <si>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</si>
  <si>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</si>
  <si>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</si>
  <si>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</si>
  <si>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</si>
  <si>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</si>
  <si>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</si>
  <si>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</si>
  <si>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</si>
  <si>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</si>
  <si>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</si>
  <si>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</si>
  <si>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</si>
  <si>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</si>
  <si>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</si>
  <si>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</si>
  <si>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</si>
  <si>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</si>
  <si>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</si>
  <si>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</si>
  <si>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</si>
  <si>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</si>
  <si>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</si>
  <si>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</si>
  <si>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</si>
  <si>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</si>
  <si>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</si>
  <si>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</si>
  <si>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</si>
  <si>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</si>
  <si>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</si>
  <si>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</si>
  <si>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</si>
  <si>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</si>
  <si>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</si>
  <si>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</si>
  <si>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</si>
  <si>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</si>
  <si>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</si>
  <si>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</si>
  <si>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</si>
  <si>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</si>
  <si>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</si>
  <si>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</si>
  <si>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</si>
  <si>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</si>
  <si>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</si>
  <si>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</si>
  <si>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</si>
  <si>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</si>
  <si>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</si>
  <si>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</si>
  <si>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</si>
  <si>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</si>
  <si>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</si>
  <si>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</si>
  <si>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</si>
  <si>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</si>
  <si>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</si>
  <si>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</si>
  <si>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</si>
  <si>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</si>
  <si>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</si>
  <si>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</si>
  <si>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</si>
  <si>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</si>
  <si>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</si>
  <si>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</si>
  <si>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</si>
  <si>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</si>
  <si>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</si>
  <si>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</si>
  <si>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</si>
  <si>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</si>
  <si>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</si>
  <si>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</si>
  <si>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</si>
  <si>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</si>
  <si>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</si>
  <si>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</si>
  <si>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</si>
  <si>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</si>
  <si>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</si>
  <si>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</si>
  <si>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</si>
  <si>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</si>
  <si>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</si>
  <si>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</si>
  <si>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</si>
  <si>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</si>
  <si>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</si>
  <si>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</si>
  <si>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</si>
  <si>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</si>
  <si>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</si>
  <si>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</si>
  <si>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</si>
  <si>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</si>
  <si>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</si>
  <si>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</si>
  <si>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</si>
  <si>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</si>
  <si>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</si>
  <si>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</si>
  <si>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</si>
  <si>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</si>
  <si>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</si>
  <si>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</si>
  <si>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</si>
  <si>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</si>
  <si>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</si>
  <si>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</si>
  <si>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</si>
  <si>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</si>
  <si>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</si>
  <si>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</si>
  <si>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</si>
  <si>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</si>
  <si>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</si>
  <si>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</si>
  <si>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</si>
  <si>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</si>
  <si>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</si>
  <si>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</si>
  <si>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</si>
  <si>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</si>
  <si>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</si>
  <si>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</si>
  <si>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</si>
  <si>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</si>
  <si>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</si>
  <si>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</si>
  <si>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</si>
  <si>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</si>
  <si>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</si>
  <si>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</si>
  <si>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</si>
  <si>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</si>
  <si>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</si>
  <si>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</si>
  <si>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</si>
  <si>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</si>
  <si>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</si>
  <si>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</si>
  <si>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</si>
  <si>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</si>
  <si>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</si>
  <si>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</si>
  <si>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</si>
  <si>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</si>
  <si>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</si>
  <si>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</si>
  <si>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</si>
  <si>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</si>
  <si>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</si>
  <si>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</si>
  <si>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</si>
  <si>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</si>
  <si>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</si>
  <si>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</si>
  <si>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</si>
  <si>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</si>
  <si>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</si>
  <si>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</si>
  <si>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</si>
  <si>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</si>
  <si>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</si>
  <si>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</si>
  <si>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</si>
  <si>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</si>
  <si>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</si>
  <si>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</si>
  <si>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</si>
  <si>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</si>
  <si>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</si>
  <si>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</si>
  <si>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</si>
  <si>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</si>
  <si>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</si>
  <si>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</si>
  <si>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</si>
  <si>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</si>
  <si>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</si>
  <si>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</si>
  <si>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</si>
  <si>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</si>
  <si>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</si>
  <si>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</si>
  <si>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</si>
  <si>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</si>
  <si>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</si>
  <si>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</si>
  <si>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</si>
  <si>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</si>
  <si>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</si>
  <si>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</si>
  <si>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</si>
  <si>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</si>
  <si>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</si>
  <si>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</si>
  <si>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</si>
  <si>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</si>
  <si>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</si>
  <si>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</si>
  <si>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</si>
  <si>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</si>
  <si>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</si>
  <si>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</si>
  <si>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</si>
  <si>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</si>
  <si>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</si>
  <si>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</si>
  <si>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</si>
  <si>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</si>
  <si>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</si>
  <si>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</si>
  <si>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</si>
  <si>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</si>
  <si>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</si>
  <si>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</si>
  <si>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</si>
  <si>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</si>
  <si>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</si>
  <si>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</si>
  <si>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</si>
  <si>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</si>
  <si>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</si>
  <si>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</si>
  <si>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</si>
  <si>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</si>
  <si>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</si>
  <si>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</si>
  <si>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</si>
  <si>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</si>
  <si>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</si>
  <si>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</si>
  <si>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</si>
  <si>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</si>
  <si>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</si>
  <si>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</si>
  <si>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</si>
  <si>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</si>
  <si>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</si>
  <si>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</si>
  <si>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</si>
  <si>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</si>
  <si>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</si>
  <si>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</si>
  <si>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</si>
  <si>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</si>
  <si>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</si>
  <si>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</si>
  <si>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</si>
  <si>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</si>
  <si>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</si>
  <si>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</si>
  <si>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</si>
  <si>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</si>
  <si>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</si>
  <si>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</si>
  <si>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</si>
  <si>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</si>
  <si>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</si>
  <si>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</si>
  <si>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</si>
  <si>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</si>
  <si>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</si>
  <si>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</si>
  <si>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</si>
  <si>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</si>
  <si>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</si>
  <si>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</si>
  <si>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</si>
  <si>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</si>
  <si>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</si>
  <si>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</si>
  <si>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</si>
  <si>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</si>
  <si>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</si>
  <si>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</si>
  <si>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</si>
  <si>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</si>
  <si>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</si>
  <si>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</si>
  <si>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</si>
  <si>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</si>
  <si>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</si>
  <si>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</si>
  <si>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</si>
  <si>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</si>
  <si>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</si>
  <si>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</si>
  <si>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</si>
  <si>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</si>
  <si>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</si>
  <si>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</si>
  <si>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</si>
  <si>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</si>
  <si>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</si>
  <si>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</si>
  <si>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</si>
  <si>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</si>
  <si>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</si>
  <si>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</si>
  <si>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</si>
  <si>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</si>
  <si>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</si>
  <si>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</si>
  <si>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</si>
  <si>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</si>
  <si>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</si>
  <si>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</si>
  <si>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</si>
  <si>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</si>
  <si>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</si>
  <si>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</si>
  <si>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</si>
  <si>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</si>
  <si>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</si>
  <si>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</si>
  <si>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</si>
  <si>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</si>
  <si>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</si>
  <si>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</si>
  <si>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</si>
  <si>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</si>
  <si>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</si>
  <si>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</si>
  <si>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</si>
  <si>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</si>
  <si>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</si>
  <si>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</si>
  <si>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</si>
  <si>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</si>
  <si>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</si>
  <si>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</si>
  <si>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</si>
  <si>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</si>
  <si>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</si>
  <si>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</si>
  <si>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</si>
  <si>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</si>
  <si>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</si>
  <si>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</si>
  <si>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</si>
  <si>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</si>
  <si>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</si>
  <si>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</si>
  <si>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</si>
  <si>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</si>
  <si>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</si>
  <si>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</si>
  <si>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</si>
  <si>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</si>
  <si>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</si>
  <si>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</si>
  <si>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</si>
  <si>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</si>
  <si>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</si>
  <si>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</si>
  <si>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</si>
  <si>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</si>
  <si>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</si>
  <si>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</si>
  <si>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</si>
  <si>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</si>
  <si>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</si>
  <si>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</si>
  <si>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</si>
  <si>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</si>
  <si>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</si>
  <si>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</si>
  <si>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</si>
  <si>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</si>
  <si>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</si>
  <si>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</si>
  <si>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</si>
  <si>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</si>
  <si>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</si>
  <si>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</si>
  <si>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</si>
  <si>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</si>
  <si>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</si>
  <si>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</si>
  <si>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</si>
  <si>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</si>
  <si>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</si>
  <si>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</si>
  <si>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</si>
  <si>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</si>
  <si>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</si>
  <si>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</si>
  <si>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</si>
  <si>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</si>
  <si>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</si>
  <si>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</si>
  <si>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</si>
  <si>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</si>
  <si>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</si>
  <si>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</si>
  <si>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</si>
  <si>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</si>
  <si>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</si>
  <si>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</si>
  <si>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</si>
  <si>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</si>
  <si>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</si>
  <si>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</si>
  <si>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</si>
  <si>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</si>
  <si>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</si>
  <si>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</si>
  <si>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</si>
  <si>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</si>
  <si>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</si>
  <si>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</si>
  <si>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</si>
  <si>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</si>
  <si>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</si>
  <si>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</si>
  <si>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</si>
  <si>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</si>
  <si>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</si>
  <si>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</si>
  <si>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</si>
  <si>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</si>
  <si>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</si>
  <si>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</si>
  <si>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</si>
  <si>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</si>
  <si>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</si>
  <si>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</si>
  <si>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</si>
  <si>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</si>
  <si>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</si>
  <si>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</si>
  <si>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</si>
  <si>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</si>
  <si>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</si>
  <si>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</si>
  <si>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</si>
  <si>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</si>
  <si>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</si>
  <si>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</si>
  <si>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</si>
  <si>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</si>
  <si>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</si>
  <si>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</si>
  <si>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</si>
  <si>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</si>
  <si>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</si>
  <si>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</si>
  <si>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</si>
  <si>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</si>
  <si>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</si>
  <si>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</si>
  <si>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</si>
  <si>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</si>
  <si>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</si>
  <si>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</si>
  <si>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</si>
  <si>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</si>
  <si>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</si>
  <si>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</si>
  <si>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</si>
  <si>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</si>
  <si>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</si>
  <si>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</si>
  <si>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</si>
  <si>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</si>
  <si>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</si>
  <si>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</si>
  <si>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</si>
  <si>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</si>
  <si>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</si>
  <si>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</si>
  <si>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</si>
  <si>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</si>
  <si>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</si>
  <si>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</si>
  <si>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</si>
  <si>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</si>
  <si>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</si>
  <si>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</si>
  <si>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</si>
  <si>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</si>
  <si>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</si>
  <si>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</si>
  <si>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</si>
  <si>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</si>
  <si>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</si>
  <si>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</si>
  <si>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</si>
  <si>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</si>
  <si>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</si>
  <si>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</si>
  <si>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</si>
  <si>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</si>
  <si>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</si>
  <si>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</si>
  <si>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</si>
  <si>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</si>
  <si>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</si>
  <si>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</si>
  <si>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</si>
  <si>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</si>
  <si>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</si>
  <si>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</si>
  <si>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</si>
  <si>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</si>
  <si>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</si>
  <si>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</si>
  <si>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</si>
  <si>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</si>
  <si>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</si>
  <si>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</si>
  <si>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</si>
  <si>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</si>
  <si>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</si>
  <si>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</si>
  <si>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</si>
  <si>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</si>
  <si>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</si>
  <si>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</si>
  <si>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</si>
  <si>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</si>
  <si>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</si>
  <si>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</si>
  <si>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</si>
  <si>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</si>
  <si>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</si>
  <si>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</si>
  <si>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</si>
  <si>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</si>
  <si>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</si>
  <si>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</si>
  <si>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</si>
  <si>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</si>
  <si>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</si>
  <si>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</si>
  <si>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</si>
  <si>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</si>
  <si>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</si>
  <si>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</si>
  <si>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</si>
  <si>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</si>
  <si>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</si>
  <si>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</si>
  <si>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</si>
  <si>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</si>
  <si>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</si>
  <si>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</si>
  <si>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</si>
  <si>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</si>
  <si>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</si>
  <si>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</si>
  <si>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</si>
  <si>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</si>
  <si>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</si>
  <si>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</si>
  <si>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</si>
  <si>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</si>
  <si>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</si>
  <si>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</si>
  <si>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</si>
  <si>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</si>
  <si>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</si>
  <si>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</si>
  <si>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</si>
  <si>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</si>
  <si>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</si>
  <si>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</si>
  <si>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</si>
  <si>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</si>
  <si>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</si>
  <si>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</si>
  <si>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</si>
  <si>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</si>
  <si>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</si>
  <si>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</si>
  <si>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</si>
  <si>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</si>
  <si>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</si>
  <si>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</si>
  <si>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</si>
  <si>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</si>
  <si>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</si>
  <si>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</si>
  <si>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</si>
  <si>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</si>
  <si>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</si>
  <si>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</si>
  <si>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</si>
  <si>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</si>
  <si>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</si>
  <si>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</si>
  <si>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</si>
  <si>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</si>
  <si>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</si>
  <si>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</si>
  <si>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</si>
  <si>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</si>
  <si>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</si>
  <si>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</si>
  <si>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</si>
  <si>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</si>
  <si>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</si>
  <si>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</si>
  <si>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</si>
  <si>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</si>
  <si>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</si>
  <si>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</si>
  <si>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</si>
  <si>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</si>
  <si>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</si>
  <si>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</si>
  <si>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</si>
  <si>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</si>
  <si>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</si>
  <si>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</si>
  <si>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</si>
  <si>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</si>
  <si>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</si>
  <si>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</si>
  <si>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</si>
  <si>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</si>
  <si>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</si>
  <si>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</si>
  <si>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</si>
  <si>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</si>
  <si>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</si>
  <si>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</si>
  <si>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</si>
  <si>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</si>
  <si>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</si>
  <si>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</si>
  <si>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</si>
  <si>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</si>
  <si>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</si>
  <si>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</si>
  <si>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</si>
  <si>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</si>
  <si>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</si>
  <si>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</si>
  <si>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</si>
  <si>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</si>
  <si>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</si>
  <si>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</si>
  <si>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</si>
  <si>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</si>
  <si>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</si>
  <si>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</si>
  <si>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</si>
  <si>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</si>
  <si>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</si>
  <si>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</si>
  <si>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</si>
  <si>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</si>
  <si>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</si>
  <si>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</si>
  <si>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</si>
  <si>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</si>
  <si>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</si>
  <si>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</si>
  <si>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</si>
  <si>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</si>
  <si>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</si>
  <si>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</si>
  <si>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</si>
  <si>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</si>
  <si>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</si>
  <si>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</si>
  <si>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</si>
  <si>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</si>
  <si>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</si>
  <si>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</si>
  <si>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</si>
  <si>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</si>
  <si>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</si>
  <si>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</si>
  <si>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</si>
  <si>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</si>
  <si>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</si>
  <si>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</si>
  <si>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</si>
  <si>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</si>
  <si>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</si>
  <si>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</si>
  <si>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</si>
  <si>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</si>
  <si>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</si>
  <si>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</si>
  <si>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</si>
  <si>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</si>
  <si>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</si>
  <si>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</si>
  <si>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</si>
  <si>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</si>
  <si>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</si>
  <si>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</si>
  <si>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</si>
  <si>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</si>
  <si>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</si>
  <si>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</si>
  <si>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</si>
  <si>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</si>
  <si>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</si>
  <si>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</si>
  <si>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</si>
  <si>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</si>
  <si>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</si>
  <si>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</si>
  <si>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</si>
  <si>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</si>
  <si>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</si>
  <si>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</si>
  <si>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</si>
  <si>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</si>
  <si>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</si>
  <si>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</si>
  <si>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</si>
  <si>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</si>
  <si>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</si>
  <si>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</si>
  <si>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</si>
  <si>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</si>
  <si>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</si>
  <si>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</si>
  <si>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</si>
  <si>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</si>
  <si>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</si>
  <si>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</si>
  <si>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</si>
  <si>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</si>
  <si>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</si>
  <si>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</si>
  <si>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</si>
  <si>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</si>
  <si>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</si>
  <si>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</si>
  <si>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</si>
  <si>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</si>
  <si>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</si>
  <si>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</si>
  <si>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</si>
  <si>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</si>
  <si>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</si>
  <si>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</si>
  <si>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</si>
  <si>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</si>
  <si>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</si>
  <si>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</si>
  <si>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</si>
  <si>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</si>
  <si>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</si>
  <si>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</si>
  <si>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</si>
  <si>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</si>
  <si>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</si>
  <si>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</si>
  <si>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</si>
  <si>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</si>
  <si>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</si>
  <si>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</si>
  <si>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</si>
  <si>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</si>
  <si>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</si>
  <si>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</si>
  <si>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</si>
  <si>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</si>
  <si>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</si>
  <si>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</si>
  <si>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</si>
  <si>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</si>
  <si>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</si>
  <si>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</si>
  <si>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</si>
  <si>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</si>
  <si>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</si>
  <si>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</si>
  <si>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</si>
  <si>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</si>
  <si>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</si>
  <si>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</si>
  <si>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</si>
  <si>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</si>
  <si>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</si>
  <si>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</si>
  <si>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</si>
  <si>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</si>
  <si>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</si>
  <si>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</si>
  <si>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</si>
  <si>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</si>
  <si>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</si>
  <si>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</si>
  <si>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</si>
  <si>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</si>
  <si>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</si>
  <si>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</si>
  <si>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</si>
  <si>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</si>
  <si>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</si>
  <si>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</si>
  <si>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</si>
  <si>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</si>
  <si>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</si>
  <si>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</si>
  <si>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</si>
  <si>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</si>
  <si>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</si>
  <si>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</si>
  <si>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</si>
  <si>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</si>
  <si>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</si>
  <si>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</si>
  <si>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</si>
  <si>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</si>
  <si>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</si>
  <si>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</si>
  <si>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</si>
  <si>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</si>
  <si>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</si>
  <si>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</si>
  <si>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</si>
  <si>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</si>
  <si>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</si>
  <si>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</si>
  <si>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</si>
  <si>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</si>
  <si>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</si>
  <si>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</si>
  <si>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</si>
  <si>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</si>
  <si>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</si>
  <si>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</si>
  <si>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</si>
  <si>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</si>
  <si>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</si>
  <si>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</si>
  <si>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</si>
  <si>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</si>
  <si>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</si>
  <si>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</si>
  <si>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</si>
  <si>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</si>
  <si>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</si>
  <si>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</si>
  <si>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</si>
  <si>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</si>
  <si>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</si>
  <si>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</si>
  <si>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</si>
  <si>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</si>
  <si>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</si>
  <si>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</si>
  <si>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</si>
  <si>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</si>
  <si>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</si>
  <si>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</si>
  <si>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</si>
  <si>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</si>
  <si>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</si>
  <si>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</si>
  <si>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</si>
  <si>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</si>
  <si>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</si>
  <si>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</si>
  <si>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</si>
  <si>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</si>
  <si>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</si>
  <si>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</si>
  <si>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</si>
  <si>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</si>
  <si>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</si>
  <si>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</si>
  <si>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</si>
  <si>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</si>
  <si>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</si>
  <si>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</si>
  <si>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</si>
  <si>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</si>
  <si>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</si>
  <si>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</si>
  <si>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</si>
  <si>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</si>
  <si>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</si>
  <si>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</si>
  <si>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</si>
  <si>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</si>
  <si>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</si>
  <si>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</si>
  <si>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</si>
  <si>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</si>
  <si>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</si>
  <si>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</si>
  <si>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</si>
  <si>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</si>
  <si>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</si>
  <si>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</si>
  <si>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</si>
  <si>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</si>
  <si>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</si>
  <si>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</si>
  <si>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</si>
  <si>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</si>
  <si>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</si>
  <si>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</si>
  <si>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</si>
  <si>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</si>
  <si>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</si>
  <si>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</si>
  <si>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</si>
  <si>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</si>
  <si>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</si>
  <si>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</si>
  <si>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</si>
  <si>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</si>
  <si>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</si>
  <si>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</si>
  <si>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</si>
  <si>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</si>
  <si>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</si>
  <si>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</si>
  <si>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</si>
  <si>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</si>
  <si>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</si>
  <si>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</si>
  <si>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</si>
  <si>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</si>
  <si>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</si>
  <si>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</si>
  <si>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</si>
  <si>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</si>
  <si>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</si>
  <si>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</si>
  <si>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</si>
  <si>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</si>
  <si>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</si>
  <si>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</si>
  <si>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</si>
  <si>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</si>
  <si>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</si>
  <si>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</si>
  <si>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</si>
  <si>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</si>
  <si>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</si>
  <si>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</si>
  <si>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</si>
  <si>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</si>
  <si>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</si>
  <si>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</si>
  <si>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</si>
  <si>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</si>
  <si>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</si>
  <si>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</si>
  <si>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</si>
  <si>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</si>
  <si>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</si>
  <si>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</si>
  <si>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</si>
  <si>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</si>
  <si>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</si>
  <si>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</si>
  <si>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</si>
  <si>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</si>
  <si>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</si>
  <si>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</si>
  <si>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</si>
  <si>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</si>
  <si>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</si>
  <si>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</si>
  <si>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</si>
  <si>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</si>
  <si>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</si>
  <si>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</si>
  <si>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</si>
  <si>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</si>
  <si>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</si>
  <si>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</si>
  <si>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</si>
  <si>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</si>
  <si>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</si>
  <si>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</si>
  <si>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</si>
  <si>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</si>
  <si>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</si>
  <si>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</si>
  <si>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</si>
  <si>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</si>
  <si>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</si>
  <si>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</si>
  <si>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</si>
  <si>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</si>
  <si>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</si>
  <si>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</si>
  <si>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</si>
  <si>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</si>
  <si>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</si>
  <si>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</si>
  <si>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</si>
  <si>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</si>
  <si>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</si>
  <si>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</si>
  <si>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</si>
  <si>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</si>
  <si>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</si>
  <si>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</si>
  <si>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</si>
  <si>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</si>
  <si>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</si>
  <si>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</si>
  <si>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</si>
  <si>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</si>
  <si>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</si>
  <si>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</si>
  <si>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</si>
  <si>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</si>
  <si>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</si>
  <si>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</si>
  <si>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</si>
  <si>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</si>
  <si>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</si>
  <si>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</si>
  <si>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</si>
  <si>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</si>
  <si>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</si>
  <si>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</si>
  <si>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</si>
  <si>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</si>
  <si>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</si>
  <si>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</si>
  <si>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</si>
  <si>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</si>
  <si>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</si>
  <si>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</si>
  <si>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</si>
  <si>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</si>
  <si>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</si>
  <si>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</si>
  <si>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</si>
  <si>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</si>
  <si>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</si>
  <si>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</si>
  <si>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</si>
  <si>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</si>
  <si>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</si>
  <si>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</si>
  <si>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</si>
  <si>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</si>
  <si>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</si>
  <si>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</si>
  <si>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</si>
  <si>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</si>
  <si>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</si>
  <si>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</si>
  <si>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</si>
  <si>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</si>
  <si>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</si>
  <si>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</si>
  <si>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</si>
  <si>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</si>
  <si>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</si>
  <si>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</si>
  <si>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</si>
  <si>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</si>
  <si>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</si>
  <si>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</si>
  <si>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</si>
  <si>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</si>
  <si>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</si>
  <si>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</si>
  <si>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</si>
  <si>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</si>
  <si>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</si>
  <si>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</si>
  <si>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</si>
  <si>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</si>
  <si>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</si>
  <si>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</si>
  <si>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</si>
  <si>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</si>
  <si>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</si>
  <si>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</si>
  <si>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</si>
  <si>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</si>
  <si>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</si>
  <si>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</si>
  <si>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</si>
  <si>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</si>
  <si>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</si>
  <si>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</si>
  <si>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</si>
  <si>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</si>
  <si>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</si>
  <si>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</si>
  <si>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</si>
  <si>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</si>
  <si>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</si>
  <si>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</si>
  <si>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</si>
  <si>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</si>
  <si>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</si>
  <si>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</si>
  <si>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</si>
  <si>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</si>
  <si>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</si>
  <si>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</si>
  <si>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</si>
  <si>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</si>
  <si>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</si>
  <si>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</si>
  <si>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</si>
  <si>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</si>
  <si>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</si>
  <si>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</si>
  <si>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</si>
  <si>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</si>
  <si>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</si>
  <si>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</si>
  <si>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</si>
  <si>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</si>
  <si>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</si>
  <si>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</si>
  <si>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</si>
  <si>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</si>
  <si>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</si>
  <si>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</si>
  <si>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</si>
  <si>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</si>
  <si>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</si>
  <si>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</si>
  <si>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</si>
  <si>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</si>
  <si>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</si>
  <si>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</si>
  <si>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</si>
  <si>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</si>
  <si>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</si>
  <si>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</si>
  <si>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</si>
  <si>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</si>
  <si>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</si>
  <si>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</si>
  <si>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</si>
  <si>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</si>
  <si>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</si>
  <si>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</si>
  <si>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</si>
  <si>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</si>
  <si>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</si>
  <si>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</si>
  <si>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</si>
  <si>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</si>
  <si>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</si>
  <si>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</si>
  <si>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</si>
  <si>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</si>
  <si>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</si>
  <si>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</si>
  <si>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</si>
  <si>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</si>
  <si>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</si>
  <si>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</si>
  <si>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</si>
  <si>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</si>
  <si>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</si>
  <si>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</si>
  <si>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</si>
  <si>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</si>
  <si>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</si>
  <si>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</si>
  <si>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</si>
  <si>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</si>
  <si>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</si>
  <si>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</si>
  <si>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</si>
  <si>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</si>
  <si>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</si>
  <si>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</si>
  <si>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</si>
  <si>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</si>
  <si>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</si>
  <si>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</si>
  <si>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</si>
  <si>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</si>
  <si>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</si>
  <si>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</si>
  <si>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</si>
  <si>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</si>
  <si>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</si>
  <si>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</si>
  <si>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</si>
  <si>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</si>
  <si>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</si>
  <si>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</si>
  <si>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</si>
  <si>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</si>
  <si>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</si>
  <si>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</si>
  <si>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</si>
  <si>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</si>
  <si>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</si>
  <si>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</si>
  <si>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</si>
  <si>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</si>
  <si>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</si>
  <si>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</si>
  <si>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</si>
  <si>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</si>
  <si>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</si>
  <si>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</si>
  <si>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</si>
  <si>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</si>
  <si>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</si>
  <si>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</si>
  <si>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</si>
  <si>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</si>
  <si>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</si>
  <si>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</si>
  <si>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</si>
  <si>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</si>
  <si>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</si>
  <si>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</si>
  <si>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</si>
  <si>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</si>
  <si>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</si>
  <si>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</si>
  <si>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</si>
  <si>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</si>
  <si>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</si>
  <si>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</si>
  <si>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</si>
  <si>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</si>
  <si>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</si>
  <si>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</si>
  <si>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</si>
  <si>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</si>
  <si>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</si>
  <si>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</si>
  <si>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</si>
  <si>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</si>
  <si>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</si>
  <si>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</si>
  <si>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</si>
  <si>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</si>
  <si>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</si>
  <si>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</si>
  <si>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</si>
  <si>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</si>
  <si>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</si>
  <si>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</si>
  <si>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</si>
  <si>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</si>
  <si>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</si>
  <si>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</si>
  <si>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</si>
  <si>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</si>
  <si>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</si>
  <si>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</si>
  <si>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</si>
  <si>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</si>
  <si>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</si>
  <si>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</si>
  <si>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</si>
  <si>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</si>
  <si>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</si>
  <si>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</si>
  <si>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</si>
  <si>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</si>
  <si>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</si>
  <si>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</si>
  <si>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</si>
  <si>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</si>
  <si>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</si>
  <si>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</si>
  <si>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</si>
  <si>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</si>
  <si>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</si>
  <si>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</si>
  <si>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</si>
  <si>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</si>
  <si>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</si>
  <si>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</si>
  <si>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</si>
  <si>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</si>
  <si>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</si>
  <si>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</si>
  <si>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</si>
  <si>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</si>
  <si>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</si>
  <si>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</si>
  <si>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</si>
  <si>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</si>
  <si>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</si>
  <si>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</si>
  <si>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</si>
  <si>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</si>
  <si>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</si>
  <si>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</si>
  <si>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</si>
  <si>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</si>
  <si>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</si>
  <si>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</si>
  <si>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</si>
  <si>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</si>
  <si>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</si>
  <si>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</si>
  <si>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</si>
  <si>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</si>
  <si>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</si>
  <si>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</si>
  <si>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</si>
  <si>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</si>
  <si>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</si>
  <si>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</si>
  <si>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</si>
  <si>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</si>
  <si>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</si>
  <si>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</si>
  <si>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</si>
  <si>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</si>
  <si>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</si>
  <si>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</si>
  <si>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</si>
  <si>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</si>
  <si>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</si>
  <si>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</si>
  <si>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</si>
  <si>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</si>
  <si>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</si>
  <si>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</si>
  <si>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</si>
  <si>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</si>
  <si>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</si>
  <si>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</si>
  <si>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</si>
  <si>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</si>
  <si>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</si>
  <si>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</si>
  <si>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</si>
  <si>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</si>
  <si>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</si>
  <si>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</si>
  <si>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</si>
  <si>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</si>
  <si>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</si>
  <si>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</si>
  <si>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</si>
  <si>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</si>
  <si>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</si>
  <si>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</si>
  <si>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</si>
  <si>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</si>
  <si>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</si>
  <si>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</si>
  <si>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</si>
  <si>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</si>
  <si>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</si>
  <si>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</si>
  <si>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</si>
  <si>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</si>
  <si>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</si>
  <si>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</si>
  <si>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</si>
  <si>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</si>
  <si>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</si>
  <si>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</si>
  <si>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</si>
  <si>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</si>
  <si>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</si>
  <si>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</si>
  <si>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</si>
  <si>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</si>
  <si>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</si>
  <si>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</si>
  <si>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</si>
  <si>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</si>
  <si>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</si>
  <si>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</si>
  <si>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</si>
  <si>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</si>
  <si>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</si>
  <si>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</si>
  <si>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</si>
  <si>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</si>
  <si>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</si>
  <si>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</si>
  <si>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</si>
  <si>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</si>
  <si>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</si>
  <si>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</si>
  <si>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</si>
  <si>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</si>
  <si>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</si>
  <si>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</si>
  <si>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</si>
  <si>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</si>
  <si>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</si>
  <si>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</si>
  <si>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</si>
  <si>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</si>
  <si>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</si>
  <si>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</si>
  <si>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</si>
  <si>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</si>
  <si>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</si>
  <si>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</si>
  <si>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</si>
  <si>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</si>
  <si>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</si>
  <si>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</si>
  <si>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</si>
  <si>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</si>
  <si>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</si>
  <si>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</si>
  <si>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</si>
  <si>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</si>
  <si>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</si>
  <si>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</si>
  <si>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</si>
  <si>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</si>
  <si>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</si>
  <si>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</si>
  <si>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</si>
  <si>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</si>
  <si>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</si>
  <si>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</si>
  <si>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</si>
  <si>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</si>
  <si>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</si>
  <si>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</si>
  <si>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</si>
  <si>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</si>
  <si>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</si>
  <si>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</si>
  <si>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</si>
  <si>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</si>
  <si>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</si>
  <si>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</si>
  <si>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</si>
  <si>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</si>
  <si>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</si>
  <si>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</si>
  <si>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</si>
  <si>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</si>
  <si>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</si>
  <si>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</si>
  <si>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</si>
  <si>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</si>
  <si>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</si>
  <si>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</si>
  <si>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</si>
  <si>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</si>
  <si>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</si>
  <si>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</si>
  <si>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</si>
  <si>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</si>
  <si>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</si>
  <si>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</si>
  <si>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</si>
  <si>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</si>
  <si>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</si>
  <si>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</si>
  <si>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</si>
  <si>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</si>
  <si>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</si>
  <si>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</si>
  <si>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</si>
  <si>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</si>
  <si>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</si>
  <si>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</si>
  <si>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</si>
  <si>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</si>
  <si>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</si>
  <si>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</si>
  <si>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</si>
  <si>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</si>
  <si>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</si>
  <si>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</si>
  <si>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</si>
  <si>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</si>
  <si>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</si>
  <si>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</si>
  <si>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</si>
  <si>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</si>
  <si>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</si>
  <si>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</si>
  <si>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</si>
  <si>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</si>
  <si>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</si>
  <si>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</si>
  <si>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</si>
  <si>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</si>
  <si>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</si>
  <si>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</si>
  <si>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</si>
  <si>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</si>
  <si>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</si>
  <si>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</si>
  <si>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</si>
  <si>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</si>
  <si>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</si>
  <si>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</si>
  <si>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</si>
  <si>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</si>
  <si>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</si>
  <si>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</si>
  <si>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</si>
  <si>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</si>
  <si>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</si>
  <si>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</si>
  <si>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</si>
  <si>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</si>
  <si>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</si>
  <si>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</si>
  <si>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</si>
  <si>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</si>
  <si>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</si>
  <si>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</si>
  <si>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</si>
  <si>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</si>
  <si>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</si>
  <si>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</si>
  <si>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</si>
  <si>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</si>
  <si>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</si>
  <si>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</si>
  <si>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</si>
  <si>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</si>
  <si>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</si>
  <si>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</si>
  <si>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</si>
  <si>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</si>
  <si>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</si>
  <si>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</si>
  <si>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</si>
  <si>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</si>
  <si>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</si>
  <si>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</si>
  <si>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</si>
  <si>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</si>
  <si>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</si>
  <si>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</si>
  <si>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</si>
  <si>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</si>
  <si>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</si>
  <si>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</si>
  <si>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</si>
  <si>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</si>
  <si>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</si>
  <si>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</si>
  <si>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</si>
  <si>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</si>
  <si>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</si>
  <si>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</si>
  <si>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</si>
  <si>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</si>
  <si>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</si>
  <si>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</si>
  <si>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</si>
  <si>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</si>
  <si>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</si>
  <si>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</si>
  <si>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</si>
  <si>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</si>
  <si>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</si>
  <si>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</si>
  <si>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</si>
  <si>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</si>
  <si>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</si>
  <si>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</si>
  <si>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</si>
  <si>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</si>
  <si>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</si>
  <si>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</si>
  <si>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</si>
  <si>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</si>
  <si>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</si>
  <si>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</si>
  <si>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</si>
  <si>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</si>
  <si>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</si>
  <si>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</si>
  <si>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</si>
  <si>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</si>
  <si>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</si>
  <si>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</si>
  <si>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</si>
  <si>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</si>
  <si>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</si>
  <si>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</si>
  <si>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</si>
  <si>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</si>
  <si>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</si>
  <si>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</si>
  <si>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</si>
  <si>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</si>
  <si>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</si>
  <si>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</si>
  <si>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</si>
  <si>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</si>
  <si>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</si>
  <si>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</si>
  <si>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</si>
  <si>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</si>
  <si>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</si>
  <si>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</si>
  <si>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</si>
  <si>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</si>
  <si>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</si>
  <si>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</si>
  <si>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</si>
  <si>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</si>
  <si>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</si>
  <si>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</si>
  <si>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</si>
  <si>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</si>
  <si>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</si>
  <si>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</si>
  <si>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</si>
  <si>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</si>
  <si>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</si>
  <si>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</si>
  <si>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</si>
  <si>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</si>
  <si>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</si>
  <si>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</si>
  <si>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</si>
  <si>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</si>
  <si>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</si>
  <si>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</si>
  <si>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</si>
  <si>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</si>
  <si>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</si>
  <si>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</si>
  <si>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</si>
  <si>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</si>
  <si>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</si>
  <si>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</si>
  <si>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</si>
  <si>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</si>
  <si>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</si>
  <si>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</si>
  <si>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</si>
  <si>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</si>
  <si>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</si>
  <si>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</si>
  <si>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</si>
  <si>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</si>
  <si>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</si>
  <si>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</si>
  <si>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</si>
  <si>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</si>
  <si>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</si>
  <si>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</si>
  <si>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</si>
  <si>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</si>
  <si>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</si>
  <si>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</si>
  <si>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</si>
  <si>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</si>
  <si>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</si>
  <si>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</si>
  <si>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</si>
  <si>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</si>
  <si>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</si>
  <si>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</si>
  <si>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</si>
  <si>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</si>
  <si>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</si>
  <si>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</si>
  <si>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</si>
  <si>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</si>
  <si>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</si>
  <si>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</si>
  <si>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</si>
  <si>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</si>
  <si>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</si>
  <si>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</si>
  <si>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</si>
  <si>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</si>
  <si>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</si>
  <si>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</si>
  <si>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</si>
  <si>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</si>
  <si>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</si>
  <si>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</si>
  <si>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</si>
  <si>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</si>
  <si>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</si>
  <si>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</si>
  <si>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</si>
  <si>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</si>
  <si>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</si>
  <si>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</si>
  <si>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</si>
  <si>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</si>
  <si>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</si>
  <si>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</si>
  <si>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</si>
  <si>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</si>
  <si>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</si>
  <si>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</si>
  <si>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</si>
  <si>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</si>
  <si>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</si>
  <si>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</si>
  <si>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</si>
  <si>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</si>
  <si>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</si>
  <si>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</si>
  <si>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</si>
  <si>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</si>
  <si>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</si>
  <si>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</si>
  <si>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</si>
  <si>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</si>
  <si>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</si>
  <si>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</si>
  <si>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</si>
  <si>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</si>
  <si>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</si>
  <si>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</si>
  <si>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</si>
  <si>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</si>
  <si>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</si>
  <si>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</si>
  <si>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</si>
  <si>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</si>
  <si>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</si>
  <si>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</si>
  <si>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</si>
  <si>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</si>
  <si>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</si>
  <si>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</si>
  <si>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</si>
  <si>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</si>
  <si>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</si>
  <si>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</si>
  <si>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</si>
  <si>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</si>
  <si>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</si>
  <si>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</si>
  <si>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</si>
  <si>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</si>
  <si>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</si>
  <si>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</si>
  <si>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</si>
  <si>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</si>
  <si>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</si>
  <si>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</si>
  <si>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</si>
  <si>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</si>
  <si>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</si>
  <si>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</si>
  <si>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</si>
  <si>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</si>
  <si>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</si>
  <si>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</si>
  <si>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</si>
  <si>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</si>
  <si>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</si>
  <si>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</si>
  <si>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</si>
  <si>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</si>
  <si>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</si>
  <si>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</si>
  <si>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</si>
  <si>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</si>
  <si>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</si>
  <si>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</si>
  <si>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</si>
  <si>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</si>
  <si>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</si>
  <si>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</si>
  <si>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</si>
  <si>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</si>
  <si>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</si>
  <si>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</si>
  <si>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</si>
  <si>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</si>
  <si>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</si>
  <si>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</si>
  <si>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</si>
  <si>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</si>
  <si>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</si>
  <si>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</si>
  <si>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</si>
  <si>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</si>
  <si>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</si>
  <si>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</si>
  <si>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</si>
  <si>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</si>
  <si>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</si>
  <si>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</si>
  <si>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</si>
  <si>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</si>
  <si>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</si>
  <si>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</si>
  <si>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</si>
  <si>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</si>
  <si>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</si>
  <si>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</si>
  <si>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</si>
  <si>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</si>
  <si>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</si>
  <si>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</si>
  <si>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</si>
  <si>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</si>
  <si>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</si>
  <si>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</si>
  <si>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</si>
  <si>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</si>
  <si>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</si>
  <si>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</si>
  <si>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</si>
  <si>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</si>
  <si>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</si>
  <si>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</si>
  <si>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</si>
  <si>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</si>
  <si>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</si>
  <si>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</si>
  <si>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</si>
  <si>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</si>
  <si>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</si>
  <si>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</si>
  <si>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</si>
  <si>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</si>
  <si>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</si>
  <si>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</si>
  <si>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</si>
  <si>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</si>
  <si>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</si>
  <si>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</si>
  <si>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</si>
  <si>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</si>
  <si>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</si>
  <si>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</si>
  <si>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</si>
  <si>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</si>
  <si>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</si>
  <si>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</si>
  <si>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</si>
  <si>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</si>
  <si>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</si>
  <si>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</si>
  <si>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</si>
  <si>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</si>
  <si>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</si>
  <si>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</si>
  <si>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</si>
  <si>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</si>
  <si>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</si>
  <si>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</si>
  <si>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</si>
  <si>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</si>
  <si>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</si>
  <si>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</si>
  <si>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</si>
  <si>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</si>
  <si>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</si>
  <si>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</si>
  <si>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</si>
  <si>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</si>
  <si>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</si>
  <si>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</si>
  <si>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</si>
  <si>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</si>
  <si>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</si>
  <si>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</si>
  <si>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</si>
  <si>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</si>
  <si>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</si>
  <si>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</si>
  <si>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</si>
  <si>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</si>
  <si>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</si>
  <si>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</si>
  <si>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</si>
  <si>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</si>
  <si>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</si>
  <si>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</si>
  <si>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</si>
  <si>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</si>
  <si>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</si>
  <si>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</si>
  <si>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</si>
  <si>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</si>
  <si>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</si>
  <si>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</si>
  <si>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</si>
  <si>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</si>
  <si>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</si>
  <si>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</si>
  <si>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</si>
  <si>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</si>
  <si>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</si>
  <si>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</si>
  <si>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</si>
  <si>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</si>
  <si>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</si>
  <si>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</si>
  <si>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</si>
  <si>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</si>
  <si>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</si>
  <si>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</si>
  <si>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</si>
  <si>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</si>
  <si>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</si>
  <si>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</si>
  <si>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</si>
  <si>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</si>
  <si>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</si>
  <si>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</si>
  <si>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</si>
  <si>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</si>
  <si>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</si>
  <si>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</si>
  <si>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</si>
  <si>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</si>
  <si>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</si>
  <si>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</si>
  <si>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</si>
  <si>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</si>
  <si>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</si>
  <si>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</si>
  <si>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</si>
  <si>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</si>
  <si>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</si>
  <si>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</si>
  <si>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</si>
  <si>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</si>
  <si>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</si>
  <si>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</si>
  <si>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</si>
  <si>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</si>
  <si>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</si>
  <si>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</si>
  <si>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</si>
  <si>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</si>
  <si>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</si>
  <si>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</si>
  <si>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</si>
  <si>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</si>
  <si>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</si>
  <si>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</si>
  <si>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</si>
  <si>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</si>
  <si>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</si>
  <si>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</si>
  <si>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</si>
  <si>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</si>
  <si>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</si>
  <si>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</si>
  <si>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</si>
  <si>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</si>
  <si>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</si>
  <si>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</si>
  <si>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</si>
  <si>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</si>
  <si>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</si>
  <si>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</si>
  <si>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</si>
  <si>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</si>
  <si>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</si>
  <si>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</si>
  <si>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</si>
  <si>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</si>
  <si>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</si>
  <si>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</si>
  <si>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</si>
  <si>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</si>
  <si>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</si>
  <si>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</si>
  <si>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</si>
  <si>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</si>
  <si>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</si>
  <si>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</si>
  <si>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</si>
  <si>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</si>
  <si>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</si>
  <si>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</si>
  <si>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</si>
  <si>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</si>
  <si>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</si>
  <si>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</si>
  <si>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</si>
  <si>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</si>
  <si>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</si>
  <si>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</si>
  <si>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</si>
  <si>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</si>
  <si>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</si>
  <si>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</si>
  <si>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</si>
  <si>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</si>
  <si>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</si>
  <si>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</si>
  <si>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</si>
  <si>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</si>
  <si>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</si>
  <si>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</si>
  <si>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</si>
  <si>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</si>
  <si>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</si>
  <si>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</si>
  <si>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</si>
  <si>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</si>
  <si>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</si>
  <si>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</si>
  <si>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</si>
  <si>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</si>
  <si>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</si>
  <si>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</si>
  <si>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</si>
  <si>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</si>
  <si>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</si>
  <si>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</si>
  <si>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</si>
  <si>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</si>
  <si>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</si>
  <si>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</si>
  <si>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</si>
  <si>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</si>
  <si>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</si>
  <si>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</si>
  <si>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</si>
  <si>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</si>
  <si>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</si>
  <si>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</si>
  <si>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</si>
  <si>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</si>
  <si>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</si>
  <si>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</si>
  <si>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</si>
  <si>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</si>
  <si>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</si>
  <si>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</si>
  <si>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</si>
  <si>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</si>
  <si>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</si>
  <si>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</si>
  <si>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</si>
  <si>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</si>
  <si>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</si>
  <si>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</si>
  <si>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</si>
  <si>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</si>
  <si>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</si>
  <si>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</si>
  <si>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</si>
  <si>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</si>
  <si>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</si>
  <si>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</si>
  <si>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</si>
  <si>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</si>
  <si>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</si>
  <si>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</si>
  <si>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</si>
  <si>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</si>
  <si>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</si>
  <si>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</si>
  <si>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</si>
  <si>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</si>
  <si>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</si>
  <si>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</si>
  <si>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</si>
  <si>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</si>
  <si>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</si>
  <si>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</si>
  <si>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</si>
  <si>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</si>
  <si>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</si>
  <si>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</si>
  <si>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</si>
  <si>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</si>
  <si>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</si>
  <si>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</si>
  <si>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</si>
  <si>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</si>
  <si>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</si>
  <si>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</si>
  <si>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</si>
  <si>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</si>
  <si>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</si>
  <si>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</si>
  <si>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</si>
  <si>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</si>
  <si>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</si>
  <si>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</si>
  <si>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</si>
  <si>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</si>
  <si>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</si>
  <si>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</si>
  <si>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</si>
  <si>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</si>
  <si>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</si>
  <si>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</si>
  <si>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</si>
  <si>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</si>
  <si>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</si>
  <si>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</si>
  <si>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</si>
  <si>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</si>
  <si>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</si>
  <si>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</si>
  <si>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</si>
  <si>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</si>
  <si>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</si>
  <si>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</si>
  <si>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</si>
  <si>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</si>
  <si>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</si>
  <si>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</si>
  <si>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</si>
  <si>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</si>
  <si>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</si>
  <si>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</si>
  <si>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</si>
  <si>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</si>
  <si>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</si>
  <si>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</si>
  <si>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</si>
  <si>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</si>
  <si>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</si>
  <si>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</si>
  <si>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</si>
  <si>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</si>
  <si>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</si>
  <si>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</si>
  <si>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</si>
  <si>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</si>
  <si>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</si>
  <si>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</si>
  <si>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</si>
  <si>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</si>
  <si>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</si>
  <si>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</si>
  <si>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</si>
  <si>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</si>
  <si>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</si>
  <si>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</si>
  <si>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</si>
  <si>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</si>
  <si>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</si>
  <si>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</si>
  <si>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</si>
  <si>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</si>
  <si>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</si>
  <si>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</si>
  <si>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</si>
  <si>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</si>
  <si>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</si>
  <si>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</si>
  <si>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</si>
  <si>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</si>
  <si>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</si>
  <si>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</si>
  <si>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</si>
  <si>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</si>
  <si>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</si>
  <si>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</si>
  <si>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</si>
  <si>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</si>
  <si>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</si>
  <si>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</si>
  <si>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</si>
  <si>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</si>
  <si>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</si>
  <si>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</si>
  <si>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</si>
  <si>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</si>
  <si>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</si>
  <si>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</si>
  <si>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</si>
  <si>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</si>
  <si>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</si>
  <si>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</si>
  <si>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</si>
  <si>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</si>
  <si>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</si>
  <si>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</si>
  <si>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</si>
  <si>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</si>
  <si>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</si>
  <si>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</si>
  <si>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</si>
  <si>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</si>
  <si>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</si>
  <si>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</si>
  <si>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</si>
  <si>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</si>
  <si>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</si>
  <si>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</si>
  <si>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</si>
  <si>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</si>
  <si>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</si>
  <si>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</si>
  <si>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</si>
  <si>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</si>
  <si>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</si>
  <si>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</si>
  <si>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</si>
  <si>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</si>
  <si>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</si>
  <si>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</si>
  <si>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</si>
  <si>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</si>
  <si>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</si>
  <si>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</si>
  <si>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</si>
  <si>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</si>
  <si>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</si>
  <si>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</si>
  <si>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</si>
  <si>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</si>
  <si>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</si>
  <si>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</si>
  <si>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</si>
  <si>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</si>
  <si>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</si>
  <si>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</si>
  <si>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</si>
  <si>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</si>
  <si>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</si>
  <si>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</si>
  <si>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</si>
  <si>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</si>
  <si>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</si>
  <si>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</si>
  <si>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</si>
  <si>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</si>
  <si>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</si>
  <si>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</si>
  <si>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</si>
  <si>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</si>
  <si>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</si>
  <si>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</si>
  <si>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</si>
  <si>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</si>
  <si>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</si>
  <si>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</si>
  <si>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</si>
  <si>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</si>
  <si>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</si>
  <si>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</si>
  <si>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</si>
  <si>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</si>
  <si>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</si>
  <si>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</si>
  <si>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</si>
  <si>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</si>
  <si>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</si>
  <si>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</si>
  <si>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</si>
  <si>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</si>
  <si>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</si>
  <si>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</si>
  <si>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</si>
  <si>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</si>
  <si>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</si>
  <si>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</si>
  <si>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</si>
  <si>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</si>
  <si>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</si>
  <si>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</si>
  <si>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</si>
  <si>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</si>
  <si>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</si>
  <si>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</si>
  <si>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</si>
  <si>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</si>
  <si>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</si>
  <si>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</si>
  <si>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</si>
  <si>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</si>
  <si>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</si>
  <si>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</si>
  <si>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</si>
  <si>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</si>
  <si>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</si>
  <si>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</si>
  <si>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</si>
  <si>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</si>
  <si>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</si>
  <si>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</si>
  <si>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</si>
  <si>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</si>
  <si>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</si>
  <si>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</si>
  <si>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</si>
  <si>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</si>
  <si>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</si>
  <si>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</si>
  <si>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</si>
  <si>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</si>
  <si>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</si>
  <si>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</si>
  <si>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</si>
  <si>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</si>
  <si>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</si>
  <si>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</si>
  <si>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</si>
  <si>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</si>
  <si>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</si>
  <si>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</si>
  <si>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</si>
  <si>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</si>
  <si>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</si>
  <si>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</si>
  <si>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</si>
  <si>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</si>
  <si>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</si>
  <si>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</si>
  <si>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</si>
  <si>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</si>
  <si>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</si>
  <si>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</si>
  <si>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</si>
  <si>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</si>
  <si>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</si>
  <si>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</si>
  <si>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</si>
  <si>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</si>
  <si>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</si>
  <si>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</si>
  <si>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</si>
  <si>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</si>
  <si>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</si>
  <si>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</si>
  <si>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</si>
  <si>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</si>
  <si>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</si>
  <si>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</si>
  <si>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</si>
  <si>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</si>
  <si>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</si>
  <si>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</si>
  <si>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</si>
  <si>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</si>
  <si>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</si>
  <si>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</si>
  <si>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</si>
  <si>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</si>
  <si>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</si>
  <si>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</si>
  <si>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</si>
  <si>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</si>
  <si>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</si>
  <si>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</si>
  <si>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</si>
  <si>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</si>
  <si>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</si>
  <si>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</si>
  <si>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</si>
  <si>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</si>
  <si>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</si>
  <si>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</si>
  <si>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</si>
  <si>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</si>
  <si>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</si>
  <si>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</si>
  <si>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</si>
  <si>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</si>
  <si>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</si>
  <si>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</si>
  <si>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</si>
  <si>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</si>
  <si>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</si>
  <si>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</si>
  <si>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</si>
  <si>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</si>
  <si>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</si>
  <si>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</si>
  <si>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</si>
  <si>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</si>
  <si>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</si>
  <si>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</si>
  <si>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</si>
  <si>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</si>
  <si>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</si>
  <si>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</si>
  <si>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</si>
  <si>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</si>
  <si>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</si>
  <si>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</si>
  <si>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</si>
  <si>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</si>
  <si>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</si>
  <si>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</si>
  <si>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</si>
  <si>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</si>
  <si>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</si>
  <si>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</si>
  <si>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</si>
  <si>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</si>
  <si>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</si>
  <si>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</si>
  <si>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</si>
  <si>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</si>
  <si>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</si>
  <si>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</si>
  <si>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</si>
  <si>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</si>
  <si>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</si>
  <si>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</si>
  <si>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</si>
  <si>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</si>
  <si>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</si>
  <si>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</si>
  <si>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</si>
  <si>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</si>
  <si>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</si>
  <si>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</si>
  <si>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</si>
  <si>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</si>
  <si>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</si>
  <si>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</si>
  <si>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</si>
  <si>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</si>
  <si>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</si>
  <si>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</si>
  <si>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</si>
  <si>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</si>
  <si>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</si>
  <si>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</si>
  <si>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</si>
  <si>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</si>
  <si>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</si>
  <si>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</si>
  <si>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</si>
  <si>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</si>
  <si>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</si>
  <si>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</si>
  <si>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</si>
  <si>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</si>
  <si>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</si>
  <si>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</si>
  <si>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</si>
  <si>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</si>
  <si>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</si>
  <si>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</si>
  <si>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</si>
  <si>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</si>
  <si>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</si>
  <si>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</si>
  <si>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</si>
  <si>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</si>
  <si>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</si>
  <si>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</si>
  <si>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</si>
  <si>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</si>
  <si>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</si>
  <si>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</si>
  <si>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</si>
  <si>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</si>
  <si>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</si>
  <si>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</si>
  <si>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</si>
  <si>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</si>
  <si>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</si>
  <si>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</si>
  <si>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</si>
  <si>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</si>
  <si>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</si>
  <si>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</si>
  <si>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</si>
  <si>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</si>
  <si>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</si>
  <si>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</si>
  <si>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</si>
  <si>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</si>
  <si>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</si>
  <si>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</si>
  <si>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</si>
  <si>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</si>
  <si>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</si>
  <si>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</si>
  <si>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</si>
  <si>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</si>
  <si>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</si>
  <si>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</si>
  <si>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</si>
  <si>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</si>
  <si>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</si>
  <si>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</si>
  <si>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</si>
  <si>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</si>
  <si>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</si>
  <si>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</si>
  <si>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</si>
  <si>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</si>
  <si>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</si>
  <si>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</si>
  <si>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</si>
  <si>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</si>
  <si>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</si>
  <si>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</si>
  <si>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</si>
  <si>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</si>
  <si>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</si>
  <si>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</si>
  <si>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</si>
  <si>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</si>
  <si>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</si>
  <si>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</si>
  <si>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</si>
  <si>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</si>
  <si>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</si>
  <si>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</si>
  <si>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</si>
  <si>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</si>
  <si>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</si>
  <si>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</si>
  <si>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</si>
  <si>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</si>
  <si>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</si>
  <si>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</si>
  <si>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</si>
  <si>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</si>
  <si>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</si>
  <si>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</si>
  <si>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</si>
  <si>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</si>
  <si>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</si>
  <si>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</si>
  <si>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</si>
  <si>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</si>
  <si>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</si>
  <si>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</si>
  <si>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</si>
  <si>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</si>
  <si>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</si>
  <si>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</si>
  <si>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</si>
  <si>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</si>
  <si>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</si>
  <si>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</si>
  <si>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</si>
  <si>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</si>
  <si>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</si>
  <si>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</si>
  <si>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</si>
  <si>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</si>
  <si>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</si>
  <si>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</si>
  <si>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</si>
  <si>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</si>
  <si>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</si>
  <si>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</si>
  <si>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</si>
  <si>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</si>
  <si>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</si>
  <si>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</si>
  <si>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</si>
  <si>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</si>
  <si>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</si>
  <si>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</si>
  <si>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</si>
  <si>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</si>
  <si>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</si>
  <si>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</si>
  <si>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</si>
  <si>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</si>
  <si>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</si>
  <si>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</si>
  <si>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</si>
  <si>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</si>
  <si>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</si>
  <si>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</si>
  <si>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</si>
  <si>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</si>
  <si>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</si>
  <si>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</si>
  <si>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</si>
  <si>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</si>
  <si>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</si>
  <si>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</si>
  <si>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</si>
  <si>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</si>
  <si>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</si>
  <si>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</si>
  <si>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</si>
  <si>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</si>
  <si>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</si>
  <si>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</si>
  <si>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</si>
  <si>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</si>
  <si>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</si>
  <si>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</si>
  <si>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</si>
  <si>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</si>
  <si>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</si>
  <si>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</si>
  <si>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</si>
  <si>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</si>
  <si>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</si>
  <si>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</si>
  <si>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</si>
  <si>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</si>
  <si>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</si>
  <si>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</si>
  <si>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</si>
  <si>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</si>
  <si>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</si>
  <si>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</si>
  <si>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</si>
  <si>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</si>
  <si>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</si>
  <si>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</si>
  <si>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</si>
  <si>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</si>
  <si>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</si>
  <si>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</si>
  <si>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</si>
  <si>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</si>
  <si>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</si>
  <si>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</si>
  <si>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</si>
  <si>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</si>
  <si>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</si>
  <si>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</si>
  <si>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</si>
  <si>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</si>
  <si>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</si>
  <si>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</si>
  <si>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</si>
  <si>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</si>
  <si>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</si>
  <si>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</si>
  <si>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</si>
  <si>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</si>
  <si>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</si>
  <si>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</si>
  <si>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</si>
  <si>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</si>
  <si>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</si>
  <si>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</si>
  <si>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</si>
  <si>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</si>
  <si>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</si>
  <si>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</si>
  <si>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</si>
  <si>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</si>
  <si>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</si>
  <si>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</si>
  <si>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</si>
  <si>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</si>
  <si>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</si>
  <si>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</si>
  <si>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</si>
  <si>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</si>
  <si>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</si>
  <si>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</si>
  <si>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</si>
  <si>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</si>
  <si>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</si>
  <si>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</si>
  <si>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</si>
  <si>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</si>
  <si>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</si>
  <si>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</si>
  <si>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</si>
  <si>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</si>
  <si>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</si>
  <si>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</si>
  <si>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</si>
  <si>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</si>
  <si>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</si>
  <si>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</si>
  <si>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</si>
  <si>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</si>
  <si>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</si>
  <si>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</si>
  <si>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</si>
  <si>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</si>
  <si>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</si>
  <si>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</si>
  <si>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</si>
  <si>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</si>
  <si>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</si>
  <si>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</si>
  <si>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</si>
  <si>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</si>
  <si>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</si>
  <si>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</si>
  <si>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</si>
  <si>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</si>
  <si>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</si>
  <si>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</si>
  <si>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</si>
  <si>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</si>
  <si>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</si>
  <si>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</si>
  <si>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</si>
  <si>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</si>
  <si>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</si>
  <si>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</si>
  <si>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</si>
  <si>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</si>
  <si>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</si>
  <si>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</si>
  <si>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</si>
  <si>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</si>
  <si>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</si>
  <si>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</si>
  <si>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</si>
  <si>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</si>
  <si>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</si>
  <si>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</si>
  <si>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</si>
  <si>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</si>
  <si>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</si>
  <si>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</si>
  <si>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</si>
  <si>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</si>
  <si>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</si>
  <si>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</si>
  <si>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</si>
  <si>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</si>
  <si>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</si>
  <si>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</si>
  <si>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</si>
  <si>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</si>
  <si>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</si>
  <si>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</si>
  <si>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</si>
  <si>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</si>
  <si>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</si>
  <si>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</si>
  <si>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</si>
  <si>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</si>
  <si>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</si>
  <si>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</si>
  <si>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</si>
  <si>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</si>
  <si>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</si>
  <si>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</si>
  <si>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</si>
  <si>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</si>
  <si>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</si>
  <si>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</si>
  <si>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</si>
  <si>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</si>
  <si>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</si>
  <si>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</si>
  <si>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</si>
  <si>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</si>
  <si>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</si>
  <si>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</si>
  <si>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</si>
  <si>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</si>
  <si>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</si>
  <si>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</si>
  <si>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</si>
  <si>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</si>
  <si>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</si>
  <si>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</si>
  <si>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</si>
  <si>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</si>
  <si>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</si>
  <si>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</si>
  <si>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</si>
  <si>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</si>
  <si>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</si>
  <si>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</si>
  <si>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</si>
  <si>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</si>
  <si>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</si>
  <si>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</si>
  <si>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</si>
  <si>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</si>
  <si>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</si>
  <si>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</si>
  <si>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</si>
  <si>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</si>
  <si>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</si>
  <si>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</si>
  <si>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</si>
  <si>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</si>
  <si>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</si>
  <si>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</si>
  <si>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</si>
  <si>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</si>
  <si>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</si>
  <si>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</si>
  <si>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</si>
  <si>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</si>
  <si>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</si>
  <si>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</si>
  <si>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</si>
  <si>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</si>
  <si>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</si>
  <si>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</si>
  <si>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</si>
  <si>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</si>
  <si>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</si>
  <si>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</si>
  <si>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</si>
  <si>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</si>
  <si>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</si>
  <si>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</si>
  <si>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</si>
  <si>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</si>
  <si>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</si>
  <si>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</si>
  <si>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</si>
  <si>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</si>
  <si>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</si>
  <si>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</si>
  <si>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</si>
  <si>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</si>
  <si>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</si>
  <si>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</si>
  <si>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</si>
  <si>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</si>
  <si>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</si>
  <si>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</si>
  <si>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</si>
  <si>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</si>
  <si>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</si>
  <si>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</si>
  <si>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</si>
  <si>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</si>
  <si>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</si>
  <si>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</si>
  <si>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</si>
  <si>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</si>
  <si>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</si>
  <si>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</si>
  <si>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</si>
  <si>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</si>
  <si>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</si>
  <si>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</si>
  <si>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</si>
  <si>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</si>
  <si>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</si>
  <si>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</si>
  <si>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</si>
  <si>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</si>
  <si>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</si>
  <si>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</si>
  <si>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</si>
  <si>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</si>
  <si>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</si>
  <si>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</si>
  <si>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</si>
  <si>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</si>
  <si>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</si>
  <si>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</si>
  <si>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</si>
  <si>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</si>
  <si>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</si>
  <si>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</si>
  <si>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</si>
  <si>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</si>
  <si>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</si>
  <si>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</si>
  <si>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</si>
  <si>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</si>
  <si>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</si>
  <si>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</si>
  <si>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</si>
  <si>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</si>
  <si>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</si>
  <si>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</si>
  <si>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</si>
  <si>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</si>
  <si>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</si>
  <si>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</si>
  <si>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</si>
  <si>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</si>
  <si>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</si>
  <si>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</si>
  <si>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</si>
  <si>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</si>
  <si>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</si>
  <si>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</si>
  <si>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</si>
  <si>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</si>
  <si>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</si>
  <si>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</si>
  <si>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</si>
  <si>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</si>
  <si>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</si>
  <si>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</si>
  <si>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</si>
  <si>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</si>
  <si>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</si>
  <si>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</si>
  <si>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</si>
  <si>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</si>
  <si>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</si>
  <si>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</si>
  <si>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</si>
  <si>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</si>
  <si>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</si>
  <si>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</si>
  <si>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</si>
  <si>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</si>
  <si>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</si>
  <si>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</si>
  <si>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</si>
  <si>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</si>
  <si>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</si>
  <si>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</si>
  <si>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</si>
  <si>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</si>
  <si>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</si>
  <si>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</si>
  <si>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</si>
  <si>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</si>
  <si>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</si>
  <si>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</si>
  <si>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</si>
  <si>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</si>
  <si>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</si>
  <si>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</si>
  <si>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</si>
  <si>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</si>
  <si>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</si>
  <si>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</si>
  <si>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</si>
  <si>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</si>
  <si>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</si>
  <si>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</si>
  <si>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</si>
  <si>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</si>
  <si>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</si>
  <si>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</si>
  <si>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</si>
  <si>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</si>
  <si>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</si>
  <si>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</si>
  <si>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</si>
  <si>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</si>
  <si>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</si>
  <si>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</si>
  <si>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</si>
  <si>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</si>
  <si>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</si>
  <si>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</si>
  <si>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</si>
  <si>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</si>
  <si>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</si>
  <si>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</si>
  <si>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</si>
  <si>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</si>
  <si>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</si>
  <si>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</si>
  <si>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</si>
  <si>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</si>
  <si>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</si>
  <si>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</si>
  <si>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</si>
  <si>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</si>
  <si>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</si>
  <si>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</si>
  <si>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</si>
  <si>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</si>
  <si>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</si>
  <si>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</si>
  <si>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</si>
  <si>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</si>
  <si>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</si>
  <si>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</si>
  <si>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</si>
  <si>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</si>
  <si>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</si>
  <si>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</si>
  <si>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</si>
  <si>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</si>
  <si>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</si>
  <si>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</si>
  <si>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</si>
  <si>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</si>
  <si>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</si>
  <si>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</si>
  <si>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</si>
  <si>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</si>
  <si>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</si>
  <si>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</si>
  <si>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</si>
  <si>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</si>
  <si>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</si>
  <si>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</si>
  <si>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</si>
  <si>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</si>
  <si>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</si>
  <si>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</si>
  <si>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</si>
  <si>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</si>
  <si>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</si>
  <si>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</si>
  <si>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</si>
  <si>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</si>
  <si>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</si>
  <si>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</si>
  <si>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</si>
  <si>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</si>
  <si>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</si>
  <si>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</si>
  <si>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</si>
  <si>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</si>
  <si>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</si>
  <si>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</si>
  <si>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</si>
  <si>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</si>
  <si>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</si>
  <si>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</si>
  <si>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</si>
  <si>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</si>
  <si>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</si>
  <si>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</si>
  <si>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</si>
  <si>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</si>
  <si>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</si>
  <si>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</si>
  <si>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</si>
  <si>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</si>
  <si>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</si>
  <si>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</si>
  <si>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</si>
  <si>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</si>
  <si>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</si>
  <si>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</si>
  <si>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</si>
  <si>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</si>
  <si>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</si>
  <si>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</si>
  <si>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</si>
  <si>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</si>
  <si>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</si>
  <si>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</si>
  <si>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</si>
  <si>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</si>
  <si>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</si>
  <si>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</si>
  <si>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</si>
  <si>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</si>
  <si>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</si>
  <si>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</si>
  <si>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</si>
  <si>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</si>
  <si>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</si>
  <si>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</si>
  <si>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</si>
  <si>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</si>
  <si>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</si>
  <si>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</si>
  <si>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</si>
  <si>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</si>
  <si>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</si>
  <si>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</si>
  <si>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</si>
  <si>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</si>
  <si>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</si>
  <si>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</si>
  <si>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</si>
  <si>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</si>
  <si>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</si>
  <si>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</si>
  <si>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</si>
  <si>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</si>
  <si>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</si>
  <si>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</si>
  <si>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</si>
  <si>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</si>
  <si>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</si>
  <si>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</si>
  <si>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</si>
  <si>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</si>
  <si>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</si>
  <si>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</si>
  <si>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</si>
  <si>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</si>
  <si>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</si>
  <si>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</si>
  <si>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</si>
  <si>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</si>
  <si>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</si>
  <si>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</si>
  <si>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</si>
  <si>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</si>
  <si>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</si>
  <si>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</si>
  <si>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</si>
  <si>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</si>
  <si>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</si>
  <si>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</si>
  <si>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</si>
  <si>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</si>
  <si>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</si>
  <si>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</si>
  <si>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</si>
  <si>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</si>
  <si>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</si>
  <si>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</si>
  <si>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</si>
  <si>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</si>
  <si>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</si>
  <si>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</si>
  <si>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</si>
  <si>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</si>
  <si>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</si>
  <si>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</si>
  <si>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</si>
  <si>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</si>
  <si>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</si>
  <si>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</si>
  <si>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</si>
  <si>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</si>
  <si>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</si>
  <si>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</si>
  <si>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</si>
  <si>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</si>
  <si>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</si>
  <si>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</si>
  <si>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</si>
  <si>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</si>
  <si>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</si>
  <si>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</si>
  <si>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</si>
  <si>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</si>
  <si>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</si>
  <si>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</si>
  <si>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</si>
  <si>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</si>
  <si>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</si>
  <si>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</si>
  <si>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</si>
  <si>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</si>
  <si>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</si>
  <si>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</si>
  <si>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</si>
  <si>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</si>
  <si>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</si>
  <si>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</si>
  <si>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</si>
  <si>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</si>
  <si>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</si>
  <si>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</si>
  <si>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</si>
  <si>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</si>
  <si>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</si>
  <si>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</si>
  <si>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</si>
  <si>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</si>
  <si>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</si>
  <si>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</si>
  <si>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</si>
  <si>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</si>
  <si>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</si>
  <si>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</si>
  <si>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</si>
  <si>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</si>
  <si>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</si>
  <si>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</si>
  <si>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</si>
  <si>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</si>
  <si>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</si>
  <si>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</si>
  <si>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</si>
  <si>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</si>
  <si>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</si>
  <si>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</si>
  <si>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</si>
  <si>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</si>
  <si>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</si>
  <si>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</si>
  <si>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</si>
  <si>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</si>
  <si>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</si>
  <si>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</si>
  <si>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</si>
  <si>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</si>
  <si>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</si>
  <si>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</si>
  <si>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</si>
  <si>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</si>
  <si>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</si>
  <si>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</si>
  <si>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</si>
  <si>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</si>
  <si>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</si>
  <si>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</si>
  <si>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</si>
  <si>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</si>
  <si>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</si>
  <si>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</si>
  <si>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</si>
  <si>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</si>
  <si>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</si>
  <si>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</si>
  <si>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</si>
  <si>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</si>
  <si>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</si>
  <si>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</si>
  <si>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</si>
  <si>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</si>
  <si>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</si>
  <si>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</si>
  <si>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</si>
  <si>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</si>
  <si>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</si>
  <si>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</si>
  <si>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</si>
  <si>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</si>
  <si>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</si>
  <si>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</si>
  <si>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</si>
  <si>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</si>
  <si>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</si>
  <si>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</si>
  <si>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</si>
  <si>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</si>
  <si>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</si>
  <si>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</si>
  <si>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</si>
  <si>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</si>
  <si>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</si>
  <si>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</si>
  <si>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</si>
  <si>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</si>
  <si>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</si>
  <si>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</si>
  <si>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</si>
  <si>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</si>
  <si>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</si>
  <si>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</si>
  <si>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</si>
  <si>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</si>
  <si>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</si>
  <si>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</si>
  <si>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</si>
  <si>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</si>
  <si>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</si>
  <si>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</si>
  <si>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</si>
  <si>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</si>
  <si>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</si>
  <si>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</si>
  <si>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</si>
  <si>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</si>
  <si>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</si>
  <si>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</si>
  <si>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</si>
  <si>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</si>
  <si>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</si>
  <si>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</si>
  <si>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</si>
  <si>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</si>
  <si>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</si>
  <si>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</si>
  <si>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</si>
  <si>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</si>
  <si>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</si>
  <si>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</si>
  <si>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</si>
  <si>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</si>
  <si>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</si>
  <si>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</si>
  <si>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</si>
  <si>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</si>
  <si>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</si>
  <si>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</si>
  <si>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</si>
  <si>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</si>
  <si>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</si>
  <si>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</si>
  <si>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</si>
  <si>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</si>
  <si>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</si>
  <si>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</si>
  <si>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</si>
  <si>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</si>
  <si>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</si>
  <si>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</si>
  <si>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</si>
  <si>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</si>
  <si>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</si>
  <si>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</si>
  <si>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</si>
  <si>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</si>
  <si>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</si>
  <si>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</si>
  <si>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</si>
  <si>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</si>
  <si>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</si>
  <si>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</si>
  <si>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</si>
  <si>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</si>
  <si>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</si>
  <si>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</si>
  <si>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</si>
  <si>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</si>
  <si>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</si>
  <si>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</si>
  <si>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</si>
  <si>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</si>
  <si>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</si>
  <si>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</si>
  <si>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</si>
  <si>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</si>
  <si>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</si>
  <si>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</si>
  <si>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</si>
  <si>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</si>
  <si>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</si>
  <si>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</si>
  <si>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</si>
  <si>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</si>
  <si>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</si>
  <si>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</si>
  <si>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</si>
  <si>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</si>
  <si>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</si>
  <si>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</si>
  <si>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</si>
  <si>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</si>
  <si>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</si>
  <si>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</si>
  <si>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</si>
  <si>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</si>
  <si>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</si>
  <si>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</si>
  <si>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</si>
  <si>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</si>
  <si>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</si>
  <si>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</si>
  <si>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</si>
  <si>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</si>
  <si>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</si>
  <si>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</si>
  <si>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</si>
  <si>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</si>
  <si>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</si>
  <si>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</si>
  <si>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</si>
  <si>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</si>
  <si>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</si>
  <si>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</si>
  <si>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</si>
  <si>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</si>
  <si>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</si>
  <si>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</si>
  <si>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</si>
  <si>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</si>
  <si>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</si>
  <si>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</si>
  <si>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</si>
  <si>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</si>
  <si>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</si>
  <si>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</si>
  <si>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</si>
  <si>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</si>
  <si>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</si>
  <si>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</si>
  <si>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</si>
  <si>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</si>
  <si>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</si>
  <si>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</si>
  <si>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</si>
  <si>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</si>
  <si>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</si>
  <si>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</si>
  <si>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</si>
  <si>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</si>
  <si>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</si>
  <si>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</si>
  <si>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</si>
  <si>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</si>
  <si>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</si>
  <si>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</si>
  <si>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</si>
  <si>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</si>
  <si>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</si>
  <si>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</si>
  <si>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</si>
  <si>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</si>
  <si>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</si>
  <si>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</si>
  <si>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</si>
  <si>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</si>
  <si>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</si>
  <si>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</si>
  <si>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</si>
  <si>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</si>
  <si>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</si>
  <si>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</si>
  <si>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</si>
  <si>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</si>
  <si>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</si>
  <si>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</si>
  <si>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</si>
  <si>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</si>
  <si>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</si>
  <si>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</si>
  <si>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</si>
  <si>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</si>
  <si>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</si>
  <si>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</si>
  <si>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</si>
  <si>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</si>
  <si>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</si>
  <si>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</si>
  <si>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</si>
  <si>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</si>
  <si>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</si>
  <si>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</si>
  <si>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</si>
  <si>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</si>
  <si>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</si>
  <si>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</si>
  <si>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</si>
  <si>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</si>
  <si>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</si>
  <si>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</si>
  <si>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</si>
  <si>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</si>
  <si>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</si>
  <si>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</si>
  <si>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</si>
  <si>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</si>
  <si>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</si>
  <si>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</si>
  <si>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</si>
  <si>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</si>
  <si>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</si>
  <si>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</si>
  <si>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</si>
  <si>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</si>
  <si>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</si>
  <si>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</si>
  <si>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</si>
  <si>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</si>
  <si>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</si>
  <si>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</si>
  <si>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</si>
  <si>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</si>
  <si>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</si>
  <si>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</si>
  <si>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</si>
  <si>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</si>
  <si>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</si>
  <si>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</si>
  <si>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</si>
  <si>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</si>
  <si>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</si>
  <si>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</si>
  <si>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</si>
  <si>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</si>
  <si>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</si>
  <si>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</si>
  <si>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</si>
  <si>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</si>
  <si>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</si>
  <si>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</si>
  <si>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</si>
  <si>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</si>
  <si>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</si>
  <si>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</si>
  <si>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</si>
  <si>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</si>
  <si>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</si>
  <si>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</si>
  <si>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</si>
  <si>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</si>
  <si>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</si>
  <si>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</si>
  <si>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</si>
  <si>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</si>
  <si>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</si>
  <si>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</si>
  <si>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</si>
  <si>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</si>
  <si>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</si>
  <si>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</si>
  <si>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</si>
  <si>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</si>
  <si>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</si>
  <si>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</si>
  <si>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</si>
  <si>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</si>
  <si>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</si>
  <si>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</si>
  <si>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</si>
  <si>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</si>
  <si>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</si>
  <si>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</si>
  <si>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</si>
  <si>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</si>
  <si>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</si>
  <si>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</si>
  <si>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</si>
  <si>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</si>
  <si>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</si>
  <si>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</si>
  <si>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</si>
  <si>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</si>
  <si>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</si>
  <si>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</si>
  <si>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</si>
  <si>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</si>
  <si>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</si>
  <si>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</si>
  <si>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</si>
  <si>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</si>
  <si>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</si>
  <si>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</si>
  <si>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</si>
  <si>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</si>
  <si>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</si>
  <si>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</si>
  <si>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</si>
  <si>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</si>
  <si>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</si>
  <si>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</si>
  <si>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</si>
  <si>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</si>
  <si>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</si>
  <si>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</si>
  <si>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</si>
  <si>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</si>
  <si>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</si>
  <si>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</si>
  <si>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</si>
  <si>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</si>
  <si>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</si>
  <si>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</si>
  <si>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</si>
  <si>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</si>
  <si>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</si>
  <si>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</si>
  <si>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</si>
  <si>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</si>
  <si>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</si>
  <si>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</si>
  <si>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</si>
  <si>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</si>
  <si>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</si>
  <si>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</si>
  <si>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</si>
  <si>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</si>
  <si>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</si>
  <si>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</si>
  <si>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</si>
  <si>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</si>
  <si>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</si>
  <si>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</si>
  <si>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</si>
  <si>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</si>
  <si>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</si>
  <si>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</si>
  <si>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</si>
  <si>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</si>
  <si>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</si>
  <si>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</si>
  <si>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</si>
  <si>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</si>
  <si>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</si>
  <si>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</si>
  <si>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</si>
  <si>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</si>
  <si>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</si>
  <si>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</si>
  <si>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</si>
  <si>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</si>
  <si>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</si>
  <si>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</si>
  <si>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</si>
  <si>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</si>
  <si>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</si>
  <si>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</si>
  <si>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</si>
  <si>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</si>
  <si>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</si>
  <si>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</si>
  <si>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</si>
  <si>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</si>
  <si>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</si>
  <si>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</si>
  <si>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</si>
  <si>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</si>
  <si>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</si>
  <si>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</si>
  <si>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</si>
  <si>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</si>
  <si>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</si>
  <si>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</si>
  <si>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</si>
  <si>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</si>
  <si>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</si>
  <si>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</si>
  <si>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</si>
  <si>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</si>
  <si>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</si>
  <si>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</si>
  <si>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</si>
  <si>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</si>
  <si>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</si>
  <si>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</si>
  <si>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</si>
  <si>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</si>
  <si>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</si>
  <si>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</si>
  <si>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</si>
  <si>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</si>
  <si>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</si>
  <si>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</si>
  <si>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</si>
  <si>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</si>
  <si>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</si>
  <si>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</si>
  <si>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</si>
  <si>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</si>
  <si>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</si>
  <si>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</si>
  <si>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</si>
  <si>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</si>
  <si>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</si>
  <si>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</si>
  <si>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</si>
  <si>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</si>
  <si>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</si>
  <si>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</si>
  <si>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</si>
  <si>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</si>
  <si>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</si>
  <si>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</si>
  <si>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</si>
  <si>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</si>
  <si>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</si>
  <si>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</si>
  <si>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</si>
  <si>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</si>
  <si>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</si>
  <si>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</si>
  <si>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</si>
  <si>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</si>
  <si>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</si>
  <si>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</si>
  <si>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</si>
  <si>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</si>
  <si>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</si>
  <si>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</si>
  <si>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</si>
  <si>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</si>
  <si>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</si>
  <si>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</si>
  <si>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</si>
  <si>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</si>
  <si>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</si>
  <si>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</si>
  <si>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</si>
  <si>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</si>
  <si>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</si>
  <si>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</si>
  <si>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</si>
  <si>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</si>
  <si>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</si>
  <si>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</si>
  <si>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</si>
  <si>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</si>
  <si>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</si>
  <si>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</si>
  <si>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</si>
  <si>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</si>
  <si>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</si>
  <si>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</si>
  <si>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</si>
  <si>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</si>
  <si>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</si>
  <si>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</si>
  <si>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</si>
  <si>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</si>
  <si>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</si>
  <si>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</si>
  <si>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</si>
  <si>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</si>
  <si>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</si>
  <si>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</si>
  <si>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</si>
  <si>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</si>
  <si>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</si>
  <si>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</si>
  <si>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</si>
  <si>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</si>
  <si>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</si>
  <si>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</si>
  <si>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</si>
  <si>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</si>
  <si>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</si>
  <si>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</si>
  <si>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</si>
  <si>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</si>
  <si>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</si>
  <si>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</si>
  <si>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</si>
  <si>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</si>
  <si>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</si>
  <si>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</si>
  <si>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</si>
  <si>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</si>
  <si>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</si>
  <si>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</si>
  <si>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</si>
  <si>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</si>
  <si>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</si>
  <si>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</si>
  <si>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</si>
  <si>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</si>
  <si>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</si>
  <si>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</si>
  <si>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</si>
  <si>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</si>
  <si>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</si>
  <si>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</si>
  <si>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</si>
  <si>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</si>
  <si>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</si>
  <si>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</si>
  <si>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</si>
  <si>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</si>
  <si>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</si>
  <si>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</si>
  <si>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</si>
  <si>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</si>
  <si>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</si>
  <si>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</si>
  <si>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</si>
  <si>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</si>
  <si>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</si>
  <si>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</si>
  <si>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</si>
  <si>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</si>
  <si>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</si>
  <si>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</si>
  <si>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</si>
  <si>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</si>
  <si>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</si>
  <si>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</si>
  <si>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</si>
  <si>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</si>
  <si>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</si>
  <si>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</si>
  <si>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</si>
  <si>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</si>
  <si>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</si>
  <si>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</si>
  <si>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</si>
  <si>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</si>
  <si>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</si>
  <si>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</si>
  <si>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</si>
  <si>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</si>
  <si>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</si>
  <si>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</si>
  <si>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</si>
  <si>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</si>
  <si>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</si>
  <si>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</si>
  <si>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</si>
  <si>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</si>
  <si>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</si>
  <si>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</si>
  <si>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</si>
  <si>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</si>
  <si>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</si>
  <si>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</si>
  <si>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</si>
  <si>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</si>
  <si>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</si>
  <si>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</si>
  <si>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</si>
  <si>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</si>
  <si>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</si>
  <si>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</si>
  <si>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</si>
  <si>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</si>
  <si>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</si>
  <si>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</si>
  <si>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</si>
  <si>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</si>
  <si>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</si>
  <si>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</si>
  <si>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</si>
  <si>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</si>
  <si>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</si>
  <si>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</si>
  <si>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</si>
  <si>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</si>
  <si>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</si>
  <si>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</si>
  <si>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</si>
  <si>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</si>
  <si>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</si>
  <si>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</si>
  <si>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</si>
  <si>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</si>
  <si>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</si>
  <si>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</si>
  <si>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</si>
  <si>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</si>
  <si>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</si>
  <si>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</si>
  <si>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</si>
  <si>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</si>
  <si>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</si>
  <si>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</si>
  <si>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</si>
  <si>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</si>
  <si>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</si>
  <si>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</si>
  <si>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</si>
  <si>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</si>
  <si>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</si>
  <si>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</si>
  <si>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</si>
  <si>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</si>
  <si>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</si>
  <si>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</si>
  <si>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</si>
  <si>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</si>
  <si>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</si>
  <si>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</si>
  <si>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</si>
  <si>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</si>
  <si>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</si>
  <si>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</si>
  <si>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</si>
  <si>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</si>
  <si>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</si>
  <si>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</si>
  <si>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</si>
  <si>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</si>
  <si>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</si>
  <si>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</si>
  <si>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</si>
  <si>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</si>
  <si>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</si>
  <si>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</si>
  <si>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</si>
  <si>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</si>
  <si>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</si>
  <si>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</si>
  <si>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</si>
  <si>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</si>
  <si>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</si>
  <si>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</si>
  <si>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</si>
  <si>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</si>
  <si>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</si>
  <si>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</si>
  <si>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</si>
  <si>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</si>
  <si>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</si>
  <si>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</si>
  <si>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</si>
  <si>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</si>
  <si>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</si>
  <si>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</si>
  <si>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</si>
  <si>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</si>
  <si>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</si>
  <si>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</si>
  <si>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</si>
  <si>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</si>
  <si>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</si>
  <si>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</si>
  <si>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</si>
  <si>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</si>
  <si>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</si>
  <si>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</si>
  <si>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</si>
  <si>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</si>
  <si>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</si>
  <si>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</si>
  <si>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</si>
  <si>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</si>
  <si>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</si>
  <si>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</si>
  <si>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</si>
  <si>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</si>
  <si>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</si>
  <si>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</si>
  <si>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</si>
  <si>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</si>
  <si>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</si>
  <si>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</si>
  <si>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</si>
  <si>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</si>
  <si>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</si>
  <si>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</si>
  <si>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</si>
  <si>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</si>
  <si>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</si>
  <si>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</si>
  <si>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</si>
  <si>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</si>
  <si>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</si>
  <si>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</si>
  <si>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</si>
  <si>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</si>
  <si>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</si>
  <si>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</si>
  <si>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</si>
  <si>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</si>
  <si>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</si>
  <si>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</si>
  <si>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</si>
  <si>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</si>
  <si>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</si>
  <si>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</si>
  <si>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</si>
  <si>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</si>
  <si>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</si>
  <si>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</si>
  <si>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</si>
  <si>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</si>
  <si>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</si>
  <si>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</si>
  <si>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</si>
  <si>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</si>
  <si>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</si>
  <si>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</si>
  <si>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</si>
  <si>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</si>
  <si>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</si>
  <si>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</si>
  <si>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</si>
  <si>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</si>
  <si>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</si>
  <si>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</si>
  <si>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</si>
  <si>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</si>
  <si>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</si>
  <si>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</si>
  <si>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</si>
  <si>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</si>
  <si>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</si>
  <si>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</si>
  <si>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</si>
  <si>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</si>
  <si>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</si>
  <si>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</si>
  <si>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</si>
  <si>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</si>
  <si>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</si>
  <si>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</si>
  <si>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</si>
  <si>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</si>
  <si>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</si>
  <si>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</si>
  <si>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</si>
  <si>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</si>
  <si>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</si>
  <si>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</si>
  <si>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</si>
  <si>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</si>
  <si>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</si>
  <si>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</si>
  <si>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</si>
  <si>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</si>
  <si>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</si>
  <si>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</si>
  <si>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</si>
  <si>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</si>
  <si>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</si>
  <si>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</si>
  <si>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</si>
  <si>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</si>
  <si>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</si>
  <si>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</si>
  <si>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</si>
  <si>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</si>
  <si>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</si>
  <si>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</si>
  <si>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</si>
  <si>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</si>
  <si>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</si>
  <si>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</si>
  <si>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</si>
  <si>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</si>
  <si>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</si>
  <si>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</si>
  <si>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</si>
  <si>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</si>
  <si>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</si>
  <si>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</si>
  <si>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</si>
  <si>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</si>
  <si>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</si>
  <si>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</si>
  <si>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</si>
  <si>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</si>
  <si>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</si>
  <si>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</si>
  <si>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</si>
  <si>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</si>
  <si>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</si>
  <si>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</si>
  <si>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</si>
  <si>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</si>
  <si>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</si>
  <si>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</si>
  <si>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</si>
  <si>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</si>
  <si>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</si>
  <si>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</si>
  <si>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</si>
  <si>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</si>
  <si>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</si>
  <si>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</si>
  <si>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</si>
  <si>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</si>
  <si>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</si>
  <si>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</si>
  <si>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</si>
  <si>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</si>
  <si>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</si>
  <si>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</si>
  <si>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</si>
  <si>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</si>
  <si>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</si>
  <si>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</si>
  <si>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</si>
  <si>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</si>
  <si>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</si>
  <si>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</si>
  <si>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</si>
  <si>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</si>
  <si>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</si>
  <si>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</si>
  <si>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</si>
  <si>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</si>
  <si>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</si>
  <si>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</si>
  <si>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</si>
  <si>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</si>
  <si>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</si>
  <si>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</si>
  <si>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</si>
  <si>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</si>
  <si>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</si>
  <si>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</si>
  <si>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</si>
  <si>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</si>
  <si>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</si>
  <si>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</si>
  <si>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</si>
  <si>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</si>
  <si>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</si>
  <si>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</si>
  <si>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</si>
  <si>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</si>
  <si>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</si>
  <si>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</si>
  <si>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</si>
  <si>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</si>
  <si>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</si>
  <si>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</si>
  <si>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</si>
  <si>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</si>
  <si>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</si>
  <si>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</si>
  <si>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</si>
  <si>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</si>
  <si>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</si>
  <si>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</si>
  <si>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</si>
  <si>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</si>
  <si>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</si>
  <si>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</si>
  <si>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</si>
  <si>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</si>
  <si>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</si>
  <si>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</si>
  <si>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</si>
  <si>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</si>
  <si>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</si>
  <si>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</si>
  <si>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</si>
  <si>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</si>
  <si>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</si>
  <si>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</si>
  <si>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</si>
  <si>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</si>
  <si>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</si>
  <si>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</si>
  <si>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</si>
  <si>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</si>
  <si>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</si>
  <si>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</si>
  <si>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</si>
  <si>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</si>
  <si>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</si>
  <si>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</si>
  <si>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</si>
  <si>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</si>
  <si>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</si>
  <si>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</si>
  <si>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</si>
  <si>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</si>
  <si>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</si>
  <si>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</si>
  <si>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</si>
  <si>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</si>
  <si>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</si>
  <si>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</si>
  <si>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</si>
  <si>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</si>
  <si>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</si>
  <si>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</si>
  <si>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</si>
  <si>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</si>
  <si>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</si>
  <si>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</si>
  <si>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</si>
  <si>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</si>
  <si>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</si>
  <si>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</si>
  <si>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</si>
  <si>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</si>
  <si>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</si>
  <si>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</si>
  <si>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</si>
  <si>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</si>
  <si>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</si>
  <si>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</si>
  <si>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</si>
  <si>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</si>
  <si>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</si>
  <si>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</si>
  <si>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</si>
  <si>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</si>
  <si>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</si>
  <si>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</si>
  <si>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</si>
  <si>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</si>
  <si>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</si>
  <si>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</si>
  <si>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</si>
  <si>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</si>
  <si>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</si>
  <si>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</si>
  <si>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</si>
  <si>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</si>
  <si>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</si>
  <si>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</si>
  <si>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</si>
  <si>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</si>
  <si>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</si>
  <si>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</si>
  <si>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</si>
  <si>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</si>
  <si>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</si>
  <si>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</si>
  <si>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</si>
  <si>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</si>
  <si>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</si>
  <si>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</si>
  <si>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</si>
  <si>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</si>
  <si>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</si>
  <si>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</si>
  <si>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</si>
  <si>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</si>
  <si>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</si>
  <si>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</si>
  <si>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</si>
  <si>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</si>
  <si>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</si>
  <si>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</si>
  <si>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</si>
  <si>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</si>
  <si>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</si>
  <si>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</si>
  <si>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</si>
  <si>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</si>
  <si>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</si>
  <si>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</si>
  <si>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</si>
  <si>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</si>
  <si>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</si>
  <si>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</si>
  <si>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</si>
  <si>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</si>
  <si>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</si>
  <si>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</si>
  <si>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</si>
  <si>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</si>
  <si>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</si>
  <si>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</si>
  <si>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</si>
  <si>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</si>
  <si>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</si>
  <si>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</si>
  <si>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</si>
  <si>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</si>
  <si>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</si>
  <si>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</si>
  <si>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</si>
  <si>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</si>
  <si>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</si>
  <si>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</si>
  <si>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</si>
  <si>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</si>
  <si>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</si>
  <si>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</si>
  <si>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</si>
  <si>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</si>
  <si>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</si>
  <si>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</si>
  <si>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</si>
  <si>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</si>
  <si>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</si>
  <si>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</si>
  <si>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</si>
  <si>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</si>
  <si>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</si>
  <si>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</si>
  <si>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</si>
  <si>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</si>
  <si>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</si>
  <si>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</si>
  <si>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</si>
  <si>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</si>
  <si>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</si>
  <si>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</si>
  <si>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</si>
  <si>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</si>
  <si>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</si>
  <si>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</si>
  <si>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</si>
  <si>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</si>
  <si>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</si>
  <si>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</si>
  <si>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</si>
  <si>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</si>
  <si>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</si>
  <si>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</si>
  <si>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</si>
  <si>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</si>
  <si>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</si>
  <si>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</si>
  <si>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</si>
  <si>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</si>
  <si>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</si>
  <si>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</si>
  <si>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</si>
  <si>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</si>
  <si>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</si>
  <si>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</si>
  <si>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</si>
  <si>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</si>
  <si>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</si>
  <si>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</si>
  <si>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</si>
  <si>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</si>
  <si>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</si>
  <si>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</si>
  <si>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</si>
  <si>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</si>
  <si>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</si>
  <si>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</si>
  <si>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</si>
  <si>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</si>
  <si>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</si>
  <si>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</si>
  <si>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</si>
  <si>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</si>
  <si>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</si>
  <si>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</si>
  <si>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</si>
  <si>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</si>
  <si>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</si>
  <si>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</si>
  <si>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</si>
  <si>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</si>
  <si>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</si>
  <si>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</si>
  <si>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</si>
  <si>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</si>
  <si>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</si>
  <si>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</si>
  <si>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</si>
  <si>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</si>
  <si>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</si>
  <si>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</si>
  <si>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</si>
  <si>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</si>
  <si>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</si>
  <si>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</si>
  <si>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</si>
  <si>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</si>
  <si>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</si>
  <si>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</si>
  <si>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</si>
  <si>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</si>
  <si>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</si>
  <si>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</si>
  <si>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</si>
  <si>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</si>
  <si>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</si>
  <si>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</si>
  <si>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</si>
  <si>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</si>
  <si>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</si>
  <si>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</si>
  <si>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</si>
  <si>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</si>
  <si>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</si>
  <si>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</si>
  <si>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</si>
  <si>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</si>
  <si>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</si>
  <si>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</si>
  <si>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</si>
  <si>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</si>
  <si>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</si>
  <si>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</si>
  <si>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</si>
  <si>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</si>
  <si>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</si>
  <si>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</si>
  <si>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</si>
  <si>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</si>
  <si>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</si>
  <si>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</si>
  <si>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</si>
  <si>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</si>
  <si>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</si>
  <si>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</si>
  <si>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</si>
  <si>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</si>
  <si>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</si>
  <si>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</si>
  <si>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</si>
  <si>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</si>
  <si>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</si>
  <si>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</si>
  <si>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</si>
  <si>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</si>
  <si>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</si>
  <si>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</si>
  <si>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</si>
  <si>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</si>
  <si>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</si>
  <si>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</si>
  <si>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</si>
  <si>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</si>
  <si>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</si>
  <si>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</si>
  <si>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</si>
  <si>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</si>
  <si>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</si>
  <si>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</si>
  <si>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</si>
  <si>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</si>
  <si>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</si>
  <si>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</si>
  <si>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</si>
  <si>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</si>
  <si>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</si>
  <si>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</si>
  <si>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</si>
  <si>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</si>
  <si>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</si>
  <si>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</si>
  <si>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</si>
  <si>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</si>
  <si>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</si>
  <si>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</si>
  <si>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</si>
  <si>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</si>
  <si>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</si>
  <si>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</si>
  <si>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</si>
  <si>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</si>
  <si>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</si>
  <si>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</si>
  <si>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</si>
  <si>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</si>
  <si>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</si>
  <si>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</si>
  <si>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</si>
  <si>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</si>
  <si>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</si>
  <si>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</si>
  <si>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</si>
  <si>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</si>
  <si>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</si>
  <si>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</si>
  <si>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</si>
  <si>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</si>
  <si>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</si>
  <si>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</si>
  <si>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</si>
  <si>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</si>
  <si>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</si>
  <si>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</si>
  <si>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</si>
  <si>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</si>
  <si>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</si>
  <si>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</si>
  <si>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</si>
  <si>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</si>
  <si>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</si>
  <si>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</si>
  <si>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</si>
  <si>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</si>
  <si>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</si>
  <si>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</si>
  <si>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</si>
  <si>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</si>
  <si>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</si>
  <si>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</si>
  <si>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</si>
  <si>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</si>
  <si>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</si>
  <si>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</si>
  <si>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</si>
  <si>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</si>
  <si>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</si>
  <si>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</si>
  <si>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</si>
  <si>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</si>
  <si>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</si>
  <si>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</si>
  <si>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</si>
  <si>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</si>
  <si>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</si>
  <si>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</si>
  <si>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</si>
  <si>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</si>
  <si>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</si>
  <si>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</si>
  <si>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</si>
  <si>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</si>
  <si>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</si>
  <si>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</si>
  <si>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</si>
  <si>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</si>
  <si>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</si>
  <si>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</si>
  <si>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</si>
  <si>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</si>
  <si>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</si>
  <si>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</si>
  <si>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</si>
  <si>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</si>
  <si>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</si>
  <si>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</si>
  <si>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</si>
  <si>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</si>
  <si>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</si>
  <si>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</si>
  <si>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</si>
  <si>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</si>
  <si>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</si>
  <si>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</si>
  <si>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</si>
  <si>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</si>
  <si>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</si>
  <si>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</si>
  <si>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</si>
  <si>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</si>
  <si>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</si>
  <si>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</si>
  <si>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</si>
  <si>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</si>
  <si>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</si>
  <si>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</si>
  <si>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</si>
  <si>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</si>
  <si>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</si>
  <si>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</si>
  <si>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</si>
  <si>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</si>
  <si>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</si>
  <si>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</si>
  <si>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</si>
  <si>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</si>
  <si>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</si>
  <si>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</si>
  <si>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</si>
  <si>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</si>
  <si>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</si>
  <si>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</si>
  <si>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</si>
  <si>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</si>
  <si>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</si>
  <si>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</si>
  <si>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</si>
  <si>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</si>
  <si>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</si>
  <si>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</si>
  <si>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</si>
  <si>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</si>
  <si>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</si>
  <si>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</si>
  <si>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</si>
  <si>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</si>
  <si>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</si>
  <si>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</si>
  <si>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</si>
  <si>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</si>
  <si>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</si>
  <si>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</si>
  <si>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</si>
  <si>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</si>
  <si>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</si>
  <si>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</si>
  <si>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</si>
  <si>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</si>
  <si>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</si>
  <si>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</si>
  <si>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</si>
  <si>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</si>
  <si>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</si>
  <si>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</si>
  <si>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</si>
  <si>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</si>
  <si>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</si>
  <si>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</si>
  <si>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</si>
  <si>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</si>
  <si>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</si>
  <si>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</si>
  <si>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</si>
  <si>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</si>
  <si>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</si>
  <si>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</si>
  <si>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</si>
  <si>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</si>
  <si>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</si>
  <si>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</si>
  <si>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</si>
  <si>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</si>
  <si>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</si>
  <si>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</si>
  <si>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</si>
  <si>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</si>
  <si>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</si>
  <si>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</si>
  <si>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</si>
  <si>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</si>
  <si>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</si>
  <si>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</si>
  <si>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</si>
  <si>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</si>
  <si>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</si>
  <si>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</si>
  <si>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</si>
  <si>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</si>
  <si>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</si>
  <si>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</si>
  <si>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</si>
  <si>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</si>
  <si>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</si>
  <si>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</si>
  <si>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</si>
  <si>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</si>
  <si>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</si>
  <si>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</si>
  <si>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</si>
  <si>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</si>
  <si>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</si>
  <si>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</si>
  <si>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</si>
  <si>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</si>
  <si>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</si>
  <si>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</si>
  <si>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</si>
  <si>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</si>
  <si>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</si>
  <si>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</si>
  <si>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</si>
  <si>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</si>
  <si>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</si>
  <si>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</si>
  <si>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</si>
  <si>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</si>
  <si>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</si>
  <si>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</si>
  <si>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</si>
  <si>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</si>
  <si>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</si>
  <si>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</si>
  <si>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</si>
  <si>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</si>
  <si>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</si>
  <si>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</si>
  <si>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</si>
  <si>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</si>
  <si>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</si>
  <si>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</si>
  <si>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</si>
  <si>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</si>
  <si>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</si>
  <si>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</si>
  <si>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</si>
  <si>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</si>
  <si>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</si>
  <si>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</si>
  <si>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</si>
  <si>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</si>
  <si>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</si>
  <si>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</si>
  <si>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</si>
  <si>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</si>
  <si>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</si>
  <si>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</si>
  <si>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</si>
  <si>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</si>
  <si>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</si>
  <si>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</si>
  <si>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</si>
  <si>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</si>
  <si>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</si>
  <si>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</si>
  <si>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</si>
  <si>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</si>
  <si>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</si>
  <si>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</si>
  <si>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</si>
  <si>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</si>
  <si>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</si>
  <si>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</si>
  <si>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</si>
  <si>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</si>
  <si>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</si>
  <si>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</si>
  <si>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</si>
  <si>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</si>
  <si>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</si>
  <si>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</si>
  <si>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</si>
  <si>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</si>
  <si>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</si>
  <si>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</si>
  <si>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</si>
  <si>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</si>
  <si>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</si>
  <si>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</si>
  <si>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</si>
  <si>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</si>
  <si>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</si>
  <si>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</si>
  <si>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</si>
  <si>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</si>
  <si>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</si>
  <si>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</si>
  <si>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</si>
  <si>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</si>
  <si>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</si>
  <si>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</si>
  <si>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</si>
  <si>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</si>
  <si>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</si>
  <si>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</si>
  <si>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</si>
  <si>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</si>
  <si>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</si>
  <si>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</si>
  <si>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</si>
  <si>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</si>
  <si>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</si>
  <si>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</si>
  <si>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</si>
  <si>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</si>
  <si>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</si>
  <si>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</si>
  <si>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</si>
  <si>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</si>
  <si>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</si>
  <si>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</si>
  <si>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</si>
  <si>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</si>
  <si>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</si>
  <si>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</si>
  <si>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</si>
  <si>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</si>
  <si>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</si>
  <si>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</si>
  <si>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</si>
  <si>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</si>
  <si>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</si>
  <si>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</si>
  <si>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</si>
  <si>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</si>
  <si>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</si>
  <si>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</si>
  <si>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</si>
  <si>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</si>
  <si>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</si>
  <si>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</si>
  <si>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</si>
  <si>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</si>
  <si>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</si>
  <si>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</si>
  <si>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</si>
  <si>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</si>
  <si>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</si>
  <si>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</si>
  <si>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</si>
  <si>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</si>
  <si>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</si>
  <si>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</si>
  <si>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</si>
  <si>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</si>
  <si>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</si>
  <si>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</si>
  <si>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</si>
  <si>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</si>
  <si>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</si>
  <si>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</si>
  <si>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</si>
  <si>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</si>
  <si>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</si>
  <si>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</si>
  <si>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</si>
  <si>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</si>
  <si>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</si>
  <si>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</si>
  <si>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</si>
  <si>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</si>
  <si>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</si>
  <si>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</si>
  <si>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</si>
  <si>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</si>
  <si>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</si>
  <si>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</si>
  <si>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</si>
  <si>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</si>
  <si>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</si>
  <si>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</si>
  <si>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</si>
  <si>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</si>
  <si>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</si>
  <si>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</si>
  <si>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</si>
  <si>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</si>
  <si>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</si>
  <si>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</si>
  <si>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</si>
  <si>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</si>
  <si>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</si>
  <si>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</si>
  <si>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</si>
  <si>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</si>
  <si>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</si>
  <si>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</si>
  <si>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</si>
  <si>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</si>
  <si>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</si>
  <si>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</si>
  <si>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</si>
  <si>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</si>
  <si>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</si>
  <si>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</si>
  <si>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</si>
  <si>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</si>
  <si>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</si>
  <si>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</si>
  <si>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</si>
  <si>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</si>
  <si>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</si>
  <si>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</si>
  <si>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</si>
  <si>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</si>
  <si>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</si>
  <si>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</si>
  <si>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</si>
  <si>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</si>
  <si>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</si>
  <si>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</si>
  <si>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</si>
  <si>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</si>
  <si>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</si>
  <si>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</si>
  <si>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</si>
  <si>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</si>
  <si>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</si>
  <si>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</si>
  <si>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</si>
  <si>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</si>
  <si>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</si>
  <si>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</si>
  <si>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</si>
  <si>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</si>
  <si>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</si>
  <si>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</si>
  <si>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</si>
  <si>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</si>
  <si>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</si>
  <si>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</si>
  <si>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</si>
  <si>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</si>
  <si>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</si>
  <si>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</si>
  <si>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</si>
  <si>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</si>
  <si>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</si>
  <si>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</si>
  <si>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</si>
  <si>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</si>
  <si>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</si>
  <si>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</si>
  <si>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</si>
  <si>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</si>
  <si>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</si>
  <si>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</si>
  <si>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</si>
  <si>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</si>
  <si>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</si>
  <si>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</si>
  <si>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</si>
  <si>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</si>
  <si>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</si>
  <si>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</si>
  <si>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</si>
  <si>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</si>
  <si>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</si>
  <si>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</si>
  <si>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</si>
  <si>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</si>
  <si>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</si>
  <si>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</si>
  <si>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</si>
  <si>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</si>
  <si>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</si>
  <si>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</si>
  <si>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</si>
  <si>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</si>
  <si>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</si>
  <si>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</si>
  <si>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</si>
  <si>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</si>
  <si>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</si>
  <si>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</si>
  <si>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</si>
  <si>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</si>
  <si>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</si>
  <si>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</si>
  <si>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</si>
  <si>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</si>
  <si>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</si>
  <si>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</si>
  <si>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</si>
  <si>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</si>
  <si>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</si>
  <si>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</si>
  <si>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</si>
  <si>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</si>
  <si>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</si>
  <si>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</si>
  <si>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</si>
  <si>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</si>
  <si>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</si>
  <si>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</si>
  <si>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</si>
  <si>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</si>
  <si>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</si>
  <si>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</si>
  <si>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</si>
  <si>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</si>
  <si>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</si>
  <si>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</si>
  <si>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</si>
  <si>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</si>
  <si>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</si>
  <si>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</si>
  <si>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</si>
  <si>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</si>
  <si>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</si>
  <si>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</si>
  <si>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</si>
  <si>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</si>
  <si>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</si>
  <si>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</si>
  <si>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</si>
  <si>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</si>
  <si>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</si>
  <si>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</si>
  <si>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</si>
  <si>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</si>
  <si>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</si>
  <si>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</si>
  <si>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</si>
  <si>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</si>
  <si>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</si>
  <si>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</si>
  <si>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</si>
  <si>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</si>
  <si>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</si>
  <si>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</si>
  <si>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</si>
  <si>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</si>
  <si>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</si>
  <si>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</si>
  <si>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</si>
  <si>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</si>
  <si>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</si>
  <si>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</si>
  <si>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</si>
  <si>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</si>
  <si>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</si>
  <si>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</si>
  <si>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</si>
  <si>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</si>
  <si>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</si>
  <si>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</si>
  <si>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</si>
  <si>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</si>
  <si>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</si>
  <si>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</si>
  <si>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</si>
  <si>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</si>
  <si>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</si>
  <si>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</si>
  <si>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</si>
  <si>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</si>
  <si>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</si>
  <si>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</si>
  <si>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</si>
  <si>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</si>
  <si>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</si>
  <si>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</si>
  <si>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</si>
  <si>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</si>
  <si>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</si>
  <si>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</si>
  <si>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</si>
  <si>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</si>
  <si>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</si>
  <si>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</si>
  <si>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</si>
  <si>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</si>
  <si>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</si>
  <si>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</si>
  <si>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</si>
  <si>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</si>
  <si>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</si>
  <si>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</si>
  <si>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</si>
  <si>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</si>
  <si>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</si>
  <si>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</si>
  <si>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</si>
  <si>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</si>
  <si>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</si>
  <si>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</si>
  <si>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</si>
  <si>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</si>
  <si>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</si>
  <si>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</si>
  <si>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</si>
  <si>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</si>
  <si>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</si>
  <si>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</si>
  <si>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</si>
  <si>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</si>
  <si>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</si>
  <si>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</si>
  <si>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</si>
  <si>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</si>
  <si>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</si>
  <si>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</si>
  <si>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</si>
  <si>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</si>
  <si>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</si>
  <si>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</si>
  <si>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</si>
  <si>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</si>
  <si>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</si>
  <si>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</si>
  <si>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</si>
  <si>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</si>
  <si>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</si>
  <si>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</si>
  <si>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</si>
  <si>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</si>
  <si>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</si>
  <si>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</si>
  <si>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</si>
  <si>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</si>
  <si>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</si>
  <si>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</si>
  <si>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</si>
  <si>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</si>
  <si>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</si>
  <si>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</si>
  <si>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</si>
  <si>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</si>
  <si>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</si>
  <si>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</si>
  <si>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</si>
  <si>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</si>
  <si>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</si>
  <si>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</si>
  <si>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</si>
  <si>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</si>
  <si>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</si>
  <si>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</si>
  <si>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</si>
  <si>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</si>
  <si>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</si>
  <si>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</si>
  <si>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</si>
  <si>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</si>
  <si>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</si>
  <si>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</si>
  <si>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</si>
  <si>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</si>
  <si>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</si>
  <si>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</si>
  <si>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</si>
  <si>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</si>
  <si>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</si>
  <si>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</si>
  <si>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</si>
  <si>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</si>
  <si>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</si>
  <si>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</si>
  <si>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</si>
  <si>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</si>
  <si>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</si>
  <si>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</si>
  <si>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</si>
  <si>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</si>
  <si>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</si>
  <si>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</si>
  <si>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</si>
  <si>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</si>
  <si>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</si>
  <si>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</si>
  <si>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</si>
  <si>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</si>
  <si>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</si>
  <si>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</si>
  <si>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</si>
  <si>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</si>
  <si>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</si>
  <si>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</si>
  <si>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</si>
  <si>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</si>
  <si>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</si>
  <si>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</si>
  <si>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</si>
  <si>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</si>
  <si>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</si>
  <si>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</si>
  <si>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</si>
  <si>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</si>
  <si>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</si>
  <si>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</si>
  <si>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</si>
  <si>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</si>
  <si>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</si>
  <si>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</si>
  <si>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</si>
  <si>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</si>
  <si>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</si>
  <si>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</si>
  <si>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</si>
  <si>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</si>
  <si>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</si>
  <si>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</si>
  <si>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</si>
  <si>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</si>
  <si>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</si>
  <si>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</si>
  <si>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</si>
  <si>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</si>
  <si>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</si>
  <si>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</si>
  <si>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</si>
  <si>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</si>
  <si>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</si>
  <si>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</si>
  <si>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</si>
  <si>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</si>
  <si>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</si>
  <si>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</si>
  <si>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</si>
  <si>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</si>
  <si>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</si>
  <si>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</si>
  <si>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</si>
  <si>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</si>
  <si>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</si>
  <si>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</si>
  <si>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</si>
  <si>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</si>
  <si>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</si>
  <si>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</si>
  <si>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</si>
  <si>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</si>
  <si>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</si>
  <si>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</si>
  <si>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</si>
  <si>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</si>
  <si>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</si>
  <si>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</si>
  <si>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</si>
  <si>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</si>
  <si>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</si>
  <si>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</si>
  <si>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</si>
  <si>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</si>
  <si>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</si>
  <si>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</si>
  <si>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</si>
  <si>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</si>
  <si>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</si>
  <si>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</si>
  <si>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</si>
  <si>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</si>
  <si>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</si>
  <si>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</si>
  <si>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</si>
  <si>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</si>
  <si>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</si>
  <si>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</si>
  <si>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</si>
  <si>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</si>
  <si>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</si>
  <si>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</si>
  <si>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</si>
  <si>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</si>
  <si>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</si>
  <si>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</si>
  <si>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</si>
  <si>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</si>
  <si>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</si>
  <si>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</si>
  <si>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</si>
  <si>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</si>
  <si>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</si>
  <si>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</si>
  <si>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</si>
  <si>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</si>
  <si>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</si>
  <si>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</si>
  <si>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</si>
  <si>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</si>
  <si>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</si>
  <si>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</si>
  <si>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</si>
  <si>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</si>
  <si>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</si>
  <si>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</si>
  <si>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</si>
  <si>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</si>
  <si>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</si>
  <si>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</si>
  <si>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</si>
  <si>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</si>
  <si>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</si>
  <si>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</si>
  <si>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</si>
  <si>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</si>
  <si>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</si>
  <si>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</si>
  <si>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</si>
  <si>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</si>
  <si>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</si>
  <si>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</si>
  <si>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</si>
  <si>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</si>
  <si>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</si>
  <si>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</si>
  <si>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</si>
  <si>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</si>
  <si>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</si>
  <si>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</si>
  <si>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</si>
  <si>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</si>
  <si>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</si>
  <si>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</si>
  <si>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</si>
  <si>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</si>
  <si>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</si>
  <si>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</si>
  <si>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</si>
  <si>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</si>
  <si>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</si>
  <si>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</si>
  <si>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</si>
  <si>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</si>
  <si>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</si>
  <si>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</si>
  <si>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</si>
  <si>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</si>
  <si>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</si>
  <si>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</si>
  <si>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</si>
  <si>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</si>
  <si>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</si>
  <si>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</si>
  <si>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</si>
  <si>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</si>
  <si>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</si>
  <si>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</si>
  <si>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</si>
  <si>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</si>
  <si>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</si>
  <si>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</si>
  <si>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</si>
  <si>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</si>
  <si>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</si>
  <si>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</si>
  <si>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</si>
  <si>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</si>
  <si>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</si>
  <si>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</si>
  <si>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</si>
  <si>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</si>
  <si>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</si>
  <si>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</si>
  <si>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</si>
  <si>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</si>
  <si>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</si>
  <si>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</si>
  <si>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</si>
  <si>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</si>
  <si>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</si>
  <si>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</si>
  <si>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</si>
  <si>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</si>
  <si>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</si>
  <si>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</si>
  <si>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</si>
  <si>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</si>
  <si>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</si>
  <si>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</si>
  <si>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</si>
  <si>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</si>
  <si>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</si>
  <si>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</si>
  <si>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</si>
  <si>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</si>
  <si>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</si>
  <si>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</si>
  <si>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</si>
  <si>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</si>
  <si>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</si>
  <si>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</si>
  <si>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</si>
  <si>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</si>
  <si>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</si>
  <si>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</si>
  <si>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</si>
  <si>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</si>
  <si>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</si>
  <si>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</si>
  <si>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</si>
  <si>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</si>
  <si>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</si>
  <si>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</si>
  <si>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</si>
  <si>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</si>
  <si>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</si>
  <si>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</si>
  <si>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</si>
  <si>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</si>
  <si>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</si>
  <si>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</si>
  <si>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</si>
  <si>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</si>
  <si>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</si>
  <si>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</si>
  <si>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</si>
  <si>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</si>
  <si>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</si>
  <si>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</si>
  <si>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</si>
  <si>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</si>
  <si>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</si>
  <si>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</si>
  <si>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</si>
  <si>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</si>
  <si>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</si>
  <si>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</si>
  <si>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</si>
  <si>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</si>
  <si>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</si>
  <si>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</si>
  <si>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</si>
  <si>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</si>
  <si>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</si>
  <si>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</si>
  <si>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</si>
  <si>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</si>
  <si>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</si>
  <si>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</si>
  <si>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</si>
  <si>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</si>
  <si>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</si>
  <si>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</si>
  <si>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</si>
  <si>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</si>
  <si>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</si>
  <si>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</si>
  <si>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</si>
  <si>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</si>
  <si>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</si>
  <si>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</si>
  <si>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</si>
  <si>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</si>
  <si>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</si>
  <si>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</si>
  <si>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</si>
  <si>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</si>
  <si>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</si>
  <si>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</si>
  <si>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</si>
  <si>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</si>
  <si>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</si>
  <si>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</si>
  <si>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</si>
  <si>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</si>
  <si>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</si>
  <si>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</si>
  <si>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</si>
  <si>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</si>
  <si>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</si>
  <si>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</si>
  <si>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</si>
  <si>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</si>
  <si>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</si>
  <si>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</si>
  <si>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</si>
  <si>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</si>
  <si>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</si>
  <si>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</si>
  <si>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</si>
  <si>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</si>
  <si>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</si>
  <si>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</si>
  <si>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</si>
  <si>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</si>
  <si>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</si>
  <si>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</si>
  <si>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</si>
  <si>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</si>
  <si>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</si>
  <si>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</si>
  <si>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</si>
  <si>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</si>
  <si>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</si>
  <si>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</si>
  <si>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</si>
  <si>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</si>
  <si>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</si>
  <si>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</si>
  <si>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</si>
  <si>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</si>
  <si>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</si>
  <si>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</si>
  <si>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</si>
  <si>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</si>
  <si>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</si>
  <si>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</si>
  <si>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</si>
  <si>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</si>
  <si>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</si>
  <si>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</si>
  <si>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</si>
  <si>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</si>
  <si>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</si>
  <si>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</si>
  <si>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</si>
  <si>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</si>
  <si>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</si>
  <si>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</si>
  <si>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</si>
  <si>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</si>
  <si>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</si>
  <si>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</si>
  <si>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</si>
  <si>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</si>
  <si>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</si>
  <si>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</si>
  <si>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</si>
  <si>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</si>
  <si>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</si>
  <si>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</si>
  <si>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</si>
  <si>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</si>
  <si>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</si>
  <si>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</si>
  <si>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</si>
  <si>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</si>
  <si>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</si>
  <si>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</si>
  <si>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</si>
  <si>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</si>
  <si>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</si>
  <si>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</si>
  <si>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</si>
  <si>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</si>
  <si>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</si>
  <si>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</si>
  <si>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</si>
  <si>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</si>
  <si>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</si>
  <si>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</si>
  <si>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</si>
  <si>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</si>
  <si>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</si>
  <si>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</si>
  <si>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</si>
  <si>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</si>
  <si>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</si>
  <si>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</si>
  <si>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</si>
  <si>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</si>
  <si>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</si>
  <si>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</si>
  <si>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</si>
  <si>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</si>
  <si>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</si>
  <si>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</si>
  <si>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</si>
  <si>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</si>
  <si>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</si>
  <si>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</si>
  <si>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</si>
  <si>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</si>
  <si>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</si>
  <si>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</si>
  <si>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</si>
  <si>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</si>
  <si>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</si>
  <si>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</si>
  <si>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</si>
  <si>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</si>
  <si>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</si>
  <si>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</si>
  <si>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</si>
  <si>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</si>
  <si>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</si>
  <si>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</si>
  <si>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</si>
  <si>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</si>
  <si>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</si>
  <si>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</si>
  <si>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</si>
  <si>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</si>
  <si>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</si>
  <si>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</si>
  <si>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</si>
  <si>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</si>
  <si>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</si>
  <si>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</si>
  <si>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</si>
  <si>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</si>
  <si>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</si>
  <si>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</si>
  <si>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</si>
  <si>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</si>
  <si>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</si>
  <si>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</si>
  <si>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</si>
  <si>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</si>
  <si>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</si>
  <si>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</si>
  <si>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</si>
  <si>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</si>
  <si>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</si>
  <si>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</si>
  <si>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</si>
  <si>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</si>
  <si>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</si>
  <si>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</si>
  <si>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</si>
  <si>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</si>
  <si>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</si>
  <si>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</si>
  <si>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</si>
  <si>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</si>
  <si>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</si>
  <si>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</si>
  <si>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</si>
  <si>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</si>
  <si>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</si>
  <si>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</si>
  <si>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</si>
  <si>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</si>
  <si>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</si>
  <si>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</si>
  <si>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</si>
  <si>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</si>
  <si>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</si>
  <si>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</si>
  <si>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</si>
  <si>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</si>
  <si>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</si>
  <si>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</si>
  <si>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</si>
  <si>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</si>
  <si>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</si>
  <si>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</si>
  <si>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</si>
  <si>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</si>
  <si>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</si>
  <si>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</si>
  <si>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</si>
  <si>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</si>
  <si>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</si>
  <si>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</si>
  <si>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</si>
  <si>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</si>
  <si>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</si>
  <si>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</si>
  <si>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</si>
  <si>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</si>
  <si>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</si>
  <si>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</si>
  <si>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</si>
  <si>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</si>
  <si>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</si>
  <si>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</si>
  <si>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</si>
  <si>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</si>
  <si>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</si>
  <si>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</si>
  <si>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</si>
  <si>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</si>
  <si>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</si>
  <si>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</si>
  <si>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</si>
  <si>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</si>
  <si>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</si>
  <si>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</si>
  <si>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</si>
  <si>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</si>
  <si>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</si>
  <si>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</si>
  <si>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</si>
  <si>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</si>
  <si>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</si>
  <si>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</si>
  <si>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</si>
  <si>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</si>
  <si>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</si>
  <si>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</si>
  <si>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</si>
  <si>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</si>
  <si>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</si>
  <si>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</si>
  <si>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</si>
  <si>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</si>
  <si>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</si>
  <si>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</si>
  <si>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</si>
  <si>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</si>
  <si>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</si>
  <si>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</si>
  <si>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</si>
  <si>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</si>
  <si>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</si>
  <si>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</si>
  <si>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</si>
  <si>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</si>
  <si>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</si>
  <si>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</si>
  <si>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</si>
  <si>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</si>
  <si>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</si>
  <si>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</si>
  <si>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</si>
  <si>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</si>
  <si>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</si>
  <si>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</si>
  <si>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</si>
  <si>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</si>
  <si>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</si>
  <si>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</si>
  <si>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</si>
  <si>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</si>
  <si>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</si>
  <si>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</si>
  <si>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</si>
  <si>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</si>
  <si>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</si>
  <si>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</si>
  <si>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</si>
  <si>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</si>
  <si>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</si>
  <si>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</si>
  <si>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</si>
  <si>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</si>
  <si>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</si>
  <si>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</si>
  <si>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</si>
  <si>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</si>
  <si>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</si>
  <si>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</si>
  <si>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</si>
  <si>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</si>
  <si>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</si>
  <si>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</si>
  <si>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</si>
  <si>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</si>
  <si>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</si>
  <si>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</si>
  <si>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</si>
  <si>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</si>
  <si>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</si>
  <si>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</si>
  <si>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</si>
  <si>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</si>
  <si>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</si>
  <si>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</si>
  <si>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</si>
  <si>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</si>
  <si>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</si>
  <si>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</si>
  <si>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</si>
  <si>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</si>
  <si>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</si>
  <si>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</si>
  <si>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</si>
  <si>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</si>
  <si>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</si>
  <si>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</si>
  <si>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</si>
  <si>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</si>
  <si>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</si>
  <si>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</si>
  <si>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</si>
  <si>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</si>
  <si>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</si>
  <si>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</si>
  <si>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</si>
  <si>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</si>
  <si>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</si>
  <si>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</si>
  <si>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</si>
  <si>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</si>
  <si>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</si>
  <si>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</si>
  <si>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</si>
  <si>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</si>
  <si>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</si>
  <si>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</si>
  <si>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</si>
  <si>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</si>
  <si>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3 Въезд на базу\E33149364_8_20260202T101543Z.jpg</t>
  </si>
  <si>
    <t>пн 02.02.2026 — 10:15:43</t>
  </si>
  <si>
    <t>E33149364_8_20260203T104152Z.jpg</t>
  </si>
  <si>
    <t>3 Въезд на базу\E33149364_8_20260203T104152Z.jpg</t>
  </si>
  <si>
    <t>вт 03.02.2026 — 10:41:52</t>
  </si>
  <si>
    <t>E33149364_8_20260203T164927Z.jpg</t>
  </si>
  <si>
    <t>3 Въезд на базу\E33149364_8_20260203T164927Z.jpg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</si>
  <si>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</si>
  <si>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</si>
  <si>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</si>
  <si>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</si>
  <si>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</si>
  <si>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</si>
  <si>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</si>
  <si>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</si>
  <si>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</si>
  <si>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</si>
  <si>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</si>
  <si>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</si>
  <si>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</si>
  <si>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</si>
  <si>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</si>
  <si>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</si>
  <si>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</si>
  <si>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</si>
  <si>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</si>
  <si>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</si>
  <si>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</si>
  <si>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</si>
  <si>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</si>
  <si>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</si>
  <si>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</si>
  <si>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</si>
  <si>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</si>
  <si>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</si>
  <si>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</si>
  <si>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</si>
  <si>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</si>
  <si>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</si>
  <si>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</si>
  <si>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</si>
  <si>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</si>
  <si>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</si>
  <si>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</si>
  <si>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</si>
  <si>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</si>
  <si>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</si>
  <si>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</si>
  <si>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</si>
  <si>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</si>
  <si>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</si>
  <si>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</si>
  <si>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</si>
  <si>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</si>
  <si>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9 Ангар пилорама\E33149364_1_20260202T093049Z.jpg</t>
  </si>
  <si>
    <t>пн 02.02.2026 — 09:30:49</t>
  </si>
  <si>
    <t>E33149364_1_20260202T094403Z.jpg</t>
  </si>
  <si>
    <t>9 Ангар пилорама\E33149364_1_20260202T094403Z.jpg</t>
  </si>
  <si>
    <t>пн 02.02.2026 — 09:44:03</t>
  </si>
  <si>
    <t>E33149364_1_20260202T095914Z.jpg</t>
  </si>
  <si>
    <t>9 Ангар пилорама\E33149364_1_20260202T095914Z.jpg</t>
  </si>
  <si>
    <t>пн 02.02.2026 — 09:59:14</t>
  </si>
  <si>
    <t>E33149364_1_20260202T225644Z.jpg</t>
  </si>
  <si>
    <t>9 Ангар пилорама\E33149364_1_20260202T225644Z.jpg</t>
  </si>
  <si>
    <t>пн 02.02.2026 — 22:56:44</t>
  </si>
  <si>
    <t>E33149364_1_20260203T122518Z.jpg</t>
  </si>
  <si>
    <t>9 Ангар пилорама\E33149364_1_20260203T122518Z.jpg</t>
  </si>
  <si>
    <t>вт 03.02.2026 — 12:25:18</t>
  </si>
  <si>
    <t>E33149364_1_20260203T123538Z.jpg</t>
  </si>
  <si>
    <t>9 Ангар пилорама\E33149364_1_20260203T123538Z.jpg</t>
  </si>
  <si>
    <t>вт 03.02.2026 — 12:35:38</t>
  </si>
  <si>
    <t>E33149364_1_20260203T151606Z.jpg</t>
  </si>
  <si>
    <t>9 Ангар пилорама\E33149364_1_20260203T151606Z.jpg</t>
  </si>
  <si>
    <t>вт 03.02.2026 — 15:16:06</t>
  </si>
  <si>
    <t>E33149364_1_20260203T163036Z.jpg</t>
  </si>
  <si>
    <t>9 Ангар пилорама\E33149364_1_20260203T163036Z.jpg</t>
  </si>
  <si>
    <t>вт 03.02.2026 — 16:30:36</t>
  </si>
  <si>
    <t>E33149364_1_20260203T213906Z.jpg</t>
  </si>
  <si>
    <t>9 Ангар пилорама\E33149364_1_20260203T213906Z.jpg</t>
  </si>
  <si>
    <t>вт 03.02.2026 — 21:39:06</t>
  </si>
  <si>
    <t>E33149364_3_20260202T092657Z.jpg</t>
  </si>
  <si>
    <t>10 Сушилка навес\E33149364_3_20260202T092657Z.jpg</t>
  </si>
  <si>
    <t>пн 02.02.2026 — 09:26:57</t>
  </si>
  <si>
    <t>E33149364_3_20260202T094346Z.jpg</t>
  </si>
  <si>
    <t>10 Сушилка навес\E33149364_3_20260202T094346Z.jpg</t>
  </si>
  <si>
    <t>пн 02.02.2026 — 09:43:46</t>
  </si>
  <si>
    <t>E33149364_3_20260202T100046Z.jpg</t>
  </si>
  <si>
    <t>10 Сушилка навес\E33149364_3_20260202T100046Z.jpg</t>
  </si>
  <si>
    <t>пн 02.02.2026 — 10:00:46</t>
  </si>
  <si>
    <t>E33149364_3_20260202T115235Z.jpg</t>
  </si>
  <si>
    <t>10 Сушилка навес\E33149364_3_20260202T115235Z.jpg</t>
  </si>
  <si>
    <t>пн 02.02.2026 — 11:52:35</t>
  </si>
  <si>
    <t>E33149364_3_20260203T110411Z.jpg</t>
  </si>
  <si>
    <t>10 Сушилка навес\E33149364_3_20260203T110411Z.jpg</t>
  </si>
  <si>
    <t>вт 03.02.2026 — 11:04:11</t>
  </si>
  <si>
    <t>E33149364_3_20260203T131924Z.jpg</t>
  </si>
  <si>
    <t>10 Сушилка навес\E33149364_3_20260203T131924Z.jpg</t>
  </si>
  <si>
    <t>вт 03.02.2026 — 13:19:24</t>
  </si>
  <si>
    <t>E33149364_3_20260203T142624Z.jpg</t>
  </si>
  <si>
    <t>10 Сушилка навес\E33149364_3_20260203T142624Z.jpg</t>
  </si>
  <si>
    <t>вт 03.02.2026 — 14:26:24</t>
  </si>
  <si>
    <t>E33149364_3_20260203T143305Z.jpg</t>
  </si>
  <si>
    <t>10 Сушилка навес\E33149364_3_20260203T143305Z.jpg</t>
  </si>
  <si>
    <t>вт 03.02.2026 — 14:33:05</t>
  </si>
  <si>
    <t>E33149364_3_20260203T152121Z.jpg</t>
  </si>
  <si>
    <t>10 Сушилка навес\E33149364_3_20260203T152121Z.jpg</t>
  </si>
  <si>
    <t>вт 03.02.2026 — 15:21:21</t>
  </si>
  <si>
    <t>E33149364_3_20260203T161002Z.jpg</t>
  </si>
  <si>
    <t>10 Сушилка навес\E33149364_3_20260203T161002Z.jpg</t>
  </si>
  <si>
    <t>вт 03.02.2026 — 16:10:02</t>
  </si>
  <si>
    <t>E33149364_4_20260202T161957Z.jpg</t>
  </si>
  <si>
    <t>11 С ангара на базу\E33149364_4_20260202T161957Z.jpg</t>
  </si>
  <si>
    <t>пн 02.02.2026 — 16:19:57</t>
  </si>
  <si>
    <t>E33149364_4_20260203T112617Z.jpg</t>
  </si>
  <si>
    <t>11 С ангара на базу\E33149364_4_20260203T112617Z.jpg</t>
  </si>
  <si>
    <t>вт 03.02.2026 — 11:26:17</t>
  </si>
  <si>
    <t>E33149364_4_20260203T112928Z.jpg</t>
  </si>
  <si>
    <t>11 С ангара на базу\E33149364_4_20260203T112928Z.jpg</t>
  </si>
  <si>
    <t>вт 03.02.2026 — 11:29:28</t>
  </si>
  <si>
    <t>E33149364_4_20260203T113157Z.jpg</t>
  </si>
  <si>
    <t>11 С ангара на базу\E33149364_4_20260203T113157Z.jpg</t>
  </si>
  <si>
    <t>вт 03.02.2026 — 11:31:57</t>
  </si>
  <si>
    <t>E33149364_4_20260203T113428Z.jpg</t>
  </si>
  <si>
    <t>11 С ангара на базу\E33149364_4_20260203T113428Z.jpg</t>
  </si>
  <si>
    <t>вт 03.02.2026 — 11:34:28</t>
  </si>
  <si>
    <t>E33149364_4_20260203T113841Z.jpg</t>
  </si>
  <si>
    <t>11 С ангара на базу\E33149364_4_20260203T113841Z.jpg</t>
  </si>
  <si>
    <t>вт 03.02.2026 — 11:38:41</t>
  </si>
  <si>
    <t>E33149364_4_20260203T114130Z.jpg</t>
  </si>
  <si>
    <t>11 С ангара на базу\E33149364_4_20260203T114130Z.jpg</t>
  </si>
  <si>
    <t>вт 03.02.2026 — 11:41:30</t>
  </si>
  <si>
    <t>E33149364_4_20260203T114648Z.jpg</t>
  </si>
  <si>
    <t>11 С ангара на базу\E33149364_4_20260203T114648Z.jpg</t>
  </si>
  <si>
    <t>вт 03.02.2026 — 11:46:48</t>
  </si>
  <si>
    <t>E33149364_4_20260203T114956Z.jpg</t>
  </si>
  <si>
    <t>11 С ангара на базу\E33149364_4_20260203T114956Z.jpg</t>
  </si>
  <si>
    <t>вт 03.02.2026 — 11:49:56</t>
  </si>
  <si>
    <t>E33149364_4_20260203T115307Z.jpg</t>
  </si>
  <si>
    <t>11 С ангара на базу\E33149364_4_20260203T115307Z.jpg</t>
  </si>
  <si>
    <t>вт 03.02.2026 — 11:53:07</t>
  </si>
  <si>
    <t>E33149364_4_20260203T120119Z.jpg</t>
  </si>
  <si>
    <t>11 С ангара на базу\E33149364_4_20260203T120119Z.jpg</t>
  </si>
  <si>
    <t>вт 03.02.2026 — 12:01:19</t>
  </si>
  <si>
    <t>E33149364_4_20260203T120344Z.jpg</t>
  </si>
  <si>
    <t>11 С ангара на базу\E33149364_4_20260203T120344Z.jpg</t>
  </si>
  <si>
    <t>вт 03.02.2026 — 12:03:44</t>
  </si>
  <si>
    <t>E33149364_4_20260203T120622Z.jpg</t>
  </si>
  <si>
    <t>11 С ангара на базу\E33149364_4_20260203T120622Z.jpg</t>
  </si>
  <si>
    <t>вт 03.02.2026 — 12:06:22</t>
  </si>
  <si>
    <t>E33149364_4_20260203T121657Z.jpg</t>
  </si>
  <si>
    <t>11 С ангара на базу\E33149364_4_20260203T121657Z.jpg</t>
  </si>
  <si>
    <t>вт 03.02.2026 — 12:16:57</t>
  </si>
  <si>
    <t>E33149364_4_20260203T122129Z.jpg</t>
  </si>
  <si>
    <t>11 С ангара на базу\E33149364_4_20260203T122129Z.jpg</t>
  </si>
  <si>
    <t>вт 03.02.2026 — 12:21:29</t>
  </si>
  <si>
    <t>E33149364_4_20260203T122510Z.jpg</t>
  </si>
  <si>
    <t>11 С ангара на базу\E33149364_4_20260203T122510Z.jpg</t>
  </si>
  <si>
    <t>вт 03.02.2026 — 12:25:10</t>
  </si>
  <si>
    <t>E33149364_4_20260203T122753Z.jpg</t>
  </si>
  <si>
    <t>11 С ангара на базу\E33149364_4_20260203T122753Z.jpg</t>
  </si>
  <si>
    <t>вт 03.02.2026 — 12:27:53</t>
  </si>
  <si>
    <t>E33149364_4_20260203T123139Z.jpg</t>
  </si>
  <si>
    <t>11 С ангара на базу\E33149364_4_20260203T123139Z.jpg</t>
  </si>
  <si>
    <t>вт 03.02.2026 — 12:31:39</t>
  </si>
  <si>
    <t>E33149364_4_20260203T123245Z.jpg</t>
  </si>
  <si>
    <t>11 С ангара на базу\E33149364_4_20260203T123245Z.jpg</t>
  </si>
  <si>
    <t>вт 03.02.2026 — 12:32:45</t>
  </si>
  <si>
    <t>E33149364_4_20260203T123655Z.jpg</t>
  </si>
  <si>
    <t>11 С ангара на базу\E33149364_4_20260203T123655Z.jpg</t>
  </si>
  <si>
    <t>вт 03.02.2026 — 12:36:55</t>
  </si>
  <si>
    <t>E33149364_4_20260203T123800Z.jpg</t>
  </si>
  <si>
    <t>11 С ангара на базу\E33149364_4_20260203T123800Z.jpg</t>
  </si>
  <si>
    <t>вт 03.02.2026 — 12:38:00</t>
  </si>
  <si>
    <t>E33149364_4_20260203T124059Z.jpg</t>
  </si>
  <si>
    <t>11 С ангара на базу\E33149364_4_20260203T124059Z.jpg</t>
  </si>
  <si>
    <t>вт 03.02.2026 — 12:40:59</t>
  </si>
  <si>
    <t>E33149364_4_20260203T124859Z.jpg</t>
  </si>
  <si>
    <t>11 С ангара на базу\E33149364_4_20260203T124859Z.jpg</t>
  </si>
  <si>
    <t>вт 03.02.2026 — 12:48:59</t>
  </si>
  <si>
    <t>E33149364_4_20260203T125047Z.jpg</t>
  </si>
  <si>
    <t>11 С ангара на базу\E33149364_4_20260203T125047Z.jpg</t>
  </si>
  <si>
    <t>вт 03.02.2026 — 12:50:47</t>
  </si>
  <si>
    <t>E33149364_4_20260203T125349Z.jpg</t>
  </si>
  <si>
    <t>11 С ангара на базу\E33149364_4_20260203T125349Z.jpg</t>
  </si>
  <si>
    <t>вт 03.02.2026 — 12:53:49</t>
  </si>
  <si>
    <t>E33149364_4_20260203T131857Z.jpg</t>
  </si>
  <si>
    <t>11 С ангара на базу\E33149364_4_20260203T131857Z.jpg</t>
  </si>
  <si>
    <t>вт 03.02.2026 — 13:18:57</t>
  </si>
  <si>
    <t>E33149364_4_20260203T150435Z.jpg</t>
  </si>
  <si>
    <t>11 С ангара на базу\E33149364_4_20260203T150435Z.jpg</t>
  </si>
  <si>
    <t>вт 03.02.2026 — 15:04:35</t>
  </si>
  <si>
    <t>E33149364_4_20260203T151120Z.jpg</t>
  </si>
  <si>
    <t>11 С ангара на базу\E33149364_4_20260203T151120Z.jpg</t>
  </si>
  <si>
    <t>вт 03.02.2026 — 15:11:20</t>
  </si>
  <si>
    <t>E33149364_4_20260203T152811Z.jpg</t>
  </si>
  <si>
    <t>11 С ангара на базу\E33149364_4_20260203T152811Z.jpg</t>
  </si>
  <si>
    <t>вт 03.02.2026 — 15:28:11</t>
  </si>
  <si>
    <t>E33149364_4_20260203T153607Z.jpg</t>
  </si>
  <si>
    <t>11 С ангара на базу\E33149364_4_20260203T153607Z.jpg</t>
  </si>
  <si>
    <t>вт 03.02.2026 — 15:36:07</t>
  </si>
  <si>
    <t>E33149364_4_20260203T163620Z.jpg</t>
  </si>
  <si>
    <t>11 С ангара на базу\E33149364_4_20260203T163620Z.jpg</t>
  </si>
  <si>
    <t>вт 03.02.2026 — 16:36:20</t>
  </si>
  <si>
    <t>E33149364_4_20260203T170703Z.jpg</t>
  </si>
  <si>
    <t>11 С ангара на базу\E33149364_4_20260203T170703Z.jpg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</si>
  <si>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</si>
  <si>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</si>
  <si>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</si>
  <si>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</si>
  <si>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</si>
  <si>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</si>
  <si>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</si>
  <si>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</si>
  <si>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</si>
  <si>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</si>
  <si>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</si>
  <si>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</si>
  <si>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</si>
  <si>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</si>
  <si>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</si>
  <si>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</si>
  <si>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</si>
  <si>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</si>
  <si>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</si>
  <si>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</si>
  <si>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</si>
  <si>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</si>
  <si>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</si>
  <si>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</si>
  <si>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</si>
  <si>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</si>
  <si>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</si>
  <si>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</si>
  <si>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</si>
  <si>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</si>
  <si>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</si>
  <si>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</si>
  <si>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</si>
  <si>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</si>
  <si>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</si>
  <si>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</si>
  <si>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</si>
  <si>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</si>
  <si>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</si>
  <si>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</si>
  <si>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</si>
  <si>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</si>
  <si>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</si>
  <si>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</si>
  <si>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</si>
  <si>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</si>
  <si>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</si>
  <si>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</si>
  <si>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</si>
  <si>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</si>
  <si>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2 Пилорама поката\E33149364_7_20260204T143502Z.jpg</t>
  </si>
  <si>
    <t>ср 04.02.2026 — 14:35:02</t>
  </si>
  <si>
    <t>E33149364_7_20260205T171121Z.jpg</t>
  </si>
  <si>
    <t>2 Пилорама поката\E33149364_7_20260205T171121Z.jpg</t>
  </si>
  <si>
    <t>чт 05.02.2026 — 17:11:21</t>
  </si>
  <si>
    <t>E33149364_7_20260206T105634Z.jpg</t>
  </si>
  <si>
    <t>2 Пилорама поката\E33149364_7_20260206T105634Z.jpg</t>
  </si>
  <si>
    <t>пт 06.02.2026 — 10:56:34</t>
  </si>
  <si>
    <t>E33149364_7_20260206T122524Z.jpg</t>
  </si>
  <si>
    <t>2 Пилорама поката\E33149364_7_20260206T122524Z.jpg</t>
  </si>
  <si>
    <t>пт 06.02.2026 — 12:25:24</t>
  </si>
  <si>
    <t>E33149364_7_20260206T122607Z.jpg</t>
  </si>
  <si>
    <t>2 Пилорама поката\E33149364_7_20260206T122607Z.jpg</t>
  </si>
  <si>
    <t>пт 06.02.2026 — 12:26:07</t>
  </si>
  <si>
    <t>E33149364_7_20260206T122627Z.jpg</t>
  </si>
  <si>
    <t>2 Пилорама поката\E33149364_7_20260206T122627Z.jpg</t>
  </si>
  <si>
    <t>пт 06.02.2026 — 12:26:27</t>
  </si>
  <si>
    <t>E33149364_7_20260206T143529Z.jpg</t>
  </si>
  <si>
    <t>2 Пилорама поката\E33149364_7_20260206T143529Z.jpg</t>
  </si>
  <si>
    <t>пт 06.02.2026 — 14:35:29</t>
  </si>
  <si>
    <t>E33149364_6_20260204T170721Z.jpg</t>
  </si>
  <si>
    <t>1 Ангар Склад 2 въезд\E33149364_6_20260204T170721Z.jpg</t>
  </si>
  <si>
    <t>ср 04.02.2026 — 17:07:21</t>
  </si>
  <si>
    <t>E33149364_6_20260205T131105Z.jpg</t>
  </si>
  <si>
    <t>1 Ангар Склад 2 въезд\E33149364_6_20260205T131105Z.jpg</t>
  </si>
  <si>
    <t>чт 05.02.2026 — 13:11:05</t>
  </si>
  <si>
    <t>E33149364_6_20260205T131622Z.jpg</t>
  </si>
  <si>
    <t>1 Ангар Склад 2 въезд\E33149364_6_20260205T131622Z.jpg</t>
  </si>
  <si>
    <t>чт 05.02.2026 — 13:16:22</t>
  </si>
  <si>
    <t>E33149364_6_20260205T140252Z.jpg</t>
  </si>
  <si>
    <t>1 Ангар Склад 2 въезд\E33149364_6_20260205T140252Z.jpg</t>
  </si>
  <si>
    <t>чт 05.02.2026 — 14:02:52</t>
  </si>
  <si>
    <t>E33149364_6_20260205T142917Z.jpg</t>
  </si>
  <si>
    <t>1 Ангар Склад 2 въезд\E33149364_6_20260205T142917Z.jpg</t>
  </si>
  <si>
    <t>чт 05.02.2026 — 14:29:17</t>
  </si>
  <si>
    <t>E33149364_6_20260205T163851Z.jpg</t>
  </si>
  <si>
    <t>1 Ангар Склад 2 въезд\E33149364_6_20260205T163851Z.jpg</t>
  </si>
  <si>
    <t>чт 05.02.2026 — 16:38:51</t>
  </si>
  <si>
    <t>E33149364_6_20260205T164328Z.jpg</t>
  </si>
  <si>
    <t>1 Ангар Склад 2 въезд\E33149364_6_20260205T164328Z.jpg</t>
  </si>
  <si>
    <t>чт 05.02.2026 — 16:43:28</t>
  </si>
  <si>
    <t>E33149364_6_20260206T174723Z.jpg</t>
  </si>
  <si>
    <t>1 Ангар Склад 2 въезд\E33149364_6_20260206T174723Z.jpg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</si>
  <si>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</si>
  <si>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</si>
  <si>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</si>
  <si>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</si>
  <si>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</si>
  <si>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</si>
  <si>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</si>
  <si>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</si>
  <si>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</si>
  <si>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</si>
  <si>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</si>
  <si>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9 Ангар пилорама\E33149364_1_20260204T085730Z.jpg</t>
  </si>
  <si>
    <t>ср 04.02.2026 — 08:57:30</t>
  </si>
  <si>
    <t>E33149364_1_20260204T090531Z.jpg</t>
  </si>
  <si>
    <t>9 Ангар пилорама\E33149364_1_20260204T090531Z.jpg</t>
  </si>
  <si>
    <t>ср 04.02.2026 — 09:05:31</t>
  </si>
  <si>
    <t>E33149364_1_20260204T142237Z.jpg</t>
  </si>
  <si>
    <t>9 Ангар пилорама\E33149364_1_20260204T142237Z.jpg</t>
  </si>
  <si>
    <t>ср 04.02.2026 — 14:22:37</t>
  </si>
  <si>
    <t>E33149364_1_20260204T152757Z.jpg</t>
  </si>
  <si>
    <t>9 Ангар пилорама\E33149364_1_20260204T152757Z.jpg</t>
  </si>
  <si>
    <t>ср 04.02.2026 — 15:27:57</t>
  </si>
  <si>
    <t>E33149364_1_20260204T190443Z.jpg</t>
  </si>
  <si>
    <t>9 Ангар пилорама\E33149364_1_20260204T190443Z.jpg</t>
  </si>
  <si>
    <t>ср 04.02.2026 — 19:04:43</t>
  </si>
  <si>
    <t>E33149364_1_20260204T214515Z.jpg</t>
  </si>
  <si>
    <t>9 Ангар пилорама\E33149364_1_20260204T214515Z.jpg</t>
  </si>
  <si>
    <t>ср 04.02.2026 — 21:45:15</t>
  </si>
  <si>
    <t>E33149364_1_20260205T020119Z.jpg</t>
  </si>
  <si>
    <t>9 Ангар пилорама\E33149364_1_20260205T020119Z.jpg</t>
  </si>
  <si>
    <t>чт 05.02.2026 — 02:01:19</t>
  </si>
  <si>
    <t>E33149364_1_20260205T145711Z.jpg</t>
  </si>
  <si>
    <t>9 Ангар пилорама\E33149364_1_20260205T145711Z.jpg</t>
  </si>
  <si>
    <t>чт 05.02.2026 — 14:57:11</t>
  </si>
  <si>
    <t>E33149364_1_20260205T203505Z.jpg</t>
  </si>
  <si>
    <t>9 Ангар пилорама\E33149364_1_20260205T203505Z.jpg</t>
  </si>
  <si>
    <t>чт 05.02.2026 — 20:35:05</t>
  </si>
  <si>
    <t>E33149364_1_20260206T110000Z.jpg</t>
  </si>
  <si>
    <t>9 Ангар пилорама\E33149364_1_20260206T110000Z.jpg</t>
  </si>
  <si>
    <t>пт 06.02.2026 — 11:00:00</t>
  </si>
  <si>
    <t>E33149364_1_20260206T122547Z.jpg</t>
  </si>
  <si>
    <t>9 Ангар пилорама\E33149364_1_20260206T122547Z.jpg</t>
  </si>
  <si>
    <t>пт 06.02.2026 — 12:25:47</t>
  </si>
  <si>
    <t>E33149364_1_20260206T212836Z.jpg</t>
  </si>
  <si>
    <t>9 Ангар пилорама\E33149364_1_20260206T212836Z.jpg</t>
  </si>
  <si>
    <t>пт 06.02.2026 — 21:28:36</t>
  </si>
  <si>
    <t>E33149364_3_20260204T141624Z.jpg</t>
  </si>
  <si>
    <t>10 Сушилка навес\E33149364_3_20260204T141624Z.jpg</t>
  </si>
  <si>
    <t>ср 04.02.2026 — 14:16:24</t>
  </si>
  <si>
    <t>E33149364_3_20260204T151155Z.jpg</t>
  </si>
  <si>
    <t>10 Сушилка навес\E33149364_3_20260204T151155Z.jpg</t>
  </si>
  <si>
    <t>ср 04.02.2026 — 15:11:55</t>
  </si>
  <si>
    <t>E33149364_3_20260204T152143Z.jpg</t>
  </si>
  <si>
    <t>10 Сушилка навес\E33149364_3_20260204T152143Z.jpg</t>
  </si>
  <si>
    <t>ср 04.02.2026 — 15:21:43</t>
  </si>
  <si>
    <t>E33149364_3_20260204T152203Z.jpg</t>
  </si>
  <si>
    <t>10 Сушилка навес\E33149364_3_20260204T152203Z.jpg</t>
  </si>
  <si>
    <t>ср 04.02.2026 — 15:22:03</t>
  </si>
  <si>
    <t>E33149364_3_20260205T090926Z.jpg</t>
  </si>
  <si>
    <t>10 Сушилка навес\E33149364_3_20260205T090926Z.jpg</t>
  </si>
  <si>
    <t>чт 05.02.2026 — 09:09:26</t>
  </si>
  <si>
    <t>E33149364_3_20260205T155301Z.jpg</t>
  </si>
  <si>
    <t>10 Сушилка навес\E33149364_3_20260205T155301Z.jpg</t>
  </si>
  <si>
    <t>чт 05.02.2026 — 15:53:01</t>
  </si>
  <si>
    <t>E33149364_3_20260206T110420Z.jpg</t>
  </si>
  <si>
    <t>10 Сушилка навес\E33149364_3_20260206T110420Z.jpg</t>
  </si>
  <si>
    <t>пт 06.02.2026 — 11:04:20</t>
  </si>
  <si>
    <t>E33149364_4_20260204T151035Z.jpg</t>
  </si>
  <si>
    <t>11 С ангара на базу\E33149364_4_20260204T151035Z.jpg</t>
  </si>
  <si>
    <t>ср 04.02.2026 — 15:10:35</t>
  </si>
  <si>
    <t>E33149364_4_20260205T163853Z.jpg</t>
  </si>
  <si>
    <t>11 С ангара на базу\E33149364_4_20260205T163853Z.jpg</t>
  </si>
  <si>
    <t>чт 05.02.2026 — 16:38:53</t>
  </si>
  <si>
    <t>E33149364_4_20260206T165009Z.jpg</t>
  </si>
  <si>
    <t>11 С ангара на базу\E33149364_4_20260206T165009Z.jpg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</si>
  <si>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</si>
  <si>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</si>
  <si>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</si>
  <si>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</si>
  <si>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</si>
  <si>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</si>
  <si>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</si>
  <si>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</si>
  <si>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</si>
  <si>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</si>
  <si>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</si>
  <si>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</si>
  <si>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</si>
  <si>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</si>
  <si>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</si>
  <si>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</si>
  <si>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</si>
  <si>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</si>
  <si>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</si>
  <si>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</si>
  <si>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</si>
  <si>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</si>
  <si>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</si>
  <si>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</si>
  <si>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</si>
  <si>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</si>
  <si>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</si>
  <si>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</si>
  <si>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</si>
  <si>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3 Въезд на базу\E33149364_8_20260204T123750Z.jpg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</si>
  <si>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</si>
  <si>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</si>
  <si>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</si>
  <si>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</si>
  <si>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</si>
  <si>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3 Въезд на базу\E33149364_8_20260205T131616Z.jpg</t>
  </si>
  <si>
    <t>чт 05.02.2026 — 13:16:16</t>
  </si>
  <si>
    <t>E33149364_8_20260205T140303Z.jpg</t>
  </si>
  <si>
    <t>3 Въезд на базу\E33149364_8_20260205T140303Z.jpg</t>
  </si>
  <si>
    <t>чт 05.02.2026 — 14:03:03</t>
  </si>
  <si>
    <t>E33149364_8_20260205T140619Z.jpg</t>
  </si>
  <si>
    <t>3 Въезд на базу\E33149364_8_20260205T140619Z.jpg</t>
  </si>
  <si>
    <t>чт 05.02.2026 — 14:06:19</t>
  </si>
  <si>
    <t>E33149364_8_20260205T142910Z.jpg</t>
  </si>
  <si>
    <t>3 Въезд на базу\E33149364_8_20260205T142910Z.jpg</t>
  </si>
  <si>
    <t>чт 05.02.2026 — 14:29:10</t>
  </si>
  <si>
    <t>E33149364_8_20260205T164253Z.jpg</t>
  </si>
  <si>
    <t>3 Въезд на базу\E33149364_8_20260205T164253Z.jpg</t>
  </si>
  <si>
    <t>чт 05.02.2026 — 16:42:53</t>
  </si>
  <si>
    <t>E33149364_8_20260205T164311Z.jpg</t>
  </si>
  <si>
    <t>3 Въезд на базу\E33149364_8_20260205T164311Z.jpg</t>
  </si>
  <si>
    <t>чт 05.02.2026 — 16:43:11</t>
  </si>
  <si>
    <t>E33149364_8_20260205T164324Z.jpg</t>
  </si>
  <si>
    <t>3 Въезд на базу\E33149364_8_20260205T164324Z.jpg</t>
  </si>
  <si>
    <t>чт 05.02.2026 — 16:43:24</t>
  </si>
  <si>
    <t>E33149364_8_20260206T131917Z.jpg</t>
  </si>
  <si>
    <t>3 Въезд на базу\E33149364_8_20260206T131917Z.jpg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</si>
  <si>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</si>
  <si>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</si>
  <si>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</si>
  <si>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</si>
  <si>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</si>
  <si>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</si>
  <si>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</si>
  <si>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</si>
  <si>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</si>
  <si>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</si>
  <si>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</si>
  <si>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</si>
  <si>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</si>
  <si>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</si>
  <si>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</si>
  <si>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</si>
  <si>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</si>
  <si>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8 Рейсмус\E33149364_2_20260204T085710Z.jpg</t>
  </si>
  <si>
    <t>ср 04.02.2026 — 08:57:10</t>
  </si>
  <si>
    <t>E33149364_2_20260204T191316Z.jpg</t>
  </si>
  <si>
    <t>8 Рейсмус\E33149364_2_20260204T191316Z.jpg</t>
  </si>
  <si>
    <t>ср 04.02.2026 — 19:13:16</t>
  </si>
  <si>
    <t>E33149364_2_20260205T141207Z.jpg</t>
  </si>
  <si>
    <t>8 Рейсмус\E33149364_2_20260205T141207Z.jpg</t>
  </si>
  <si>
    <t>чт 05.02.2026 — 14:12:07</t>
  </si>
  <si>
    <t>E33149364_2_20260205T202223Z.jpg</t>
  </si>
  <si>
    <t>8 Рейсмус\E33149364_2_20260205T202223Z.jpg</t>
  </si>
  <si>
    <t>чт 05.02.2026 — 20:22:23</t>
  </si>
  <si>
    <t>E33149364_2_20260206T094851Z.jpg</t>
  </si>
  <si>
    <t>8 Рейсмус\E33149364_2_20260206T094851Z.jpg</t>
  </si>
  <si>
    <t>пт 06.02.2026 — 09:48:51</t>
  </si>
  <si>
    <t>E33149364_2_20260206T142500Z.jpg</t>
  </si>
  <si>
    <t>8 Рейсмус\E33149364_2_20260206T142500Z.jpg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</si>
  <si>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</si>
  <si>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</si>
  <si>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</si>
  <si>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</si>
  <si>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</si>
  <si>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</si>
  <si>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</si>
  <si>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</si>
  <si>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</si>
  <si>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</si>
  <si>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</si>
  <si>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</si>
  <si>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</si>
  <si>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</si>
  <si>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</si>
  <si>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</si>
  <si>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</si>
  <si>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</si>
  <si>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</si>
  <si>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</si>
  <si>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</si>
  <si>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</si>
  <si>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</si>
  <si>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</si>
  <si>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</si>
  <si>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</si>
  <si>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2 Пилорама поката\E33149364_7_20260207T083107Z.jpg</t>
  </si>
  <si>
    <t>сб 07.02.2026 — 08:31:07</t>
  </si>
  <si>
    <t>E33149364_8_20260207T160026Z.jpg</t>
  </si>
  <si>
    <t>3 Въезд на базу\E33149364_8_20260207T160026Z.jpg</t>
  </si>
  <si>
    <t>сб 07.02.2026 — 16:00:26</t>
  </si>
  <si>
    <t>E33149364_8_20260208T172419Z.jpg</t>
  </si>
  <si>
    <t>3 Въезд на базу\E33149364_8_20260208T172419Z.jpg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</si>
  <si>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</si>
  <si>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</si>
  <si>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</si>
  <si>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</si>
  <si>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</si>
  <si>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</si>
  <si>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</si>
  <si>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</si>
  <si>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</si>
  <si>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</si>
  <si>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</si>
  <si>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</si>
  <si>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</si>
  <si>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</si>
  <si>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1 Ангар Склад 2 въезд\E33149364_6_20260207T155743Z.jpg</t>
  </si>
  <si>
    <t>сб 07.02.2026 — 15:57:43</t>
  </si>
  <si>
    <t>E33149364_6_20260207T164623Z.jpg</t>
  </si>
  <si>
    <t>1 Ангар Склад 2 въезд\E33149364_6_20260207T164623Z.jpg</t>
  </si>
  <si>
    <t>сб 07.02.2026 — 16:46:23</t>
  </si>
  <si>
    <t>E33149364_6_20260208T181304Z.jpg</t>
  </si>
  <si>
    <t>1 Ангар Склад 2 въезд\E33149364_6_20260208T181304Z.jpg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</si>
  <si>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</si>
  <si>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</si>
  <si>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</si>
  <si>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</si>
  <si>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</si>
  <si>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</si>
  <si>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</si>
  <si>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</si>
  <si>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8 Рейсмус\E33149364_2_20260207T090957Z.jpg</t>
  </si>
  <si>
    <t>сб 07.02.2026 — 09:09:57</t>
  </si>
  <si>
    <t>E33149364_2_20260208T113020Z.jpg</t>
  </si>
  <si>
    <t>8 Рейсмус\E33149364_2_20260208T113020Z.jpg</t>
  </si>
  <si>
    <t>вс 08.02.2026 — 11:30:20</t>
  </si>
  <si>
    <t>E33149364_2_20260208T130744Z.jpg</t>
  </si>
  <si>
    <t>8 Рейсмус\E33149364_2_20260208T130744Z.jpg</t>
  </si>
  <si>
    <t>вс 08.02.2026 — 13:07:44</t>
  </si>
  <si>
    <t>E33149364_2_20260208T225257Z.jpg</t>
  </si>
  <si>
    <t>8 Рейсмус\E33149364_2_20260208T225257Z.jpg</t>
  </si>
  <si>
    <t>вс 08.02.2026 — 22:52:57</t>
  </si>
  <si>
    <t>E33149364_1_20260207T180132Z.jpg</t>
  </si>
  <si>
    <t>9 Ангар пилорама\E33149364_1_20260207T180132Z.jpg</t>
  </si>
  <si>
    <t>сб 07.02.2026 — 18:01:32</t>
  </si>
  <si>
    <t>E33149364_1_20260208T110558Z.jpg</t>
  </si>
  <si>
    <t>9 Ангар пилорама\E33149364_1_20260208T110558Z.jpg</t>
  </si>
  <si>
    <t>вс 08.02.2026 — 11:05:58</t>
  </si>
  <si>
    <t>E33149364_1_20260208T110947Z.jpg</t>
  </si>
  <si>
    <t>9 Ангар пилорама\E33149364_1_20260208T110947Z.jpg</t>
  </si>
  <si>
    <t>вс 08.02.2026 — 11:09:47</t>
  </si>
  <si>
    <t>E33149364_1_20260208T114033Z.jpg</t>
  </si>
  <si>
    <t>9 Ангар пилорама\E33149364_1_20260208T114033Z.jpg</t>
  </si>
  <si>
    <t>вс 08.02.2026 — 11:40:33</t>
  </si>
  <si>
    <t>E33149364_1_20260208T124046Z.jpg</t>
  </si>
  <si>
    <t>9 Ангар пилорама\E33149364_1_20260208T124046Z.jpg</t>
  </si>
  <si>
    <t>вс 08.02.2026 — 12:40:46</t>
  </si>
  <si>
    <t>E33149364_1_20260208T182024Z.jpg</t>
  </si>
  <si>
    <t>9 Ангар пилорама\E33149364_1_20260208T182024Z.jpg</t>
  </si>
  <si>
    <t>вс 08.02.2026 — 18:20:24</t>
  </si>
  <si>
    <t>E33149364_1_20260208T221726Z.jpg</t>
  </si>
  <si>
    <t>9 Ангар пилорама\E33149364_1_20260208T221726Z.jpg</t>
  </si>
  <si>
    <t>вс 08.02.2026 — 22:17:26</t>
  </si>
  <si>
    <t>E33149364_1_20260209T090524Z.jpg</t>
  </si>
  <si>
    <t>9 Ангар пилорама\E33149364_1_20260209T090524Z.jpg</t>
  </si>
  <si>
    <t>пн 09.02.2026 — 09:05:24</t>
  </si>
  <si>
    <t>E33149364_1_20260209T113149Z.jpg</t>
  </si>
  <si>
    <t>9 Ангар пилорама\E33149364_1_20260209T113149Z.jpg</t>
  </si>
  <si>
    <t>пн 09.02.2026 — 11:31:49</t>
  </si>
  <si>
    <t>E33149364_1_20260209T162733Z.jpg</t>
  </si>
  <si>
    <t>9 Ангар пилорама\E33149364_1_20260209T162733Z.jpg</t>
  </si>
  <si>
    <t>пн 09.02.2026 — 16:27:33</t>
  </si>
  <si>
    <t>E33149364_3_20260207T164800Z.jpg</t>
  </si>
  <si>
    <t>10 Сушилка навес\E33149364_3_20260207T164800Z.jpg</t>
  </si>
  <si>
    <t>сб 07.02.2026 — 16:48:00</t>
  </si>
  <si>
    <t>E33149364_3_20260208T114050Z.jpg</t>
  </si>
  <si>
    <t>10 Сушилка навес\E33149364_3_20260208T114050Z.jpg</t>
  </si>
  <si>
    <t>вс 08.02.2026 — 11:40:50</t>
  </si>
  <si>
    <t>E33149364_3_20260208T124245Z.jpg</t>
  </si>
  <si>
    <t>10 Сушилка навес\E33149364_3_20260208T124245Z.jpg</t>
  </si>
  <si>
    <t>вс 08.02.2026 — 12:42:45</t>
  </si>
  <si>
    <t>E33149364_4_20260207T154614Z.jpg</t>
  </si>
  <si>
    <t>11 С ангара на базу\E33149364_4_20260207T154614Z.jpg</t>
  </si>
  <si>
    <t>сб 07.02.2026 — 15:46:14</t>
  </si>
  <si>
    <t>E33149364_4_20260208T174951Z.jpg</t>
  </si>
  <si>
    <t>11 С ангара на базу\E33149364_4_20260208T174951Z.jpg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</si>
  <si>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</si>
  <si>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</si>
  <si>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</si>
  <si>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</si>
  <si>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</si>
  <si>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</si>
  <si>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</si>
  <si>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</si>
  <si>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</si>
  <si>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</si>
  <si>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</si>
  <si>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</si>
  <si>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</si>
  <si>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</si>
  <si>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</si>
  <si>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</si>
  <si>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</si>
  <si>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</si>
  <si>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</si>
  <si>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</si>
  <si>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</si>
  <si>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2 Пилорама поката\E33149364_7_20260208T165553Z.jpg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</si>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</sst>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869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1" tableType="queryTable" totalsRowShown="0">
  <autoFilter ref="A1:N251" xr:uid="{B468AF39-21AE-47BD-BA18-EADB2FC1D520}"/>
  <tableColumns count="14">
    <tableColumn id="11" xr3:uid="{6F8E650D-029B-40AD-86B4-92C160128A4F}" uniqueName="11" name="День нед" queryTableFieldId="39" dataDxfId="97"/>
    <tableColumn id="8" xr3:uid="{7C2AA400-8F21-45B7-B47D-9CF2CFB5DD00}" uniqueName="8" name="Дата" queryTableFieldId="19" dataDxfId="96"/>
    <tableColumn id="9" xr3:uid="{7CB7ABF0-C98D-49E4-A494-985A43D5F40F}" uniqueName="9" name="Время" queryTableFieldId="20" dataDxfId="95"/>
    <tableColumn id="5" xr3:uid="{613A944B-9245-4C6D-9CCE-5037AD552DED}" uniqueName="5" name="Событие" queryTableFieldId="27" dataDxfId="868"/>
    <tableColumn id="7" xr3:uid="{FFEA85A5-3527-4483-91CE-57F760AB9F33}" uniqueName="7" name="Объект" queryTableFieldId="29" dataDxfId="867"/>
    <tableColumn id="10" xr3:uid="{A2E2C27E-C1B2-4B74-A427-E1854B0E2C76}" uniqueName="10" name="Груз" queryTableFieldId="30" dataDxfId="86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865"/>
    <tableColumn id="4" xr3:uid="{B2B57637-8A7D-4C5F-A6F8-E38F3EA43620}" uniqueName="4" name="Name" queryTableFieldId="14" dataDxfId="864"/>
    <tableColumn id="1" xr3:uid="{79275791-6385-434B-9F1B-8BDC003824A7}" uniqueName="1" name="Folder Path" queryTableFieldId="11" dataDxfId="86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94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86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9" tableType="queryTable" totalsRowShown="0">
  <autoFilter ref="A1:M279" xr:uid="{B468AF39-21AE-47BD-BA18-EADB2FC1D520}"/>
  <tableColumns count="13">
    <tableColumn id="11" xr3:uid="{6804E693-7D64-41A5-9B58-B7D348C4DC92}" uniqueName="11" name="День нед" queryTableFieldId="39" dataDxfId="89"/>
    <tableColumn id="8" xr3:uid="{40827FD9-94EC-4CF6-B212-59CF3E913897}" uniqueName="8" name="Дата" queryTableFieldId="19" dataDxfId="88"/>
    <tableColumn id="9" xr3:uid="{1F8E8ADE-5BFB-4171-9A0A-859E22042D3B}" uniqueName="9" name="Время" queryTableFieldId="20" dataDxfId="87"/>
    <tableColumn id="5" xr3:uid="{9D19F2E1-3C70-4F2F-8ED7-6D41C17A9366}" uniqueName="5" name="Событие" queryTableFieldId="27" dataDxfId="861"/>
    <tableColumn id="7" xr3:uid="{8C8CC69A-BA0A-4417-AE7D-B89E26F69F9B}" uniqueName="7" name="Объект" queryTableFieldId="29" dataDxfId="860"/>
    <tableColumn id="10" xr3:uid="{375C36FB-077D-4AA3-B6F7-74ACE46C2638}" uniqueName="10" name="Груз" queryTableFieldId="30" dataDxfId="859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858"/>
    <tableColumn id="4" xr3:uid="{4A5BB282-D54C-4C68-A1D9-B3A819F9FCF6}" uniqueName="4" name="Name" queryTableFieldId="14" dataDxfId="857"/>
    <tableColumn id="1" xr3:uid="{7BD19058-41FF-4EFE-8283-68501A5B1623}" uniqueName="1" name="Folder Path" queryTableFieldId="11" dataDxfId="856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86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1" tableType="queryTable" totalsRowShown="0">
  <autoFilter ref="A1:M161" xr:uid="{B468AF39-21AE-47BD-BA18-EADB2FC1D520}"/>
  <tableColumns count="13">
    <tableColumn id="11" xr3:uid="{8C7989A8-AE95-4BFB-859E-9F3F94DCD873}" uniqueName="11" name="День нед" queryTableFieldId="39" dataDxfId="93"/>
    <tableColumn id="8" xr3:uid="{B651DAE5-1AB7-4761-9820-CB58DA0D9C46}" uniqueName="8" name="Дата" queryTableFieldId="19" dataDxfId="92"/>
    <tableColumn id="9" xr3:uid="{22B6AE73-6E8B-4F81-B85C-3D141AD4D773}" uniqueName="9" name="Время" queryTableFieldId="20" dataDxfId="91"/>
    <tableColumn id="5" xr3:uid="{CB5AF0FF-A861-4F29-BFD9-751A47066C68}" uniqueName="5" name="Событие" queryTableFieldId="27" dataDxfId="855"/>
    <tableColumn id="7" xr3:uid="{63916370-0910-4B95-ABB4-D88865AA9E43}" uniqueName="7" name="Объект" queryTableFieldId="29" dataDxfId="854"/>
    <tableColumn id="10" xr3:uid="{DDC7656E-7390-4778-A2CE-EEC7AC518263}" uniqueName="10" name="Груз" queryTableFieldId="30" dataDxfId="85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852"/>
    <tableColumn id="4" xr3:uid="{96665EED-E1B8-437C-869A-35CB5BA419D3}" uniqueName="4" name="Name" queryTableFieldId="14" dataDxfId="851"/>
    <tableColumn id="1" xr3:uid="{1F225BD8-B59D-4058-9D99-17124C1F38FB}" uniqueName="1" name="Folder Path" queryTableFieldId="11" dataDxfId="85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90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86" tableType="queryTable" totalsRowShown="0">
  <tableColumns count="13">
    <tableColumn id="11" xr3:uid="{F25D1388-C4DF-49FB-9BF5-0132CEDCCAEA}" uniqueName="11" name="День нед" queryTableFieldId="39" dataDxfId="39"/>
    <tableColumn id="8" xr3:uid="{9EDCCA26-9FD6-4F66-9134-186F89CA663B}" uniqueName="8" name="Дата" queryTableFieldId="19" dataDxfId="38"/>
    <tableColumn id="9" xr3:uid="{FB005DB9-8D3C-48A5-94F1-246606C665DD}" uniqueName="9" name="Время" queryTableFieldId="20" dataDxfId="37"/>
    <tableColumn id="5" xr3:uid="{6D19407C-64CF-4FC5-95E7-163AA12EB226}" uniqueName="5" name="Событие" queryTableFieldId="27" dataDxfId="36"/>
    <tableColumn id="7" xr3:uid="{007BF834-0BCB-4416-8941-11DA4EDFCE5B}" uniqueName="7" name="Объект" queryTableFieldId="29" dataDxfId="35"/>
    <tableColumn id="10" xr3:uid="{E896F002-4451-441D-B0CB-52AD69A6E5C3}" uniqueName="10" name="Груз" queryTableFieldId="30" dataDxfId="3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33"/>
    <tableColumn id="4" xr3:uid="{9F6560FA-27F8-4BE9-BA58-3B0E40F582E5}" uniqueName="4" name="Name" queryTableFieldId="14" dataDxfId="32"/>
    <tableColumn id="1" xr3:uid="{44892CD0-9118-4535-9434-E49462140346}" uniqueName="1" name="Folder Path" queryTableFieldId="11" dataDxfId="3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3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23" tableType="queryTable" totalsRowShown="0">
  <tableColumns count="13">
    <tableColumn id="11" xr3:uid="{390CB009-E9E0-4C0F-93C3-AF6B408B816B}" uniqueName="11" name="День нед" queryTableFieldId="39" dataDxfId="85"/>
    <tableColumn id="8" xr3:uid="{E0A1C296-A368-479C-9A74-85306B3C03D4}" uniqueName="8" name="Дата" queryTableFieldId="19" dataDxfId="84"/>
    <tableColumn id="9" xr3:uid="{86401298-83EB-49D3-ACBA-E743586F5CCB}" uniqueName="9" name="Время" queryTableFieldId="20" dataDxfId="83"/>
    <tableColumn id="5" xr3:uid="{FFB4F03A-A400-4544-A729-2375A1F7D5E8}" uniqueName="5" name="Событие" queryTableFieldId="27" dataDxfId="82"/>
    <tableColumn id="7" xr3:uid="{D96DCF3C-D325-4D0C-94A1-DBE97CC5C9DC}" uniqueName="7" name="Объект" queryTableFieldId="29" dataDxfId="81"/>
    <tableColumn id="10" xr3:uid="{76D99262-42F5-447E-95AC-9C2A84BF344C}" uniqueName="10" name="Груз" queryTableFieldId="30" dataDxfId="8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79"/>
    <tableColumn id="4" xr3:uid="{D16AEB37-7A8A-406F-8ED7-B8D53BAA9BD9}" uniqueName="4" name="Name" queryTableFieldId="14" dataDxfId="78"/>
    <tableColumn id="1" xr3:uid="{1746BE5F-089A-476F-AE8D-5F2B27E9AEEA}" uniqueName="1" name="Folder Path" queryTableFieldId="11" dataDxfId="7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7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41" tableType="queryTable" totalsRowShown="0">
  <tableColumns count="13">
    <tableColumn id="11" xr3:uid="{45D23538-AB74-404E-8577-E2B7A36436AF}" uniqueName="11" name="День нед" queryTableFieldId="39" dataDxfId="29"/>
    <tableColumn id="8" xr3:uid="{40B01B94-168F-4547-A2BC-AA7F91350AB3}" uniqueName="8" name="Дата" queryTableFieldId="19" dataDxfId="28"/>
    <tableColumn id="9" xr3:uid="{A2C94EFB-3081-4BA9-85C2-DFF0455AFA43}" uniqueName="9" name="Время" queryTableFieldId="20" dataDxfId="27"/>
    <tableColumn id="5" xr3:uid="{244D3D34-C9EC-4B9C-BE81-12A0C0BB4342}" uniqueName="5" name="Событие" queryTableFieldId="27" dataDxfId="26"/>
    <tableColumn id="7" xr3:uid="{C449A112-E8A8-4956-B85C-2BA12316F170}" uniqueName="7" name="Объект" queryTableFieldId="29" dataDxfId="25"/>
    <tableColumn id="10" xr3:uid="{C8411557-C312-4542-93DA-DF5949399E11}" uniqueName="10" name="Груз" queryTableFieldId="30" dataDxfId="2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23"/>
    <tableColumn id="4" xr3:uid="{6A396D44-0898-4737-A4C1-8D6D40981793}" uniqueName="4" name="Name" queryTableFieldId="14" dataDxfId="22"/>
    <tableColumn id="1" xr3:uid="{328F21C9-48B9-4081-9B8C-BBD168BD38D1}" uniqueName="1" name="Folder Path" queryTableFieldId="11" dataDxfId="2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2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79" tableType="queryTable" totalsRowShown="0">
  <tableColumns count="13">
    <tableColumn id="11" xr3:uid="{2311EAC9-4673-4BE2-ADB0-E8CEB0BD9945}" uniqueName="11" name="День нед" queryTableFieldId="39" dataDxfId="75"/>
    <tableColumn id="8" xr3:uid="{F1C9804A-F8E7-4755-B717-859265C587A2}" uniqueName="8" name="Дата" queryTableFieldId="19" dataDxfId="74"/>
    <tableColumn id="9" xr3:uid="{1C2BA522-8D4F-4713-849C-1F60357B476E}" uniqueName="9" name="Время" queryTableFieldId="20" dataDxfId="73"/>
    <tableColumn id="5" xr3:uid="{6E084A00-DC62-4E93-8ABC-4651FD4D2408}" uniqueName="5" name="Событие" queryTableFieldId="27" dataDxfId="72"/>
    <tableColumn id="7" xr3:uid="{C9F6EF14-DBE7-4655-9D20-5B253923C11E}" uniqueName="7" name="Объект" queryTableFieldId="29" dataDxfId="71"/>
    <tableColumn id="10" xr3:uid="{0ADEC0F9-9FE9-4E92-BD38-0B8CDDE1BDBD}" uniqueName="10" name="Груз" queryTableFieldId="30" dataDxfId="70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69"/>
    <tableColumn id="4" xr3:uid="{FE606B6B-0A78-44A2-B44F-54FBA553BAD6}" uniqueName="4" name="Name" queryTableFieldId="14" dataDxfId="68"/>
    <tableColumn id="1" xr3:uid="{34274AB2-665A-4EF1-8C79-4944C9C122A7}" uniqueName="1" name="Folder Path" queryTableFieldId="11" dataDxfId="67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6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0" tableType="queryTable" totalsRowShown="0">
  <tableColumns count="13">
    <tableColumn id="11" xr3:uid="{72CE202A-C56C-4D63-9F9F-0DFF72BB5190}" uniqueName="11" name="День нед" queryTableFieldId="39" dataDxfId="65"/>
    <tableColumn id="8" xr3:uid="{0D9F5C4C-70B0-46E2-9E29-649E206B6616}" uniqueName="8" name="Дата" queryTableFieldId="19" dataDxfId="64"/>
    <tableColumn id="9" xr3:uid="{7C8561D4-BD7D-493F-BC95-213F2D55F3FD}" uniqueName="9" name="Время" queryTableFieldId="20" dataDxfId="63"/>
    <tableColumn id="5" xr3:uid="{E48795B2-2732-4E4A-81E8-B1585581420B}" uniqueName="5" name="Событие" queryTableFieldId="27" dataDxfId="849"/>
    <tableColumn id="7" xr3:uid="{F684EE24-0636-4EC2-AB94-A65EA5355534}" uniqueName="7" name="Объект" queryTableFieldId="29" dataDxfId="848"/>
    <tableColumn id="10" xr3:uid="{0C1B5273-277F-4438-B52D-9F868AD13DEE}" uniqueName="10" name="Груз" queryTableFieldId="30" dataDxfId="84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846"/>
    <tableColumn id="4" xr3:uid="{729433F6-F4FD-435B-851D-D34CC9060068}" uniqueName="4" name="Name" queryTableFieldId="14" dataDxfId="845"/>
    <tableColumn id="1" xr3:uid="{7A9B9B80-B872-4A82-9D9D-98A75E20F89B}" uniqueName="1" name="Folder Path" queryTableFieldId="11" dataDxfId="84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03" tableType="queryTable" totalsRowShown="0">
  <tableColumns count="13">
    <tableColumn id="11" xr3:uid="{2CE691F0-1D02-41BD-8E81-7716875609CD}" uniqueName="11" name="День нед" queryTableFieldId="39" dataDxfId="61"/>
    <tableColumn id="8" xr3:uid="{1A2A3B97-F602-468E-8AD3-5DD492638A71}" uniqueName="8" name="Дата" queryTableFieldId="19" dataDxfId="60"/>
    <tableColumn id="9" xr3:uid="{E8725BDD-FF6C-47C3-9100-825160B93721}" uniqueName="9" name="Время" queryTableFieldId="20" dataDxfId="59"/>
    <tableColumn id="5" xr3:uid="{F68EB906-7F6F-4765-A5C8-9B40064179BE}" uniqueName="5" name="Событие" queryTableFieldId="27" dataDxfId="843"/>
    <tableColumn id="7" xr3:uid="{812FE0F9-0D7E-497C-893A-B104BA069155}" uniqueName="7" name="Объект" queryTableFieldId="29" dataDxfId="842"/>
    <tableColumn id="10" xr3:uid="{1679E688-A047-4936-9EBC-9BDCFEA4CD95}" uniqueName="10" name="Груз" queryTableFieldId="30" dataDxfId="841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840"/>
    <tableColumn id="4" xr3:uid="{F9F7F55E-2CCF-4A6B-892F-1C76C0668832}" uniqueName="4" name="Name" queryTableFieldId="14" dataDxfId="839"/>
    <tableColumn id="1" xr3:uid="{0AF9B05B-8D0E-4B8A-81D0-358A18429CE8}" uniqueName="1" name="Folder Path" queryTableFieldId="11" dataDxfId="838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8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22" tableType="queryTable" totalsRowShown="0">
  <tableColumns count="13">
    <tableColumn id="11" xr3:uid="{96A6BDDB-7ED5-4607-80F3-3FD842EAEE0A}" uniqueName="11" name="День нед" queryTableFieldId="39" dataDxfId="57"/>
    <tableColumn id="8" xr3:uid="{FBEC9ECA-BD5C-442E-BB86-7CCAEF9464D2}" uniqueName="8" name="Дата" queryTableFieldId="19" dataDxfId="56"/>
    <tableColumn id="9" xr3:uid="{68242AF7-BC60-4380-843B-35A6CC4A66E6}" uniqueName="9" name="Время" queryTableFieldId="20" dataDxfId="55"/>
    <tableColumn id="5" xr3:uid="{C98BCFD6-9DE9-4A28-B769-F5737933429D}" uniqueName="5" name="Событие" queryTableFieldId="27" dataDxfId="837"/>
    <tableColumn id="7" xr3:uid="{4D44F8D4-93A4-4851-894E-AC8CDD93BD71}" uniqueName="7" name="Объект" queryTableFieldId="29" dataDxfId="836"/>
    <tableColumn id="10" xr3:uid="{0A838B00-A88A-40EE-A542-7E8E08968D89}" uniqueName="10" name="Груз" queryTableFieldId="30" dataDxfId="83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34"/>
    <tableColumn id="4" xr3:uid="{4FA2E248-D5A3-4824-875F-C328FA9AC2F9}" uniqueName="4" name="Name" queryTableFieldId="14" dataDxfId="833"/>
    <tableColumn id="1" xr3:uid="{B01A6B83-82C4-4172-AD5B-D2AF410DBE1B}" uniqueName="1" name="Folder Path" queryTableFieldId="11" dataDxfId="83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4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03" tableType="queryTable" totalsRowShown="0">
  <tableColumns count="13">
    <tableColumn id="11" xr3:uid="{2AD64508-44AB-4871-8C82-4C5A1E5A5DD2}" uniqueName="11" name="День нед" queryTableFieldId="39" dataDxfId="53"/>
    <tableColumn id="8" xr3:uid="{C788117B-4896-492B-97B3-B2502F0537D8}" uniqueName="8" name="Дата" queryTableFieldId="19" dataDxfId="52"/>
    <tableColumn id="9" xr3:uid="{E3EF5757-6705-492A-BD76-A47D414757C0}" uniqueName="9" name="Время" queryTableFieldId="20" dataDxfId="51"/>
    <tableColumn id="5" xr3:uid="{EF049B28-F832-4F3D-AB4F-3C396920BF5B}" uniqueName="5" name="Событие" queryTableFieldId="27" dataDxfId="831"/>
    <tableColumn id="7" xr3:uid="{DDB63E42-2809-4377-A568-A326109989E9}" uniqueName="7" name="Объект" queryTableFieldId="29" dataDxfId="830"/>
    <tableColumn id="10" xr3:uid="{A4FCF3D3-582A-4DEF-8FB8-9D050C82517D}" uniqueName="10" name="Груз" queryTableFieldId="30" dataDxfId="829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28"/>
    <tableColumn id="4" xr3:uid="{DA63B8EC-3587-40B4-A86A-92B91C78723D}" uniqueName="4" name="Name" queryTableFieldId="14" dataDxfId="827"/>
    <tableColumn id="1" xr3:uid="{360C7476-DEC6-4377-8E95-D472C6673B12}" uniqueName="1" name="Folder Path" queryTableFieldId="11" dataDxfId="826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50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99" tableType="queryTable" totalsRowShown="0">
  <tableColumns count="13">
    <tableColumn id="11" xr3:uid="{C40005DE-8CA6-428A-9DF2-E715CC943F02}" uniqueName="11" name="День нед" queryTableFieldId="39" dataDxfId="19"/>
    <tableColumn id="8" xr3:uid="{55C75F47-F14F-483C-9C7A-95288D9463D6}" uniqueName="8" name="Дата" queryTableFieldId="19" dataDxfId="18"/>
    <tableColumn id="9" xr3:uid="{79D3981C-638A-4D64-BACB-D64D85DAC855}" uniqueName="9" name="Время" queryTableFieldId="20" dataDxfId="17"/>
    <tableColumn id="5" xr3:uid="{B0B848B5-29B2-4292-89A5-7DE5A2F72D15}" uniqueName="5" name="Событие" queryTableFieldId="27" dataDxfId="16"/>
    <tableColumn id="7" xr3:uid="{A9E0C8AC-2336-4969-BC3E-110E6C33529C}" uniqueName="7" name="Объект" queryTableFieldId="29" dataDxfId="15"/>
    <tableColumn id="10" xr3:uid="{F8691CA5-2689-452F-9550-C52E06B35BD6}" uniqueName="10" name="Груз" queryTableFieldId="30" dataDxfId="1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3"/>
    <tableColumn id="4" xr3:uid="{E9716AC2-8439-4E67-8698-BA6CD84F7B9C}" uniqueName="4" name="Name" queryTableFieldId="14" dataDxfId="12"/>
    <tableColumn id="1" xr3:uid="{9AB30DEC-91E3-4633-A156-B937B586CECB}" uniqueName="1" name="Folder Path" queryTableFieldId="11" dataDxfId="1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75" tableType="queryTable" totalsRowShown="0">
  <tableColumns count="13">
    <tableColumn id="11" xr3:uid="{B21CFC33-55C8-4073-BBD2-E0A5154A10D6}" uniqueName="11" name="День нед" queryTableFieldId="39" dataDxfId="49"/>
    <tableColumn id="8" xr3:uid="{004370C0-0D3C-4162-A392-32C741C3A58B}" uniqueName="8" name="Дата" queryTableFieldId="19" dataDxfId="48"/>
    <tableColumn id="9" xr3:uid="{6537DA5E-247D-44FB-ACE3-933B3C9B9408}" uniqueName="9" name="Время" queryTableFieldId="20" dataDxfId="47"/>
    <tableColumn id="5" xr3:uid="{4FA9309D-407E-48C1-B1F9-C33DEA7645B1}" uniqueName="5" name="Событие" queryTableFieldId="27" dataDxfId="46"/>
    <tableColumn id="7" xr3:uid="{76E54E9E-D730-4C99-9BF5-96E9384FF63C}" uniqueName="7" name="Объект" queryTableFieldId="29" dataDxfId="45"/>
    <tableColumn id="10" xr3:uid="{B9F78DE2-7938-486B-9BE2-F824D0E7A6C4}" uniqueName="10" name="Груз" queryTableFieldId="30" dataDxfId="44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43"/>
    <tableColumn id="4" xr3:uid="{921D28C1-5761-48A7-B447-6A4446F87545}" uniqueName="4" name="Name" queryTableFieldId="14" dataDxfId="42"/>
    <tableColumn id="1" xr3:uid="{F1A648C1-8DB5-4DEF-B011-BD85E17FCAA3}" uniqueName="1" name="Folder Path" queryTableFieldId="11" dataDxfId="41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0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804" totalsRowShown="0">
  <autoFilter ref="A1:G3804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33" tableType="queryTable" totalsRowShown="0">
  <autoFilter ref="A1:M233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25"/>
    <tableColumn id="10" xr3:uid="{37082223-0A57-495F-97B8-0BCE1F173A2E}" uniqueName="10" name="Folder Path" queryTableFieldId="10" dataDxfId="824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44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1"/>
  <sheetViews>
    <sheetView zoomScale="90" zoomScaleNormal="90" workbookViewId="0">
      <pane ySplit="1" topLeftCell="A206" activePane="bottomLeft" state="frozen"/>
      <selection pane="bottomLeft" activeCell="E215" sqref="E21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t="s">
        <v>91</v>
      </c>
      <c r="E230" t="s">
        <v>70</v>
      </c>
      <c r="F230" t="s">
        <v>5076</v>
      </c>
      <c r="I230" t="s">
        <v>10902</v>
      </c>
      <c r="J230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t="s">
        <v>62</v>
      </c>
      <c r="E231" t="s">
        <v>70</v>
      </c>
      <c r="F231" t="s">
        <v>5093</v>
      </c>
      <c r="I231" t="s">
        <v>10905</v>
      </c>
      <c r="J231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t="s">
        <v>91</v>
      </c>
      <c r="E232" t="s">
        <v>11124</v>
      </c>
      <c r="I232" t="s">
        <v>11010</v>
      </c>
      <c r="J232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t="s">
        <v>62</v>
      </c>
      <c r="E233" t="s">
        <v>11124</v>
      </c>
      <c r="F233" t="s">
        <v>53</v>
      </c>
      <c r="G233">
        <v>11</v>
      </c>
      <c r="I233" t="s">
        <v>11013</v>
      </c>
      <c r="J233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t="s">
        <v>91</v>
      </c>
      <c r="E234" t="s">
        <v>11125</v>
      </c>
      <c r="I234" t="s">
        <v>11016</v>
      </c>
      <c r="J234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t="s">
        <v>2004</v>
      </c>
      <c r="I235" t="s">
        <v>11019</v>
      </c>
      <c r="J235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t="str">
        <f>VLOOKUP(склад2въезд[[#This Row],[Name]], СпрСобытий!$F:$G, 2, FALSE)</f>
        <v>Ангар Склад 2 въезд</v>
      </c>
    </row>
    <row r="236" spans="1:14" x14ac:dyDescent="0.25">
      <c r="A236" s="2" t="s">
        <v>13</v>
      </c>
      <c r="B236" s="4">
        <v>46055</v>
      </c>
      <c r="C236" s="5">
        <v>0.72170138888888891</v>
      </c>
      <c r="D236" t="s">
        <v>2004</v>
      </c>
      <c r="I236" t="s">
        <v>11145</v>
      </c>
      <c r="J236" t="s">
        <v>2981</v>
      </c>
      <c r="K236" t="s">
        <v>11146</v>
      </c>
      <c r="L236" t="s">
        <v>11147</v>
      </c>
      <c r="M236" s="3" t="str">
        <f>HYPERLINK(склад2въезд[[#This Row],[RelativePath]])</f>
        <v>1 Ангар Склад 2 въезд\E33149364_6_20260202T171915Z.jpg</v>
      </c>
      <c r="N236" t="str">
        <f>VLOOKUP(склад2въезд[[#This Row],[Name]], СпрСобытий!$F:$G, 2, FALSE)</f>
        <v>Ангар Склад 2 въезд</v>
      </c>
    </row>
    <row r="237" spans="1:14" x14ac:dyDescent="0.25">
      <c r="A237" s="2" t="s">
        <v>14</v>
      </c>
      <c r="B237" s="4">
        <v>46056</v>
      </c>
      <c r="C237" s="5">
        <v>0.44545138888888891</v>
      </c>
      <c r="D237" t="s">
        <v>91</v>
      </c>
      <c r="E237" t="s">
        <v>11412</v>
      </c>
      <c r="F237" t="s">
        <v>60</v>
      </c>
      <c r="I237" t="s">
        <v>11148</v>
      </c>
      <c r="J237" t="s">
        <v>2981</v>
      </c>
      <c r="K237" t="s">
        <v>11149</v>
      </c>
      <c r="L237" t="s">
        <v>11150</v>
      </c>
      <c r="M237" s="3" t="str">
        <f>HYPERLINK(склад2въезд[[#This Row],[RelativePath]])</f>
        <v>1 Ангар Склад 2 въезд\E33149364_6_20260203T104127Z.jpg</v>
      </c>
      <c r="N237" t="str">
        <f>VLOOKUP(склад2въезд[[#This Row],[Name]], СпрСобытий!$F:$G, 2, FALSE)</f>
        <v>Ангар Склад 2 въезд</v>
      </c>
    </row>
    <row r="238" spans="1:14" x14ac:dyDescent="0.25">
      <c r="A238" s="2" t="s">
        <v>14</v>
      </c>
      <c r="B238" s="4">
        <v>46056</v>
      </c>
      <c r="C238" s="5">
        <v>0.56745370370370374</v>
      </c>
      <c r="D238" t="s">
        <v>62</v>
      </c>
      <c r="E238" t="s">
        <v>11412</v>
      </c>
      <c r="F238" t="s">
        <v>51</v>
      </c>
      <c r="I238" t="s">
        <v>11151</v>
      </c>
      <c r="J238" t="s">
        <v>2981</v>
      </c>
      <c r="K238" t="s">
        <v>11152</v>
      </c>
      <c r="L238" t="s">
        <v>11153</v>
      </c>
      <c r="M238" s="3" t="str">
        <f>HYPERLINK(склад2въезд[[#This Row],[RelativePath]])</f>
        <v>1 Ангар Склад 2 въезд\E33149364_6_20260203T133708Z.jpg</v>
      </c>
      <c r="N238" t="str">
        <f>VLOOKUP(склад2въезд[[#This Row],[Name]], СпрСобытий!$F:$G, 2, FALSE)</f>
        <v>Ангар Склад 2 въезд</v>
      </c>
    </row>
    <row r="239" spans="1:14" x14ac:dyDescent="0.25">
      <c r="A239" s="2" t="s">
        <v>14</v>
      </c>
      <c r="B239" s="4">
        <v>46056</v>
      </c>
      <c r="C239" s="5">
        <v>0.79409722222222223</v>
      </c>
      <c r="D239" t="s">
        <v>62</v>
      </c>
      <c r="E239" t="s">
        <v>6190</v>
      </c>
      <c r="F239" t="s">
        <v>11413</v>
      </c>
      <c r="I239" t="s">
        <v>11154</v>
      </c>
      <c r="J239" t="s">
        <v>2981</v>
      </c>
      <c r="K239" t="s">
        <v>11155</v>
      </c>
      <c r="L239" t="s">
        <v>11156</v>
      </c>
      <c r="M239" s="3" t="str">
        <f>HYPERLINK(склад2въезд[[#This Row],[RelativePath]])</f>
        <v>1 Ангар Склад 2 въезд\E33149364_6_20260203T190330Z.jpg</v>
      </c>
      <c r="N239" t="str">
        <f>VLOOKUP(склад2въезд[[#This Row],[Name]], СпрСобытий!$F:$G, 2, FALSE)</f>
        <v>Ангар Склад 2 въезд</v>
      </c>
    </row>
    <row r="240" spans="1:14" x14ac:dyDescent="0.25">
      <c r="A240" s="2" t="s">
        <v>14</v>
      </c>
      <c r="B240" s="4">
        <v>46056</v>
      </c>
      <c r="C240" s="5">
        <v>0.83721064814814816</v>
      </c>
      <c r="D240" t="s">
        <v>91</v>
      </c>
      <c r="E240" t="s">
        <v>6190</v>
      </c>
      <c r="I240" t="s">
        <v>11157</v>
      </c>
      <c r="J240" t="s">
        <v>2981</v>
      </c>
      <c r="K240" t="s">
        <v>11158</v>
      </c>
      <c r="L240" t="s">
        <v>11159</v>
      </c>
      <c r="M240" s="3" t="str">
        <f>HYPERLINK(склад2въезд[[#This Row],[RelativePath]])</f>
        <v>1 Ангар Склад 2 въезд\E33149364_6_20260203T200535Z.jpg</v>
      </c>
      <c r="N240" t="str">
        <f>VLOOKUP(склад2въезд[[#This Row],[Name]], СпрСобытий!$F:$G, 2, FALSE)</f>
        <v>Ангар Склад 2 въезд</v>
      </c>
    </row>
    <row r="241" spans="1:14" x14ac:dyDescent="0.25">
      <c r="A241" s="2" t="s">
        <v>15</v>
      </c>
      <c r="B241" s="4">
        <v>46057</v>
      </c>
      <c r="C241" s="5">
        <v>0.71343749999999995</v>
      </c>
      <c r="D241" t="s">
        <v>2004</v>
      </c>
      <c r="I241" t="s">
        <v>11448</v>
      </c>
      <c r="J241" t="s">
        <v>2981</v>
      </c>
      <c r="K241" t="s">
        <v>11449</v>
      </c>
      <c r="L241" t="s">
        <v>11450</v>
      </c>
      <c r="M241" s="3" t="str">
        <f>HYPERLINK(склад2въезд[[#This Row],[RelativePath]])</f>
        <v>1 Ангар Склад 2 въезд\E33149364_6_20260204T170721Z.jpg</v>
      </c>
      <c r="N241" t="str">
        <f>VLOOKUP(склад2въезд[[#This Row],[Name]], СпрСобытий!$F:$G, 2, FALSE)</f>
        <v>Ангар Склад 2 въезд</v>
      </c>
    </row>
    <row r="242" spans="1:14" x14ac:dyDescent="0.25">
      <c r="A242" s="2" t="s">
        <v>16</v>
      </c>
      <c r="B242" s="4">
        <v>46058</v>
      </c>
      <c r="C242" s="5">
        <v>0.54936342592592591</v>
      </c>
      <c r="D242" t="s">
        <v>91</v>
      </c>
      <c r="E242" t="s">
        <v>70</v>
      </c>
      <c r="F242" t="s">
        <v>51</v>
      </c>
      <c r="I242" t="s">
        <v>11451</v>
      </c>
      <c r="J242" t="s">
        <v>2981</v>
      </c>
      <c r="K242" t="s">
        <v>11452</v>
      </c>
      <c r="L242" t="s">
        <v>11453</v>
      </c>
      <c r="M242" s="3" t="str">
        <f>HYPERLINK(склад2въезд[[#This Row],[RelativePath]])</f>
        <v>1 Ангар Склад 2 въезд\E33149364_6_20260205T131105Z.jpg</v>
      </c>
      <c r="N242" t="str">
        <f>VLOOKUP(склад2въезд[[#This Row],[Name]], СпрСобытий!$F:$G, 2, FALSE)</f>
        <v>Ангар Склад 2 въезд</v>
      </c>
    </row>
    <row r="243" spans="1:14" x14ac:dyDescent="0.25">
      <c r="A243" s="2" t="s">
        <v>16</v>
      </c>
      <c r="B243" s="4">
        <v>46058</v>
      </c>
      <c r="C243" s="5">
        <v>0.55303240740740744</v>
      </c>
      <c r="D243" t="s">
        <v>62</v>
      </c>
      <c r="E243" t="s">
        <v>70</v>
      </c>
      <c r="F243" t="s">
        <v>11637</v>
      </c>
      <c r="G243">
        <v>2</v>
      </c>
      <c r="I243" t="s">
        <v>11454</v>
      </c>
      <c r="J243" t="s">
        <v>2981</v>
      </c>
      <c r="K243" t="s">
        <v>11455</v>
      </c>
      <c r="L243" t="s">
        <v>11456</v>
      </c>
      <c r="M243" s="3" t="str">
        <f>HYPERLINK(склад2въезд[[#This Row],[RelativePath]])</f>
        <v>1 Ангар Склад 2 въезд\E33149364_6_20260205T131622Z.jpg</v>
      </c>
      <c r="N243" t="str">
        <f>VLOOKUP(склад2въезд[[#This Row],[Name]], СпрСобытий!$F:$G, 2, FALSE)</f>
        <v>Ангар Склад 2 въезд</v>
      </c>
    </row>
    <row r="244" spans="1:14" x14ac:dyDescent="0.25">
      <c r="A244" s="2" t="s">
        <v>16</v>
      </c>
      <c r="B244" s="4">
        <v>46058</v>
      </c>
      <c r="C244" s="5">
        <v>0.58532407407407405</v>
      </c>
      <c r="D244" t="s">
        <v>91</v>
      </c>
      <c r="E244" t="s">
        <v>70</v>
      </c>
      <c r="F244" t="s">
        <v>11637</v>
      </c>
      <c r="G244">
        <v>2</v>
      </c>
      <c r="I244" t="s">
        <v>11457</v>
      </c>
      <c r="J244" t="s">
        <v>2981</v>
      </c>
      <c r="K244" t="s">
        <v>11458</v>
      </c>
      <c r="L244" t="s">
        <v>11459</v>
      </c>
      <c r="M244" s="3" t="str">
        <f>HYPERLINK(склад2въезд[[#This Row],[RelativePath]])</f>
        <v>1 Ангар Склад 2 въезд\E33149364_6_20260205T140252Z.jpg</v>
      </c>
      <c r="N244" t="str">
        <f>VLOOKUP(склад2въезд[[#This Row],[Name]], СпрСобытий!$F:$G, 2, FALSE)</f>
        <v>Ангар Склад 2 въезд</v>
      </c>
    </row>
    <row r="245" spans="1:14" x14ac:dyDescent="0.25">
      <c r="A245" s="2" t="s">
        <v>16</v>
      </c>
      <c r="B245" s="4">
        <v>46058</v>
      </c>
      <c r="C245" s="5">
        <v>0.60366898148148151</v>
      </c>
      <c r="D245" t="s">
        <v>62</v>
      </c>
      <c r="E245" t="s">
        <v>70</v>
      </c>
      <c r="F245" t="s">
        <v>51</v>
      </c>
      <c r="I245" t="s">
        <v>11460</v>
      </c>
      <c r="J245" t="s">
        <v>2981</v>
      </c>
      <c r="K245" t="s">
        <v>11461</v>
      </c>
      <c r="L245" t="s">
        <v>11462</v>
      </c>
      <c r="M245" s="3" t="str">
        <f>HYPERLINK(склад2въезд[[#This Row],[RelativePath]])</f>
        <v>1 Ангар Склад 2 въезд\E33149364_6_20260205T142917Z.jpg</v>
      </c>
      <c r="N245" t="str">
        <f>VLOOKUP(склад2въезд[[#This Row],[Name]], СпрСобытий!$F:$G, 2, FALSE)</f>
        <v>Ангар Склад 2 въезд</v>
      </c>
    </row>
    <row r="246" spans="1:14" x14ac:dyDescent="0.25">
      <c r="A246" s="2" t="s">
        <v>16</v>
      </c>
      <c r="B246" s="4">
        <v>46058</v>
      </c>
      <c r="C246" s="5">
        <v>0.69364583333333329</v>
      </c>
      <c r="D246" t="s">
        <v>91</v>
      </c>
      <c r="E246" t="s">
        <v>66</v>
      </c>
      <c r="F246" t="s">
        <v>51</v>
      </c>
      <c r="I246" t="s">
        <v>11463</v>
      </c>
      <c r="J246" t="s">
        <v>2981</v>
      </c>
      <c r="K246" t="s">
        <v>11464</v>
      </c>
      <c r="L246" t="s">
        <v>11465</v>
      </c>
      <c r="M246" s="3" t="str">
        <f>HYPERLINK(склад2въезд[[#This Row],[RelativePath]])</f>
        <v>1 Ангар Склад 2 въезд\E33149364_6_20260205T163851Z.jpg</v>
      </c>
      <c r="N246" t="str">
        <f>VLOOKUP(склад2въезд[[#This Row],[Name]], СпрСобытий!$F:$G, 2, FALSE)</f>
        <v>Ангар Склад 2 въезд</v>
      </c>
    </row>
    <row r="247" spans="1:14" x14ac:dyDescent="0.25">
      <c r="A247" s="2" t="s">
        <v>16</v>
      </c>
      <c r="B247" s="4">
        <v>46058</v>
      </c>
      <c r="C247" s="5">
        <v>0.69685185185185183</v>
      </c>
      <c r="D247" t="s">
        <v>62</v>
      </c>
      <c r="E247" t="s">
        <v>66</v>
      </c>
      <c r="F247" t="s">
        <v>51</v>
      </c>
      <c r="H247" t="s">
        <v>5140</v>
      </c>
      <c r="I247" t="s">
        <v>11466</v>
      </c>
      <c r="J247" t="s">
        <v>2981</v>
      </c>
      <c r="K247" t="s">
        <v>11467</v>
      </c>
      <c r="L247" t="s">
        <v>11468</v>
      </c>
      <c r="M247" s="3" t="str">
        <f>HYPERLINK(склад2въезд[[#This Row],[RelativePath]])</f>
        <v>1 Ангар Склад 2 въезд\E33149364_6_20260205T164328Z.jpg</v>
      </c>
      <c r="N247" t="str">
        <f>VLOOKUP(склад2въезд[[#This Row],[Name]], СпрСобытий!$F:$G, 2, FALSE)</f>
        <v>Ангар Склад 2 въезд</v>
      </c>
    </row>
    <row r="248" spans="1:14" x14ac:dyDescent="0.25">
      <c r="A248" s="2" t="s">
        <v>17</v>
      </c>
      <c r="B248" s="4">
        <v>46059</v>
      </c>
      <c r="C248" s="5">
        <v>0.74123842592592593</v>
      </c>
      <c r="D248" t="s">
        <v>2004</v>
      </c>
      <c r="I248" t="s">
        <v>11469</v>
      </c>
      <c r="J248" t="s">
        <v>2981</v>
      </c>
      <c r="K248" t="s">
        <v>11470</v>
      </c>
      <c r="L248" t="s">
        <v>11471</v>
      </c>
      <c r="M248" s="3" t="str">
        <f>HYPERLINK(склад2въезд[[#This Row],[RelativePath]])</f>
        <v>1 Ангар Склад 2 въезд\E33149364_6_20260206T174723Z.jpg</v>
      </c>
      <c r="N248" t="str">
        <f>VLOOKUP(склад2въезд[[#This Row],[Name]], СпрСобытий!$F:$G, 2, FALSE)</f>
        <v>Ангар Склад 2 въезд</v>
      </c>
    </row>
    <row r="249" spans="1:14" x14ac:dyDescent="0.25">
      <c r="A249" s="2" t="s">
        <v>18</v>
      </c>
      <c r="B249" s="4">
        <v>46060</v>
      </c>
      <c r="C249" s="5">
        <v>0.66508101851851853</v>
      </c>
      <c r="D249" t="s">
        <v>91</v>
      </c>
      <c r="E249" t="s">
        <v>11772</v>
      </c>
      <c r="I249" t="s">
        <v>11682</v>
      </c>
      <c r="J249" t="s">
        <v>2981</v>
      </c>
      <c r="K249" t="s">
        <v>11683</v>
      </c>
      <c r="L249" t="s">
        <v>11684</v>
      </c>
      <c r="M249" s="3" t="str">
        <f>HYPERLINK(склад2въезд[[#This Row],[RelativePath]])</f>
        <v>1 Ангар Склад 2 въезд\E33149364_6_20260207T155743Z.jpg</v>
      </c>
      <c r="N249" t="str">
        <f>VLOOKUP(склад2въезд[[#This Row],[Name]], СпрСобытий!$F:$G, 2, FALSE)</f>
        <v>Ангар Склад 2 въезд</v>
      </c>
    </row>
    <row r="250" spans="1:14" x14ac:dyDescent="0.25">
      <c r="A250" s="2" t="s">
        <v>18</v>
      </c>
      <c r="B250" s="4">
        <v>46060</v>
      </c>
      <c r="C250" s="5">
        <v>0.69887731481481485</v>
      </c>
      <c r="D250" t="s">
        <v>62</v>
      </c>
      <c r="E250" t="s">
        <v>11772</v>
      </c>
      <c r="I250" t="s">
        <v>11685</v>
      </c>
      <c r="J250" t="s">
        <v>2981</v>
      </c>
      <c r="K250" t="s">
        <v>11686</v>
      </c>
      <c r="L250" t="s">
        <v>11687</v>
      </c>
      <c r="M250" s="3" t="str">
        <f>HYPERLINK(склад2въезд[[#This Row],[RelativePath]])</f>
        <v>1 Ангар Склад 2 въезд\E33149364_6_20260207T164623Z.jpg</v>
      </c>
      <c r="N250" t="str">
        <f>VLOOKUP(склад2въезд[[#This Row],[Name]], СпрСобытий!$F:$G, 2, FALSE)</f>
        <v>Ангар Склад 2 въезд</v>
      </c>
    </row>
    <row r="251" spans="1:14" x14ac:dyDescent="0.25">
      <c r="A251" s="2" t="s">
        <v>22</v>
      </c>
      <c r="B251" s="4">
        <v>46061</v>
      </c>
      <c r="C251" s="5">
        <v>0.75907407407407412</v>
      </c>
      <c r="D251" t="s">
        <v>2004</v>
      </c>
      <c r="I251" t="s">
        <v>11688</v>
      </c>
      <c r="J251" t="s">
        <v>2981</v>
      </c>
      <c r="K251" t="s">
        <v>11689</v>
      </c>
      <c r="L251" t="s">
        <v>11690</v>
      </c>
      <c r="M251" s="3" t="str">
        <f>HYPERLINK(склад2въезд[[#This Row],[RelativePath]])</f>
        <v>1 Ангар Склад 2 въезд\E33149364_6_20260208T181304Z.jpg</v>
      </c>
      <c r="N251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52:E265 D252:D262 G2:H251 D2:E251">
    <cfRule type="containsText" dxfId="823" priority="23" operator="containsText" text="Выезд с территории">
      <formula>NOT(ISERROR(SEARCH("Выезд с территории",D2)))</formula>
    </cfRule>
  </conditionalFormatting>
  <conditionalFormatting sqref="F2:F739">
    <cfRule type="notContainsText" dxfId="822" priority="21" operator="notContains" text="порожний">
      <formula>ISERROR(SEARCH("порожний",F2))</formula>
    </cfRule>
  </conditionalFormatting>
  <conditionalFormatting sqref="E2:E265">
    <cfRule type="containsText" dxfId="821" priority="12" operator="containsText" text="Газель базы">
      <formula>NOT(ISERROR(SEARCH("Газель базы",E2)))</formula>
    </cfRule>
    <cfRule type="containsText" dxfId="820" priority="13" operator="containsText" text="Погрузчик базы">
      <formula>NOT(ISERROR(SEARCH("Погрузчик базы",E2)))</formula>
    </cfRule>
  </conditionalFormatting>
  <conditionalFormatting sqref="E2:E265">
    <cfRule type="containsText" dxfId="819" priority="11" operator="containsText" text="Трактор базы">
      <formula>NOT(ISERROR(SEARCH("Трактор базы",E2)))</formula>
    </cfRule>
  </conditionalFormatting>
  <conditionalFormatting sqref="A2:C251">
    <cfRule type="expression" dxfId="818" priority="9">
      <formula>$A2="пн"</formula>
    </cfRule>
  </conditionalFormatting>
  <conditionalFormatting sqref="A2:C253">
    <cfRule type="expression" dxfId="817" priority="3">
      <formula>$A2="вс"</formula>
    </cfRule>
    <cfRule type="expression" dxfId="816" priority="4">
      <formula>$A2="сб"</formula>
    </cfRule>
    <cfRule type="expression" dxfId="815" priority="5">
      <formula>$A2="пт"</formula>
    </cfRule>
    <cfRule type="expression" dxfId="814" priority="6">
      <formula>$A2="чт"</formula>
    </cfRule>
    <cfRule type="expression" dxfId="813" priority="7">
      <formula>$A2="ср"</formula>
    </cfRule>
    <cfRule type="expression" dxfId="812" priority="8">
      <formula>$A2="вт"</formula>
    </cfRule>
  </conditionalFormatting>
  <conditionalFormatting sqref="D2:D262">
    <cfRule type="containsText" dxfId="8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8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79"/>
  <sheetViews>
    <sheetView zoomScale="90" zoomScaleNormal="90" workbookViewId="0">
      <pane ySplit="1" topLeftCell="A264" activePane="bottomLeft" state="frozen"/>
      <selection pane="bottomLeft" activeCell="I278" sqref="I278:I27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t="s">
        <v>1606</v>
      </c>
      <c r="E265" t="s">
        <v>10140</v>
      </c>
      <c r="I265" t="s">
        <v>10890</v>
      </c>
      <c r="J265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t="s">
        <v>650</v>
      </c>
      <c r="E266" t="s">
        <v>10140</v>
      </c>
      <c r="I266" t="s">
        <v>10893</v>
      </c>
      <c r="J266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t="s">
        <v>2004</v>
      </c>
      <c r="E267" t="s">
        <v>8</v>
      </c>
      <c r="I267" t="s">
        <v>11022</v>
      </c>
      <c r="J267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t="s">
        <v>2004</v>
      </c>
      <c r="E268" t="s">
        <v>8</v>
      </c>
      <c r="I268" t="s">
        <v>11025</v>
      </c>
      <c r="J26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  <row r="269" spans="1:13" x14ac:dyDescent="0.25">
      <c r="A269" s="2" t="s">
        <v>13</v>
      </c>
      <c r="B269" s="4">
        <v>46055</v>
      </c>
      <c r="C269" s="5">
        <v>0.66637731481481477</v>
      </c>
      <c r="D269" t="s">
        <v>2004</v>
      </c>
      <c r="E269" t="s">
        <v>8</v>
      </c>
      <c r="I269" t="s">
        <v>11139</v>
      </c>
      <c r="J269" t="s">
        <v>2989</v>
      </c>
      <c r="K269" t="s">
        <v>11140</v>
      </c>
      <c r="L269" t="s">
        <v>11141</v>
      </c>
      <c r="M269" s="3" t="str">
        <f>HYPERLINK(склад2въезд14[[#This Row],[RelativePath]])</f>
        <v>2 Пилорама поката\E33149364_7_20260202T155935Z.jpg</v>
      </c>
    </row>
    <row r="270" spans="1:13" x14ac:dyDescent="0.25">
      <c r="A270" s="2" t="s">
        <v>14</v>
      </c>
      <c r="B270" s="4">
        <v>46056</v>
      </c>
      <c r="C270" s="5">
        <v>0.61488425925925927</v>
      </c>
      <c r="D270" t="s">
        <v>4</v>
      </c>
      <c r="E270" t="s">
        <v>10140</v>
      </c>
      <c r="I270" t="s">
        <v>11142</v>
      </c>
      <c r="J270" t="s">
        <v>2989</v>
      </c>
      <c r="K270" t="s">
        <v>11143</v>
      </c>
      <c r="L270" t="s">
        <v>11144</v>
      </c>
      <c r="M270" s="3" t="str">
        <f>HYPERLINK(склад2въезд14[[#This Row],[RelativePath]])</f>
        <v>2 Пилорама поката\E33149364_7_20260203T144526Z.jpg</v>
      </c>
    </row>
    <row r="271" spans="1:13" x14ac:dyDescent="0.25">
      <c r="A271" s="2" t="s">
        <v>15</v>
      </c>
      <c r="B271" s="4">
        <v>46057</v>
      </c>
      <c r="C271" s="5">
        <v>0.60766203703703703</v>
      </c>
      <c r="D271" t="s">
        <v>158</v>
      </c>
      <c r="E271" t="s">
        <v>86</v>
      </c>
      <c r="F271" t="s">
        <v>60</v>
      </c>
      <c r="G271">
        <v>1</v>
      </c>
      <c r="H271" t="s">
        <v>3075</v>
      </c>
      <c r="I271" t="s">
        <v>11427</v>
      </c>
      <c r="J271" t="s">
        <v>2989</v>
      </c>
      <c r="K271" t="s">
        <v>11428</v>
      </c>
      <c r="L271" t="s">
        <v>11429</v>
      </c>
      <c r="M271" s="3" t="str">
        <f>HYPERLINK(склад2въезд14[[#This Row],[RelativePath]])</f>
        <v>2 Пилорама поката\E33149364_7_20260204T143502Z.jpg</v>
      </c>
    </row>
    <row r="272" spans="1:13" x14ac:dyDescent="0.25">
      <c r="A272" s="2" t="s">
        <v>16</v>
      </c>
      <c r="B272" s="4">
        <v>46058</v>
      </c>
      <c r="C272" s="5">
        <v>0.71621527777777783</v>
      </c>
      <c r="D272" t="s">
        <v>158</v>
      </c>
      <c r="E272" t="s">
        <v>86</v>
      </c>
      <c r="F272" t="s">
        <v>58</v>
      </c>
      <c r="H272" t="s">
        <v>3075</v>
      </c>
      <c r="I272" t="s">
        <v>11430</v>
      </c>
      <c r="J272" t="s">
        <v>2989</v>
      </c>
      <c r="K272" t="s">
        <v>11431</v>
      </c>
      <c r="L272" t="s">
        <v>11432</v>
      </c>
      <c r="M272" s="3" t="str">
        <f>HYPERLINK(склад2въезд14[[#This Row],[RelativePath]])</f>
        <v>2 Пилорама поката\E33149364_7_20260205T171121Z.jpg</v>
      </c>
    </row>
    <row r="273" spans="1:13" x14ac:dyDescent="0.25">
      <c r="A273" s="2" t="s">
        <v>17</v>
      </c>
      <c r="B273" s="4">
        <v>46059</v>
      </c>
      <c r="C273" s="5">
        <v>0.45594907407407409</v>
      </c>
      <c r="D273" t="s">
        <v>158</v>
      </c>
      <c r="E273" t="s">
        <v>86</v>
      </c>
      <c r="F273" t="s">
        <v>58</v>
      </c>
      <c r="H273" t="s">
        <v>3075</v>
      </c>
      <c r="I273" t="s">
        <v>11433</v>
      </c>
      <c r="J273" t="s">
        <v>2989</v>
      </c>
      <c r="K273" t="s">
        <v>11434</v>
      </c>
      <c r="L273" t="s">
        <v>11435</v>
      </c>
      <c r="M273" s="3" t="str">
        <f>HYPERLINK(склад2въезд14[[#This Row],[RelativePath]])</f>
        <v>2 Пилорама поката\E33149364_7_20260206T105634Z.jpg</v>
      </c>
    </row>
    <row r="274" spans="1:13" x14ac:dyDescent="0.25">
      <c r="A274" s="2" t="s">
        <v>17</v>
      </c>
      <c r="B274" s="4">
        <v>46059</v>
      </c>
      <c r="C274" s="5">
        <v>0.51763888888888887</v>
      </c>
      <c r="D274" t="s">
        <v>533</v>
      </c>
      <c r="E274" t="s">
        <v>531</v>
      </c>
      <c r="F274" t="s">
        <v>2929</v>
      </c>
      <c r="H274" t="s">
        <v>10885</v>
      </c>
      <c r="I274" t="s">
        <v>11436</v>
      </c>
      <c r="J274" t="s">
        <v>2989</v>
      </c>
      <c r="K274" t="s">
        <v>11437</v>
      </c>
      <c r="L274" t="s">
        <v>11438</v>
      </c>
      <c r="M274" s="3" t="str">
        <f>HYPERLINK(склад2въезд14[[#This Row],[RelativePath]])</f>
        <v>2 Пилорама поката\E33149364_7_20260206T122524Z.jpg</v>
      </c>
    </row>
    <row r="275" spans="1:13" x14ac:dyDescent="0.25">
      <c r="A275" s="2" t="s">
        <v>17</v>
      </c>
      <c r="B275" s="4">
        <v>46059</v>
      </c>
      <c r="C275" s="5">
        <v>0.5181365740740741</v>
      </c>
      <c r="D275" t="s">
        <v>533</v>
      </c>
      <c r="E275" t="s">
        <v>531</v>
      </c>
      <c r="F275" t="s">
        <v>2929</v>
      </c>
      <c r="H275" t="s">
        <v>10885</v>
      </c>
      <c r="I275" t="s">
        <v>11439</v>
      </c>
      <c r="J275" t="s">
        <v>2989</v>
      </c>
      <c r="K275" t="s">
        <v>11440</v>
      </c>
      <c r="L275" t="s">
        <v>11441</v>
      </c>
      <c r="M275" s="3" t="str">
        <f>HYPERLINK(склад2въезд14[[#This Row],[RelativePath]])</f>
        <v>2 Пилорама поката\E33149364_7_20260206T122607Z.jpg</v>
      </c>
    </row>
    <row r="276" spans="1:13" x14ac:dyDescent="0.25">
      <c r="A276" s="2" t="s">
        <v>17</v>
      </c>
      <c r="B276" s="4">
        <v>46059</v>
      </c>
      <c r="C276" s="5">
        <v>0.51836805555555554</v>
      </c>
      <c r="D276" t="s">
        <v>533</v>
      </c>
      <c r="E276" t="s">
        <v>531</v>
      </c>
      <c r="F276" t="s">
        <v>2929</v>
      </c>
      <c r="H276" t="s">
        <v>10885</v>
      </c>
      <c r="I276" t="s">
        <v>11442</v>
      </c>
      <c r="J276" t="s">
        <v>2989</v>
      </c>
      <c r="K276" t="s">
        <v>11443</v>
      </c>
      <c r="L276" t="s">
        <v>11444</v>
      </c>
      <c r="M276" s="3" t="str">
        <f>HYPERLINK(склад2въезд14[[#This Row],[RelativePath]])</f>
        <v>2 Пилорама поката\E33149364_7_20260206T122627Z.jpg</v>
      </c>
    </row>
    <row r="277" spans="1:13" x14ac:dyDescent="0.25">
      <c r="A277" s="2" t="s">
        <v>17</v>
      </c>
      <c r="B277" s="4">
        <v>46059</v>
      </c>
      <c r="C277" s="5">
        <v>0.60797453703703708</v>
      </c>
      <c r="D277" t="s">
        <v>533</v>
      </c>
      <c r="E277" t="s">
        <v>531</v>
      </c>
      <c r="F277" t="s">
        <v>2929</v>
      </c>
      <c r="H277" t="s">
        <v>10885</v>
      </c>
      <c r="I277" t="s">
        <v>11445</v>
      </c>
      <c r="J277" t="s">
        <v>2989</v>
      </c>
      <c r="K277" t="s">
        <v>11446</v>
      </c>
      <c r="L277" t="s">
        <v>11447</v>
      </c>
      <c r="M277" s="3" t="str">
        <f>HYPERLINK(склад2въезд14[[#This Row],[RelativePath]])</f>
        <v>2 Пилорама поката\E33149364_7_20260206T143529Z.jpg</v>
      </c>
    </row>
    <row r="278" spans="1:13" x14ac:dyDescent="0.25">
      <c r="A278" s="2" t="s">
        <v>18</v>
      </c>
      <c r="B278" s="4">
        <v>46060</v>
      </c>
      <c r="C278" s="5">
        <v>0.35494212962962962</v>
      </c>
      <c r="D278" t="s">
        <v>2004</v>
      </c>
      <c r="E278" t="s">
        <v>8</v>
      </c>
      <c r="I278" t="s">
        <v>11661</v>
      </c>
      <c r="J278" t="s">
        <v>2989</v>
      </c>
      <c r="K278" t="s">
        <v>11662</v>
      </c>
      <c r="L278" t="s">
        <v>11663</v>
      </c>
      <c r="M278" s="3" t="str">
        <f>HYPERLINK(склад2въезд14[[#This Row],[RelativePath]])</f>
        <v>2 Пилорама поката\E33149364_7_20260207T083107Z.jpg</v>
      </c>
    </row>
    <row r="279" spans="1:13" x14ac:dyDescent="0.25">
      <c r="A279" s="2" t="s">
        <v>22</v>
      </c>
      <c r="B279" s="4">
        <v>46061</v>
      </c>
      <c r="C279" s="5">
        <v>0.705474537037037</v>
      </c>
      <c r="D279" t="s">
        <v>2004</v>
      </c>
      <c r="E279" t="s">
        <v>8</v>
      </c>
      <c r="I279" t="s">
        <v>11773</v>
      </c>
      <c r="J279" t="s">
        <v>2989</v>
      </c>
      <c r="K279" t="s">
        <v>11774</v>
      </c>
      <c r="L279" t="s">
        <v>11775</v>
      </c>
      <c r="M279" s="3" t="str">
        <f>HYPERLINK(склад2въезд14[[#This Row],[RelativePath]])</f>
        <v>2 Пилорама поката\E33149364_7_20260208T165553Z.jpg</v>
      </c>
    </row>
  </sheetData>
  <conditionalFormatting sqref="D280:D290 E280:E293 G2:H279 D2:E279">
    <cfRule type="containsText" dxfId="809" priority="14" operator="containsText" text="Выезд с территории">
      <formula>NOT(ISERROR(SEARCH("Выезд с территории",D2)))</formula>
    </cfRule>
  </conditionalFormatting>
  <conditionalFormatting sqref="F2:F279">
    <cfRule type="notContainsText" dxfId="808" priority="13" operator="notContains" text="порожний">
      <formula>ISERROR(SEARCH("порожний",F2))</formula>
    </cfRule>
  </conditionalFormatting>
  <conditionalFormatting sqref="E2:E293">
    <cfRule type="containsText" dxfId="807" priority="11" operator="containsText" text="Газель базы">
      <formula>NOT(ISERROR(SEARCH("Газель базы",E2)))</formula>
    </cfRule>
    <cfRule type="containsText" dxfId="806" priority="12" operator="containsText" text="Погрузчик базы">
      <formula>NOT(ISERROR(SEARCH("Погрузчик базы",E2)))</formula>
    </cfRule>
  </conditionalFormatting>
  <conditionalFormatting sqref="E2:E293">
    <cfRule type="containsText" dxfId="805" priority="10" operator="containsText" text="Трактор базы">
      <formula>NOT(ISERROR(SEARCH("Трактор базы",E2)))</formula>
    </cfRule>
  </conditionalFormatting>
  <conditionalFormatting sqref="A2:C279">
    <cfRule type="expression" dxfId="804" priority="9">
      <formula>$A2="пн"</formula>
    </cfRule>
  </conditionalFormatting>
  <conditionalFormatting sqref="A2:C281">
    <cfRule type="expression" dxfId="803" priority="3">
      <formula>$A2="вс"</formula>
    </cfRule>
    <cfRule type="expression" dxfId="802" priority="4">
      <formula>$A2="сб"</formula>
    </cfRule>
    <cfRule type="expression" dxfId="801" priority="5">
      <formula>$A2="пт"</formula>
    </cfRule>
    <cfRule type="expression" dxfId="800" priority="6">
      <formula>$A2="чт"</formula>
    </cfRule>
    <cfRule type="expression" dxfId="799" priority="7">
      <formula>$A2="ср"</formula>
    </cfRule>
    <cfRule type="expression" dxfId="798" priority="8">
      <formula>$A2="вт"</formula>
    </cfRule>
  </conditionalFormatting>
  <conditionalFormatting sqref="D2:D290">
    <cfRule type="containsText" dxfId="79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0">
    <cfRule type="containsText" dxfId="79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1"/>
  <sheetViews>
    <sheetView zoomScale="90" zoomScaleNormal="90" workbookViewId="0">
      <pane ySplit="1" topLeftCell="A143" activePane="bottomLeft" state="frozen"/>
      <selection pane="bottomLeft" activeCell="I160" sqref="I160:I16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t="s">
        <v>4</v>
      </c>
      <c r="E143" t="s">
        <v>8803</v>
      </c>
      <c r="I143" t="s">
        <v>10896</v>
      </c>
      <c r="J143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t="s">
        <v>4</v>
      </c>
      <c r="E144" t="s">
        <v>8803</v>
      </c>
      <c r="I144" t="s">
        <v>10899</v>
      </c>
      <c r="J144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t="s">
        <v>4</v>
      </c>
      <c r="E145" t="s">
        <v>11124</v>
      </c>
      <c r="I145" t="s">
        <v>11061</v>
      </c>
      <c r="J145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t="s">
        <v>2004</v>
      </c>
      <c r="E146" t="s">
        <v>8</v>
      </c>
      <c r="I146" t="s">
        <v>11064</v>
      </c>
      <c r="J146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  <row r="147" spans="1:13" x14ac:dyDescent="0.25">
      <c r="A147" s="2" t="s">
        <v>13</v>
      </c>
      <c r="B147" s="4">
        <v>46055</v>
      </c>
      <c r="C147" s="5">
        <v>0.42758101851851854</v>
      </c>
      <c r="D147" t="s">
        <v>4</v>
      </c>
      <c r="E147" t="s">
        <v>8803</v>
      </c>
      <c r="I147" t="s">
        <v>11172</v>
      </c>
      <c r="J147" t="s">
        <v>2990</v>
      </c>
      <c r="K147" t="s">
        <v>11173</v>
      </c>
      <c r="L147" t="s">
        <v>11174</v>
      </c>
      <c r="M147" s="3" t="str">
        <f>HYPERLINK(склад2въезд18[[#This Row],[RelativePath]])</f>
        <v>3 Въезд на базу\E33149364_8_20260202T101543Z.jpg</v>
      </c>
    </row>
    <row r="148" spans="1:13" x14ac:dyDescent="0.25">
      <c r="A148" s="2" t="s">
        <v>14</v>
      </c>
      <c r="B148" s="4">
        <v>46056</v>
      </c>
      <c r="C148" s="5">
        <v>0.44574074074074072</v>
      </c>
      <c r="D148" t="s">
        <v>4</v>
      </c>
      <c r="E148" t="s">
        <v>8803</v>
      </c>
      <c r="I148" t="s">
        <v>11175</v>
      </c>
      <c r="J148" t="s">
        <v>2990</v>
      </c>
      <c r="K148" t="s">
        <v>11176</v>
      </c>
      <c r="L148" t="s">
        <v>11177</v>
      </c>
      <c r="M148" s="3" t="str">
        <f>HYPERLINK(склад2въезд18[[#This Row],[RelativePath]])</f>
        <v>3 Въезд на базу\E33149364_8_20260203T104152Z.jpg</v>
      </c>
    </row>
    <row r="149" spans="1:13" x14ac:dyDescent="0.25">
      <c r="A149" s="2" t="s">
        <v>14</v>
      </c>
      <c r="B149" s="4">
        <v>46056</v>
      </c>
      <c r="C149" s="5">
        <v>0.70100694444444445</v>
      </c>
      <c r="D149" t="s">
        <v>4</v>
      </c>
      <c r="E149" t="s">
        <v>8803</v>
      </c>
      <c r="I149" t="s">
        <v>11178</v>
      </c>
      <c r="J149" t="s">
        <v>2990</v>
      </c>
      <c r="K149" t="s">
        <v>11179</v>
      </c>
      <c r="L149" t="s">
        <v>11180</v>
      </c>
      <c r="M149" s="3" t="str">
        <f>HYPERLINK(склад2въезд18[[#This Row],[RelativePath]])</f>
        <v>3 Въезд на базу\E33149364_8_20260203T164927Z.jpg</v>
      </c>
    </row>
    <row r="150" spans="1:13" x14ac:dyDescent="0.25">
      <c r="A150" s="2" t="s">
        <v>15</v>
      </c>
      <c r="B150" s="4">
        <v>46057</v>
      </c>
      <c r="C150" s="5">
        <v>0.52627314814814818</v>
      </c>
      <c r="D150" t="s">
        <v>4</v>
      </c>
      <c r="E150" t="s">
        <v>8803</v>
      </c>
      <c r="I150" t="s">
        <v>11574</v>
      </c>
      <c r="J150" t="s">
        <v>2990</v>
      </c>
      <c r="K150" t="s">
        <v>11575</v>
      </c>
      <c r="L150" t="s">
        <v>11576</v>
      </c>
      <c r="M150" s="3" t="str">
        <f>HYPERLINK(склад2въезд18[[#This Row],[RelativePath]])</f>
        <v>3 Въезд на базу\E33149364_8_20260204T123750Z.jpg</v>
      </c>
    </row>
    <row r="151" spans="1:13" x14ac:dyDescent="0.25">
      <c r="A151" s="2" t="s">
        <v>16</v>
      </c>
      <c r="B151" s="4">
        <v>46058</v>
      </c>
      <c r="C151" s="5">
        <v>0.54972222222222222</v>
      </c>
      <c r="D151" t="s">
        <v>289</v>
      </c>
      <c r="E151" t="s">
        <v>70</v>
      </c>
      <c r="F151" t="s">
        <v>11637</v>
      </c>
      <c r="G151">
        <v>2</v>
      </c>
      <c r="I151" t="s">
        <v>11577</v>
      </c>
      <c r="J151" t="s">
        <v>2990</v>
      </c>
      <c r="K151" t="s">
        <v>11578</v>
      </c>
      <c r="L151" t="s">
        <v>11579</v>
      </c>
      <c r="M151" s="3" t="str">
        <f>HYPERLINK(склад2въезд18[[#This Row],[RelativePath]])</f>
        <v>3 Въезд на базу\E33149364_8_20260205T131136Z.jpg</v>
      </c>
    </row>
    <row r="152" spans="1:13" x14ac:dyDescent="0.25">
      <c r="A152" s="2" t="s">
        <v>16</v>
      </c>
      <c r="B152" s="4">
        <v>46058</v>
      </c>
      <c r="C152" s="5">
        <v>0.55296296296296299</v>
      </c>
      <c r="D152" t="s">
        <v>650</v>
      </c>
      <c r="E152" t="s">
        <v>70</v>
      </c>
      <c r="F152" t="s">
        <v>11637</v>
      </c>
      <c r="I152" t="s">
        <v>11580</v>
      </c>
      <c r="J152" t="s">
        <v>2990</v>
      </c>
      <c r="K152" t="s">
        <v>11581</v>
      </c>
      <c r="L152" t="s">
        <v>11582</v>
      </c>
      <c r="M152" s="3" t="str">
        <f>HYPERLINK(склад2въезд18[[#This Row],[RelativePath]])</f>
        <v>3 Въезд на базу\E33149364_8_20260205T131616Z.jpg</v>
      </c>
    </row>
    <row r="153" spans="1:13" x14ac:dyDescent="0.25">
      <c r="A153" s="2" t="s">
        <v>16</v>
      </c>
      <c r="B153" s="4">
        <v>46058</v>
      </c>
      <c r="C153" s="5">
        <v>0.58545138888888892</v>
      </c>
      <c r="D153" t="s">
        <v>1606</v>
      </c>
      <c r="E153" t="s">
        <v>70</v>
      </c>
      <c r="I153" t="s">
        <v>11583</v>
      </c>
      <c r="J153" t="s">
        <v>2990</v>
      </c>
      <c r="K153" t="s">
        <v>11584</v>
      </c>
      <c r="L153" t="s">
        <v>11585</v>
      </c>
      <c r="M153" s="3" t="str">
        <f>HYPERLINK(склад2въезд18[[#This Row],[RelativePath]])</f>
        <v>3 Въезд на базу\E33149364_8_20260205T140303Z.jpg</v>
      </c>
    </row>
    <row r="154" spans="1:13" x14ac:dyDescent="0.25">
      <c r="A154" s="2" t="s">
        <v>16</v>
      </c>
      <c r="B154" s="4">
        <v>46058</v>
      </c>
      <c r="C154" s="5">
        <v>0.58771990740740743</v>
      </c>
      <c r="D154" t="s">
        <v>290</v>
      </c>
      <c r="E154" t="s">
        <v>70</v>
      </c>
      <c r="F154" t="s">
        <v>11637</v>
      </c>
      <c r="G154">
        <v>2</v>
      </c>
      <c r="I154" t="s">
        <v>11586</v>
      </c>
      <c r="J154" t="s">
        <v>2990</v>
      </c>
      <c r="K154" t="s">
        <v>11587</v>
      </c>
      <c r="L154" t="s">
        <v>11588</v>
      </c>
      <c r="M154" s="3" t="str">
        <f>HYPERLINK(склад2въезд18[[#This Row],[RelativePath]])</f>
        <v>3 Въезд на базу\E33149364_8_20260205T140619Z.jpg</v>
      </c>
    </row>
    <row r="155" spans="1:13" x14ac:dyDescent="0.25">
      <c r="A155" s="2" t="s">
        <v>16</v>
      </c>
      <c r="B155" s="4">
        <v>46058</v>
      </c>
      <c r="C155" s="5">
        <v>0.60358796296296291</v>
      </c>
      <c r="D155" t="s">
        <v>650</v>
      </c>
      <c r="E155" t="s">
        <v>70</v>
      </c>
      <c r="I155" t="s">
        <v>11589</v>
      </c>
      <c r="J155" t="s">
        <v>2990</v>
      </c>
      <c r="K155" t="s">
        <v>11590</v>
      </c>
      <c r="L155" t="s">
        <v>11591</v>
      </c>
      <c r="M155" s="3" t="str">
        <f>HYPERLINK(склад2въезд18[[#This Row],[RelativePath]])</f>
        <v>3 Въезд на базу\E33149364_8_20260205T142910Z.jpg</v>
      </c>
    </row>
    <row r="156" spans="1:13" x14ac:dyDescent="0.25">
      <c r="A156" s="2" t="s">
        <v>16</v>
      </c>
      <c r="B156" s="4">
        <v>46058</v>
      </c>
      <c r="C156" s="5">
        <v>0.69644675925925925</v>
      </c>
      <c r="D156" t="s">
        <v>1606</v>
      </c>
      <c r="E156" t="s">
        <v>66</v>
      </c>
      <c r="I156" t="s">
        <v>11592</v>
      </c>
      <c r="J156" t="s">
        <v>2990</v>
      </c>
      <c r="K156" t="s">
        <v>11593</v>
      </c>
      <c r="L156" t="s">
        <v>11594</v>
      </c>
      <c r="M156" s="3" t="str">
        <f>HYPERLINK(склад2въезд18[[#This Row],[RelativePath]])</f>
        <v>3 Въезд на базу\E33149364_8_20260205T164253Z.jpg</v>
      </c>
    </row>
    <row r="157" spans="1:13" x14ac:dyDescent="0.25">
      <c r="A157" s="2" t="s">
        <v>16</v>
      </c>
      <c r="B157" s="4">
        <v>46058</v>
      </c>
      <c r="C157" s="5">
        <v>0.69665509259259262</v>
      </c>
      <c r="D157" t="s">
        <v>6171</v>
      </c>
      <c r="E157" t="s">
        <v>66</v>
      </c>
      <c r="I157" t="s">
        <v>11595</v>
      </c>
      <c r="J157" t="s">
        <v>2990</v>
      </c>
      <c r="K157" t="s">
        <v>11596</v>
      </c>
      <c r="L157" t="s">
        <v>11597</v>
      </c>
      <c r="M157" s="3" t="str">
        <f>HYPERLINK(склад2въезд18[[#This Row],[RelativePath]])</f>
        <v>3 Въезд на базу\E33149364_8_20260205T164311Z.jpg</v>
      </c>
    </row>
    <row r="158" spans="1:13" x14ac:dyDescent="0.25">
      <c r="A158" s="2" t="s">
        <v>16</v>
      </c>
      <c r="B158" s="4">
        <v>46058</v>
      </c>
      <c r="C158" s="5">
        <v>0.69680555555555557</v>
      </c>
      <c r="D158" t="s">
        <v>650</v>
      </c>
      <c r="E158" t="s">
        <v>66</v>
      </c>
      <c r="I158" t="s">
        <v>11598</v>
      </c>
      <c r="J158" t="s">
        <v>2990</v>
      </c>
      <c r="K158" t="s">
        <v>11599</v>
      </c>
      <c r="L158" t="s">
        <v>11600</v>
      </c>
      <c r="M158" s="3" t="str">
        <f>HYPERLINK(склад2въезд18[[#This Row],[RelativePath]])</f>
        <v>3 Въезд на базу\E33149364_8_20260205T164324Z.jpg</v>
      </c>
    </row>
    <row r="159" spans="1:13" x14ac:dyDescent="0.25">
      <c r="A159" s="2" t="s">
        <v>17</v>
      </c>
      <c r="B159" s="4">
        <v>46059</v>
      </c>
      <c r="C159" s="5">
        <v>0.55505787037037035</v>
      </c>
      <c r="D159" t="s">
        <v>4</v>
      </c>
      <c r="E159" t="s">
        <v>8803</v>
      </c>
      <c r="I159" t="s">
        <v>11601</v>
      </c>
      <c r="J159" t="s">
        <v>2990</v>
      </c>
      <c r="K159" t="s">
        <v>11602</v>
      </c>
      <c r="L159" t="s">
        <v>11603</v>
      </c>
      <c r="M159" s="3" t="str">
        <f>HYPERLINK(склад2въезд18[[#This Row],[RelativePath]])</f>
        <v>3 Въезд на базу\E33149364_8_20260206T131917Z.jpg</v>
      </c>
    </row>
    <row r="160" spans="1:13" x14ac:dyDescent="0.25">
      <c r="A160" s="2" t="s">
        <v>18</v>
      </c>
      <c r="B160" s="4">
        <v>46060</v>
      </c>
      <c r="C160" s="5">
        <v>0.66696759259259264</v>
      </c>
      <c r="D160" t="s">
        <v>6171</v>
      </c>
      <c r="E160" t="s">
        <v>11782</v>
      </c>
      <c r="I160" t="s">
        <v>11664</v>
      </c>
      <c r="J160" t="s">
        <v>2990</v>
      </c>
      <c r="K160" t="s">
        <v>11665</v>
      </c>
      <c r="L160" t="s">
        <v>11666</v>
      </c>
      <c r="M160" s="3" t="str">
        <f>HYPERLINK(склад2въезд18[[#This Row],[RelativePath]])</f>
        <v>3 Въезд на базу\E33149364_8_20260207T160026Z.jpg</v>
      </c>
    </row>
    <row r="161" spans="1:13" x14ac:dyDescent="0.25">
      <c r="A161" s="2" t="s">
        <v>22</v>
      </c>
      <c r="B161" s="4">
        <v>46061</v>
      </c>
      <c r="C161" s="5">
        <v>0.72521990740740738</v>
      </c>
      <c r="D161" t="s">
        <v>2004</v>
      </c>
      <c r="E161" t="s">
        <v>8</v>
      </c>
      <c r="I161" t="s">
        <v>11667</v>
      </c>
      <c r="J161" t="s">
        <v>2990</v>
      </c>
      <c r="K161" t="s">
        <v>11668</v>
      </c>
      <c r="L161" t="s">
        <v>11669</v>
      </c>
      <c r="M161" s="3" t="str">
        <f>HYPERLINK(склад2въезд18[[#This Row],[RelativePath]])</f>
        <v>3 Въезд на базу\E33149364_8_20260208T172419Z.jpg</v>
      </c>
    </row>
  </sheetData>
  <conditionalFormatting sqref="D162:D172 E162:E175 G2:H161 D2:E161">
    <cfRule type="containsText" dxfId="795" priority="14" operator="containsText" text="Выезд с территории">
      <formula>NOT(ISERROR(SEARCH("Выезд с территории",D2)))</formula>
    </cfRule>
  </conditionalFormatting>
  <conditionalFormatting sqref="F2:F161">
    <cfRule type="notContainsText" dxfId="794" priority="13" operator="notContains" text="порожний">
      <formula>ISERROR(SEARCH("порожний",F2))</formula>
    </cfRule>
  </conditionalFormatting>
  <conditionalFormatting sqref="E2:E175">
    <cfRule type="containsText" dxfId="793" priority="11" operator="containsText" text="Газель базы">
      <formula>NOT(ISERROR(SEARCH("Газель базы",E2)))</formula>
    </cfRule>
    <cfRule type="containsText" dxfId="792" priority="12" operator="containsText" text="Погрузчик базы">
      <formula>NOT(ISERROR(SEARCH("Погрузчик базы",E2)))</formula>
    </cfRule>
  </conditionalFormatting>
  <conditionalFormatting sqref="E2:E175">
    <cfRule type="containsText" dxfId="791" priority="10" operator="containsText" text="Трактор базы">
      <formula>NOT(ISERROR(SEARCH("Трактор базы",E2)))</formula>
    </cfRule>
  </conditionalFormatting>
  <conditionalFormatting sqref="A2:C161">
    <cfRule type="expression" dxfId="790" priority="9">
      <formula>$A2="пн"</formula>
    </cfRule>
  </conditionalFormatting>
  <conditionalFormatting sqref="A2:C163">
    <cfRule type="expression" dxfId="789" priority="3">
      <formula>$A2="вс"</formula>
    </cfRule>
    <cfRule type="expression" dxfId="788" priority="4">
      <formula>$A2="сб"</formula>
    </cfRule>
    <cfRule type="expression" dxfId="787" priority="5">
      <formula>$A2="пт"</formula>
    </cfRule>
    <cfRule type="expression" dxfId="786" priority="6">
      <formula>$A2="чт"</formula>
    </cfRule>
    <cfRule type="expression" dxfId="785" priority="7">
      <formula>$A2="ср"</formula>
    </cfRule>
    <cfRule type="expression" dxfId="784" priority="8">
      <formula>$A2="вт"</formula>
    </cfRule>
  </conditionalFormatting>
  <conditionalFormatting sqref="D2:D172">
    <cfRule type="containsText" dxfId="7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2">
    <cfRule type="containsText" dxfId="7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86"/>
  <sheetViews>
    <sheetView zoomScale="90" zoomScaleNormal="90" workbookViewId="0">
      <pane ySplit="1" topLeftCell="A164" activePane="bottomLeft" state="frozen"/>
      <selection pane="bottomLeft" activeCell="E181" sqref="E18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285156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291</v>
      </c>
      <c r="J2" s="9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295</v>
      </c>
      <c r="J3" s="9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298</v>
      </c>
      <c r="J4" s="9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301</v>
      </c>
      <c r="J5" s="9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9" t="s">
        <v>4</v>
      </c>
      <c r="E6" s="9" t="s">
        <v>8</v>
      </c>
      <c r="F6" s="9"/>
      <c r="H6" s="9" t="s">
        <v>331</v>
      </c>
      <c r="I6" s="9" t="s">
        <v>304</v>
      </c>
      <c r="J6" s="9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9" t="s">
        <v>4</v>
      </c>
      <c r="E7" s="9" t="s">
        <v>8</v>
      </c>
      <c r="F7" s="9"/>
      <c r="H7" s="9" t="s">
        <v>331</v>
      </c>
      <c r="I7" s="9" t="s">
        <v>307</v>
      </c>
      <c r="J7" s="9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9" t="s">
        <v>4</v>
      </c>
      <c r="E8" s="9" t="s">
        <v>8</v>
      </c>
      <c r="F8" s="9"/>
      <c r="H8" s="9" t="s">
        <v>332</v>
      </c>
      <c r="I8" s="9" t="s">
        <v>310</v>
      </c>
      <c r="J8" s="9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313</v>
      </c>
      <c r="J9" s="9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316</v>
      </c>
      <c r="J10" s="9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9" t="s">
        <v>4</v>
      </c>
      <c r="E11" s="9" t="s">
        <v>8</v>
      </c>
      <c r="F11" s="9"/>
      <c r="H11" s="9" t="s">
        <v>331</v>
      </c>
      <c r="I11" s="9" t="s">
        <v>319</v>
      </c>
      <c r="J11" s="9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322</v>
      </c>
      <c r="J12" s="9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325</v>
      </c>
      <c r="J13" s="9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328</v>
      </c>
      <c r="J14" s="9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9" t="s">
        <v>4</v>
      </c>
      <c r="E15" s="9" t="s">
        <v>8</v>
      </c>
      <c r="F15" s="9"/>
      <c r="H15" s="9" t="s">
        <v>2009</v>
      </c>
      <c r="I15" s="9" t="s">
        <v>1238</v>
      </c>
      <c r="J15" s="9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9" t="s">
        <v>1606</v>
      </c>
      <c r="E16" s="9" t="s">
        <v>56</v>
      </c>
      <c r="F16" s="9" t="s">
        <v>2010</v>
      </c>
      <c r="G16">
        <v>1</v>
      </c>
      <c r="H16" s="9"/>
      <c r="I16" s="9" t="s">
        <v>1241</v>
      </c>
      <c r="J16" s="9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9" t="s">
        <v>1094</v>
      </c>
      <c r="E17" s="9" t="s">
        <v>70</v>
      </c>
      <c r="F17" s="9" t="s">
        <v>2010</v>
      </c>
      <c r="H17" s="9" t="s">
        <v>2011</v>
      </c>
      <c r="I17" s="9" t="s">
        <v>1244</v>
      </c>
      <c r="J17" s="9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9" t="s">
        <v>2012</v>
      </c>
      <c r="E18" s="9" t="s">
        <v>70</v>
      </c>
      <c r="F18" s="9" t="s">
        <v>2010</v>
      </c>
      <c r="H18" s="9" t="s">
        <v>2011</v>
      </c>
      <c r="I18" s="9" t="s">
        <v>1247</v>
      </c>
      <c r="J18" s="9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9" t="s">
        <v>650</v>
      </c>
      <c r="E19" s="9" t="s">
        <v>70</v>
      </c>
      <c r="F19" s="9" t="s">
        <v>2010</v>
      </c>
      <c r="H19" s="9"/>
      <c r="I19" s="9" t="s">
        <v>1250</v>
      </c>
      <c r="J19" s="9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9" t="s">
        <v>1606</v>
      </c>
      <c r="E20" s="9" t="s">
        <v>2001</v>
      </c>
      <c r="F20" s="9"/>
      <c r="H20" s="9"/>
      <c r="I20" s="9" t="s">
        <v>1253</v>
      </c>
      <c r="J20" s="9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9" t="s">
        <v>650</v>
      </c>
      <c r="E21" s="9" t="s">
        <v>2001</v>
      </c>
      <c r="F21" s="9"/>
      <c r="H21" s="9"/>
      <c r="I21" s="9" t="s">
        <v>1256</v>
      </c>
      <c r="J21" s="9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9" t="s">
        <v>1606</v>
      </c>
      <c r="E22" s="9" t="s">
        <v>2002</v>
      </c>
      <c r="F22" s="9"/>
      <c r="H22" s="9"/>
      <c r="I22" s="9" t="s">
        <v>1259</v>
      </c>
      <c r="J22" s="9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9" t="s">
        <v>1606</v>
      </c>
      <c r="E23" s="9" t="s">
        <v>70</v>
      </c>
      <c r="F23" s="9" t="s">
        <v>2010</v>
      </c>
      <c r="H23" s="9"/>
      <c r="I23" s="9" t="s">
        <v>1262</v>
      </c>
      <c r="J23" s="9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9" t="s">
        <v>4</v>
      </c>
      <c r="E24" s="9" t="s">
        <v>8</v>
      </c>
      <c r="F24" s="9"/>
      <c r="H24" s="9"/>
      <c r="I24" s="9" t="s">
        <v>1265</v>
      </c>
      <c r="J24" s="9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9" t="s">
        <v>2013</v>
      </c>
      <c r="E25" s="9" t="s">
        <v>56</v>
      </c>
      <c r="F25" s="9"/>
      <c r="H25" s="9"/>
      <c r="I25" s="9" t="s">
        <v>1268</v>
      </c>
      <c r="J25" s="9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9" t="s">
        <v>289</v>
      </c>
      <c r="E26" s="9" t="s">
        <v>56</v>
      </c>
      <c r="F26" s="9" t="s">
        <v>200</v>
      </c>
      <c r="H26" s="9"/>
      <c r="I26" s="9" t="s">
        <v>1271</v>
      </c>
      <c r="J26" s="9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9" t="s">
        <v>650</v>
      </c>
      <c r="E27" s="9" t="s">
        <v>2002</v>
      </c>
      <c r="F27" s="9"/>
      <c r="H27" s="9"/>
      <c r="I27" s="9" t="s">
        <v>1274</v>
      </c>
      <c r="J27" s="9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9" t="s">
        <v>650</v>
      </c>
      <c r="E28" s="9" t="s">
        <v>56</v>
      </c>
      <c r="F28" s="9" t="s">
        <v>200</v>
      </c>
      <c r="H28" s="9"/>
      <c r="I28" s="9" t="s">
        <v>1277</v>
      </c>
      <c r="J28" s="9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9" t="s">
        <v>4</v>
      </c>
      <c r="E29" s="9" t="s">
        <v>8</v>
      </c>
      <c r="F29" s="9"/>
      <c r="H29" s="9"/>
      <c r="I29" s="9" t="s">
        <v>1280</v>
      </c>
      <c r="J29" s="9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9" t="s">
        <v>4</v>
      </c>
      <c r="E30" s="9" t="s">
        <v>8</v>
      </c>
      <c r="F30" s="9"/>
      <c r="H30" s="9" t="s">
        <v>1625</v>
      </c>
      <c r="I30" s="9" t="s">
        <v>1283</v>
      </c>
      <c r="J30" s="9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9" t="s">
        <v>4</v>
      </c>
      <c r="E31" s="9" t="s">
        <v>8</v>
      </c>
      <c r="F31" s="9"/>
      <c r="H31" s="9" t="s">
        <v>2009</v>
      </c>
      <c r="I31" s="9" t="s">
        <v>1286</v>
      </c>
      <c r="J31" s="9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9" t="s">
        <v>4</v>
      </c>
      <c r="E32" s="9" t="s">
        <v>8</v>
      </c>
      <c r="F32" s="9"/>
      <c r="H32" s="9" t="s">
        <v>2004</v>
      </c>
      <c r="I32" s="9" t="s">
        <v>1289</v>
      </c>
      <c r="J32" s="9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9" t="s">
        <v>4</v>
      </c>
      <c r="E33" s="9" t="s">
        <v>8</v>
      </c>
      <c r="F33" s="9"/>
      <c r="H33" s="9" t="s">
        <v>1625</v>
      </c>
      <c r="I33" s="9" t="s">
        <v>1292</v>
      </c>
      <c r="J33" s="9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9" t="s">
        <v>2004</v>
      </c>
      <c r="E34" s="9"/>
      <c r="F34" s="9"/>
      <c r="H34" s="9"/>
      <c r="I34" s="9" t="s">
        <v>2133</v>
      </c>
      <c r="J34" s="9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9" t="s">
        <v>4</v>
      </c>
      <c r="E35" s="9" t="s">
        <v>2927</v>
      </c>
      <c r="F35" s="9" t="s">
        <v>58</v>
      </c>
      <c r="H35" s="9"/>
      <c r="I35" s="9" t="s">
        <v>2136</v>
      </c>
      <c r="J35" s="9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9" t="s">
        <v>4</v>
      </c>
      <c r="E36" s="9" t="s">
        <v>8</v>
      </c>
      <c r="F36" s="9"/>
      <c r="H36" s="9" t="s">
        <v>2931</v>
      </c>
      <c r="I36" s="9" t="s">
        <v>2139</v>
      </c>
      <c r="J36" s="9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9" t="s">
        <v>2004</v>
      </c>
      <c r="E37" s="9"/>
      <c r="F37" s="9"/>
      <c r="H37" s="9"/>
      <c r="I37" s="9" t="s">
        <v>2142</v>
      </c>
      <c r="J37" s="9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9" t="s">
        <v>2004</v>
      </c>
      <c r="E38" s="9"/>
      <c r="F38" s="9"/>
      <c r="H38" s="9"/>
      <c r="I38" s="9" t="s">
        <v>2145</v>
      </c>
      <c r="J38" s="9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9" t="s">
        <v>2004</v>
      </c>
      <c r="E39" s="9"/>
      <c r="F39" s="9"/>
      <c r="H39" s="9"/>
      <c r="I39" s="9" t="s">
        <v>2148</v>
      </c>
      <c r="J39" s="9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9" t="s">
        <v>2004</v>
      </c>
      <c r="E40" s="9"/>
      <c r="F40" s="9"/>
      <c r="H40" s="9"/>
      <c r="I40" s="9" t="s">
        <v>2151</v>
      </c>
      <c r="J40" s="9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9" t="s">
        <v>4</v>
      </c>
      <c r="E41" s="9" t="s">
        <v>8</v>
      </c>
      <c r="F41" s="9"/>
      <c r="H41" s="9"/>
      <c r="I41" s="9" t="s">
        <v>3381</v>
      </c>
      <c r="J41" s="9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3384</v>
      </c>
      <c r="J42" s="9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3387</v>
      </c>
      <c r="J43" s="9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9" t="s">
        <v>4</v>
      </c>
      <c r="E44" s="9" t="s">
        <v>8</v>
      </c>
      <c r="F44" s="9"/>
      <c r="H44" s="9"/>
      <c r="I44" s="9" t="s">
        <v>3390</v>
      </c>
      <c r="J44" s="9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9" t="s">
        <v>4</v>
      </c>
      <c r="E45" s="9" t="s">
        <v>8</v>
      </c>
      <c r="F45" s="9"/>
      <c r="H45" s="9"/>
      <c r="I45" s="9" t="s">
        <v>3393</v>
      </c>
      <c r="J45" s="9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9" t="s">
        <v>4</v>
      </c>
      <c r="E46" s="9" t="s">
        <v>8</v>
      </c>
      <c r="F46" s="9"/>
      <c r="H46" s="9"/>
      <c r="I46" s="9" t="s">
        <v>3396</v>
      </c>
      <c r="J46" s="9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9" t="s">
        <v>4</v>
      </c>
      <c r="E47" s="9" t="s">
        <v>8</v>
      </c>
      <c r="F47" s="9"/>
      <c r="H47" s="9"/>
      <c r="I47" s="9" t="s">
        <v>3399</v>
      </c>
      <c r="J47" s="9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9" t="s">
        <v>4</v>
      </c>
      <c r="E48" s="9" t="s">
        <v>4194</v>
      </c>
      <c r="F48" s="9" t="s">
        <v>4196</v>
      </c>
      <c r="H48" s="9" t="s">
        <v>4205</v>
      </c>
      <c r="I48" s="9" t="s">
        <v>3402</v>
      </c>
      <c r="J48" s="9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9" t="s">
        <v>650</v>
      </c>
      <c r="E49" s="9" t="s">
        <v>55</v>
      </c>
      <c r="F49" s="9" t="s">
        <v>51</v>
      </c>
      <c r="H49" s="9"/>
      <c r="I49" s="9" t="s">
        <v>4264</v>
      </c>
      <c r="J49" s="9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9" t="s">
        <v>1606</v>
      </c>
      <c r="E50" s="9" t="s">
        <v>55</v>
      </c>
      <c r="F50" s="9" t="s">
        <v>51</v>
      </c>
      <c r="H50" s="9"/>
      <c r="I50" s="9" t="s">
        <v>4267</v>
      </c>
      <c r="J50" s="9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9" t="s">
        <v>290</v>
      </c>
      <c r="E51" s="9" t="s">
        <v>4194</v>
      </c>
      <c r="F51" s="9" t="s">
        <v>5093</v>
      </c>
      <c r="H51" s="9"/>
      <c r="I51" s="9" t="s">
        <v>4450</v>
      </c>
      <c r="J51" s="9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9" t="s">
        <v>290</v>
      </c>
      <c r="E52" s="9" t="s">
        <v>4194</v>
      </c>
      <c r="F52" s="9" t="s">
        <v>5093</v>
      </c>
      <c r="H52" s="9"/>
      <c r="I52" s="9" t="s">
        <v>4453</v>
      </c>
      <c r="J52" s="9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9" t="s">
        <v>650</v>
      </c>
      <c r="E53" s="9" t="s">
        <v>4194</v>
      </c>
      <c r="F53" s="9"/>
      <c r="H53" s="9"/>
      <c r="I53" s="9" t="s">
        <v>4456</v>
      </c>
      <c r="J53" s="9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9" t="s">
        <v>289</v>
      </c>
      <c r="E54" s="9" t="s">
        <v>70</v>
      </c>
      <c r="F54" s="9" t="s">
        <v>5093</v>
      </c>
      <c r="H54" s="9" t="s">
        <v>5094</v>
      </c>
      <c r="I54" s="9" t="s">
        <v>4459</v>
      </c>
      <c r="J54" s="9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9" t="s">
        <v>290</v>
      </c>
      <c r="E55" s="9" t="s">
        <v>70</v>
      </c>
      <c r="F55" s="9" t="s">
        <v>5093</v>
      </c>
      <c r="H55" s="9" t="s">
        <v>5094</v>
      </c>
      <c r="I55" s="9" t="s">
        <v>5090</v>
      </c>
      <c r="J55" s="9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9" t="s">
        <v>650</v>
      </c>
      <c r="E56" s="9" t="s">
        <v>70</v>
      </c>
      <c r="F56" s="9"/>
      <c r="H56" s="9"/>
      <c r="I56" s="9" t="s">
        <v>4462</v>
      </c>
      <c r="J56" s="9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9" t="s">
        <v>2004</v>
      </c>
      <c r="E57" s="9" t="s">
        <v>8</v>
      </c>
      <c r="F57" s="9"/>
      <c r="H57" s="9"/>
      <c r="I57" s="9" t="s">
        <v>4465</v>
      </c>
      <c r="J57" s="9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9" t="s">
        <v>289</v>
      </c>
      <c r="E58" s="9" t="s">
        <v>70</v>
      </c>
      <c r="F58" s="9" t="s">
        <v>5093</v>
      </c>
      <c r="H58" s="9" t="s">
        <v>5095</v>
      </c>
      <c r="I58" s="9" t="s">
        <v>4468</v>
      </c>
      <c r="J58" s="9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9" t="s">
        <v>289</v>
      </c>
      <c r="E59" s="9" t="s">
        <v>70</v>
      </c>
      <c r="F59" s="9" t="s">
        <v>5093</v>
      </c>
      <c r="H59" s="9" t="s">
        <v>2936</v>
      </c>
      <c r="I59" s="9" t="s">
        <v>4471</v>
      </c>
      <c r="J59" s="9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9" t="s">
        <v>289</v>
      </c>
      <c r="E60" s="9" t="s">
        <v>70</v>
      </c>
      <c r="F60" s="9" t="s">
        <v>5093</v>
      </c>
      <c r="H60" s="9" t="s">
        <v>2936</v>
      </c>
      <c r="I60" s="9" t="s">
        <v>4474</v>
      </c>
      <c r="J60" s="9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9" t="s">
        <v>289</v>
      </c>
      <c r="E61" s="9" t="s">
        <v>70</v>
      </c>
      <c r="F61" s="9" t="s">
        <v>5093</v>
      </c>
      <c r="H61" s="9" t="s">
        <v>5096</v>
      </c>
      <c r="I61" s="9" t="s">
        <v>4477</v>
      </c>
      <c r="J61" s="9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9" t="s">
        <v>650</v>
      </c>
      <c r="E62" s="9" t="s">
        <v>70</v>
      </c>
      <c r="F62" s="9"/>
      <c r="H62" s="9"/>
      <c r="I62" s="9" t="s">
        <v>4480</v>
      </c>
      <c r="J62" s="9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9" t="s">
        <v>4</v>
      </c>
      <c r="E63" s="9" t="s">
        <v>8</v>
      </c>
      <c r="F63" s="9"/>
      <c r="H63" s="9"/>
      <c r="I63" s="9" t="s">
        <v>4483</v>
      </c>
      <c r="J63" s="9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9" t="s">
        <v>2004</v>
      </c>
      <c r="E64" s="9" t="s">
        <v>8</v>
      </c>
      <c r="F64" s="9"/>
      <c r="H64" s="9"/>
      <c r="I64" s="9" t="s">
        <v>4486</v>
      </c>
      <c r="J64" s="9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9" t="s">
        <v>4</v>
      </c>
      <c r="E65" s="9" t="s">
        <v>8</v>
      </c>
      <c r="F65" s="9"/>
      <c r="H65" s="9"/>
      <c r="I65" s="9" t="s">
        <v>5226</v>
      </c>
      <c r="J65" s="9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9" t="s">
        <v>2004</v>
      </c>
      <c r="E66" s="9" t="s">
        <v>8</v>
      </c>
      <c r="F66" s="9"/>
      <c r="H66" s="9"/>
      <c r="I66" s="9" t="s">
        <v>5297</v>
      </c>
      <c r="J66" s="9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9" t="s">
        <v>290</v>
      </c>
      <c r="E67" s="9" t="s">
        <v>5505</v>
      </c>
      <c r="F67" s="9" t="s">
        <v>6173</v>
      </c>
      <c r="H67" s="9"/>
      <c r="I67" s="9" t="s">
        <v>5696</v>
      </c>
      <c r="J67" s="9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9" t="s">
        <v>290</v>
      </c>
      <c r="E68" s="9" t="s">
        <v>5505</v>
      </c>
      <c r="F68" s="9" t="s">
        <v>6173</v>
      </c>
      <c r="H68" s="9" t="s">
        <v>2936</v>
      </c>
      <c r="I68" s="9" t="s">
        <v>5699</v>
      </c>
      <c r="J68" s="9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9" t="s">
        <v>290</v>
      </c>
      <c r="E69" s="9" t="s">
        <v>5505</v>
      </c>
      <c r="F69" s="9" t="s">
        <v>6173</v>
      </c>
      <c r="H69" s="9" t="s">
        <v>2936</v>
      </c>
      <c r="I69" s="9" t="s">
        <v>5702</v>
      </c>
      <c r="J69" s="9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9" t="s">
        <v>2004</v>
      </c>
      <c r="E70" s="9" t="s">
        <v>8</v>
      </c>
      <c r="F70" s="9"/>
      <c r="H70" s="9"/>
      <c r="I70" s="9" t="s">
        <v>5705</v>
      </c>
      <c r="J70" s="9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9" t="s">
        <v>4</v>
      </c>
      <c r="E71" s="9" t="s">
        <v>8</v>
      </c>
      <c r="F71" s="9"/>
      <c r="H71" s="9"/>
      <c r="I71" s="9" t="s">
        <v>5828</v>
      </c>
      <c r="J71" s="9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9" t="s">
        <v>4</v>
      </c>
      <c r="E72" s="9" t="s">
        <v>8</v>
      </c>
      <c r="F72" s="9"/>
      <c r="H72" s="9"/>
      <c r="I72" s="9" t="s">
        <v>5831</v>
      </c>
      <c r="J72" s="9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9" t="s">
        <v>4</v>
      </c>
      <c r="E73" s="9" t="s">
        <v>8</v>
      </c>
      <c r="F73" s="9"/>
      <c r="H73" s="9"/>
      <c r="I73" s="9" t="s">
        <v>5834</v>
      </c>
      <c r="J73" s="9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9" t="s">
        <v>1606</v>
      </c>
      <c r="E74" s="9" t="s">
        <v>55</v>
      </c>
      <c r="F74" s="9" t="s">
        <v>51</v>
      </c>
      <c r="H74" s="9"/>
      <c r="I74" s="9" t="s">
        <v>5837</v>
      </c>
      <c r="J74" s="9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9" t="s">
        <v>4</v>
      </c>
      <c r="E75" s="9" t="s">
        <v>6167</v>
      </c>
      <c r="F75" s="9" t="s">
        <v>58</v>
      </c>
      <c r="H75" s="9"/>
      <c r="I75" s="9" t="s">
        <v>6044</v>
      </c>
      <c r="J75" s="9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9" t="s">
        <v>4</v>
      </c>
      <c r="E76" s="9" t="s">
        <v>6167</v>
      </c>
      <c r="F76" s="9" t="s">
        <v>58</v>
      </c>
      <c r="H76" s="9" t="s">
        <v>4205</v>
      </c>
      <c r="I76" s="9" t="s">
        <v>6047</v>
      </c>
      <c r="J76" s="9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9" t="s">
        <v>1606</v>
      </c>
      <c r="E77" s="9" t="s">
        <v>6166</v>
      </c>
      <c r="F77" s="9" t="s">
        <v>51</v>
      </c>
      <c r="H77" s="9"/>
      <c r="I77" s="9" t="s">
        <v>6050</v>
      </c>
      <c r="J77" s="9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9" t="s">
        <v>1606</v>
      </c>
      <c r="E78" s="9" t="s">
        <v>6165</v>
      </c>
      <c r="F78" s="9" t="s">
        <v>51</v>
      </c>
      <c r="H78" s="9"/>
      <c r="I78" s="9" t="s">
        <v>6053</v>
      </c>
      <c r="J78" s="9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9" t="s">
        <v>650</v>
      </c>
      <c r="E79" s="9" t="s">
        <v>6166</v>
      </c>
      <c r="F79" s="9" t="s">
        <v>51</v>
      </c>
      <c r="H79" s="9"/>
      <c r="I79" s="9" t="s">
        <v>6056</v>
      </c>
      <c r="J79" s="9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9" t="s">
        <v>650</v>
      </c>
      <c r="E80" s="9" t="s">
        <v>6165</v>
      </c>
      <c r="F80" s="9" t="s">
        <v>51</v>
      </c>
      <c r="H80" s="9"/>
      <c r="I80" s="9" t="s">
        <v>6059</v>
      </c>
      <c r="J80" s="9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9" t="s">
        <v>1606</v>
      </c>
      <c r="E81" s="9" t="s">
        <v>6167</v>
      </c>
      <c r="F81" s="9" t="s">
        <v>58</v>
      </c>
      <c r="H81" s="9"/>
      <c r="I81" s="9" t="s">
        <v>6062</v>
      </c>
      <c r="J81" s="9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9" t="s">
        <v>6174</v>
      </c>
      <c r="E82" s="9" t="s">
        <v>6167</v>
      </c>
      <c r="F82" s="9" t="s">
        <v>58</v>
      </c>
      <c r="H82" s="9"/>
      <c r="I82" s="9" t="s">
        <v>6161</v>
      </c>
      <c r="J82" s="9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9" t="s">
        <v>2004</v>
      </c>
      <c r="E83" s="9" t="s">
        <v>8</v>
      </c>
      <c r="F83" s="9"/>
      <c r="H83" s="9"/>
      <c r="I83" s="9" t="s">
        <v>6201</v>
      </c>
      <c r="J83" s="9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9" t="s">
        <v>4</v>
      </c>
      <c r="E84" s="9" t="s">
        <v>8</v>
      </c>
      <c r="F84" s="9"/>
      <c r="H84" s="9"/>
      <c r="I84" s="9" t="s">
        <v>6346</v>
      </c>
      <c r="J84" s="9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9" t="s">
        <v>289</v>
      </c>
      <c r="E85" s="9" t="s">
        <v>70</v>
      </c>
      <c r="F85" s="9" t="s">
        <v>6342</v>
      </c>
      <c r="H85" s="9"/>
      <c r="I85" s="9" t="s">
        <v>6310</v>
      </c>
      <c r="J85" s="9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9" t="s">
        <v>1606</v>
      </c>
      <c r="E86" s="9" t="s">
        <v>6656</v>
      </c>
      <c r="F86" s="9" t="s">
        <v>51</v>
      </c>
      <c r="H86" s="9"/>
      <c r="I86" s="9" t="s">
        <v>6545</v>
      </c>
      <c r="J86" s="9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9" t="s">
        <v>289</v>
      </c>
      <c r="E87" s="9" t="s">
        <v>6656</v>
      </c>
      <c r="F87" s="9" t="s">
        <v>6657</v>
      </c>
      <c r="H87" s="9"/>
      <c r="I87" s="9" t="s">
        <v>6548</v>
      </c>
      <c r="J87" s="9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9" t="s">
        <v>4</v>
      </c>
      <c r="E88" s="9" t="s">
        <v>6867</v>
      </c>
      <c r="F88" s="9"/>
      <c r="H88" s="9"/>
      <c r="I88" s="9" t="s">
        <v>6703</v>
      </c>
      <c r="J88" s="9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9" t="s">
        <v>650</v>
      </c>
      <c r="E89" s="9" t="s">
        <v>6190</v>
      </c>
      <c r="F89" s="9" t="s">
        <v>51</v>
      </c>
      <c r="H89" s="9"/>
      <c r="I89" s="9" t="s">
        <v>6706</v>
      </c>
      <c r="J89" s="9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9" t="s">
        <v>1606</v>
      </c>
      <c r="E90" s="9" t="s">
        <v>6190</v>
      </c>
      <c r="F90" s="9" t="s">
        <v>51</v>
      </c>
      <c r="H90" s="9"/>
      <c r="I90" s="9" t="s">
        <v>6709</v>
      </c>
      <c r="J90" s="9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9" t="s">
        <v>2004</v>
      </c>
      <c r="E91" s="9" t="s">
        <v>8</v>
      </c>
      <c r="F91" s="9"/>
      <c r="H91" s="9"/>
      <c r="I91" s="9" t="s">
        <v>6905</v>
      </c>
      <c r="J91" s="9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9" t="s">
        <v>2004</v>
      </c>
      <c r="E92" s="9" t="s">
        <v>8</v>
      </c>
      <c r="F92" s="9"/>
      <c r="H92" s="9"/>
      <c r="I92" s="9" t="s">
        <v>6908</v>
      </c>
      <c r="J92" s="9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9" t="s">
        <v>2004</v>
      </c>
      <c r="E93" s="9" t="s">
        <v>8</v>
      </c>
      <c r="F93" s="9"/>
      <c r="H93" s="9"/>
      <c r="I93" s="9" t="s">
        <v>7184</v>
      </c>
      <c r="J93" s="9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9" t="s">
        <v>2004</v>
      </c>
      <c r="E94" s="9" t="s">
        <v>8</v>
      </c>
      <c r="F94" s="9"/>
      <c r="H94" s="9"/>
      <c r="I94" s="9" t="s">
        <v>7227</v>
      </c>
      <c r="J94" s="9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9" t="s">
        <v>1606</v>
      </c>
      <c r="E95" s="9" t="s">
        <v>7410</v>
      </c>
      <c r="F95" s="9" t="s">
        <v>60</v>
      </c>
      <c r="H95" s="9"/>
      <c r="I95" s="9" t="s">
        <v>7230</v>
      </c>
      <c r="J95" s="9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9" t="s">
        <v>4216</v>
      </c>
      <c r="E96" s="9" t="s">
        <v>7410</v>
      </c>
      <c r="F96" s="9" t="s">
        <v>60</v>
      </c>
      <c r="H96" s="9"/>
      <c r="I96" s="9" t="s">
        <v>7233</v>
      </c>
      <c r="J96" s="9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9" t="s">
        <v>290</v>
      </c>
      <c r="E97" s="9" t="s">
        <v>7410</v>
      </c>
      <c r="F97" s="9" t="s">
        <v>60</v>
      </c>
      <c r="H97" s="9"/>
      <c r="I97" s="9" t="s">
        <v>7236</v>
      </c>
      <c r="J97" s="9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9" t="s">
        <v>650</v>
      </c>
      <c r="E98" s="9" t="s">
        <v>7410</v>
      </c>
      <c r="F98" s="9" t="s">
        <v>51</v>
      </c>
      <c r="H98" s="9"/>
      <c r="I98" s="9" t="s">
        <v>7239</v>
      </c>
      <c r="J98" s="9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9" t="s">
        <v>2004</v>
      </c>
      <c r="E99" s="9" t="s">
        <v>8</v>
      </c>
      <c r="F99" s="9"/>
      <c r="H99" s="9"/>
      <c r="I99" s="9" t="s">
        <v>7568</v>
      </c>
      <c r="J99" s="9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9" t="s">
        <v>1606</v>
      </c>
      <c r="E100" s="9" t="s">
        <v>7706</v>
      </c>
      <c r="F100" s="9" t="s">
        <v>60</v>
      </c>
      <c r="H100" s="9"/>
      <c r="I100" s="9" t="s">
        <v>7571</v>
      </c>
      <c r="J100" s="9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9" t="s">
        <v>6171</v>
      </c>
      <c r="E101" s="9" t="s">
        <v>7706</v>
      </c>
      <c r="F101" s="9" t="s">
        <v>60</v>
      </c>
      <c r="H101" s="9"/>
      <c r="I101" s="9" t="s">
        <v>7574</v>
      </c>
      <c r="J101" s="9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9" t="s">
        <v>650</v>
      </c>
      <c r="E102" s="9" t="s">
        <v>7706</v>
      </c>
      <c r="F102" s="9" t="s">
        <v>51</v>
      </c>
      <c r="H102" s="9"/>
      <c r="I102" s="9" t="s">
        <v>7577</v>
      </c>
      <c r="J102" s="9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9" t="s">
        <v>2004</v>
      </c>
      <c r="E103" s="9" t="s">
        <v>8</v>
      </c>
      <c r="F103" s="9"/>
      <c r="H103" s="9"/>
      <c r="I103" s="9" t="s">
        <v>7580</v>
      </c>
      <c r="J103" s="9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9" t="s">
        <v>2004</v>
      </c>
      <c r="E104" s="9" t="s">
        <v>8</v>
      </c>
      <c r="F104" s="9"/>
      <c r="H104" s="9"/>
      <c r="I104" s="9" t="s">
        <v>7828</v>
      </c>
      <c r="J104" s="9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9" t="s">
        <v>8042</v>
      </c>
      <c r="E105" s="9" t="s">
        <v>6656</v>
      </c>
      <c r="F105" s="9" t="s">
        <v>5076</v>
      </c>
      <c r="H105" s="9"/>
      <c r="I105" s="9" t="s">
        <v>7992</v>
      </c>
      <c r="J105" s="9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9" t="s">
        <v>4</v>
      </c>
      <c r="E106" s="9" t="s">
        <v>6656</v>
      </c>
      <c r="F106" s="9" t="s">
        <v>5076</v>
      </c>
      <c r="H106" s="9" t="s">
        <v>8043</v>
      </c>
      <c r="I106" s="9" t="s">
        <v>7995</v>
      </c>
      <c r="J106" s="9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9" t="s">
        <v>4</v>
      </c>
      <c r="E107" s="9" t="s">
        <v>4193</v>
      </c>
      <c r="F107" s="9" t="s">
        <v>5076</v>
      </c>
      <c r="H107" s="9"/>
      <c r="I107" s="9" t="s">
        <v>7998</v>
      </c>
      <c r="J107" s="9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9" t="s">
        <v>4</v>
      </c>
      <c r="E108" s="9" t="s">
        <v>8</v>
      </c>
      <c r="F108" s="9"/>
      <c r="H108" s="9" t="s">
        <v>8044</v>
      </c>
      <c r="I108" s="9" t="s">
        <v>8001</v>
      </c>
      <c r="J108" s="9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9" t="s">
        <v>650</v>
      </c>
      <c r="E109" s="9" t="s">
        <v>6190</v>
      </c>
      <c r="F109" s="9" t="s">
        <v>51</v>
      </c>
      <c r="H109" s="9"/>
      <c r="I109" s="9" t="s">
        <v>8004</v>
      </c>
      <c r="J109" s="9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9" t="s">
        <v>1606</v>
      </c>
      <c r="E110" s="9" t="s">
        <v>8041</v>
      </c>
      <c r="F110" s="9"/>
      <c r="H110" s="9"/>
      <c r="I110" s="9" t="s">
        <v>8007</v>
      </c>
      <c r="J110" s="9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9" t="s">
        <v>650</v>
      </c>
      <c r="E111" s="9" t="s">
        <v>8041</v>
      </c>
      <c r="F111" s="9"/>
      <c r="H111" s="9"/>
      <c r="I111" s="9" t="s">
        <v>8010</v>
      </c>
      <c r="J111" s="9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9" t="s">
        <v>1606</v>
      </c>
      <c r="E112" s="9" t="s">
        <v>6190</v>
      </c>
      <c r="F112" s="9"/>
      <c r="H112" s="9"/>
      <c r="I112" s="9" t="s">
        <v>8013</v>
      </c>
      <c r="J112" s="9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9" t="s">
        <v>4</v>
      </c>
      <c r="E113" s="9" t="s">
        <v>1607</v>
      </c>
      <c r="F113" s="9" t="s">
        <v>8330</v>
      </c>
      <c r="H113" s="9"/>
      <c r="I113" s="9" t="s">
        <v>8090</v>
      </c>
      <c r="J113" s="9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9" t="s">
        <v>4</v>
      </c>
      <c r="E114" s="9" t="s">
        <v>8</v>
      </c>
      <c r="F114" s="9"/>
      <c r="H114" s="9"/>
      <c r="I114" s="9" t="s">
        <v>8093</v>
      </c>
      <c r="J114" s="9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9" t="s">
        <v>2004</v>
      </c>
      <c r="E115" s="9" t="s">
        <v>8</v>
      </c>
      <c r="F115" s="9"/>
      <c r="H115" s="9"/>
      <c r="I115" s="9" t="s">
        <v>8096</v>
      </c>
      <c r="J115" s="9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9" t="s">
        <v>2004</v>
      </c>
      <c r="E116" s="9" t="s">
        <v>8</v>
      </c>
      <c r="F116" s="9"/>
      <c r="H116" s="9"/>
      <c r="I116" s="9" t="s">
        <v>8099</v>
      </c>
      <c r="J116" s="9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9" t="s">
        <v>2004</v>
      </c>
      <c r="E117" s="9" t="s">
        <v>8</v>
      </c>
      <c r="F117" s="9"/>
      <c r="H117" s="9"/>
      <c r="I117" s="9" t="s">
        <v>8102</v>
      </c>
      <c r="J117" s="9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9" t="s">
        <v>2004</v>
      </c>
      <c r="E118" s="9" t="s">
        <v>8</v>
      </c>
      <c r="F118" s="9"/>
      <c r="H118" s="9"/>
      <c r="I118" s="9" t="s">
        <v>8105</v>
      </c>
      <c r="J118" s="9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9" t="s">
        <v>2004</v>
      </c>
      <c r="E119" s="9" t="s">
        <v>8</v>
      </c>
      <c r="F119" s="9"/>
      <c r="H119" s="9"/>
      <c r="I119" s="9" t="s">
        <v>8402</v>
      </c>
      <c r="J119" s="9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9" t="s">
        <v>2004</v>
      </c>
      <c r="E120" s="9" t="s">
        <v>8</v>
      </c>
      <c r="F120" s="9"/>
      <c r="H120" s="9"/>
      <c r="I120" s="9" t="s">
        <v>8405</v>
      </c>
      <c r="J120" s="9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9" t="s">
        <v>2004</v>
      </c>
      <c r="E121" s="9" t="s">
        <v>8</v>
      </c>
      <c r="F121" s="9"/>
      <c r="H121" s="9"/>
      <c r="I121" s="9" t="s">
        <v>8408</v>
      </c>
      <c r="J121" s="9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9" t="s">
        <v>2004</v>
      </c>
      <c r="E122" s="9" t="s">
        <v>8</v>
      </c>
      <c r="F122" s="9"/>
      <c r="H122" s="9"/>
      <c r="I122" s="9" t="s">
        <v>8640</v>
      </c>
      <c r="J122" s="9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9" t="s">
        <v>4</v>
      </c>
      <c r="E123" s="9" t="s">
        <v>8</v>
      </c>
      <c r="F123" s="9"/>
      <c r="H123" s="9"/>
      <c r="I123" s="9" t="s">
        <v>8643</v>
      </c>
      <c r="J123" s="9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9" t="s">
        <v>4</v>
      </c>
      <c r="E124" s="9" t="s">
        <v>8</v>
      </c>
      <c r="F124" s="9"/>
      <c r="H124" s="9"/>
      <c r="I124" s="9" t="s">
        <v>8646</v>
      </c>
      <c r="J124" s="9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9" t="s">
        <v>4</v>
      </c>
      <c r="E125" s="9" t="s">
        <v>8</v>
      </c>
      <c r="F125" s="9"/>
      <c r="H125" s="9"/>
      <c r="I125" s="9" t="s">
        <v>8649</v>
      </c>
      <c r="J125" s="9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9" t="s">
        <v>4</v>
      </c>
      <c r="E126" s="9" t="s">
        <v>1607</v>
      </c>
      <c r="F126" s="9"/>
      <c r="H126" s="9"/>
      <c r="I126" s="9" t="s">
        <v>8652</v>
      </c>
      <c r="J126" s="9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9" t="s">
        <v>4</v>
      </c>
      <c r="E127" s="9" t="s">
        <v>8803</v>
      </c>
      <c r="F127" s="9"/>
      <c r="H127" s="9"/>
      <c r="I127" s="9" t="s">
        <v>8655</v>
      </c>
      <c r="J127" s="9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9" t="s">
        <v>4</v>
      </c>
      <c r="E128" s="9" t="s">
        <v>8803</v>
      </c>
      <c r="F128" s="9"/>
      <c r="H128" s="9"/>
      <c r="I128" s="9" t="s">
        <v>8658</v>
      </c>
      <c r="J128" s="9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9" t="s">
        <v>1606</v>
      </c>
      <c r="E129" s="9" t="s">
        <v>8801</v>
      </c>
      <c r="F129" s="9"/>
      <c r="H129" s="9"/>
      <c r="I129" s="9" t="s">
        <v>8661</v>
      </c>
      <c r="J129" s="9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9" t="s">
        <v>1606</v>
      </c>
      <c r="E130" s="9" t="s">
        <v>8802</v>
      </c>
      <c r="F130" s="9"/>
      <c r="H130" s="9"/>
      <c r="I130" s="9" t="s">
        <v>8664</v>
      </c>
      <c r="J130" s="9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9" t="s">
        <v>650</v>
      </c>
      <c r="E131" s="9" t="s">
        <v>8802</v>
      </c>
      <c r="F131" s="9"/>
      <c r="H131" s="9"/>
      <c r="I131" s="9" t="s">
        <v>8667</v>
      </c>
      <c r="J131" s="9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9" t="s">
        <v>650</v>
      </c>
      <c r="E132" s="9" t="s">
        <v>8801</v>
      </c>
      <c r="F132" s="9"/>
      <c r="H132" s="9"/>
      <c r="I132" s="9" t="s">
        <v>8670</v>
      </c>
      <c r="J132" s="9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9" t="s">
        <v>2004</v>
      </c>
      <c r="E133" s="9" t="s">
        <v>8</v>
      </c>
      <c r="F133" s="9"/>
      <c r="H133" s="9"/>
      <c r="I133" s="9" t="s">
        <v>8673</v>
      </c>
      <c r="J133" s="9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9" t="s">
        <v>4</v>
      </c>
      <c r="E134" s="9" t="s">
        <v>8804</v>
      </c>
      <c r="F134" s="9"/>
      <c r="H134" s="9"/>
      <c r="I134" s="9" t="s">
        <v>8676</v>
      </c>
      <c r="J134" s="9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9" t="s">
        <v>2004</v>
      </c>
      <c r="E135" s="9" t="s">
        <v>8</v>
      </c>
      <c r="F135" s="9"/>
      <c r="H135" s="9"/>
      <c r="I135" s="9" t="s">
        <v>6161</v>
      </c>
      <c r="J135" s="9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9" t="s">
        <v>2004</v>
      </c>
      <c r="E136" s="9" t="s">
        <v>8</v>
      </c>
      <c r="F136" s="9"/>
      <c r="H136" s="9"/>
      <c r="I136" s="9" t="s">
        <v>7998</v>
      </c>
      <c r="J136" s="9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9" t="s">
        <v>4</v>
      </c>
      <c r="E137" s="9" t="s">
        <v>8803</v>
      </c>
      <c r="F137" s="9"/>
      <c r="H137" s="9"/>
      <c r="I137" s="9" t="s">
        <v>8988</v>
      </c>
      <c r="J137" s="9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9" t="s">
        <v>4</v>
      </c>
      <c r="E138" s="9" t="s">
        <v>8803</v>
      </c>
      <c r="F138" s="9"/>
      <c r="H138" s="9"/>
      <c r="I138" s="9" t="s">
        <v>8991</v>
      </c>
      <c r="J138" s="9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9" t="s">
        <v>4</v>
      </c>
      <c r="E139" s="9" t="s">
        <v>8803</v>
      </c>
      <c r="F139" s="9"/>
      <c r="H139" s="9"/>
      <c r="I139" s="9" t="s">
        <v>9255</v>
      </c>
      <c r="J139" s="9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9" t="s">
        <v>4</v>
      </c>
      <c r="E140" s="9" t="s">
        <v>8803</v>
      </c>
      <c r="F140" s="9"/>
      <c r="H140" s="9"/>
      <c r="I140" s="9" t="s">
        <v>9352</v>
      </c>
      <c r="J140" s="9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9" t="s">
        <v>4</v>
      </c>
      <c r="E141" s="9" t="s">
        <v>9367</v>
      </c>
      <c r="F141" s="9"/>
      <c r="H141" s="9"/>
      <c r="I141" s="9" t="s">
        <v>9355</v>
      </c>
      <c r="J141" s="9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9" t="s">
        <v>158</v>
      </c>
      <c r="E142" s="9" t="s">
        <v>5480</v>
      </c>
      <c r="F142" s="9" t="s">
        <v>528</v>
      </c>
      <c r="H142" s="9"/>
      <c r="I142" s="9" t="s">
        <v>9358</v>
      </c>
      <c r="J142" s="9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9" t="s">
        <v>158</v>
      </c>
      <c r="E143" s="9" t="s">
        <v>5480</v>
      </c>
      <c r="F143" s="9" t="s">
        <v>528</v>
      </c>
      <c r="H143" s="9" t="s">
        <v>2936</v>
      </c>
      <c r="I143" s="9" t="s">
        <v>9361</v>
      </c>
      <c r="J143" s="9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9" t="s">
        <v>4</v>
      </c>
      <c r="E144" s="9" t="s">
        <v>9368</v>
      </c>
      <c r="F144" s="9"/>
      <c r="H144" s="9"/>
      <c r="I144" s="9" t="s">
        <v>9364</v>
      </c>
      <c r="J144" s="9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9" t="s">
        <v>4</v>
      </c>
      <c r="E145" s="9" t="s">
        <v>8803</v>
      </c>
      <c r="F145" s="9"/>
      <c r="H145" s="9"/>
      <c r="I145" s="9" t="s">
        <v>9633</v>
      </c>
      <c r="J145" s="9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9" t="s">
        <v>2004</v>
      </c>
      <c r="E146" s="9" t="s">
        <v>8</v>
      </c>
      <c r="F146" s="9"/>
      <c r="H146" s="9"/>
      <c r="I146" s="9" t="s">
        <v>9636</v>
      </c>
      <c r="J146" s="9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9" t="s">
        <v>4</v>
      </c>
      <c r="E147" s="9" t="s">
        <v>8803</v>
      </c>
      <c r="F147" s="9"/>
      <c r="H147" s="9"/>
      <c r="I147" s="9" t="s">
        <v>9726</v>
      </c>
      <c r="J147" s="9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9" t="s">
        <v>4</v>
      </c>
      <c r="E148" s="9" t="s">
        <v>8803</v>
      </c>
      <c r="F148" s="9"/>
      <c r="H148" s="9"/>
      <c r="I148" s="9" t="s">
        <v>9729</v>
      </c>
      <c r="J148" s="9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9" t="s">
        <v>4</v>
      </c>
      <c r="E149" s="9" t="s">
        <v>8803</v>
      </c>
      <c r="F149" s="9"/>
      <c r="H149" s="9"/>
      <c r="I149" s="9" t="s">
        <v>9732</v>
      </c>
      <c r="J149" s="9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9" t="s">
        <v>4</v>
      </c>
      <c r="E150" s="9" t="s">
        <v>8803</v>
      </c>
      <c r="F150" s="9"/>
      <c r="H150" s="9"/>
      <c r="I150" s="9" t="s">
        <v>10122</v>
      </c>
      <c r="J150" s="9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9" t="s">
        <v>4</v>
      </c>
      <c r="E151" s="9" t="s">
        <v>8803</v>
      </c>
      <c r="F151" s="9"/>
      <c r="H151" s="9"/>
      <c r="I151" s="9" t="s">
        <v>9960</v>
      </c>
      <c r="J151" s="9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9" t="s">
        <v>4</v>
      </c>
      <c r="E152" s="9" t="s">
        <v>8803</v>
      </c>
      <c r="F152" s="9"/>
      <c r="H152" s="9"/>
      <c r="I152" s="9" t="s">
        <v>9963</v>
      </c>
      <c r="J152" s="9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9" t="s">
        <v>4</v>
      </c>
      <c r="E153" s="9" t="s">
        <v>8803</v>
      </c>
      <c r="F153" s="9"/>
      <c r="H153" s="9"/>
      <c r="I153" s="9" t="s">
        <v>9966</v>
      </c>
      <c r="J153" s="9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9" t="s">
        <v>4</v>
      </c>
      <c r="E154" s="9" t="s">
        <v>10164</v>
      </c>
      <c r="F154" s="9"/>
      <c r="H154" s="9"/>
      <c r="I154" s="9" t="s">
        <v>10186</v>
      </c>
      <c r="J154" s="9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9" t="s">
        <v>4</v>
      </c>
      <c r="E155" s="9" t="s">
        <v>10164</v>
      </c>
      <c r="F155" s="9"/>
      <c r="H155" s="9" t="s">
        <v>10280</v>
      </c>
      <c r="I155" s="9" t="s">
        <v>10268</v>
      </c>
      <c r="J155" s="9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9" t="s">
        <v>4</v>
      </c>
      <c r="E156" s="9" t="s">
        <v>10164</v>
      </c>
      <c r="F156" s="9"/>
      <c r="H156" s="9" t="s">
        <v>10280</v>
      </c>
      <c r="I156" s="9" t="s">
        <v>10271</v>
      </c>
      <c r="J156" s="9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9" t="s">
        <v>1606</v>
      </c>
      <c r="E157" s="9" t="s">
        <v>10165</v>
      </c>
      <c r="F157" s="9" t="s">
        <v>60</v>
      </c>
      <c r="H157" s="9"/>
      <c r="I157" s="9" t="s">
        <v>10274</v>
      </c>
      <c r="J157" s="9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9" t="s">
        <v>4</v>
      </c>
      <c r="E158" s="9" t="s">
        <v>8803</v>
      </c>
      <c r="F158" s="9"/>
      <c r="H158" s="9"/>
      <c r="I158" s="9" t="s">
        <v>10277</v>
      </c>
      <c r="J158" s="9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9" t="s">
        <v>2004</v>
      </c>
      <c r="E159" s="9" t="s">
        <v>8</v>
      </c>
      <c r="F159" s="9"/>
      <c r="H159" s="9"/>
      <c r="I159" s="9" t="s">
        <v>10494</v>
      </c>
      <c r="J159" s="9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9" t="s">
        <v>2004</v>
      </c>
      <c r="E160" s="9" t="s">
        <v>8</v>
      </c>
      <c r="F160" s="9"/>
      <c r="H160" s="9"/>
      <c r="I160" s="9" t="s">
        <v>10497</v>
      </c>
      <c r="J160" s="9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9" t="s">
        <v>2004</v>
      </c>
      <c r="E161" s="9" t="s">
        <v>8</v>
      </c>
      <c r="F161" s="9"/>
      <c r="H161" s="9"/>
      <c r="I161" s="9" t="s">
        <v>10540</v>
      </c>
      <c r="J161" s="9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9" t="s">
        <v>2004</v>
      </c>
      <c r="E162" s="9" t="s">
        <v>8</v>
      </c>
      <c r="F162" s="9"/>
      <c r="H162" s="9"/>
      <c r="I162" s="9" t="s">
        <v>10543</v>
      </c>
      <c r="J162" s="9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s="9" t="s">
        <v>4</v>
      </c>
      <c r="E163" s="9" t="s">
        <v>10886</v>
      </c>
      <c r="F163" s="9"/>
      <c r="H163" s="9"/>
      <c r="I163" s="9" t="s">
        <v>10710</v>
      </c>
      <c r="J163" s="9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s="9" t="s">
        <v>4</v>
      </c>
      <c r="E164" s="9" t="s">
        <v>8803</v>
      </c>
      <c r="F164" s="9"/>
      <c r="H164" s="9"/>
      <c r="I164" s="9" t="s">
        <v>10713</v>
      </c>
      <c r="J164" s="9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s="9" t="s">
        <v>4</v>
      </c>
      <c r="E165" s="9" t="s">
        <v>70</v>
      </c>
      <c r="F165" s="9" t="s">
        <v>5093</v>
      </c>
      <c r="H165" s="9"/>
      <c r="I165" s="9" t="s">
        <v>10908</v>
      </c>
      <c r="J165" s="9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s="9" t="s">
        <v>289</v>
      </c>
      <c r="E166" s="9" t="s">
        <v>70</v>
      </c>
      <c r="F166" s="9" t="s">
        <v>5093</v>
      </c>
      <c r="H166" s="9"/>
      <c r="I166" s="9" t="s">
        <v>10911</v>
      </c>
      <c r="J166" s="9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s="9" t="s">
        <v>2004</v>
      </c>
      <c r="E167" s="9" t="s">
        <v>8</v>
      </c>
      <c r="F167" s="9"/>
      <c r="H167" s="9"/>
      <c r="I167" s="9" t="s">
        <v>11028</v>
      </c>
      <c r="J167" s="9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s="9" t="s">
        <v>2004</v>
      </c>
      <c r="E168" s="9" t="s">
        <v>8</v>
      </c>
      <c r="F168" s="9"/>
      <c r="H168" s="9"/>
      <c r="I168" s="9" t="s">
        <v>11031</v>
      </c>
      <c r="J168" s="9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  <row r="169" spans="1:13" x14ac:dyDescent="0.25">
      <c r="A169" s="2" t="s">
        <v>13</v>
      </c>
      <c r="B169" s="4">
        <v>46055</v>
      </c>
      <c r="C169" s="5">
        <v>0.66347222222222224</v>
      </c>
      <c r="D169" s="9" t="s">
        <v>4</v>
      </c>
      <c r="E169" s="9" t="s">
        <v>8803</v>
      </c>
      <c r="F169" s="9"/>
      <c r="H169" s="9"/>
      <c r="I169" s="9" t="s">
        <v>11187</v>
      </c>
      <c r="J169" s="9" t="s">
        <v>2991</v>
      </c>
      <c r="K169" t="s">
        <v>11188</v>
      </c>
      <c r="L169" t="s">
        <v>11189</v>
      </c>
      <c r="M169" s="3" t="str">
        <f>HYPERLINK(склад2въезд13[[#This Row],[RelativePath]])</f>
        <v>4 Крыльцо офиса\K07156189_21_20260202T155524Z.jpg</v>
      </c>
    </row>
    <row r="170" spans="1:13" x14ac:dyDescent="0.25">
      <c r="A170" s="2" t="s">
        <v>14</v>
      </c>
      <c r="B170" s="4">
        <v>46056</v>
      </c>
      <c r="C170" s="5">
        <v>0.79167824074074078</v>
      </c>
      <c r="D170" s="9" t="s">
        <v>289</v>
      </c>
      <c r="E170" s="9" t="s">
        <v>6190</v>
      </c>
      <c r="F170" s="9" t="s">
        <v>11413</v>
      </c>
      <c r="H170" s="9"/>
      <c r="I170" s="9" t="s">
        <v>11190</v>
      </c>
      <c r="J170" s="9" t="s">
        <v>2991</v>
      </c>
      <c r="K170" t="s">
        <v>11191</v>
      </c>
      <c r="L170" t="s">
        <v>11192</v>
      </c>
      <c r="M170" s="3" t="str">
        <f>HYPERLINK(склад2въезд13[[#This Row],[RelativePath]])</f>
        <v>4 Крыльцо офиса\K07156189_21_20260203T190001Z.jpg</v>
      </c>
    </row>
    <row r="171" spans="1:13" x14ac:dyDescent="0.25">
      <c r="A171" s="2" t="s">
        <v>14</v>
      </c>
      <c r="B171" s="4">
        <v>46056</v>
      </c>
      <c r="C171" s="5">
        <v>0.79401620370370374</v>
      </c>
      <c r="D171" s="9" t="s">
        <v>650</v>
      </c>
      <c r="E171" s="9" t="s">
        <v>6190</v>
      </c>
      <c r="F171" s="9" t="s">
        <v>11413</v>
      </c>
      <c r="H171" s="9"/>
      <c r="I171" s="9" t="s">
        <v>11193</v>
      </c>
      <c r="J171" s="9" t="s">
        <v>2991</v>
      </c>
      <c r="K171" t="s">
        <v>11194</v>
      </c>
      <c r="L171" t="s">
        <v>11195</v>
      </c>
      <c r="M171" s="3" t="str">
        <f>HYPERLINK(склад2въезд13[[#This Row],[RelativePath]])</f>
        <v>4 Крыльцо офиса\K07156189_21_20260203T190323Z.jpg</v>
      </c>
    </row>
    <row r="172" spans="1:13" x14ac:dyDescent="0.25">
      <c r="A172" s="2" t="s">
        <v>14</v>
      </c>
      <c r="B172" s="4">
        <v>46056</v>
      </c>
      <c r="C172" s="5">
        <v>0.83732638888888888</v>
      </c>
      <c r="D172" s="9" t="s">
        <v>1606</v>
      </c>
      <c r="E172" s="9" t="s">
        <v>6190</v>
      </c>
      <c r="F172" s="9"/>
      <c r="H172" s="9"/>
      <c r="I172" s="9" t="s">
        <v>11196</v>
      </c>
      <c r="J172" s="9" t="s">
        <v>2991</v>
      </c>
      <c r="K172" t="s">
        <v>11197</v>
      </c>
      <c r="L172" t="s">
        <v>11198</v>
      </c>
      <c r="M172" s="3" t="str">
        <f>HYPERLINK(склад2въезд13[[#This Row],[RelativePath]])</f>
        <v>4 Крыльцо офиса\K07156189_21_20260203T200545Z.jpg</v>
      </c>
    </row>
    <row r="173" spans="1:13" x14ac:dyDescent="0.25">
      <c r="A173" s="2" t="s">
        <v>15</v>
      </c>
      <c r="B173" s="4">
        <v>46057</v>
      </c>
      <c r="C173" s="5">
        <v>0.62151620370370375</v>
      </c>
      <c r="D173" s="9" t="s">
        <v>4</v>
      </c>
      <c r="E173" s="9" t="s">
        <v>8803</v>
      </c>
      <c r="F173" s="9"/>
      <c r="H173" s="9"/>
      <c r="I173" s="9" t="s">
        <v>11472</v>
      </c>
      <c r="J173" s="9" t="s">
        <v>2991</v>
      </c>
      <c r="K173" t="s">
        <v>11473</v>
      </c>
      <c r="L173" t="s">
        <v>11474</v>
      </c>
      <c r="M173" s="3" t="str">
        <f>HYPERLINK(склад2въезд13[[#This Row],[RelativePath]])</f>
        <v>4 Крыльцо офиса\K07156189_21_20260204T145459Z.jpg</v>
      </c>
    </row>
    <row r="174" spans="1:13" x14ac:dyDescent="0.25">
      <c r="A174" s="2" t="s">
        <v>16</v>
      </c>
      <c r="B174" s="4">
        <v>46058</v>
      </c>
      <c r="C174" s="5">
        <v>0.58555555555555561</v>
      </c>
      <c r="D174" s="9" t="s">
        <v>4</v>
      </c>
      <c r="E174" s="9" t="s">
        <v>8803</v>
      </c>
      <c r="F174" s="9"/>
      <c r="H174" s="9"/>
      <c r="I174" s="9" t="s">
        <v>11475</v>
      </c>
      <c r="J174" s="9" t="s">
        <v>2991</v>
      </c>
      <c r="K174" t="s">
        <v>11476</v>
      </c>
      <c r="L174" t="s">
        <v>11477</v>
      </c>
      <c r="M174" s="3" t="str">
        <f>HYPERLINK(склад2въезд13[[#This Row],[RelativePath]])</f>
        <v>4 Крыльцо офиса\K07156189_21_20260205T140312Z.jpg</v>
      </c>
    </row>
    <row r="175" spans="1:13" x14ac:dyDescent="0.25">
      <c r="A175" s="2" t="s">
        <v>17</v>
      </c>
      <c r="B175" s="4">
        <v>46059</v>
      </c>
      <c r="C175" s="5">
        <v>0.52001157407407406</v>
      </c>
      <c r="D175" s="9" t="s">
        <v>4</v>
      </c>
      <c r="E175" s="9" t="s">
        <v>8803</v>
      </c>
      <c r="F175" s="9"/>
      <c r="H175" s="9"/>
      <c r="I175" s="9" t="s">
        <v>11478</v>
      </c>
      <c r="J175" s="9" t="s">
        <v>2991</v>
      </c>
      <c r="K175" t="s">
        <v>11479</v>
      </c>
      <c r="L175" t="s">
        <v>11480</v>
      </c>
      <c r="M175" s="3" t="str">
        <f>HYPERLINK(склад2въезд13[[#This Row],[RelativePath]])</f>
        <v>4 Крыльцо офиса\K07156189_21_20260206T122849Z.jpg</v>
      </c>
    </row>
    <row r="176" spans="1:13" x14ac:dyDescent="0.25">
      <c r="A176" s="2" t="s">
        <v>18</v>
      </c>
      <c r="B176" s="4">
        <v>46060</v>
      </c>
      <c r="C176" s="5">
        <v>0.66626157407407405</v>
      </c>
      <c r="D176" s="9" t="s">
        <v>4</v>
      </c>
      <c r="E176" s="9" t="s">
        <v>8</v>
      </c>
      <c r="F176" s="9"/>
      <c r="H176" s="9"/>
      <c r="I176" s="9" t="s">
        <v>11670</v>
      </c>
      <c r="J176" s="9" t="s">
        <v>2991</v>
      </c>
      <c r="K176" t="s">
        <v>11671</v>
      </c>
      <c r="L176" t="s">
        <v>11672</v>
      </c>
      <c r="M176" s="3" t="str">
        <f>HYPERLINK(склад2въезд13[[#This Row],[RelativePath]])</f>
        <v>4 Крыльцо офиса\K07156189_21_20260207T155925Z.jpg</v>
      </c>
    </row>
    <row r="177" spans="1:13" x14ac:dyDescent="0.25">
      <c r="A177" s="2" t="s">
        <v>22</v>
      </c>
      <c r="B177" s="4">
        <v>46061</v>
      </c>
      <c r="C177" s="5">
        <v>0.68674768518518514</v>
      </c>
      <c r="D177" s="9" t="s">
        <v>2004</v>
      </c>
      <c r="E177" s="9" t="s">
        <v>8</v>
      </c>
      <c r="F177" s="9"/>
      <c r="H177" s="9"/>
      <c r="I177" s="9" t="s">
        <v>11673</v>
      </c>
      <c r="J177" s="9" t="s">
        <v>2991</v>
      </c>
      <c r="K177" t="s">
        <v>11674</v>
      </c>
      <c r="L177" t="s">
        <v>11675</v>
      </c>
      <c r="M177" s="3" t="str">
        <f>HYPERLINK(склад2въезд13[[#This Row],[RelativePath]])</f>
        <v>4 Крыльцо офиса\K07156189_21_20260208T162855Z.jpg</v>
      </c>
    </row>
    <row r="178" spans="1:13" x14ac:dyDescent="0.25">
      <c r="A178" s="2" t="s">
        <v>13</v>
      </c>
      <c r="B178" s="4">
        <v>46062</v>
      </c>
      <c r="C178" s="5">
        <v>0.44567129629629632</v>
      </c>
      <c r="D178" s="9" t="s">
        <v>4</v>
      </c>
      <c r="E178" s="9" t="s">
        <v>8803</v>
      </c>
      <c r="F178" s="9"/>
      <c r="H178" s="9"/>
      <c r="I178" s="9" t="s">
        <v>11876</v>
      </c>
      <c r="J178" s="9" t="s">
        <v>2991</v>
      </c>
      <c r="K178" t="s">
        <v>11877</v>
      </c>
      <c r="L178" t="s">
        <v>11878</v>
      </c>
      <c r="M178" s="3" t="str">
        <f>HYPERLINK(склад2въезд13[[#This Row],[RelativePath]])</f>
        <v>4 Крыльцо офиса\K07156189_21_20260209T104146Z.jpg</v>
      </c>
    </row>
    <row r="179" spans="1:13" x14ac:dyDescent="0.25">
      <c r="A179" s="2" t="s">
        <v>14</v>
      </c>
      <c r="B179" s="4">
        <v>46063</v>
      </c>
      <c r="C179" s="5">
        <v>0.35106481481481483</v>
      </c>
      <c r="D179" s="9" t="s">
        <v>11957</v>
      </c>
      <c r="E179" s="9" t="s">
        <v>11958</v>
      </c>
      <c r="F179" s="9" t="s">
        <v>5076</v>
      </c>
      <c r="H179" s="9"/>
      <c r="I179" s="9" t="s">
        <v>11879</v>
      </c>
      <c r="J179" s="9" t="s">
        <v>2991</v>
      </c>
      <c r="K179" t="s">
        <v>11880</v>
      </c>
      <c r="L179" t="s">
        <v>11881</v>
      </c>
      <c r="M179" s="3" t="str">
        <f>HYPERLINK(склад2въезд13[[#This Row],[RelativePath]])</f>
        <v>4 Крыльцо офиса\K07156189_21_20260210T082532Z.jpg</v>
      </c>
    </row>
    <row r="180" spans="1:13" x14ac:dyDescent="0.25">
      <c r="A180" s="2" t="s">
        <v>14</v>
      </c>
      <c r="B180" s="4">
        <v>46063</v>
      </c>
      <c r="C180" s="5">
        <v>0.37222222222222223</v>
      </c>
      <c r="D180" s="9" t="s">
        <v>62</v>
      </c>
      <c r="E180" s="9" t="s">
        <v>11958</v>
      </c>
      <c r="F180" s="9" t="s">
        <v>5076</v>
      </c>
      <c r="H180" s="9"/>
      <c r="I180" s="9" t="s">
        <v>11882</v>
      </c>
      <c r="J180" s="9" t="s">
        <v>2991</v>
      </c>
      <c r="K180" t="s">
        <v>11883</v>
      </c>
      <c r="L180" t="s">
        <v>11884</v>
      </c>
      <c r="M180" s="3" t="str">
        <f>HYPERLINK(склад2въезд13[[#This Row],[RelativePath]])</f>
        <v>4 Крыльцо офиса\K07156189_21_20260210T085600Z.jpg</v>
      </c>
    </row>
    <row r="181" spans="1:13" x14ac:dyDescent="0.25">
      <c r="A181" s="2" t="s">
        <v>15</v>
      </c>
      <c r="B181" s="4">
        <v>46064</v>
      </c>
      <c r="C181" s="5">
        <v>0.44527777777777777</v>
      </c>
      <c r="D181" s="9" t="s">
        <v>11957</v>
      </c>
      <c r="E181" s="9" t="s">
        <v>4193</v>
      </c>
      <c r="F181" s="9" t="s">
        <v>5076</v>
      </c>
      <c r="H181" s="9"/>
      <c r="I181" s="9" t="s">
        <v>11885</v>
      </c>
      <c r="J181" s="9" t="s">
        <v>2991</v>
      </c>
      <c r="K181" t="s">
        <v>11886</v>
      </c>
      <c r="L181" t="s">
        <v>11887</v>
      </c>
      <c r="M181" s="3" t="str">
        <f>HYPERLINK(склад2въезд13[[#This Row],[RelativePath]])</f>
        <v>4 Крыльцо офиса\K07156189_21_20260211T104112Z.jpg</v>
      </c>
    </row>
    <row r="182" spans="1:13" x14ac:dyDescent="0.25">
      <c r="A182" s="2" t="s">
        <v>15</v>
      </c>
      <c r="B182" s="4">
        <v>46064</v>
      </c>
      <c r="C182" s="5">
        <v>0.58076388888888886</v>
      </c>
      <c r="D182" s="9" t="s">
        <v>62</v>
      </c>
      <c r="E182" s="9" t="s">
        <v>4193</v>
      </c>
      <c r="F182" s="9" t="s">
        <v>5076</v>
      </c>
      <c r="H182" s="9"/>
      <c r="I182" s="9" t="s">
        <v>11888</v>
      </c>
      <c r="J182" s="9" t="s">
        <v>2991</v>
      </c>
      <c r="K182" t="s">
        <v>11889</v>
      </c>
      <c r="L182" t="s">
        <v>11890</v>
      </c>
      <c r="M182" s="3" t="str">
        <f>HYPERLINK(склад2въезд13[[#This Row],[RelativePath]])</f>
        <v>4 Крыльцо офиса\K07156189_21_20260211T135618Z.jpg</v>
      </c>
    </row>
    <row r="183" spans="1:13" x14ac:dyDescent="0.25">
      <c r="A183" s="2" t="s">
        <v>16</v>
      </c>
      <c r="B183" s="4">
        <v>46065</v>
      </c>
      <c r="C183" s="5">
        <v>0.36050925925925925</v>
      </c>
      <c r="D183" s="9" t="s">
        <v>1606</v>
      </c>
      <c r="E183" s="9" t="s">
        <v>70</v>
      </c>
      <c r="F183" s="9" t="s">
        <v>5076</v>
      </c>
      <c r="H183" s="9"/>
      <c r="I183" s="9" t="s">
        <v>11891</v>
      </c>
      <c r="J183" s="9" t="s">
        <v>2991</v>
      </c>
      <c r="K183" t="s">
        <v>11892</v>
      </c>
      <c r="L183" t="s">
        <v>11893</v>
      </c>
      <c r="M183" s="3" t="str">
        <f>HYPERLINK(склад2въезд13[[#This Row],[RelativePath]])</f>
        <v>4 Крыльцо офиса\K07156189_21_20260212T083908Z.jpg</v>
      </c>
    </row>
    <row r="184" spans="1:13" x14ac:dyDescent="0.25">
      <c r="A184" s="2" t="s">
        <v>16</v>
      </c>
      <c r="B184" s="4">
        <v>46065</v>
      </c>
      <c r="C184" s="5">
        <v>0.36939814814814814</v>
      </c>
      <c r="D184" s="9" t="s">
        <v>11957</v>
      </c>
      <c r="E184" s="9" t="s">
        <v>70</v>
      </c>
      <c r="F184" s="9"/>
      <c r="H184" s="9"/>
      <c r="I184" s="9" t="s">
        <v>11894</v>
      </c>
      <c r="J184" s="9" t="s">
        <v>2991</v>
      </c>
      <c r="K184" t="s">
        <v>11895</v>
      </c>
      <c r="L184" t="s">
        <v>11896</v>
      </c>
      <c r="M184" s="3" t="str">
        <f>HYPERLINK(склад2въезд13[[#This Row],[RelativePath]])</f>
        <v>4 Крыльцо офиса\K07156189_21_20260212T085156Z.jpg</v>
      </c>
    </row>
    <row r="185" spans="1:13" x14ac:dyDescent="0.25">
      <c r="A185" s="2" t="s">
        <v>16</v>
      </c>
      <c r="B185" s="4">
        <v>46065</v>
      </c>
      <c r="C185" s="5">
        <v>0.3870601851851852</v>
      </c>
      <c r="D185" s="9" t="s">
        <v>11959</v>
      </c>
      <c r="E185" s="9" t="s">
        <v>70</v>
      </c>
      <c r="F185" s="9" t="s">
        <v>9339</v>
      </c>
      <c r="H185" s="9"/>
      <c r="I185" s="9" t="s">
        <v>11897</v>
      </c>
      <c r="J185" s="9" t="s">
        <v>2991</v>
      </c>
      <c r="K185" t="s">
        <v>11898</v>
      </c>
      <c r="L185" t="s">
        <v>11899</v>
      </c>
      <c r="M185" s="3" t="str">
        <f>HYPERLINK(склад2въезд13[[#This Row],[RelativePath]])</f>
        <v>4 Крыльцо офиса\K07156189_21_20260212T091722Z.jpg</v>
      </c>
    </row>
    <row r="186" spans="1:13" x14ac:dyDescent="0.25">
      <c r="A186" s="2" t="s">
        <v>16</v>
      </c>
      <c r="B186" s="4">
        <v>46065</v>
      </c>
      <c r="C186" s="5">
        <v>0.39519675925925923</v>
      </c>
      <c r="D186" s="9" t="s">
        <v>650</v>
      </c>
      <c r="E186" s="9" t="s">
        <v>70</v>
      </c>
      <c r="F186" s="9" t="s">
        <v>9339</v>
      </c>
      <c r="H186" s="9"/>
      <c r="I186" s="9" t="s">
        <v>11900</v>
      </c>
      <c r="J186" s="9" t="s">
        <v>2991</v>
      </c>
      <c r="K186" t="s">
        <v>11901</v>
      </c>
      <c r="L186" t="s">
        <v>11902</v>
      </c>
      <c r="M186" s="3" t="str">
        <f>HYPERLINK(склад2въезд13[[#This Row],[RelativePath]])</f>
        <v>4 Крыльцо офиса\K07156189_21_20260212T092905Z.jpg</v>
      </c>
    </row>
  </sheetData>
  <conditionalFormatting sqref="D187:D197 E187:E200 G2:H186 D2:E186">
    <cfRule type="containsText" dxfId="781" priority="14" operator="containsText" text="Выезд с территории">
      <formula>NOT(ISERROR(SEARCH("Выезд с территории",D2)))</formula>
    </cfRule>
  </conditionalFormatting>
  <conditionalFormatting sqref="F2:F186">
    <cfRule type="notContainsText" dxfId="780" priority="13" operator="notContains" text="порожний">
      <formula>ISERROR(SEARCH("порожний",F2))</formula>
    </cfRule>
  </conditionalFormatting>
  <conditionalFormatting sqref="E2:E200">
    <cfRule type="containsText" dxfId="779" priority="11" operator="containsText" text="Газель базы">
      <formula>NOT(ISERROR(SEARCH("Газель базы",E2)))</formula>
    </cfRule>
    <cfRule type="containsText" dxfId="778" priority="12" operator="containsText" text="Погрузчик базы">
      <formula>NOT(ISERROR(SEARCH("Погрузчик базы",E2)))</formula>
    </cfRule>
  </conditionalFormatting>
  <conditionalFormatting sqref="E2:E200">
    <cfRule type="containsText" dxfId="777" priority="10" operator="containsText" text="Трактор базы">
      <formula>NOT(ISERROR(SEARCH("Трактор базы",E2)))</formula>
    </cfRule>
  </conditionalFormatting>
  <conditionalFormatting sqref="A2:C186">
    <cfRule type="expression" dxfId="776" priority="9">
      <formula>$A2="пн"</formula>
    </cfRule>
  </conditionalFormatting>
  <conditionalFormatting sqref="A2:C188">
    <cfRule type="expression" dxfId="775" priority="3">
      <formula>$A2="вс"</formula>
    </cfRule>
    <cfRule type="expression" dxfId="774" priority="4">
      <formula>$A2="сб"</formula>
    </cfRule>
    <cfRule type="expression" dxfId="773" priority="5">
      <formula>$A2="пт"</formula>
    </cfRule>
    <cfRule type="expression" dxfId="772" priority="6">
      <formula>$A2="чт"</formula>
    </cfRule>
    <cfRule type="expression" dxfId="771" priority="7">
      <formula>$A2="ср"</formula>
    </cfRule>
    <cfRule type="expression" dxfId="770" priority="8">
      <formula>$A2="вт"</formula>
    </cfRule>
  </conditionalFormatting>
  <conditionalFormatting sqref="D2:D197">
    <cfRule type="containsText" dxfId="76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7">
    <cfRule type="containsText" dxfId="76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23"/>
  <sheetViews>
    <sheetView topLeftCell="B1" zoomScale="90" zoomScaleNormal="90" workbookViewId="0">
      <pane ySplit="1" topLeftCell="A301" activePane="bottomLeft" state="frozen"/>
      <selection pane="bottomLeft" activeCell="I314" sqref="I314:I32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333</v>
      </c>
      <c r="J2" s="9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9" t="s">
        <v>460</v>
      </c>
      <c r="E3" s="9" t="s">
        <v>461</v>
      </c>
      <c r="F3" s="9"/>
      <c r="H3" s="9"/>
      <c r="I3" s="9" t="s">
        <v>337</v>
      </c>
      <c r="J3" s="9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9" t="s">
        <v>7</v>
      </c>
      <c r="E4" s="9" t="s">
        <v>461</v>
      </c>
      <c r="F4" s="9"/>
      <c r="H4" s="9"/>
      <c r="I4" s="9" t="s">
        <v>340</v>
      </c>
      <c r="J4" s="9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9" t="s">
        <v>4</v>
      </c>
      <c r="E5" s="9" t="s">
        <v>463</v>
      </c>
      <c r="F5" s="9"/>
      <c r="H5" s="9"/>
      <c r="I5" s="9" t="s">
        <v>343</v>
      </c>
      <c r="J5" s="9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9" t="s">
        <v>4</v>
      </c>
      <c r="E6" s="9" t="s">
        <v>462</v>
      </c>
      <c r="F6" s="9"/>
      <c r="H6" s="9"/>
      <c r="I6" s="9" t="s">
        <v>346</v>
      </c>
      <c r="J6" s="9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9" t="s">
        <v>4</v>
      </c>
      <c r="E7" s="9" t="s">
        <v>462</v>
      </c>
      <c r="F7" s="9"/>
      <c r="H7" s="9"/>
      <c r="I7" s="9" t="s">
        <v>349</v>
      </c>
      <c r="J7" s="9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9" t="s">
        <v>4</v>
      </c>
      <c r="E8" s="9" t="s">
        <v>463</v>
      </c>
      <c r="F8" s="9"/>
      <c r="H8" s="9"/>
      <c r="I8" s="9" t="s">
        <v>352</v>
      </c>
      <c r="J8" s="9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9" t="s">
        <v>4</v>
      </c>
      <c r="E9" s="9" t="s">
        <v>464</v>
      </c>
      <c r="F9" s="9"/>
      <c r="H9" s="9"/>
      <c r="I9" s="9" t="s">
        <v>355</v>
      </c>
      <c r="J9" s="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358</v>
      </c>
      <c r="J10" s="9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9" t="s">
        <v>4</v>
      </c>
      <c r="E11" s="9" t="s">
        <v>465</v>
      </c>
      <c r="F11" s="9"/>
      <c r="H11" s="9"/>
      <c r="I11" s="9" t="s">
        <v>361</v>
      </c>
      <c r="J11" s="9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9" t="s">
        <v>467</v>
      </c>
      <c r="E12" s="9" t="s">
        <v>67</v>
      </c>
      <c r="F12" s="9"/>
      <c r="H12" s="9"/>
      <c r="I12" s="9" t="s">
        <v>364</v>
      </c>
      <c r="J12" s="9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9" t="s">
        <v>289</v>
      </c>
      <c r="E13" s="9" t="s">
        <v>67</v>
      </c>
      <c r="F13" s="9" t="s">
        <v>468</v>
      </c>
      <c r="H13" s="9"/>
      <c r="I13" s="9" t="s">
        <v>367</v>
      </c>
      <c r="J13" s="9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9" t="s">
        <v>289</v>
      </c>
      <c r="E14" s="9" t="s">
        <v>67</v>
      </c>
      <c r="F14" s="9" t="s">
        <v>468</v>
      </c>
      <c r="H14" s="9"/>
      <c r="I14" s="9" t="s">
        <v>370</v>
      </c>
      <c r="J14" s="9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9" t="s">
        <v>289</v>
      </c>
      <c r="E15" s="9" t="s">
        <v>67</v>
      </c>
      <c r="F15" s="9" t="s">
        <v>468</v>
      </c>
      <c r="H15" s="9"/>
      <c r="I15" s="9" t="s">
        <v>373</v>
      </c>
      <c r="J15" s="9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9" t="s">
        <v>289</v>
      </c>
      <c r="E16" s="9" t="s">
        <v>67</v>
      </c>
      <c r="F16" s="9" t="s">
        <v>468</v>
      </c>
      <c r="H16" s="9"/>
      <c r="I16" s="9" t="s">
        <v>376</v>
      </c>
      <c r="J16" s="9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9" t="s">
        <v>289</v>
      </c>
      <c r="E17" s="9" t="s">
        <v>67</v>
      </c>
      <c r="F17" s="9" t="s">
        <v>468</v>
      </c>
      <c r="H17" s="9"/>
      <c r="I17" s="9" t="s">
        <v>379</v>
      </c>
      <c r="J17" s="9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9" t="s">
        <v>289</v>
      </c>
      <c r="E18" s="9" t="s">
        <v>67</v>
      </c>
      <c r="F18" s="9" t="s">
        <v>468</v>
      </c>
      <c r="H18" s="9"/>
      <c r="I18" s="9" t="s">
        <v>382</v>
      </c>
      <c r="J18" s="9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9" t="s">
        <v>289</v>
      </c>
      <c r="E19" s="9" t="s">
        <v>67</v>
      </c>
      <c r="F19" s="9" t="s">
        <v>468</v>
      </c>
      <c r="H19" s="9"/>
      <c r="I19" s="9" t="s">
        <v>385</v>
      </c>
      <c r="J19" s="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9" t="s">
        <v>289</v>
      </c>
      <c r="E20" s="9" t="s">
        <v>67</v>
      </c>
      <c r="F20" s="9" t="s">
        <v>468</v>
      </c>
      <c r="H20" s="9"/>
      <c r="I20" s="9" t="s">
        <v>388</v>
      </c>
      <c r="J20" s="9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9" t="s">
        <v>289</v>
      </c>
      <c r="E21" s="9" t="s">
        <v>67</v>
      </c>
      <c r="F21" s="9" t="s">
        <v>468</v>
      </c>
      <c r="H21" s="9"/>
      <c r="I21" s="9" t="s">
        <v>391</v>
      </c>
      <c r="J21" s="9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9" t="s">
        <v>289</v>
      </c>
      <c r="E22" s="9" t="s">
        <v>67</v>
      </c>
      <c r="F22" s="9" t="s">
        <v>468</v>
      </c>
      <c r="H22" s="9"/>
      <c r="I22" s="9" t="s">
        <v>394</v>
      </c>
      <c r="J22" s="9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9" t="s">
        <v>289</v>
      </c>
      <c r="E23" s="9" t="s">
        <v>67</v>
      </c>
      <c r="F23" s="9" t="s">
        <v>468</v>
      </c>
      <c r="H23" s="9"/>
      <c r="I23" s="9" t="s">
        <v>397</v>
      </c>
      <c r="J23" s="9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9" t="s">
        <v>289</v>
      </c>
      <c r="E24" s="9" t="s">
        <v>67</v>
      </c>
      <c r="F24" s="9" t="s">
        <v>468</v>
      </c>
      <c r="H24" s="9"/>
      <c r="I24" s="9" t="s">
        <v>400</v>
      </c>
      <c r="J24" s="9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9" t="s">
        <v>289</v>
      </c>
      <c r="E25" s="9" t="s">
        <v>67</v>
      </c>
      <c r="F25" s="9" t="s">
        <v>468</v>
      </c>
      <c r="H25" s="9"/>
      <c r="I25" s="9" t="s">
        <v>403</v>
      </c>
      <c r="J25" s="9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9" t="s">
        <v>289</v>
      </c>
      <c r="E26" s="9" t="s">
        <v>67</v>
      </c>
      <c r="F26" s="9" t="s">
        <v>468</v>
      </c>
      <c r="H26" s="9"/>
      <c r="I26" s="9" t="s">
        <v>406</v>
      </c>
      <c r="J26" s="9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9" t="s">
        <v>289</v>
      </c>
      <c r="E27" s="9" t="s">
        <v>67</v>
      </c>
      <c r="F27" s="9" t="s">
        <v>469</v>
      </c>
      <c r="H27" s="9" t="s">
        <v>470</v>
      </c>
      <c r="I27" s="9" t="s">
        <v>409</v>
      </c>
      <c r="J27" s="9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9" t="s">
        <v>471</v>
      </c>
      <c r="E28" s="9" t="s">
        <v>67</v>
      </c>
      <c r="F28" s="9" t="s">
        <v>468</v>
      </c>
      <c r="H28" s="9"/>
      <c r="I28" s="9" t="s">
        <v>412</v>
      </c>
      <c r="J28" s="9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9" t="s">
        <v>472</v>
      </c>
      <c r="E29" s="9" t="s">
        <v>67</v>
      </c>
      <c r="F29" s="9" t="s">
        <v>468</v>
      </c>
      <c r="H29" s="9"/>
      <c r="I29" s="9" t="s">
        <v>415</v>
      </c>
      <c r="J29" s="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9" t="s">
        <v>4</v>
      </c>
      <c r="E30" s="9" t="s">
        <v>473</v>
      </c>
      <c r="F30" s="9"/>
      <c r="H30" s="9"/>
      <c r="I30" s="9" t="s">
        <v>418</v>
      </c>
      <c r="J30" s="9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9" t="s">
        <v>4</v>
      </c>
      <c r="E31" s="9" t="s">
        <v>8</v>
      </c>
      <c r="F31" s="9"/>
      <c r="H31" s="9" t="s">
        <v>5</v>
      </c>
      <c r="I31" s="9" t="s">
        <v>421</v>
      </c>
      <c r="J31" s="9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9" t="s">
        <v>4</v>
      </c>
      <c r="E32" s="9" t="s">
        <v>8</v>
      </c>
      <c r="F32" s="9"/>
      <c r="H32" s="9"/>
      <c r="I32" s="9" t="s">
        <v>424</v>
      </c>
      <c r="J32" s="9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9" t="s">
        <v>4</v>
      </c>
      <c r="E33" s="9" t="s">
        <v>477</v>
      </c>
      <c r="F33" s="9"/>
      <c r="H33" s="9" t="s">
        <v>478</v>
      </c>
      <c r="I33" s="9" t="s">
        <v>427</v>
      </c>
      <c r="J33" s="9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9" t="s">
        <v>4</v>
      </c>
      <c r="E34" s="9" t="s">
        <v>8</v>
      </c>
      <c r="F34" s="9"/>
      <c r="H34" s="9" t="s">
        <v>5</v>
      </c>
      <c r="I34" s="9" t="s">
        <v>430</v>
      </c>
      <c r="J34" s="9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9" t="s">
        <v>4</v>
      </c>
      <c r="E35" s="9" t="s">
        <v>8</v>
      </c>
      <c r="F35" s="9"/>
      <c r="H35" s="9" t="s">
        <v>474</v>
      </c>
      <c r="I35" s="9" t="s">
        <v>433</v>
      </c>
      <c r="J35" s="9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9" t="s">
        <v>4</v>
      </c>
      <c r="E36" s="9" t="s">
        <v>8</v>
      </c>
      <c r="F36" s="9"/>
      <c r="H36" s="9"/>
      <c r="I36" s="9" t="s">
        <v>436</v>
      </c>
      <c r="J36" s="9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9" t="s">
        <v>4</v>
      </c>
      <c r="E37" s="9" t="s">
        <v>8</v>
      </c>
      <c r="F37" s="9"/>
      <c r="H37" s="9" t="s">
        <v>6</v>
      </c>
      <c r="I37" s="9" t="s">
        <v>439</v>
      </c>
      <c r="J37" s="9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9" t="s">
        <v>4</v>
      </c>
      <c r="E38" s="9" t="s">
        <v>8</v>
      </c>
      <c r="F38" s="9"/>
      <c r="H38" s="9" t="s">
        <v>5</v>
      </c>
      <c r="I38" s="9" t="s">
        <v>442</v>
      </c>
      <c r="J38" s="9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9" t="s">
        <v>4</v>
      </c>
      <c r="E39" s="9" t="s">
        <v>475</v>
      </c>
      <c r="F39" s="9"/>
      <c r="H39" s="9"/>
      <c r="I39" s="9" t="s">
        <v>445</v>
      </c>
      <c r="J39" s="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9" t="s">
        <v>4</v>
      </c>
      <c r="E40" s="9" t="s">
        <v>475</v>
      </c>
      <c r="F40" s="9"/>
      <c r="H40" s="9"/>
      <c r="I40" s="9" t="s">
        <v>448</v>
      </c>
      <c r="J40" s="9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9" t="s">
        <v>4</v>
      </c>
      <c r="E41" s="9" t="s">
        <v>479</v>
      </c>
      <c r="F41" s="9"/>
      <c r="H41" s="9" t="s">
        <v>476</v>
      </c>
      <c r="I41" s="9" t="s">
        <v>451</v>
      </c>
      <c r="J41" s="9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9" t="s">
        <v>4</v>
      </c>
      <c r="E42" s="9" t="s">
        <v>8</v>
      </c>
      <c r="F42" s="9"/>
      <c r="H42" s="9"/>
      <c r="I42" s="9" t="s">
        <v>454</v>
      </c>
      <c r="J42" s="9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9" t="s">
        <v>4</v>
      </c>
      <c r="E43" s="9" t="s">
        <v>8</v>
      </c>
      <c r="F43" s="9"/>
      <c r="H43" s="9" t="s">
        <v>6</v>
      </c>
      <c r="I43" s="9" t="s">
        <v>457</v>
      </c>
      <c r="J43" s="9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9" t="s">
        <v>4</v>
      </c>
      <c r="E44" s="9" t="s">
        <v>8</v>
      </c>
      <c r="F44" s="9"/>
      <c r="H44" s="9" t="s">
        <v>1625</v>
      </c>
      <c r="I44" s="9" t="s">
        <v>1295</v>
      </c>
      <c r="J44" s="9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9" t="s">
        <v>4</v>
      </c>
      <c r="E45" s="9" t="s">
        <v>8</v>
      </c>
      <c r="F45" s="9"/>
      <c r="H45" s="9" t="s">
        <v>2009</v>
      </c>
      <c r="I45" s="9" t="s">
        <v>1298</v>
      </c>
      <c r="J45" s="9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9" t="s">
        <v>4</v>
      </c>
      <c r="E46" s="9" t="s">
        <v>2014</v>
      </c>
      <c r="F46" s="9"/>
      <c r="H46" s="9" t="s">
        <v>1625</v>
      </c>
      <c r="I46" s="9" t="s">
        <v>1301</v>
      </c>
      <c r="J46" s="9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9" t="s">
        <v>4</v>
      </c>
      <c r="E47" s="9" t="s">
        <v>8</v>
      </c>
      <c r="F47" s="9"/>
      <c r="H47" s="9"/>
      <c r="I47" s="9" t="s">
        <v>2094</v>
      </c>
      <c r="J47" s="9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9" t="s">
        <v>4</v>
      </c>
      <c r="E48" s="9" t="s">
        <v>8</v>
      </c>
      <c r="F48" s="9"/>
      <c r="H48" s="9"/>
      <c r="I48" s="9" t="s">
        <v>2097</v>
      </c>
      <c r="J48" s="9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9" t="s">
        <v>4</v>
      </c>
      <c r="E49" s="9" t="s">
        <v>8</v>
      </c>
      <c r="F49" s="9"/>
      <c r="H49" s="9"/>
      <c r="I49" s="9" t="s">
        <v>2100</v>
      </c>
      <c r="J49" s="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9" t="s">
        <v>4</v>
      </c>
      <c r="E50" s="9" t="s">
        <v>8</v>
      </c>
      <c r="F50" s="9"/>
      <c r="H50" s="9"/>
      <c r="I50" s="9" t="s">
        <v>2103</v>
      </c>
      <c r="J50" s="9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9" t="s">
        <v>4</v>
      </c>
      <c r="E51" s="9" t="s">
        <v>8</v>
      </c>
      <c r="F51" s="9"/>
      <c r="H51" s="9"/>
      <c r="I51" s="9" t="s">
        <v>2106</v>
      </c>
      <c r="J51" s="9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9" t="s">
        <v>4</v>
      </c>
      <c r="E52" s="9" t="s">
        <v>8</v>
      </c>
      <c r="F52" s="9"/>
      <c r="H52" s="9"/>
      <c r="I52" s="9" t="s">
        <v>2109</v>
      </c>
      <c r="J52" s="9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9" t="s">
        <v>4</v>
      </c>
      <c r="E53" s="9" t="s">
        <v>8</v>
      </c>
      <c r="F53" s="9"/>
      <c r="H53" s="9"/>
      <c r="I53" s="9" t="s">
        <v>2112</v>
      </c>
      <c r="J53" s="9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9" t="s">
        <v>4</v>
      </c>
      <c r="E54" s="9" t="s">
        <v>8</v>
      </c>
      <c r="F54" s="9"/>
      <c r="H54" s="9"/>
      <c r="I54" s="9" t="s">
        <v>3079</v>
      </c>
      <c r="J54" s="9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9" t="s">
        <v>4</v>
      </c>
      <c r="E55" s="9" t="s">
        <v>8</v>
      </c>
      <c r="F55" s="9"/>
      <c r="H55" s="9"/>
      <c r="I55" s="9" t="s">
        <v>3082</v>
      </c>
      <c r="J55" s="9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9" t="s">
        <v>4</v>
      </c>
      <c r="E56" s="9" t="s">
        <v>8</v>
      </c>
      <c r="F56" s="9"/>
      <c r="H56" s="9"/>
      <c r="I56" s="9" t="s">
        <v>3085</v>
      </c>
      <c r="J56" s="9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9" t="s">
        <v>4</v>
      </c>
      <c r="E57" s="9" t="s">
        <v>8</v>
      </c>
      <c r="F57" s="9"/>
      <c r="H57" s="9"/>
      <c r="I57" s="9" t="s">
        <v>3088</v>
      </c>
      <c r="J57" s="9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9" t="s">
        <v>4</v>
      </c>
      <c r="E58" s="9" t="s">
        <v>8</v>
      </c>
      <c r="F58" s="9"/>
      <c r="H58" s="9"/>
      <c r="I58" s="9" t="s">
        <v>3091</v>
      </c>
      <c r="J58" s="9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9" t="s">
        <v>4</v>
      </c>
      <c r="E59" s="9" t="s">
        <v>8</v>
      </c>
      <c r="F59" s="9"/>
      <c r="H59" s="9"/>
      <c r="I59" s="9" t="s">
        <v>3094</v>
      </c>
      <c r="J59" s="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9" t="s">
        <v>4</v>
      </c>
      <c r="E60" s="9" t="s">
        <v>8</v>
      </c>
      <c r="F60" s="9"/>
      <c r="H60" s="9"/>
      <c r="I60" s="9" t="s">
        <v>3097</v>
      </c>
      <c r="J60" s="9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9" t="s">
        <v>4</v>
      </c>
      <c r="E61" s="9" t="s">
        <v>8</v>
      </c>
      <c r="F61" s="9"/>
      <c r="H61" s="9"/>
      <c r="I61" s="9" t="s">
        <v>3100</v>
      </c>
      <c r="J61" s="9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9" t="s">
        <v>2004</v>
      </c>
      <c r="E62" s="9"/>
      <c r="F62" s="9"/>
      <c r="H62" s="9"/>
      <c r="I62" s="9" t="s">
        <v>4270</v>
      </c>
      <c r="J62" s="9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9" t="s">
        <v>1094</v>
      </c>
      <c r="E63" s="9" t="s">
        <v>4247</v>
      </c>
      <c r="F63" s="9" t="s">
        <v>58</v>
      </c>
      <c r="H63" s="9" t="s">
        <v>5102</v>
      </c>
      <c r="I63" s="9" t="s">
        <v>5097</v>
      </c>
      <c r="J63" s="9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9" t="s">
        <v>4</v>
      </c>
      <c r="E64" s="9" t="s">
        <v>8</v>
      </c>
      <c r="F64" s="9"/>
      <c r="H64" s="9"/>
      <c r="I64" s="9" t="s">
        <v>4489</v>
      </c>
      <c r="J64" s="9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9" t="s">
        <v>1615</v>
      </c>
      <c r="E65" s="9" t="s">
        <v>86</v>
      </c>
      <c r="F65" s="9" t="s">
        <v>200</v>
      </c>
      <c r="H65" s="9"/>
      <c r="I65" s="9" t="s">
        <v>4492</v>
      </c>
      <c r="J65" s="9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9" t="s">
        <v>4</v>
      </c>
      <c r="E66" s="9" t="s">
        <v>8</v>
      </c>
      <c r="F66" s="9"/>
      <c r="H66" s="9"/>
      <c r="I66" s="9" t="s">
        <v>4495</v>
      </c>
      <c r="J66" s="9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9" t="s">
        <v>1615</v>
      </c>
      <c r="E67" s="9" t="s">
        <v>86</v>
      </c>
      <c r="F67" s="9" t="s">
        <v>200</v>
      </c>
      <c r="H67" s="9"/>
      <c r="I67" s="9" t="s">
        <v>4498</v>
      </c>
      <c r="J67" s="9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9" t="s">
        <v>1615</v>
      </c>
      <c r="E68" s="9" t="s">
        <v>86</v>
      </c>
      <c r="F68" s="9" t="s">
        <v>5103</v>
      </c>
      <c r="H68" s="9" t="s">
        <v>5104</v>
      </c>
      <c r="I68" s="9" t="s">
        <v>4501</v>
      </c>
      <c r="J68" s="9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9" t="s">
        <v>1615</v>
      </c>
      <c r="E69" s="9" t="s">
        <v>86</v>
      </c>
      <c r="F69" s="9" t="s">
        <v>200</v>
      </c>
      <c r="H69" s="9"/>
      <c r="I69" s="9" t="s">
        <v>4504</v>
      </c>
      <c r="J69" s="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9" t="s">
        <v>1094</v>
      </c>
      <c r="E70" s="9" t="s">
        <v>4247</v>
      </c>
      <c r="F70" s="9" t="s">
        <v>60</v>
      </c>
      <c r="H70" s="9" t="s">
        <v>5102</v>
      </c>
      <c r="I70" s="9" t="s">
        <v>4507</v>
      </c>
      <c r="J70" s="9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9" t="s">
        <v>1094</v>
      </c>
      <c r="E71" s="9" t="s">
        <v>4247</v>
      </c>
      <c r="F71" s="9" t="s">
        <v>60</v>
      </c>
      <c r="H71" s="9" t="s">
        <v>2936</v>
      </c>
      <c r="I71" s="9" t="s">
        <v>4510</v>
      </c>
      <c r="J71" s="9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9" t="s">
        <v>4</v>
      </c>
      <c r="E72" s="9" t="s">
        <v>8</v>
      </c>
      <c r="F72" s="9"/>
      <c r="H72" s="9" t="s">
        <v>2936</v>
      </c>
      <c r="I72" s="9" t="s">
        <v>4513</v>
      </c>
      <c r="J72" s="9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9" t="s">
        <v>4</v>
      </c>
      <c r="E73" s="9" t="s">
        <v>8</v>
      </c>
      <c r="F73" s="9"/>
      <c r="H73" s="9" t="s">
        <v>2936</v>
      </c>
      <c r="I73" s="9" t="s">
        <v>4516</v>
      </c>
      <c r="J73" s="9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9" t="s">
        <v>4</v>
      </c>
      <c r="E74" s="9" t="s">
        <v>8</v>
      </c>
      <c r="F74" s="9"/>
      <c r="H74" s="9" t="s">
        <v>2936</v>
      </c>
      <c r="I74" s="9" t="s">
        <v>4519</v>
      </c>
      <c r="J74" s="9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9" t="s">
        <v>1606</v>
      </c>
      <c r="E75" s="9" t="s">
        <v>70</v>
      </c>
      <c r="F75" s="9"/>
      <c r="H75" s="9"/>
      <c r="I75" s="9" t="s">
        <v>4522</v>
      </c>
      <c r="J75" s="9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9" t="s">
        <v>290</v>
      </c>
      <c r="E76" s="9" t="s">
        <v>70</v>
      </c>
      <c r="F76" s="9" t="s">
        <v>5093</v>
      </c>
      <c r="H76" s="9"/>
      <c r="I76" s="9" t="s">
        <v>4525</v>
      </c>
      <c r="J76" s="9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9" t="s">
        <v>466</v>
      </c>
      <c r="E77" s="9" t="s">
        <v>86</v>
      </c>
      <c r="F77" s="9" t="s">
        <v>5093</v>
      </c>
      <c r="H77" s="9"/>
      <c r="I77" s="9" t="s">
        <v>4528</v>
      </c>
      <c r="J77" s="9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9" t="s">
        <v>1615</v>
      </c>
      <c r="E78" s="9" t="s">
        <v>86</v>
      </c>
      <c r="F78" s="9" t="s">
        <v>5093</v>
      </c>
      <c r="H78" s="9"/>
      <c r="I78" s="9" t="s">
        <v>4531</v>
      </c>
      <c r="J78" s="9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9" t="s">
        <v>466</v>
      </c>
      <c r="E79" s="9" t="s">
        <v>86</v>
      </c>
      <c r="F79" s="9" t="s">
        <v>5093</v>
      </c>
      <c r="H79" s="9"/>
      <c r="I79" s="9" t="s">
        <v>5099</v>
      </c>
      <c r="J79" s="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9" t="s">
        <v>5105</v>
      </c>
      <c r="E80" s="9"/>
      <c r="F80" s="9"/>
      <c r="H80" s="9"/>
      <c r="I80" s="9" t="s">
        <v>4534</v>
      </c>
      <c r="J80" s="9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9" t="s">
        <v>1615</v>
      </c>
      <c r="E81" s="9" t="s">
        <v>86</v>
      </c>
      <c r="F81" s="9" t="s">
        <v>5093</v>
      </c>
      <c r="H81" s="9"/>
      <c r="I81" s="9" t="s">
        <v>4537</v>
      </c>
      <c r="J81" s="9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9" t="s">
        <v>4</v>
      </c>
      <c r="E82" s="9" t="s">
        <v>8</v>
      </c>
      <c r="F82" s="9"/>
      <c r="H82" s="9"/>
      <c r="I82" s="9" t="s">
        <v>4540</v>
      </c>
      <c r="J82" s="9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9" t="s">
        <v>1606</v>
      </c>
      <c r="E83" s="9" t="s">
        <v>70</v>
      </c>
      <c r="F83" s="9"/>
      <c r="H83" s="9"/>
      <c r="I83" s="9" t="s">
        <v>4543</v>
      </c>
      <c r="J83" s="9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9" t="s">
        <v>1606</v>
      </c>
      <c r="E84" s="9" t="s">
        <v>55</v>
      </c>
      <c r="F84" s="9"/>
      <c r="H84" s="9"/>
      <c r="I84" s="9" t="s">
        <v>4546</v>
      </c>
      <c r="J84" s="9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9" t="s">
        <v>290</v>
      </c>
      <c r="E85" s="9" t="s">
        <v>70</v>
      </c>
      <c r="F85" s="9" t="s">
        <v>5093</v>
      </c>
      <c r="H85" s="9"/>
      <c r="I85" s="9" t="s">
        <v>4549</v>
      </c>
      <c r="J85" s="9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9" t="s">
        <v>4</v>
      </c>
      <c r="E86" s="9" t="s">
        <v>8</v>
      </c>
      <c r="F86" s="9"/>
      <c r="H86" s="9"/>
      <c r="I86" s="9" t="s">
        <v>4552</v>
      </c>
      <c r="J86" s="9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9" t="s">
        <v>2004</v>
      </c>
      <c r="E87" s="9"/>
      <c r="F87" s="9"/>
      <c r="H87" s="9"/>
      <c r="I87" s="9" t="s">
        <v>4555</v>
      </c>
      <c r="J87" s="9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9" t="s">
        <v>1606</v>
      </c>
      <c r="E88" s="9" t="s">
        <v>5263</v>
      </c>
      <c r="F88" s="9" t="s">
        <v>4233</v>
      </c>
      <c r="H88" s="9"/>
      <c r="I88" s="9" t="s">
        <v>5148</v>
      </c>
      <c r="J88" s="9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9" t="s">
        <v>289</v>
      </c>
      <c r="E89" s="9" t="s">
        <v>5263</v>
      </c>
      <c r="F89" s="9" t="s">
        <v>5093</v>
      </c>
      <c r="H89" s="9"/>
      <c r="I89" s="9" t="s">
        <v>5151</v>
      </c>
      <c r="J89" s="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9" t="s">
        <v>289</v>
      </c>
      <c r="E90" s="9" t="s">
        <v>5263</v>
      </c>
      <c r="F90" s="9" t="s">
        <v>5093</v>
      </c>
      <c r="H90" s="9" t="s">
        <v>2936</v>
      </c>
      <c r="I90" s="9" t="s">
        <v>5154</v>
      </c>
      <c r="J90" s="9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9" t="s">
        <v>289</v>
      </c>
      <c r="E91" s="9" t="s">
        <v>5263</v>
      </c>
      <c r="F91" s="9" t="s">
        <v>5093</v>
      </c>
      <c r="H91" s="9" t="s">
        <v>2936</v>
      </c>
      <c r="I91" s="9" t="s">
        <v>5157</v>
      </c>
      <c r="J91" s="9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9" t="s">
        <v>289</v>
      </c>
      <c r="E92" s="9" t="s">
        <v>5263</v>
      </c>
      <c r="F92" s="9" t="s">
        <v>5093</v>
      </c>
      <c r="H92" s="9" t="s">
        <v>2936</v>
      </c>
      <c r="I92" s="9" t="s">
        <v>5160</v>
      </c>
      <c r="J92" s="9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9" t="s">
        <v>289</v>
      </c>
      <c r="E93" s="9" t="s">
        <v>5263</v>
      </c>
      <c r="F93" s="9" t="s">
        <v>5093</v>
      </c>
      <c r="H93" s="9" t="s">
        <v>2936</v>
      </c>
      <c r="I93" s="9" t="s">
        <v>5163</v>
      </c>
      <c r="J93" s="9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9" t="s">
        <v>289</v>
      </c>
      <c r="E94" s="9" t="s">
        <v>5263</v>
      </c>
      <c r="F94" s="9" t="s">
        <v>5093</v>
      </c>
      <c r="H94" s="9" t="s">
        <v>2936</v>
      </c>
      <c r="I94" s="9" t="s">
        <v>5166</v>
      </c>
      <c r="J94" s="9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9" t="s">
        <v>4232</v>
      </c>
      <c r="E95" s="9" t="s">
        <v>5263</v>
      </c>
      <c r="F95" s="9" t="s">
        <v>1609</v>
      </c>
      <c r="H95" s="9"/>
      <c r="I95" s="9" t="s">
        <v>5169</v>
      </c>
      <c r="J95" s="9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9" t="s">
        <v>650</v>
      </c>
      <c r="E96" s="9" t="s">
        <v>5263</v>
      </c>
      <c r="F96" s="9" t="s">
        <v>1609</v>
      </c>
      <c r="H96" s="9"/>
      <c r="I96" s="9" t="s">
        <v>5172</v>
      </c>
      <c r="J96" s="9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9" t="s">
        <v>4</v>
      </c>
      <c r="E97" s="9" t="s">
        <v>8</v>
      </c>
      <c r="F97" s="9"/>
      <c r="H97" s="9"/>
      <c r="I97" s="9" t="s">
        <v>5304</v>
      </c>
      <c r="J97" s="9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9" t="s">
        <v>2004</v>
      </c>
      <c r="E98" s="9" t="s">
        <v>8</v>
      </c>
      <c r="F98" s="9"/>
      <c r="H98" s="9"/>
      <c r="I98" s="9" t="s">
        <v>5307</v>
      </c>
      <c r="J98" s="9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9" t="s">
        <v>2004</v>
      </c>
      <c r="E99" s="9" t="s">
        <v>8</v>
      </c>
      <c r="F99" s="9"/>
      <c r="H99" s="9"/>
      <c r="I99" s="9" t="s">
        <v>5708</v>
      </c>
      <c r="J99" s="9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9" t="s">
        <v>4</v>
      </c>
      <c r="E100" s="9" t="s">
        <v>1607</v>
      </c>
      <c r="F100" s="9" t="s">
        <v>6175</v>
      </c>
      <c r="H100" s="9"/>
      <c r="I100" s="9" t="s">
        <v>5711</v>
      </c>
      <c r="J100" s="9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9" t="s">
        <v>2004</v>
      </c>
      <c r="E101" s="9" t="s">
        <v>8</v>
      </c>
      <c r="F101" s="9"/>
      <c r="H101" s="9"/>
      <c r="I101" s="9" t="s">
        <v>5714</v>
      </c>
      <c r="J101" s="9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9" t="s">
        <v>2004</v>
      </c>
      <c r="E102" s="9" t="s">
        <v>8</v>
      </c>
      <c r="F102" s="9"/>
      <c r="H102" s="9"/>
      <c r="I102" s="9" t="s">
        <v>5855</v>
      </c>
      <c r="J102" s="9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9" t="s">
        <v>4</v>
      </c>
      <c r="E103" s="9" t="s">
        <v>55</v>
      </c>
      <c r="F103" s="9" t="s">
        <v>51</v>
      </c>
      <c r="H103" s="9"/>
      <c r="I103" s="9" t="s">
        <v>5858</v>
      </c>
      <c r="J103" s="9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9" t="s">
        <v>650</v>
      </c>
      <c r="E104" s="9" t="s">
        <v>55</v>
      </c>
      <c r="F104" s="9" t="s">
        <v>51</v>
      </c>
      <c r="H104" s="9" t="s">
        <v>6176</v>
      </c>
      <c r="I104" s="9" t="s">
        <v>5861</v>
      </c>
      <c r="J104" s="9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9" t="s">
        <v>4</v>
      </c>
      <c r="E105" s="9" t="s">
        <v>8</v>
      </c>
      <c r="F105" s="9"/>
      <c r="H105" s="9"/>
      <c r="I105" s="9" t="s">
        <v>5864</v>
      </c>
      <c r="J105" s="9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9" t="s">
        <v>2004</v>
      </c>
      <c r="E106" s="9" t="s">
        <v>8</v>
      </c>
      <c r="F106" s="9"/>
      <c r="H106" s="9"/>
      <c r="I106" s="9" t="s">
        <v>6074</v>
      </c>
      <c r="J106" s="9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9" t="s">
        <v>2004</v>
      </c>
      <c r="E107" s="9" t="s">
        <v>8</v>
      </c>
      <c r="F107" s="9"/>
      <c r="H107" s="9"/>
      <c r="I107" s="9" t="s">
        <v>6204</v>
      </c>
      <c r="J107" s="9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9" t="s">
        <v>1606</v>
      </c>
      <c r="E108" s="9" t="s">
        <v>70</v>
      </c>
      <c r="F108" s="9"/>
      <c r="H108" s="9"/>
      <c r="I108" s="9" t="s">
        <v>6313</v>
      </c>
      <c r="J108" s="9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9" t="s">
        <v>4</v>
      </c>
      <c r="E109" s="9" t="s">
        <v>6341</v>
      </c>
      <c r="F109" s="9"/>
      <c r="H109" s="9"/>
      <c r="I109" s="9" t="s">
        <v>6316</v>
      </c>
      <c r="J109" s="9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9" t="s">
        <v>2004</v>
      </c>
      <c r="E110" s="9" t="s">
        <v>8</v>
      </c>
      <c r="F110" s="9"/>
      <c r="H110" s="9"/>
      <c r="I110" s="9" t="s">
        <v>6563</v>
      </c>
      <c r="J110" s="9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9" t="s">
        <v>2004</v>
      </c>
      <c r="E111" s="9" t="s">
        <v>8</v>
      </c>
      <c r="F111" s="9"/>
      <c r="H111" s="9"/>
      <c r="I111" s="9" t="s">
        <v>6712</v>
      </c>
      <c r="J111" s="9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9" t="s">
        <v>4</v>
      </c>
      <c r="E112" s="9" t="s">
        <v>8</v>
      </c>
      <c r="F112" s="9"/>
      <c r="H112" s="9"/>
      <c r="I112" s="9" t="s">
        <v>7139</v>
      </c>
      <c r="J112" s="9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9" t="s">
        <v>651</v>
      </c>
      <c r="E113" s="9" t="s">
        <v>4247</v>
      </c>
      <c r="F113" s="9"/>
      <c r="H113" s="9"/>
      <c r="I113" s="9" t="s">
        <v>7142</v>
      </c>
      <c r="J113" s="9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9" t="s">
        <v>12</v>
      </c>
      <c r="E114" s="9" t="s">
        <v>1607</v>
      </c>
      <c r="F114" s="9"/>
      <c r="H114" s="9"/>
      <c r="I114" s="9" t="s">
        <v>7145</v>
      </c>
      <c r="J114" s="9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9" t="s">
        <v>4</v>
      </c>
      <c r="E115" s="9" t="s">
        <v>8</v>
      </c>
      <c r="F115" s="9"/>
      <c r="H115" s="9"/>
      <c r="I115" s="9" t="s">
        <v>7148</v>
      </c>
      <c r="J115" s="9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9" t="s">
        <v>2004</v>
      </c>
      <c r="E116" s="9" t="s">
        <v>8</v>
      </c>
      <c r="F116" s="9"/>
      <c r="H116" s="9"/>
      <c r="I116" s="9" t="s">
        <v>7151</v>
      </c>
      <c r="J116" s="9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9" t="s">
        <v>2004</v>
      </c>
      <c r="E117" s="9" t="s">
        <v>8</v>
      </c>
      <c r="F117" s="9"/>
      <c r="H117" s="9"/>
      <c r="I117" s="9" t="s">
        <v>7154</v>
      </c>
      <c r="J117" s="9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9" t="s">
        <v>2004</v>
      </c>
      <c r="E118" s="9" t="s">
        <v>8</v>
      </c>
      <c r="F118" s="9"/>
      <c r="H118" s="9"/>
      <c r="I118" s="9" t="s">
        <v>7172</v>
      </c>
      <c r="J118" s="9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9" t="s">
        <v>12</v>
      </c>
      <c r="E119" s="9" t="s">
        <v>1607</v>
      </c>
      <c r="F119" s="9"/>
      <c r="H119" s="9"/>
      <c r="I119" s="9" t="s">
        <v>7317</v>
      </c>
      <c r="J119" s="9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9" t="s">
        <v>2004</v>
      </c>
      <c r="E120" s="9" t="s">
        <v>8</v>
      </c>
      <c r="F120" s="9"/>
      <c r="H120" s="9"/>
      <c r="I120" s="9" t="s">
        <v>7320</v>
      </c>
      <c r="J120" s="9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9" t="s">
        <v>2004</v>
      </c>
      <c r="E121" s="9" t="s">
        <v>8</v>
      </c>
      <c r="F121" s="9"/>
      <c r="H121" s="9"/>
      <c r="I121" s="9" t="s">
        <v>7323</v>
      </c>
      <c r="J121" s="9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9" t="s">
        <v>4216</v>
      </c>
      <c r="E122" s="9" t="s">
        <v>7410</v>
      </c>
      <c r="F122" s="9" t="s">
        <v>60</v>
      </c>
      <c r="H122" s="9"/>
      <c r="I122" s="9" t="s">
        <v>7326</v>
      </c>
      <c r="J122" s="9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9" t="s">
        <v>4216</v>
      </c>
      <c r="E123" s="9" t="s">
        <v>7410</v>
      </c>
      <c r="F123" s="9" t="s">
        <v>60</v>
      </c>
      <c r="H123" s="9"/>
      <c r="I123" s="9" t="s">
        <v>7329</v>
      </c>
      <c r="J123" s="9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9" t="s">
        <v>290</v>
      </c>
      <c r="E124" s="9" t="s">
        <v>86</v>
      </c>
      <c r="F124" s="9" t="s">
        <v>60</v>
      </c>
      <c r="G124">
        <v>4</v>
      </c>
      <c r="H124" s="9"/>
      <c r="I124" s="9" t="s">
        <v>7332</v>
      </c>
      <c r="J124" s="9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9" t="s">
        <v>1094</v>
      </c>
      <c r="E125" s="9" t="s">
        <v>86</v>
      </c>
      <c r="F125" s="9" t="s">
        <v>60</v>
      </c>
      <c r="H125" s="9" t="s">
        <v>476</v>
      </c>
      <c r="I125" s="9" t="s">
        <v>7335</v>
      </c>
      <c r="J125" s="9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9" t="s">
        <v>290</v>
      </c>
      <c r="E126" s="9" t="s">
        <v>86</v>
      </c>
      <c r="F126" s="9" t="s">
        <v>60</v>
      </c>
      <c r="G126">
        <v>1</v>
      </c>
      <c r="H126" s="9"/>
      <c r="I126" s="9" t="s">
        <v>7338</v>
      </c>
      <c r="J126" s="9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9" t="s">
        <v>290</v>
      </c>
      <c r="E127" s="9" t="s">
        <v>86</v>
      </c>
      <c r="F127" s="9" t="s">
        <v>60</v>
      </c>
      <c r="G127">
        <v>4</v>
      </c>
      <c r="H127" s="9"/>
      <c r="I127" s="9" t="s">
        <v>7341</v>
      </c>
      <c r="J127" s="9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9" t="s">
        <v>290</v>
      </c>
      <c r="E128" s="9" t="s">
        <v>86</v>
      </c>
      <c r="F128" s="9" t="s">
        <v>60</v>
      </c>
      <c r="G128">
        <v>2</v>
      </c>
      <c r="H128" s="9"/>
      <c r="I128" s="9" t="s">
        <v>7344</v>
      </c>
      <c r="J128" s="9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9" t="s">
        <v>290</v>
      </c>
      <c r="E129" s="9" t="s">
        <v>86</v>
      </c>
      <c r="F129" s="9" t="s">
        <v>60</v>
      </c>
      <c r="G129">
        <v>3</v>
      </c>
      <c r="H129" s="9"/>
      <c r="I129" s="9" t="s">
        <v>7347</v>
      </c>
      <c r="J129" s="9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9" t="s">
        <v>290</v>
      </c>
      <c r="E130" s="9" t="s">
        <v>86</v>
      </c>
      <c r="F130" s="9" t="s">
        <v>60</v>
      </c>
      <c r="G130">
        <v>3</v>
      </c>
      <c r="H130" s="9"/>
      <c r="I130" s="9" t="s">
        <v>7350</v>
      </c>
      <c r="J130" s="9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9" t="s">
        <v>290</v>
      </c>
      <c r="E131" s="9" t="s">
        <v>86</v>
      </c>
      <c r="F131" s="9" t="s">
        <v>60</v>
      </c>
      <c r="G131">
        <v>2</v>
      </c>
      <c r="H131" s="9"/>
      <c r="I131" s="9" t="s">
        <v>7353</v>
      </c>
      <c r="J131" s="9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9" t="s">
        <v>290</v>
      </c>
      <c r="E132" s="9" t="s">
        <v>86</v>
      </c>
      <c r="F132" s="9" t="s">
        <v>60</v>
      </c>
      <c r="G132">
        <v>2</v>
      </c>
      <c r="H132" s="9"/>
      <c r="I132" s="9" t="s">
        <v>7356</v>
      </c>
      <c r="J132" s="9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9" t="s">
        <v>290</v>
      </c>
      <c r="E133" s="9" t="s">
        <v>86</v>
      </c>
      <c r="F133" s="9" t="s">
        <v>60</v>
      </c>
      <c r="G133">
        <v>2</v>
      </c>
      <c r="H133" s="9"/>
      <c r="I133" s="9" t="s">
        <v>7359</v>
      </c>
      <c r="J133" s="9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9" t="s">
        <v>290</v>
      </c>
      <c r="E134" s="9" t="s">
        <v>86</v>
      </c>
      <c r="F134" s="9" t="s">
        <v>60</v>
      </c>
      <c r="G134">
        <v>1</v>
      </c>
      <c r="H134" s="9"/>
      <c r="I134" s="9" t="s">
        <v>7362</v>
      </c>
      <c r="J134" s="9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9" t="s">
        <v>290</v>
      </c>
      <c r="E135" s="9" t="s">
        <v>86</v>
      </c>
      <c r="F135" s="9" t="s">
        <v>60</v>
      </c>
      <c r="G135">
        <v>2</v>
      </c>
      <c r="H135" s="9"/>
      <c r="I135" s="9" t="s">
        <v>7365</v>
      </c>
      <c r="J135" s="9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9" t="s">
        <v>290</v>
      </c>
      <c r="E136" s="9" t="s">
        <v>86</v>
      </c>
      <c r="F136" s="9" t="s">
        <v>60</v>
      </c>
      <c r="G136">
        <v>4</v>
      </c>
      <c r="H136" s="9"/>
      <c r="I136" s="9" t="s">
        <v>7368</v>
      </c>
      <c r="J136" s="9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9" t="s">
        <v>290</v>
      </c>
      <c r="E137" s="9" t="s">
        <v>86</v>
      </c>
      <c r="F137" s="9" t="s">
        <v>60</v>
      </c>
      <c r="G137">
        <v>2</v>
      </c>
      <c r="H137" s="9"/>
      <c r="I137" s="9" t="s">
        <v>7371</v>
      </c>
      <c r="J137" s="9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9" t="s">
        <v>290</v>
      </c>
      <c r="E138" s="9" t="s">
        <v>86</v>
      </c>
      <c r="F138" s="9" t="s">
        <v>60</v>
      </c>
      <c r="G138">
        <v>2</v>
      </c>
      <c r="H138" s="9"/>
      <c r="I138" s="9" t="s">
        <v>7374</v>
      </c>
      <c r="J138" s="9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9" t="s">
        <v>290</v>
      </c>
      <c r="E139" s="9" t="s">
        <v>86</v>
      </c>
      <c r="F139" s="9" t="s">
        <v>60</v>
      </c>
      <c r="G139">
        <v>3</v>
      </c>
      <c r="H139" s="9"/>
      <c r="I139" s="9" t="s">
        <v>7377</v>
      </c>
      <c r="J139" s="9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9" t="s">
        <v>290</v>
      </c>
      <c r="E140" s="9" t="s">
        <v>86</v>
      </c>
      <c r="F140" s="9" t="s">
        <v>60</v>
      </c>
      <c r="G140">
        <v>3</v>
      </c>
      <c r="H140" s="9"/>
      <c r="I140" s="9" t="s">
        <v>7380</v>
      </c>
      <c r="J140" s="9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9" t="s">
        <v>290</v>
      </c>
      <c r="E141" s="9" t="s">
        <v>86</v>
      </c>
      <c r="F141" s="9" t="s">
        <v>60</v>
      </c>
      <c r="G141">
        <v>2</v>
      </c>
      <c r="H141" s="9"/>
      <c r="I141" s="9" t="s">
        <v>7383</v>
      </c>
      <c r="J141" s="9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9" t="s">
        <v>290</v>
      </c>
      <c r="E142" s="9" t="s">
        <v>86</v>
      </c>
      <c r="F142" s="9" t="s">
        <v>60</v>
      </c>
      <c r="G142">
        <v>4</v>
      </c>
      <c r="H142" s="9"/>
      <c r="I142" s="9" t="s">
        <v>7386</v>
      </c>
      <c r="J142" s="9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9" t="s">
        <v>290</v>
      </c>
      <c r="E143" s="9" t="s">
        <v>86</v>
      </c>
      <c r="F143" s="9" t="s">
        <v>60</v>
      </c>
      <c r="G143">
        <v>3</v>
      </c>
      <c r="H143" s="9"/>
      <c r="I143" s="9" t="s">
        <v>7389</v>
      </c>
      <c r="J143" s="9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9" t="s">
        <v>290</v>
      </c>
      <c r="E144" s="9" t="s">
        <v>86</v>
      </c>
      <c r="F144" s="9" t="s">
        <v>60</v>
      </c>
      <c r="G144">
        <v>2</v>
      </c>
      <c r="H144" s="9"/>
      <c r="I144" s="9" t="s">
        <v>7392</v>
      </c>
      <c r="J144" s="9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9" t="s">
        <v>1615</v>
      </c>
      <c r="E145" s="9" t="s">
        <v>86</v>
      </c>
      <c r="F145" s="9" t="s">
        <v>60</v>
      </c>
      <c r="H145" s="9" t="s">
        <v>7707</v>
      </c>
      <c r="I145" s="9" t="s">
        <v>7595</v>
      </c>
      <c r="J145" s="9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9" t="s">
        <v>1615</v>
      </c>
      <c r="E146" s="9" t="s">
        <v>86</v>
      </c>
      <c r="F146" s="9" t="s">
        <v>60</v>
      </c>
      <c r="H146" s="9" t="s">
        <v>7708</v>
      </c>
      <c r="I146" s="9" t="s">
        <v>7598</v>
      </c>
      <c r="J146" s="9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9" t="s">
        <v>4</v>
      </c>
      <c r="E147" s="9" t="s">
        <v>7706</v>
      </c>
      <c r="F147" s="9" t="s">
        <v>60</v>
      </c>
      <c r="H147" s="9"/>
      <c r="I147" s="9" t="s">
        <v>7601</v>
      </c>
      <c r="J147" s="9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9" t="s">
        <v>290</v>
      </c>
      <c r="E148" s="9" t="s">
        <v>86</v>
      </c>
      <c r="F148" s="9" t="s">
        <v>60</v>
      </c>
      <c r="G148">
        <v>3</v>
      </c>
      <c r="H148" s="9"/>
      <c r="I148" s="9" t="s">
        <v>7604</v>
      </c>
      <c r="J148" s="9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9" t="s">
        <v>290</v>
      </c>
      <c r="E149" s="9" t="s">
        <v>86</v>
      </c>
      <c r="F149" s="9" t="s">
        <v>60</v>
      </c>
      <c r="G149">
        <v>2</v>
      </c>
      <c r="H149" s="9"/>
      <c r="I149" s="9" t="s">
        <v>7607</v>
      </c>
      <c r="J149" s="9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9" t="s">
        <v>290</v>
      </c>
      <c r="E150" s="9" t="s">
        <v>86</v>
      </c>
      <c r="F150" s="9" t="s">
        <v>60</v>
      </c>
      <c r="G150">
        <v>2</v>
      </c>
      <c r="H150" s="9"/>
      <c r="I150" s="9" t="s">
        <v>7610</v>
      </c>
      <c r="J150" s="9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9" t="s">
        <v>290</v>
      </c>
      <c r="E151" s="9" t="s">
        <v>86</v>
      </c>
      <c r="F151" s="9" t="s">
        <v>60</v>
      </c>
      <c r="G151">
        <v>3</v>
      </c>
      <c r="H151" s="9"/>
      <c r="I151" s="9" t="s">
        <v>7613</v>
      </c>
      <c r="J151" s="9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9" t="s">
        <v>290</v>
      </c>
      <c r="E152" s="9" t="s">
        <v>86</v>
      </c>
      <c r="F152" s="9" t="s">
        <v>60</v>
      </c>
      <c r="G152">
        <v>4</v>
      </c>
      <c r="H152" s="9"/>
      <c r="I152" s="9" t="s">
        <v>7616</v>
      </c>
      <c r="J152" s="9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9" t="s">
        <v>290</v>
      </c>
      <c r="E153" s="9" t="s">
        <v>86</v>
      </c>
      <c r="F153" s="9" t="s">
        <v>60</v>
      </c>
      <c r="G153">
        <v>3</v>
      </c>
      <c r="H153" s="9"/>
      <c r="I153" s="9" t="s">
        <v>7619</v>
      </c>
      <c r="J153" s="9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9" t="s">
        <v>290</v>
      </c>
      <c r="E154" s="9" t="s">
        <v>86</v>
      </c>
      <c r="F154" s="9" t="s">
        <v>60</v>
      </c>
      <c r="G154">
        <v>3</v>
      </c>
      <c r="H154" s="9"/>
      <c r="I154" s="9" t="s">
        <v>7622</v>
      </c>
      <c r="J154" s="9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9" t="s">
        <v>290</v>
      </c>
      <c r="E155" s="9" t="s">
        <v>86</v>
      </c>
      <c r="F155" s="9" t="s">
        <v>60</v>
      </c>
      <c r="G155">
        <v>2</v>
      </c>
      <c r="H155" s="9"/>
      <c r="I155" s="9" t="s">
        <v>7625</v>
      </c>
      <c r="J155" s="9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9" t="s">
        <v>290</v>
      </c>
      <c r="E156" s="9" t="s">
        <v>86</v>
      </c>
      <c r="F156" s="9" t="s">
        <v>60</v>
      </c>
      <c r="G156">
        <v>2</v>
      </c>
      <c r="H156" s="9"/>
      <c r="I156" s="9" t="s">
        <v>7628</v>
      </c>
      <c r="J156" s="9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9" t="s">
        <v>290</v>
      </c>
      <c r="E157" s="9" t="s">
        <v>86</v>
      </c>
      <c r="F157" s="9" t="s">
        <v>60</v>
      </c>
      <c r="G157">
        <v>3</v>
      </c>
      <c r="H157" s="9"/>
      <c r="I157" s="9" t="s">
        <v>7631</v>
      </c>
      <c r="J157" s="9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9" t="s">
        <v>290</v>
      </c>
      <c r="E158" s="9" t="s">
        <v>86</v>
      </c>
      <c r="F158" s="9" t="s">
        <v>60</v>
      </c>
      <c r="G158">
        <v>3</v>
      </c>
      <c r="H158" s="9"/>
      <c r="I158" s="9" t="s">
        <v>7634</v>
      </c>
      <c r="J158" s="9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9" t="s">
        <v>290</v>
      </c>
      <c r="E159" s="9" t="s">
        <v>86</v>
      </c>
      <c r="F159" s="9" t="s">
        <v>60</v>
      </c>
      <c r="G159">
        <v>2</v>
      </c>
      <c r="H159" s="9"/>
      <c r="I159" s="9" t="s">
        <v>7637</v>
      </c>
      <c r="J159" s="9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9" t="s">
        <v>290</v>
      </c>
      <c r="E160" s="9" t="s">
        <v>86</v>
      </c>
      <c r="F160" s="9" t="s">
        <v>60</v>
      </c>
      <c r="G160">
        <v>1</v>
      </c>
      <c r="H160" s="9"/>
      <c r="I160" s="9" t="s">
        <v>7640</v>
      </c>
      <c r="J160" s="9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9" t="s">
        <v>290</v>
      </c>
      <c r="E161" s="9" t="s">
        <v>86</v>
      </c>
      <c r="F161" s="9" t="s">
        <v>60</v>
      </c>
      <c r="G161">
        <v>4</v>
      </c>
      <c r="H161" s="9"/>
      <c r="I161" s="9" t="s">
        <v>7643</v>
      </c>
      <c r="J161" s="9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9" t="s">
        <v>290</v>
      </c>
      <c r="E162" s="9" t="s">
        <v>86</v>
      </c>
      <c r="F162" s="9" t="s">
        <v>60</v>
      </c>
      <c r="G162">
        <v>3</v>
      </c>
      <c r="H162" s="9"/>
      <c r="I162" s="9" t="s">
        <v>7646</v>
      </c>
      <c r="J162" s="9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9" t="s">
        <v>290</v>
      </c>
      <c r="E163" s="9" t="s">
        <v>86</v>
      </c>
      <c r="F163" s="9" t="s">
        <v>60</v>
      </c>
      <c r="G163">
        <v>3</v>
      </c>
      <c r="H163" s="9"/>
      <c r="I163" s="9" t="s">
        <v>7649</v>
      </c>
      <c r="J163" s="9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9" t="s">
        <v>290</v>
      </c>
      <c r="E164" s="9" t="s">
        <v>86</v>
      </c>
      <c r="F164" s="9" t="s">
        <v>60</v>
      </c>
      <c r="G164">
        <v>3</v>
      </c>
      <c r="H164" s="9"/>
      <c r="I164" s="9" t="s">
        <v>7652</v>
      </c>
      <c r="J164" s="9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9" t="s">
        <v>290</v>
      </c>
      <c r="E165" s="9" t="s">
        <v>86</v>
      </c>
      <c r="F165" s="9" t="s">
        <v>60</v>
      </c>
      <c r="G165">
        <v>2</v>
      </c>
      <c r="H165" s="9"/>
      <c r="I165" s="9" t="s">
        <v>7655</v>
      </c>
      <c r="J165" s="9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9" t="s">
        <v>290</v>
      </c>
      <c r="E166" s="9" t="s">
        <v>86</v>
      </c>
      <c r="F166" s="9" t="s">
        <v>60</v>
      </c>
      <c r="G166">
        <v>3</v>
      </c>
      <c r="H166" s="9"/>
      <c r="I166" s="9" t="s">
        <v>7658</v>
      </c>
      <c r="J166" s="9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9" t="s">
        <v>290</v>
      </c>
      <c r="E167" s="9" t="s">
        <v>86</v>
      </c>
      <c r="F167" s="9" t="s">
        <v>60</v>
      </c>
      <c r="G167">
        <v>3</v>
      </c>
      <c r="H167" s="9"/>
      <c r="I167" s="9" t="s">
        <v>7661</v>
      </c>
      <c r="J167" s="9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9" t="s">
        <v>290</v>
      </c>
      <c r="E168" s="9" t="s">
        <v>86</v>
      </c>
      <c r="F168" s="9" t="s">
        <v>60</v>
      </c>
      <c r="G168">
        <v>3</v>
      </c>
      <c r="H168" s="9"/>
      <c r="I168" s="9" t="s">
        <v>7664</v>
      </c>
      <c r="J168" s="9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9" t="s">
        <v>290</v>
      </c>
      <c r="E169" s="9" t="s">
        <v>86</v>
      </c>
      <c r="F169" s="9" t="s">
        <v>60</v>
      </c>
      <c r="G169">
        <v>4</v>
      </c>
      <c r="H169" s="9"/>
      <c r="I169" s="9" t="s">
        <v>7667</v>
      </c>
      <c r="J169" s="9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9" t="s">
        <v>290</v>
      </c>
      <c r="E170" s="9" t="s">
        <v>86</v>
      </c>
      <c r="F170" s="9" t="s">
        <v>60</v>
      </c>
      <c r="G170">
        <v>2</v>
      </c>
      <c r="H170" s="9"/>
      <c r="I170" s="9" t="s">
        <v>7670</v>
      </c>
      <c r="J170" s="9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9" t="s">
        <v>4</v>
      </c>
      <c r="E171" s="9" t="s">
        <v>4193</v>
      </c>
      <c r="F171" s="9"/>
      <c r="H171" s="9"/>
      <c r="I171" s="9" t="s">
        <v>7673</v>
      </c>
      <c r="J171" s="9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9" t="s">
        <v>2004</v>
      </c>
      <c r="E172" s="9" t="s">
        <v>8</v>
      </c>
      <c r="F172" s="9"/>
      <c r="H172" s="9"/>
      <c r="I172" s="9" t="s">
        <v>7676</v>
      </c>
      <c r="J172" s="9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9" t="s">
        <v>1094</v>
      </c>
      <c r="E173" s="9" t="s">
        <v>86</v>
      </c>
      <c r="F173" s="9" t="s">
        <v>60</v>
      </c>
      <c r="H173" s="9" t="s">
        <v>7870</v>
      </c>
      <c r="I173" s="9" t="s">
        <v>7831</v>
      </c>
      <c r="J173" s="9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9" t="s">
        <v>1094</v>
      </c>
      <c r="E174" s="9" t="s">
        <v>86</v>
      </c>
      <c r="F174" s="9" t="s">
        <v>60</v>
      </c>
      <c r="H174" s="9" t="s">
        <v>7870</v>
      </c>
      <c r="I174" s="9" t="s">
        <v>7834</v>
      </c>
      <c r="J174" s="9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9" t="s">
        <v>1094</v>
      </c>
      <c r="E175" s="9" t="s">
        <v>86</v>
      </c>
      <c r="F175" s="9" t="s">
        <v>60</v>
      </c>
      <c r="H175" s="9" t="s">
        <v>7870</v>
      </c>
      <c r="I175" s="9" t="s">
        <v>7837</v>
      </c>
      <c r="J175" s="9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9" t="s">
        <v>1094</v>
      </c>
      <c r="E176" s="9" t="s">
        <v>86</v>
      </c>
      <c r="F176" s="9" t="s">
        <v>60</v>
      </c>
      <c r="H176" s="9" t="s">
        <v>7870</v>
      </c>
      <c r="I176" s="9" t="s">
        <v>7840</v>
      </c>
      <c r="J176" s="9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9" t="s">
        <v>1094</v>
      </c>
      <c r="E177" s="9" t="s">
        <v>86</v>
      </c>
      <c r="F177" s="9" t="s">
        <v>60</v>
      </c>
      <c r="H177" s="9" t="s">
        <v>7870</v>
      </c>
      <c r="I177" s="9" t="s">
        <v>7843</v>
      </c>
      <c r="J177" s="9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9" t="s">
        <v>1094</v>
      </c>
      <c r="E178" s="9" t="s">
        <v>86</v>
      </c>
      <c r="F178" s="9" t="s">
        <v>60</v>
      </c>
      <c r="H178" s="9" t="s">
        <v>7870</v>
      </c>
      <c r="I178" s="9" t="s">
        <v>7846</v>
      </c>
      <c r="J178" s="9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9" t="s">
        <v>1094</v>
      </c>
      <c r="E179" s="9" t="s">
        <v>86</v>
      </c>
      <c r="F179" s="9" t="s">
        <v>60</v>
      </c>
      <c r="H179" s="9" t="s">
        <v>7870</v>
      </c>
      <c r="I179" s="9" t="s">
        <v>7849</v>
      </c>
      <c r="J179" s="9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9" t="s">
        <v>2004</v>
      </c>
      <c r="E180" s="9" t="s">
        <v>8</v>
      </c>
      <c r="F180" s="9"/>
      <c r="H180" s="9"/>
      <c r="I180" s="9" t="s">
        <v>7852</v>
      </c>
      <c r="J180" s="9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9" t="s">
        <v>2004</v>
      </c>
      <c r="E181" s="9" t="s">
        <v>8</v>
      </c>
      <c r="F181" s="9"/>
      <c r="H181" s="9"/>
      <c r="I181" s="9" t="s">
        <v>7929</v>
      </c>
      <c r="J181" s="9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9" t="s">
        <v>8042</v>
      </c>
      <c r="E182" s="9" t="s">
        <v>6656</v>
      </c>
      <c r="F182" s="9"/>
      <c r="H182" s="9"/>
      <c r="I182" s="9" t="s">
        <v>7932</v>
      </c>
      <c r="J182" s="9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9" t="s">
        <v>4</v>
      </c>
      <c r="E183" s="9" t="s">
        <v>8045</v>
      </c>
      <c r="F183" s="9"/>
      <c r="H183" s="9"/>
      <c r="I183" s="9" t="s">
        <v>7935</v>
      </c>
      <c r="J183" s="9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9" t="s">
        <v>4</v>
      </c>
      <c r="E184" s="9" t="s">
        <v>8045</v>
      </c>
      <c r="F184" s="9"/>
      <c r="H184" s="9"/>
      <c r="I184" s="9" t="s">
        <v>7938</v>
      </c>
      <c r="J184" s="9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9" t="s">
        <v>4</v>
      </c>
      <c r="E185" s="9" t="s">
        <v>8045</v>
      </c>
      <c r="F185" s="9"/>
      <c r="H185" s="9"/>
      <c r="I185" s="9" t="s">
        <v>7941</v>
      </c>
      <c r="J185" s="9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9" t="s">
        <v>4</v>
      </c>
      <c r="E186" s="9" t="s">
        <v>8331</v>
      </c>
      <c r="F186" s="9"/>
      <c r="H186" s="9"/>
      <c r="I186" s="9" t="s">
        <v>8285</v>
      </c>
      <c r="J186" s="9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9" t="s">
        <v>4</v>
      </c>
      <c r="E187" s="9" t="s">
        <v>8331</v>
      </c>
      <c r="F187" s="9"/>
      <c r="H187" s="9"/>
      <c r="I187" s="9" t="s">
        <v>8288</v>
      </c>
      <c r="J187" s="9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9" t="s">
        <v>2004</v>
      </c>
      <c r="E188" s="9" t="s">
        <v>8</v>
      </c>
      <c r="F188" s="9"/>
      <c r="H188" s="9"/>
      <c r="I188" s="9" t="s">
        <v>8291</v>
      </c>
      <c r="J188" s="9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9" t="s">
        <v>4</v>
      </c>
      <c r="E189" s="9" t="s">
        <v>1607</v>
      </c>
      <c r="F189" s="9" t="s">
        <v>7169</v>
      </c>
      <c r="H189" s="9"/>
      <c r="I189" s="9" t="s">
        <v>8294</v>
      </c>
      <c r="J189" s="9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9" t="s">
        <v>2004</v>
      </c>
      <c r="E190" s="9" t="s">
        <v>8</v>
      </c>
      <c r="F190" s="9"/>
      <c r="H190" s="9"/>
      <c r="I190" s="9" t="s">
        <v>8297</v>
      </c>
      <c r="J190" s="9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9" t="s">
        <v>2004</v>
      </c>
      <c r="E191" s="9" t="s">
        <v>8</v>
      </c>
      <c r="F191" s="9"/>
      <c r="H191" s="9"/>
      <c r="I191" s="9" t="s">
        <v>8300</v>
      </c>
      <c r="J191" s="9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9" t="s">
        <v>2004</v>
      </c>
      <c r="E192" s="9" t="s">
        <v>8</v>
      </c>
      <c r="F192" s="9"/>
      <c r="H192" s="9"/>
      <c r="I192" s="9" t="s">
        <v>8429</v>
      </c>
      <c r="J192" s="9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9" t="s">
        <v>4</v>
      </c>
      <c r="E193" s="9" t="s">
        <v>8483</v>
      </c>
      <c r="F193" s="9"/>
      <c r="H193" s="9" t="s">
        <v>8042</v>
      </c>
      <c r="I193" s="9" t="s">
        <v>8432</v>
      </c>
      <c r="J193" s="9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9" t="s">
        <v>2004</v>
      </c>
      <c r="E194" s="9" t="s">
        <v>8</v>
      </c>
      <c r="F194" s="9"/>
      <c r="H194" s="9"/>
      <c r="I194" s="9" t="s">
        <v>8435</v>
      </c>
      <c r="J194" s="9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9" t="s">
        <v>2004</v>
      </c>
      <c r="E195" s="9" t="s">
        <v>8</v>
      </c>
      <c r="F195" s="9"/>
      <c r="H195" s="9"/>
      <c r="I195" s="9" t="s">
        <v>8556</v>
      </c>
      <c r="J195" s="9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9" t="s">
        <v>4</v>
      </c>
      <c r="E196" s="9" t="s">
        <v>8805</v>
      </c>
      <c r="F196" s="9"/>
      <c r="H196" s="9"/>
      <c r="I196" s="9" t="s">
        <v>8559</v>
      </c>
      <c r="J196" s="9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9" t="s">
        <v>2004</v>
      </c>
      <c r="E197" s="9" t="s">
        <v>8</v>
      </c>
      <c r="F197" s="9"/>
      <c r="H197" s="9"/>
      <c r="I197" s="9" t="s">
        <v>8562</v>
      </c>
      <c r="J197" s="9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9" t="s">
        <v>2004</v>
      </c>
      <c r="E198" s="9" t="s">
        <v>8</v>
      </c>
      <c r="F198" s="9"/>
      <c r="H198" s="9"/>
      <c r="I198" s="9" t="s">
        <v>8565</v>
      </c>
      <c r="J198" s="9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9" t="s">
        <v>2004</v>
      </c>
      <c r="E199" s="9" t="s">
        <v>8</v>
      </c>
      <c r="F199" s="9"/>
      <c r="H199" s="9"/>
      <c r="I199" s="9" t="s">
        <v>8568</v>
      </c>
      <c r="J199" s="9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9" t="s">
        <v>2004</v>
      </c>
      <c r="E200" s="9" t="s">
        <v>8</v>
      </c>
      <c r="F200" s="9"/>
      <c r="H200" s="9"/>
      <c r="I200" s="9" t="s">
        <v>8571</v>
      </c>
      <c r="J200" s="9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9" t="s">
        <v>2004</v>
      </c>
      <c r="E201" s="9" t="s">
        <v>8</v>
      </c>
      <c r="F201" s="9"/>
      <c r="H201" s="9"/>
      <c r="I201" s="9" t="s">
        <v>8574</v>
      </c>
      <c r="J201" s="9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9" t="s">
        <v>2004</v>
      </c>
      <c r="E202" s="9" t="s">
        <v>8</v>
      </c>
      <c r="F202" s="9"/>
      <c r="H202" s="9"/>
      <c r="I202" s="9" t="s">
        <v>364</v>
      </c>
      <c r="J202" s="9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9" t="s">
        <v>2004</v>
      </c>
      <c r="E203" s="9" t="s">
        <v>8</v>
      </c>
      <c r="F203" s="9"/>
      <c r="H203" s="9"/>
      <c r="I203" s="9" t="s">
        <v>367</v>
      </c>
      <c r="J203" s="9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9" t="s">
        <v>2004</v>
      </c>
      <c r="E204" s="9" t="s">
        <v>8</v>
      </c>
      <c r="F204" s="9"/>
      <c r="H204" s="9"/>
      <c r="I204" s="9" t="s">
        <v>370</v>
      </c>
      <c r="J204" s="9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9" t="s">
        <v>2004</v>
      </c>
      <c r="E205" s="9" t="s">
        <v>8</v>
      </c>
      <c r="F205" s="9"/>
      <c r="H205" s="9"/>
      <c r="I205" s="9" t="s">
        <v>373</v>
      </c>
      <c r="J205" s="9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9" t="s">
        <v>2004</v>
      </c>
      <c r="E206" s="9" t="s">
        <v>8</v>
      </c>
      <c r="F206" s="9"/>
      <c r="H206" s="9"/>
      <c r="I206" s="9" t="s">
        <v>376</v>
      </c>
      <c r="J206" s="9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9" t="s">
        <v>6191</v>
      </c>
      <c r="E207" s="9" t="s">
        <v>5480</v>
      </c>
      <c r="F207" s="9" t="s">
        <v>9190</v>
      </c>
      <c r="H207" s="9"/>
      <c r="I207" s="9" t="s">
        <v>8861</v>
      </c>
      <c r="J207" s="9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9" t="s">
        <v>6191</v>
      </c>
      <c r="E208" s="9" t="s">
        <v>5480</v>
      </c>
      <c r="F208" s="9" t="s">
        <v>9190</v>
      </c>
      <c r="H208" s="9" t="s">
        <v>2936</v>
      </c>
      <c r="I208" s="9" t="s">
        <v>8864</v>
      </c>
      <c r="J208" s="9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9" t="s">
        <v>1094</v>
      </c>
      <c r="E209" s="9" t="s">
        <v>86</v>
      </c>
      <c r="F209" s="9" t="s">
        <v>60</v>
      </c>
      <c r="H209" s="9"/>
      <c r="I209" s="9" t="s">
        <v>8867</v>
      </c>
      <c r="J209" s="9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9" t="s">
        <v>1094</v>
      </c>
      <c r="E210" s="9" t="s">
        <v>86</v>
      </c>
      <c r="F210" s="9" t="s">
        <v>60</v>
      </c>
      <c r="H210" s="9" t="s">
        <v>2936</v>
      </c>
      <c r="I210" s="9" t="s">
        <v>8870</v>
      </c>
      <c r="J210" s="9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9" t="s">
        <v>1094</v>
      </c>
      <c r="E211" s="9" t="s">
        <v>86</v>
      </c>
      <c r="F211" s="9" t="s">
        <v>60</v>
      </c>
      <c r="H211" s="9" t="s">
        <v>2936</v>
      </c>
      <c r="I211" s="9" t="s">
        <v>8873</v>
      </c>
      <c r="J211" s="9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9" t="s">
        <v>1094</v>
      </c>
      <c r="E212" s="9" t="s">
        <v>4247</v>
      </c>
      <c r="F212" s="9" t="s">
        <v>60</v>
      </c>
      <c r="H212" s="9"/>
      <c r="I212" s="9" t="s">
        <v>8876</v>
      </c>
      <c r="J212" s="9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9" t="s">
        <v>1094</v>
      </c>
      <c r="E213" s="9" t="s">
        <v>4247</v>
      </c>
      <c r="F213" s="9" t="s">
        <v>60</v>
      </c>
      <c r="H213" s="9" t="s">
        <v>2936</v>
      </c>
      <c r="I213" s="9" t="s">
        <v>8879</v>
      </c>
      <c r="J213" s="9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9" t="s">
        <v>1094</v>
      </c>
      <c r="E214" s="9" t="s">
        <v>4247</v>
      </c>
      <c r="F214" s="9" t="s">
        <v>60</v>
      </c>
      <c r="H214" s="9" t="s">
        <v>2936</v>
      </c>
      <c r="I214" s="9" t="s">
        <v>8882</v>
      </c>
      <c r="J214" s="9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9" t="s">
        <v>4</v>
      </c>
      <c r="E215" s="9" t="s">
        <v>8</v>
      </c>
      <c r="F215" s="9"/>
      <c r="H215" s="9"/>
      <c r="I215" s="9" t="s">
        <v>8885</v>
      </c>
      <c r="J215" s="9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9" t="s">
        <v>4</v>
      </c>
      <c r="E216" s="9" t="s">
        <v>8045</v>
      </c>
      <c r="F216" s="9"/>
      <c r="H216" s="9"/>
      <c r="I216" s="9" t="s">
        <v>8888</v>
      </c>
      <c r="J216" s="9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9" t="s">
        <v>4</v>
      </c>
      <c r="E217" s="9" t="s">
        <v>8045</v>
      </c>
      <c r="F217" s="9"/>
      <c r="H217" s="9"/>
      <c r="I217" s="9" t="s">
        <v>8891</v>
      </c>
      <c r="J217" s="9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9" t="s">
        <v>4</v>
      </c>
      <c r="E218" s="9" t="s">
        <v>8</v>
      </c>
      <c r="F218" s="9"/>
      <c r="H218" s="9"/>
      <c r="I218" s="9" t="s">
        <v>8894</v>
      </c>
      <c r="J218" s="9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9" t="s">
        <v>4</v>
      </c>
      <c r="E219" s="9" t="s">
        <v>8045</v>
      </c>
      <c r="F219" s="9"/>
      <c r="H219" s="9"/>
      <c r="I219" s="9" t="s">
        <v>9258</v>
      </c>
      <c r="J219" s="9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9" t="s">
        <v>4</v>
      </c>
      <c r="E220" s="9" t="s">
        <v>8045</v>
      </c>
      <c r="F220" s="9"/>
      <c r="H220" s="9" t="s">
        <v>2936</v>
      </c>
      <c r="I220" s="9" t="s">
        <v>9261</v>
      </c>
      <c r="J220" s="9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9" t="s">
        <v>4</v>
      </c>
      <c r="E221" s="9" t="s">
        <v>8045</v>
      </c>
      <c r="F221" s="9"/>
      <c r="H221" s="9" t="s">
        <v>2936</v>
      </c>
      <c r="I221" s="9" t="s">
        <v>9264</v>
      </c>
      <c r="J221" s="9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9" t="s">
        <v>1094</v>
      </c>
      <c r="E222" s="9" t="s">
        <v>4247</v>
      </c>
      <c r="F222" s="9" t="s">
        <v>60</v>
      </c>
      <c r="H222" s="9"/>
      <c r="I222" s="9" t="s">
        <v>9369</v>
      </c>
      <c r="J222" s="9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9" t="s">
        <v>4</v>
      </c>
      <c r="E223" s="9" t="s">
        <v>8045</v>
      </c>
      <c r="F223" s="9"/>
      <c r="H223" s="9"/>
      <c r="I223" s="9" t="s">
        <v>9372</v>
      </c>
      <c r="J223" s="9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9" t="s">
        <v>4</v>
      </c>
      <c r="E224" s="9" t="s">
        <v>8045</v>
      </c>
      <c r="F224" s="9"/>
      <c r="H224" s="9"/>
      <c r="I224" s="9" t="s">
        <v>9375</v>
      </c>
      <c r="J224" s="9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9" t="s">
        <v>4</v>
      </c>
      <c r="E225" s="9" t="s">
        <v>8045</v>
      </c>
      <c r="F225" s="9"/>
      <c r="H225" s="9"/>
      <c r="I225" s="9" t="s">
        <v>9378</v>
      </c>
      <c r="J225" s="9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9" t="s">
        <v>4</v>
      </c>
      <c r="E226" s="9" t="s">
        <v>8045</v>
      </c>
      <c r="F226" s="9"/>
      <c r="H226" s="9"/>
      <c r="I226" s="9" t="s">
        <v>9381</v>
      </c>
      <c r="J226" s="9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9" t="s">
        <v>4</v>
      </c>
      <c r="E227" s="9" t="s">
        <v>8</v>
      </c>
      <c r="F227" s="9"/>
      <c r="H227" s="9"/>
      <c r="I227" s="9" t="s">
        <v>9384</v>
      </c>
      <c r="J227" s="9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9" t="s">
        <v>4</v>
      </c>
      <c r="E228" s="9" t="s">
        <v>8045</v>
      </c>
      <c r="F228" s="9"/>
      <c r="H228" s="9"/>
      <c r="I228" s="9" t="s">
        <v>9639</v>
      </c>
      <c r="J228" s="9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9" t="s">
        <v>4</v>
      </c>
      <c r="E229" s="9" t="s">
        <v>8045</v>
      </c>
      <c r="F229" s="9"/>
      <c r="H229" s="9"/>
      <c r="I229" s="9" t="s">
        <v>9642</v>
      </c>
      <c r="J229" s="9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9" t="s">
        <v>4</v>
      </c>
      <c r="E230" s="9" t="s">
        <v>8045</v>
      </c>
      <c r="F230" s="9"/>
      <c r="H230" s="9"/>
      <c r="I230" s="9" t="s">
        <v>9645</v>
      </c>
      <c r="J230" s="9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9" t="s">
        <v>4</v>
      </c>
      <c r="E231" s="9" t="s">
        <v>9876</v>
      </c>
      <c r="F231" s="9"/>
      <c r="H231" s="9"/>
      <c r="I231" s="9" t="s">
        <v>9693</v>
      </c>
      <c r="J231" s="9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9" t="s">
        <v>4</v>
      </c>
      <c r="E232" s="9" t="s">
        <v>9876</v>
      </c>
      <c r="F232" s="9"/>
      <c r="H232" s="9"/>
      <c r="I232" s="9" t="s">
        <v>9696</v>
      </c>
      <c r="J232" s="9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9" t="s">
        <v>4</v>
      </c>
      <c r="E233" s="9" t="s">
        <v>9876</v>
      </c>
      <c r="F233" s="9"/>
      <c r="H233" s="9"/>
      <c r="I233" s="9" t="s">
        <v>9699</v>
      </c>
      <c r="J233" s="9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9" t="s">
        <v>4</v>
      </c>
      <c r="E234" s="9" t="s">
        <v>9876</v>
      </c>
      <c r="F234" s="9"/>
      <c r="H234" s="9"/>
      <c r="I234" s="9" t="s">
        <v>9702</v>
      </c>
      <c r="J234" s="9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9" t="s">
        <v>4</v>
      </c>
      <c r="E235" s="9" t="s">
        <v>9876</v>
      </c>
      <c r="F235" s="9"/>
      <c r="H235" s="9"/>
      <c r="I235" s="9" t="s">
        <v>9705</v>
      </c>
      <c r="J235" s="9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9" t="s">
        <v>4</v>
      </c>
      <c r="E236" s="9" t="s">
        <v>9876</v>
      </c>
      <c r="F236" s="9"/>
      <c r="H236" s="9"/>
      <c r="I236" s="9" t="s">
        <v>9936</v>
      </c>
      <c r="J236" s="9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9" t="s">
        <v>4</v>
      </c>
      <c r="E237" s="9" t="s">
        <v>9876</v>
      </c>
      <c r="F237" s="9"/>
      <c r="H237" s="9"/>
      <c r="I237" s="9" t="s">
        <v>9939</v>
      </c>
      <c r="J237" s="9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9" t="s">
        <v>4</v>
      </c>
      <c r="E238" s="9" t="s">
        <v>9876</v>
      </c>
      <c r="F238" s="9"/>
      <c r="H238" s="9"/>
      <c r="I238" s="9" t="s">
        <v>9942</v>
      </c>
      <c r="J238" s="9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9" t="s">
        <v>4</v>
      </c>
      <c r="E239" s="9" t="s">
        <v>9876</v>
      </c>
      <c r="F239" s="9"/>
      <c r="H239" s="9"/>
      <c r="I239" s="9" t="s">
        <v>9945</v>
      </c>
      <c r="J239" s="9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9" t="s">
        <v>4</v>
      </c>
      <c r="E240" s="9" t="s">
        <v>8</v>
      </c>
      <c r="F240" s="9"/>
      <c r="H240" s="9"/>
      <c r="I240" s="9" t="s">
        <v>9948</v>
      </c>
      <c r="J240" s="9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9" t="s">
        <v>290</v>
      </c>
      <c r="E241" s="9" t="s">
        <v>86</v>
      </c>
      <c r="F241" s="9" t="s">
        <v>60</v>
      </c>
      <c r="G241">
        <v>2</v>
      </c>
      <c r="H241" s="9" t="s">
        <v>10210</v>
      </c>
      <c r="I241" s="9" t="s">
        <v>10180</v>
      </c>
      <c r="J241" s="9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9" t="s">
        <v>290</v>
      </c>
      <c r="E242" s="9" t="s">
        <v>86</v>
      </c>
      <c r="F242" s="9" t="s">
        <v>60</v>
      </c>
      <c r="G242">
        <v>4</v>
      </c>
      <c r="H242" s="9"/>
      <c r="I242" s="9" t="s">
        <v>10183</v>
      </c>
      <c r="J242" s="9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9" t="s">
        <v>290</v>
      </c>
      <c r="E243" s="9" t="s">
        <v>86</v>
      </c>
      <c r="F243" s="9" t="s">
        <v>60</v>
      </c>
      <c r="G243">
        <v>3</v>
      </c>
      <c r="H243" s="9"/>
      <c r="I243" s="9" t="s">
        <v>10189</v>
      </c>
      <c r="J243" s="9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9" t="s">
        <v>290</v>
      </c>
      <c r="E244" s="9" t="s">
        <v>86</v>
      </c>
      <c r="F244" s="9" t="s">
        <v>60</v>
      </c>
      <c r="G244">
        <v>4</v>
      </c>
      <c r="H244" s="9"/>
      <c r="I244" s="9" t="s">
        <v>10192</v>
      </c>
      <c r="J244" s="9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9" t="s">
        <v>290</v>
      </c>
      <c r="E245" s="9" t="s">
        <v>86</v>
      </c>
      <c r="F245" s="9" t="s">
        <v>60</v>
      </c>
      <c r="G245">
        <v>3</v>
      </c>
      <c r="H245" s="9"/>
      <c r="I245" s="9" t="s">
        <v>10195</v>
      </c>
      <c r="J245" s="9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9" t="s">
        <v>290</v>
      </c>
      <c r="E246" s="9" t="s">
        <v>86</v>
      </c>
      <c r="F246" s="9" t="s">
        <v>60</v>
      </c>
      <c r="H246" s="9" t="s">
        <v>2936</v>
      </c>
      <c r="I246" s="9" t="s">
        <v>10198</v>
      </c>
      <c r="J246" s="9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9" t="s">
        <v>290</v>
      </c>
      <c r="E247" s="9" t="s">
        <v>86</v>
      </c>
      <c r="F247" s="9" t="s">
        <v>60</v>
      </c>
      <c r="G247">
        <v>3</v>
      </c>
      <c r="H247" s="9"/>
      <c r="I247" s="9" t="s">
        <v>10204</v>
      </c>
      <c r="J247" s="9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9" t="s">
        <v>290</v>
      </c>
      <c r="E248" s="9" t="s">
        <v>86</v>
      </c>
      <c r="F248" s="9" t="s">
        <v>60</v>
      </c>
      <c r="G248">
        <v>1</v>
      </c>
      <c r="H248" s="9"/>
      <c r="I248" s="9" t="s">
        <v>10201</v>
      </c>
      <c r="J248" s="9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9" t="s">
        <v>290</v>
      </c>
      <c r="E249" s="9" t="s">
        <v>86</v>
      </c>
      <c r="F249" s="9" t="s">
        <v>60</v>
      </c>
      <c r="G249">
        <v>3</v>
      </c>
      <c r="H249" s="9"/>
      <c r="I249" s="9" t="s">
        <v>10207</v>
      </c>
      <c r="J249" s="9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9" t="s">
        <v>290</v>
      </c>
      <c r="E250" s="9" t="s">
        <v>86</v>
      </c>
      <c r="F250" s="9" t="s">
        <v>60</v>
      </c>
      <c r="G250">
        <v>2</v>
      </c>
      <c r="H250" s="9"/>
      <c r="I250" s="9" t="s">
        <v>10211</v>
      </c>
      <c r="J250" s="9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9" t="s">
        <v>290</v>
      </c>
      <c r="E251" s="9" t="s">
        <v>86</v>
      </c>
      <c r="F251" s="9" t="s">
        <v>60</v>
      </c>
      <c r="G251">
        <v>3</v>
      </c>
      <c r="H251" s="9"/>
      <c r="I251" s="9" t="s">
        <v>10214</v>
      </c>
      <c r="J251" s="9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9" t="s">
        <v>290</v>
      </c>
      <c r="E252" s="9" t="s">
        <v>86</v>
      </c>
      <c r="F252" s="9" t="s">
        <v>60</v>
      </c>
      <c r="H252" s="9" t="s">
        <v>2936</v>
      </c>
      <c r="I252" s="9" t="s">
        <v>10217</v>
      </c>
      <c r="J252" s="9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9" t="s">
        <v>290</v>
      </c>
      <c r="E253" s="9" t="s">
        <v>86</v>
      </c>
      <c r="F253" s="9" t="s">
        <v>60</v>
      </c>
      <c r="G253">
        <v>2</v>
      </c>
      <c r="H253" s="9"/>
      <c r="I253" s="9" t="s">
        <v>10220</v>
      </c>
      <c r="J253" s="9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9" t="s">
        <v>290</v>
      </c>
      <c r="E254" s="9" t="s">
        <v>86</v>
      </c>
      <c r="F254" s="9" t="s">
        <v>60</v>
      </c>
      <c r="G254">
        <v>4</v>
      </c>
      <c r="H254" s="9"/>
      <c r="I254" s="9" t="s">
        <v>10223</v>
      </c>
      <c r="J254" s="9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9" t="s">
        <v>290</v>
      </c>
      <c r="E255" s="9" t="s">
        <v>86</v>
      </c>
      <c r="F255" s="9" t="s">
        <v>60</v>
      </c>
      <c r="G255">
        <v>1</v>
      </c>
      <c r="H255" s="9"/>
      <c r="I255" s="9" t="s">
        <v>10226</v>
      </c>
      <c r="J255" s="9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9" t="s">
        <v>290</v>
      </c>
      <c r="E256" s="9" t="s">
        <v>86</v>
      </c>
      <c r="F256" s="9" t="s">
        <v>60</v>
      </c>
      <c r="G256">
        <v>3</v>
      </c>
      <c r="H256" s="9"/>
      <c r="I256" s="9" t="s">
        <v>10229</v>
      </c>
      <c r="J256" s="9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9" t="s">
        <v>290</v>
      </c>
      <c r="E257" s="9" t="s">
        <v>86</v>
      </c>
      <c r="F257" s="9" t="s">
        <v>60</v>
      </c>
      <c r="G257">
        <v>3</v>
      </c>
      <c r="H257" s="9"/>
      <c r="I257" s="9" t="s">
        <v>10232</v>
      </c>
      <c r="J257" s="9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9" t="s">
        <v>290</v>
      </c>
      <c r="E258" s="9" t="s">
        <v>86</v>
      </c>
      <c r="F258" s="9" t="s">
        <v>60</v>
      </c>
      <c r="G258">
        <v>2</v>
      </c>
      <c r="H258" s="9"/>
      <c r="I258" s="9" t="s">
        <v>10235</v>
      </c>
      <c r="J258" s="9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9" t="s">
        <v>290</v>
      </c>
      <c r="E259" s="9" t="s">
        <v>86</v>
      </c>
      <c r="F259" s="9" t="s">
        <v>60</v>
      </c>
      <c r="G259">
        <v>2</v>
      </c>
      <c r="H259" s="9"/>
      <c r="I259" s="9" t="s">
        <v>10238</v>
      </c>
      <c r="J259" s="9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9" t="s">
        <v>290</v>
      </c>
      <c r="E260" s="9" t="s">
        <v>86</v>
      </c>
      <c r="F260" s="9" t="s">
        <v>60</v>
      </c>
      <c r="G260">
        <v>3</v>
      </c>
      <c r="H260" s="9"/>
      <c r="I260" s="9" t="s">
        <v>10241</v>
      </c>
      <c r="J260" s="9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9" t="s">
        <v>290</v>
      </c>
      <c r="E261" s="9" t="s">
        <v>86</v>
      </c>
      <c r="F261" s="9" t="s">
        <v>60</v>
      </c>
      <c r="G261">
        <v>2</v>
      </c>
      <c r="H261" s="9"/>
      <c r="I261" s="9" t="s">
        <v>10244</v>
      </c>
      <c r="J261" s="9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9" t="s">
        <v>290</v>
      </c>
      <c r="E262" s="9" t="s">
        <v>86</v>
      </c>
      <c r="F262" s="9" t="s">
        <v>60</v>
      </c>
      <c r="G262">
        <v>2</v>
      </c>
      <c r="H262" s="9"/>
      <c r="I262" s="9" t="s">
        <v>10247</v>
      </c>
      <c r="J262" s="9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9" t="s">
        <v>290</v>
      </c>
      <c r="E263" s="9" t="s">
        <v>86</v>
      </c>
      <c r="F263" s="9" t="s">
        <v>60</v>
      </c>
      <c r="G263">
        <v>3</v>
      </c>
      <c r="H263" s="9"/>
      <c r="I263" s="9" t="s">
        <v>10250</v>
      </c>
      <c r="J263" s="9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9" t="s">
        <v>290</v>
      </c>
      <c r="E264" s="9" t="s">
        <v>86</v>
      </c>
      <c r="F264" s="9" t="s">
        <v>60</v>
      </c>
      <c r="H264" s="9" t="s">
        <v>2936</v>
      </c>
      <c r="I264" s="9" t="s">
        <v>10253</v>
      </c>
      <c r="J264" s="9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9" t="s">
        <v>290</v>
      </c>
      <c r="E265" s="9" t="s">
        <v>86</v>
      </c>
      <c r="F265" s="9" t="s">
        <v>60</v>
      </c>
      <c r="G265">
        <v>4</v>
      </c>
      <c r="H265" s="9"/>
      <c r="I265" s="9" t="s">
        <v>10256</v>
      </c>
      <c r="J265" s="9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9" t="s">
        <v>290</v>
      </c>
      <c r="E266" s="9" t="s">
        <v>86</v>
      </c>
      <c r="F266" s="9" t="s">
        <v>60</v>
      </c>
      <c r="G266">
        <v>3</v>
      </c>
      <c r="H266" s="9"/>
      <c r="I266" s="9" t="s">
        <v>10259</v>
      </c>
      <c r="J266" s="9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9" t="s">
        <v>290</v>
      </c>
      <c r="E267" s="9" t="s">
        <v>86</v>
      </c>
      <c r="F267" s="9" t="s">
        <v>60</v>
      </c>
      <c r="G267">
        <v>3</v>
      </c>
      <c r="H267" s="9"/>
      <c r="I267" s="9" t="s">
        <v>10262</v>
      </c>
      <c r="J267" s="9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9" t="s">
        <v>290</v>
      </c>
      <c r="E268" s="9" t="s">
        <v>86</v>
      </c>
      <c r="F268" s="9" t="s">
        <v>60</v>
      </c>
      <c r="G268">
        <v>2</v>
      </c>
      <c r="H268" s="9"/>
      <c r="I268" s="9" t="s">
        <v>10265</v>
      </c>
      <c r="J268" s="9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9" t="s">
        <v>290</v>
      </c>
      <c r="E269" s="9" t="s">
        <v>86</v>
      </c>
      <c r="F269" s="9" t="s">
        <v>60</v>
      </c>
      <c r="G269">
        <v>2</v>
      </c>
      <c r="H269" s="9" t="s">
        <v>10347</v>
      </c>
      <c r="I269" s="9" t="s">
        <v>10281</v>
      </c>
      <c r="J269" s="9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9" t="s">
        <v>290</v>
      </c>
      <c r="E270" s="9" t="s">
        <v>86</v>
      </c>
      <c r="F270" s="9" t="s">
        <v>60</v>
      </c>
      <c r="G270">
        <v>3</v>
      </c>
      <c r="H270" s="9" t="s">
        <v>10347</v>
      </c>
      <c r="I270" s="9" t="s">
        <v>10284</v>
      </c>
      <c r="J270" s="9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9" t="s">
        <v>290</v>
      </c>
      <c r="E271" s="9" t="s">
        <v>86</v>
      </c>
      <c r="F271" s="9" t="s">
        <v>60</v>
      </c>
      <c r="G271">
        <v>3</v>
      </c>
      <c r="H271" s="9" t="s">
        <v>10347</v>
      </c>
      <c r="I271" s="9" t="s">
        <v>10287</v>
      </c>
      <c r="J271" s="9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9" t="s">
        <v>290</v>
      </c>
      <c r="E272" s="9" t="s">
        <v>86</v>
      </c>
      <c r="F272" s="9" t="s">
        <v>60</v>
      </c>
      <c r="G272">
        <v>4</v>
      </c>
      <c r="H272" s="9" t="s">
        <v>10347</v>
      </c>
      <c r="I272" s="9" t="s">
        <v>10290</v>
      </c>
      <c r="J272" s="9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9" t="s">
        <v>290</v>
      </c>
      <c r="E273" s="9" t="s">
        <v>86</v>
      </c>
      <c r="F273" s="9" t="s">
        <v>60</v>
      </c>
      <c r="G273">
        <v>4</v>
      </c>
      <c r="H273" s="9" t="s">
        <v>10347</v>
      </c>
      <c r="I273" s="9" t="s">
        <v>10293</v>
      </c>
      <c r="J273" s="9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9" t="s">
        <v>290</v>
      </c>
      <c r="E274" s="9" t="s">
        <v>86</v>
      </c>
      <c r="F274" s="9" t="s">
        <v>60</v>
      </c>
      <c r="G274">
        <v>4</v>
      </c>
      <c r="H274" s="9" t="s">
        <v>10347</v>
      </c>
      <c r="I274" s="9" t="s">
        <v>10296</v>
      </c>
      <c r="J274" s="9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9" t="s">
        <v>290</v>
      </c>
      <c r="E275" s="9" t="s">
        <v>86</v>
      </c>
      <c r="F275" s="9" t="s">
        <v>60</v>
      </c>
      <c r="G275">
        <v>5</v>
      </c>
      <c r="H275" s="9" t="s">
        <v>10347</v>
      </c>
      <c r="I275" s="9" t="s">
        <v>10299</v>
      </c>
      <c r="J275" s="9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9" t="s">
        <v>290</v>
      </c>
      <c r="E276" s="9" t="s">
        <v>86</v>
      </c>
      <c r="F276" s="9" t="s">
        <v>60</v>
      </c>
      <c r="G276">
        <v>2</v>
      </c>
      <c r="H276" s="9" t="s">
        <v>10347</v>
      </c>
      <c r="I276" s="9" t="s">
        <v>10302</v>
      </c>
      <c r="J276" s="9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9" t="s">
        <v>290</v>
      </c>
      <c r="E277" s="9" t="s">
        <v>86</v>
      </c>
      <c r="F277" s="9" t="s">
        <v>60</v>
      </c>
      <c r="G277">
        <v>3</v>
      </c>
      <c r="H277" s="9" t="s">
        <v>10347</v>
      </c>
      <c r="I277" s="9" t="s">
        <v>10305</v>
      </c>
      <c r="J277" s="9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9" t="s">
        <v>290</v>
      </c>
      <c r="E278" s="9" t="s">
        <v>86</v>
      </c>
      <c r="F278" s="9" t="s">
        <v>60</v>
      </c>
      <c r="G278">
        <v>3</v>
      </c>
      <c r="H278" s="9" t="s">
        <v>10347</v>
      </c>
      <c r="I278" s="9" t="s">
        <v>10308</v>
      </c>
      <c r="J278" s="9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9" t="s">
        <v>290</v>
      </c>
      <c r="E279" s="9" t="s">
        <v>86</v>
      </c>
      <c r="F279" s="9" t="s">
        <v>60</v>
      </c>
      <c r="G279">
        <v>3</v>
      </c>
      <c r="H279" s="9" t="s">
        <v>10347</v>
      </c>
      <c r="I279" s="9" t="s">
        <v>10311</v>
      </c>
      <c r="J279" s="9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9" t="s">
        <v>290</v>
      </c>
      <c r="E280" s="9" t="s">
        <v>86</v>
      </c>
      <c r="F280" s="9" t="s">
        <v>60</v>
      </c>
      <c r="G280">
        <v>2</v>
      </c>
      <c r="H280" s="9" t="s">
        <v>10347</v>
      </c>
      <c r="I280" s="9" t="s">
        <v>10314</v>
      </c>
      <c r="J280" s="9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9" t="s">
        <v>290</v>
      </c>
      <c r="E281" s="9" t="s">
        <v>86</v>
      </c>
      <c r="F281" s="9" t="s">
        <v>60</v>
      </c>
      <c r="G281">
        <v>2</v>
      </c>
      <c r="H281" s="9" t="s">
        <v>10347</v>
      </c>
      <c r="I281" s="9" t="s">
        <v>10317</v>
      </c>
      <c r="J281" s="9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9" t="s">
        <v>290</v>
      </c>
      <c r="E282" s="9" t="s">
        <v>86</v>
      </c>
      <c r="F282" s="9" t="s">
        <v>60</v>
      </c>
      <c r="G282">
        <v>3</v>
      </c>
      <c r="H282" s="9" t="s">
        <v>10347</v>
      </c>
      <c r="I282" s="9" t="s">
        <v>10320</v>
      </c>
      <c r="J282" s="9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9" t="s">
        <v>290</v>
      </c>
      <c r="E283" s="9" t="s">
        <v>86</v>
      </c>
      <c r="F283" s="9" t="s">
        <v>60</v>
      </c>
      <c r="G283">
        <v>3</v>
      </c>
      <c r="H283" s="9" t="s">
        <v>10347</v>
      </c>
      <c r="I283" s="9" t="s">
        <v>10323</v>
      </c>
      <c r="J283" s="9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9" t="s">
        <v>290</v>
      </c>
      <c r="E284" s="9" t="s">
        <v>86</v>
      </c>
      <c r="F284" s="9" t="s">
        <v>60</v>
      </c>
      <c r="G284">
        <v>3</v>
      </c>
      <c r="H284" s="9" t="s">
        <v>10347</v>
      </c>
      <c r="I284" s="9" t="s">
        <v>10326</v>
      </c>
      <c r="J284" s="9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9" t="s">
        <v>290</v>
      </c>
      <c r="E285" s="9" t="s">
        <v>86</v>
      </c>
      <c r="F285" s="9" t="s">
        <v>60</v>
      </c>
      <c r="G285">
        <v>2</v>
      </c>
      <c r="H285" s="9" t="s">
        <v>10347</v>
      </c>
      <c r="I285" s="9" t="s">
        <v>10329</v>
      </c>
      <c r="J285" s="9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9" t="s">
        <v>290</v>
      </c>
      <c r="E286" s="9" t="s">
        <v>86</v>
      </c>
      <c r="F286" s="9" t="s">
        <v>60</v>
      </c>
      <c r="G286">
        <v>2</v>
      </c>
      <c r="H286" s="9" t="s">
        <v>10347</v>
      </c>
      <c r="I286" s="9" t="s">
        <v>10332</v>
      </c>
      <c r="J286" s="9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9" t="s">
        <v>290</v>
      </c>
      <c r="E287" s="9" t="s">
        <v>86</v>
      </c>
      <c r="F287" s="9" t="s">
        <v>60</v>
      </c>
      <c r="G287">
        <v>2</v>
      </c>
      <c r="H287" s="9" t="s">
        <v>10347</v>
      </c>
      <c r="I287" s="9" t="s">
        <v>10335</v>
      </c>
      <c r="J287" s="9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9" t="s">
        <v>10348</v>
      </c>
      <c r="E288" s="9" t="s">
        <v>86</v>
      </c>
      <c r="F288" s="9" t="s">
        <v>10167</v>
      </c>
      <c r="G288">
        <v>1</v>
      </c>
      <c r="H288" s="9" t="s">
        <v>10349</v>
      </c>
      <c r="I288" s="9" t="s">
        <v>10338</v>
      </c>
      <c r="J288" s="9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9" t="s">
        <v>4</v>
      </c>
      <c r="E289" s="9" t="s">
        <v>9876</v>
      </c>
      <c r="F289" s="9"/>
      <c r="H289" s="9"/>
      <c r="I289" s="9" t="s">
        <v>10341</v>
      </c>
      <c r="J289" s="9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9" t="s">
        <v>4</v>
      </c>
      <c r="E290" s="9" t="s">
        <v>2932</v>
      </c>
      <c r="F290" s="9"/>
      <c r="H290" s="9"/>
      <c r="I290" s="9" t="s">
        <v>10344</v>
      </c>
      <c r="J290" s="9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9" t="s">
        <v>2004</v>
      </c>
      <c r="E291" s="9" t="s">
        <v>8</v>
      </c>
      <c r="F291" s="9"/>
      <c r="H291" s="9"/>
      <c r="I291" s="9" t="s">
        <v>10500</v>
      </c>
      <c r="J291" s="9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9" t="s">
        <v>2004</v>
      </c>
      <c r="E292" s="9" t="s">
        <v>8</v>
      </c>
      <c r="F292" s="9"/>
      <c r="H292" s="9"/>
      <c r="I292" s="9" t="s">
        <v>10503</v>
      </c>
      <c r="J292" s="9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9" t="s">
        <v>4</v>
      </c>
      <c r="E293" s="9" t="s">
        <v>2932</v>
      </c>
      <c r="F293" s="9"/>
      <c r="H293" s="9"/>
      <c r="I293" s="9" t="s">
        <v>10546</v>
      </c>
      <c r="J293" s="9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9" t="s">
        <v>4</v>
      </c>
      <c r="E294" s="9" t="s">
        <v>10630</v>
      </c>
      <c r="F294" s="9"/>
      <c r="H294" s="9"/>
      <c r="I294" s="9" t="s">
        <v>10549</v>
      </c>
      <c r="J294" s="9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s="9" t="s">
        <v>4</v>
      </c>
      <c r="E295" s="9" t="s">
        <v>9876</v>
      </c>
      <c r="F295" s="9"/>
      <c r="H295" s="9"/>
      <c r="I295" s="9" t="s">
        <v>10722</v>
      </c>
      <c r="J295" s="9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s="9" t="s">
        <v>158</v>
      </c>
      <c r="E296" s="9" t="s">
        <v>86</v>
      </c>
      <c r="F296" s="9" t="s">
        <v>60</v>
      </c>
      <c r="H296" s="9" t="s">
        <v>10887</v>
      </c>
      <c r="I296" s="9" t="s">
        <v>10725</v>
      </c>
      <c r="J296" s="9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s="9" t="s">
        <v>4</v>
      </c>
      <c r="E297" s="9" t="s">
        <v>2932</v>
      </c>
      <c r="F297" s="9"/>
      <c r="H297" s="9"/>
      <c r="I297" s="9" t="s">
        <v>10728</v>
      </c>
      <c r="J297" s="9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s="9" t="s">
        <v>4</v>
      </c>
      <c r="E298" s="9" t="s">
        <v>9876</v>
      </c>
      <c r="F298" s="9"/>
      <c r="H298" s="9"/>
      <c r="I298" s="9" t="s">
        <v>10731</v>
      </c>
      <c r="J298" s="9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s="9" t="s">
        <v>4</v>
      </c>
      <c r="E299" s="9" t="s">
        <v>9876</v>
      </c>
      <c r="F299" s="9"/>
      <c r="H299" s="9"/>
      <c r="I299" s="9" t="s">
        <v>10734</v>
      </c>
      <c r="J299" s="9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s="9" t="s">
        <v>4</v>
      </c>
      <c r="E300" s="9" t="s">
        <v>8045</v>
      </c>
      <c r="F300" s="9"/>
      <c r="H300" s="9"/>
      <c r="I300" s="9" t="s">
        <v>10914</v>
      </c>
      <c r="J300" s="9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s="9" t="s">
        <v>4</v>
      </c>
      <c r="E301" s="9" t="s">
        <v>8045</v>
      </c>
      <c r="F301" s="9"/>
      <c r="H301" s="9"/>
      <c r="I301" s="9" t="s">
        <v>10917</v>
      </c>
      <c r="J301" s="9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s="9" t="s">
        <v>4</v>
      </c>
      <c r="E302" s="9" t="s">
        <v>8</v>
      </c>
      <c r="F302" s="9"/>
      <c r="H302" s="9"/>
      <c r="I302" s="9" t="s">
        <v>11067</v>
      </c>
      <c r="J302" s="9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s="9" t="s">
        <v>650</v>
      </c>
      <c r="E303" s="9" t="s">
        <v>11125</v>
      </c>
      <c r="F303" s="9"/>
      <c r="H303" s="9" t="s">
        <v>11126</v>
      </c>
      <c r="I303" s="9" t="s">
        <v>11070</v>
      </c>
      <c r="J303" s="9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s="9" t="s">
        <v>4</v>
      </c>
      <c r="E304" s="9" t="s">
        <v>9876</v>
      </c>
      <c r="F304" s="9"/>
      <c r="H304" s="9"/>
      <c r="I304" s="9" t="s">
        <v>11073</v>
      </c>
      <c r="J304" s="9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  <row r="305" spans="1:13" x14ac:dyDescent="0.25">
      <c r="A305" s="2" t="s">
        <v>13</v>
      </c>
      <c r="B305" s="4">
        <v>46055</v>
      </c>
      <c r="C305" s="5">
        <v>0.44791666666666669</v>
      </c>
      <c r="D305" s="9" t="s">
        <v>4</v>
      </c>
      <c r="E305" s="9" t="s">
        <v>9876</v>
      </c>
      <c r="F305" s="9"/>
      <c r="H305" s="9"/>
      <c r="I305" s="9" t="s">
        <v>11160</v>
      </c>
      <c r="J305" s="9" t="s">
        <v>2982</v>
      </c>
      <c r="K305" t="s">
        <v>11161</v>
      </c>
      <c r="L305" t="s">
        <v>11162</v>
      </c>
      <c r="M305" s="3" t="str">
        <f>HYPERLINK(склад2въезд1319[[#This Row],[RelativePath]])</f>
        <v>5 Крыльцо общага\K07156189_22_20260202T104500Z.jpg</v>
      </c>
    </row>
    <row r="306" spans="1:13" x14ac:dyDescent="0.25">
      <c r="A306" s="2" t="s">
        <v>13</v>
      </c>
      <c r="B306" s="4">
        <v>46055</v>
      </c>
      <c r="C306" s="5">
        <v>0.74973379629629633</v>
      </c>
      <c r="D306" s="9" t="s">
        <v>4</v>
      </c>
      <c r="E306" s="9" t="s">
        <v>9876</v>
      </c>
      <c r="F306" s="9"/>
      <c r="H306" s="9"/>
      <c r="I306" s="9" t="s">
        <v>11163</v>
      </c>
      <c r="J306" s="9" t="s">
        <v>2982</v>
      </c>
      <c r="K306" t="s">
        <v>11164</v>
      </c>
      <c r="L306" t="s">
        <v>11165</v>
      </c>
      <c r="M306" s="3" t="str">
        <f>HYPERLINK(склад2въезд1319[[#This Row],[RelativePath]])</f>
        <v>5 Крыльцо общага\K07156189_22_20260202T175937Z.jpg</v>
      </c>
    </row>
    <row r="307" spans="1:13" x14ac:dyDescent="0.25">
      <c r="A307" s="2" t="s">
        <v>14</v>
      </c>
      <c r="B307" s="4">
        <v>46056</v>
      </c>
      <c r="C307" s="5">
        <v>0.39356481481481481</v>
      </c>
      <c r="D307" s="9" t="s">
        <v>4</v>
      </c>
      <c r="E307" s="9" t="s">
        <v>9876</v>
      </c>
      <c r="F307" s="9"/>
      <c r="H307" s="9"/>
      <c r="I307" s="9" t="s">
        <v>11166</v>
      </c>
      <c r="J307" s="9" t="s">
        <v>2982</v>
      </c>
      <c r="K307" t="s">
        <v>11167</v>
      </c>
      <c r="L307" t="s">
        <v>11168</v>
      </c>
      <c r="M307" s="3" t="str">
        <f>HYPERLINK(склад2въезд1319[[#This Row],[RelativePath]])</f>
        <v>5 Крыльцо общага\K07156189_22_20260203T092644Z.jpg</v>
      </c>
    </row>
    <row r="308" spans="1:13" x14ac:dyDescent="0.25">
      <c r="A308" s="2" t="s">
        <v>14</v>
      </c>
      <c r="B308" s="4">
        <v>46056</v>
      </c>
      <c r="C308" s="5">
        <v>0.68864583333333329</v>
      </c>
      <c r="D308" s="9" t="s">
        <v>4</v>
      </c>
      <c r="E308" s="9" t="s">
        <v>9876</v>
      </c>
      <c r="F308" s="9"/>
      <c r="H308" s="9"/>
      <c r="I308" s="9" t="s">
        <v>11169</v>
      </c>
      <c r="J308" s="9" t="s">
        <v>2982</v>
      </c>
      <c r="K308" t="s">
        <v>11170</v>
      </c>
      <c r="L308" t="s">
        <v>11171</v>
      </c>
      <c r="M308" s="3" t="str">
        <f>HYPERLINK(склад2въезд1319[[#This Row],[RelativePath]])</f>
        <v>5 Крыльцо общага\K07156189_22_20260203T163139Z.jpg</v>
      </c>
    </row>
    <row r="309" spans="1:13" x14ac:dyDescent="0.25">
      <c r="A309" s="2" t="s">
        <v>15</v>
      </c>
      <c r="B309" s="4">
        <v>46057</v>
      </c>
      <c r="C309" s="5">
        <v>0.66666666666666663</v>
      </c>
      <c r="D309" s="9" t="s">
        <v>4</v>
      </c>
      <c r="E309" s="9" t="s">
        <v>8</v>
      </c>
      <c r="F309" s="9"/>
      <c r="H309" s="9"/>
      <c r="I309" s="9" t="s">
        <v>11604</v>
      </c>
      <c r="J309" s="9" t="s">
        <v>2982</v>
      </c>
      <c r="K309" t="s">
        <v>11605</v>
      </c>
      <c r="L309" t="s">
        <v>11606</v>
      </c>
      <c r="M309" s="3" t="str">
        <f>HYPERLINK(склад2въезд1319[[#This Row],[RelativePath]])</f>
        <v>5 Крыльцо общага\K07156189_22_20260204T160000Z.jpg</v>
      </c>
    </row>
    <row r="310" spans="1:13" x14ac:dyDescent="0.25">
      <c r="A310" s="2" t="s">
        <v>16</v>
      </c>
      <c r="B310" s="4">
        <v>46058</v>
      </c>
      <c r="C310" s="5">
        <v>0.69664351851851847</v>
      </c>
      <c r="D310" s="9" t="s">
        <v>4</v>
      </c>
      <c r="E310" s="9" t="s">
        <v>11638</v>
      </c>
      <c r="F310" s="9"/>
      <c r="H310" s="9"/>
      <c r="I310" s="9" t="s">
        <v>11607</v>
      </c>
      <c r="J310" s="9" t="s">
        <v>2982</v>
      </c>
      <c r="K310" t="s">
        <v>11608</v>
      </c>
      <c r="L310" t="s">
        <v>11609</v>
      </c>
      <c r="M310" s="3" t="str">
        <f>HYPERLINK(склад2въезд1319[[#This Row],[RelativePath]])</f>
        <v>5 Крыльцо общага\K07156189_22_20260205T164310Z.jpg</v>
      </c>
    </row>
    <row r="311" spans="1:13" x14ac:dyDescent="0.25">
      <c r="A311" s="2" t="s">
        <v>17</v>
      </c>
      <c r="B311" s="4">
        <v>46059</v>
      </c>
      <c r="C311" s="5">
        <v>0.68755787037037042</v>
      </c>
      <c r="D311" s="9" t="s">
        <v>4</v>
      </c>
      <c r="E311" s="9" t="s">
        <v>8</v>
      </c>
      <c r="F311" s="9"/>
      <c r="H311" s="9"/>
      <c r="I311" s="9" t="s">
        <v>11610</v>
      </c>
      <c r="J311" s="9" t="s">
        <v>2982</v>
      </c>
      <c r="K311" t="s">
        <v>11611</v>
      </c>
      <c r="L311" t="s">
        <v>11612</v>
      </c>
      <c r="M311" s="3" t="str">
        <f>HYPERLINK(склад2въезд1319[[#This Row],[RelativePath]])</f>
        <v>5 Крыльцо общага\K07156189_22_20260206T163005Z.jpg</v>
      </c>
    </row>
    <row r="312" spans="1:13" x14ac:dyDescent="0.25">
      <c r="A312" s="2" t="s">
        <v>18</v>
      </c>
      <c r="B312" s="4">
        <v>46060</v>
      </c>
      <c r="C312" s="5">
        <v>0.68214120370370368</v>
      </c>
      <c r="D312" s="9" t="s">
        <v>2004</v>
      </c>
      <c r="E312" s="9" t="s">
        <v>8</v>
      </c>
      <c r="F312" s="9"/>
      <c r="H312" s="9"/>
      <c r="I312" s="9" t="s">
        <v>11676</v>
      </c>
      <c r="J312" s="9" t="s">
        <v>2982</v>
      </c>
      <c r="K312" t="s">
        <v>11677</v>
      </c>
      <c r="L312" t="s">
        <v>11678</v>
      </c>
      <c r="M312" s="3" t="str">
        <f>HYPERLINK(склад2въезд1319[[#This Row],[RelativePath]])</f>
        <v>5 Крыльцо общага\K07156189_22_20260207T162217Z.jpg</v>
      </c>
    </row>
    <row r="313" spans="1:13" x14ac:dyDescent="0.25">
      <c r="A313" s="2" t="s">
        <v>22</v>
      </c>
      <c r="B313" s="4">
        <v>46061</v>
      </c>
      <c r="C313" s="5">
        <v>0.71369212962962958</v>
      </c>
      <c r="D313" s="9" t="s">
        <v>4</v>
      </c>
      <c r="E313" s="9" t="s">
        <v>2932</v>
      </c>
      <c r="F313" s="9"/>
      <c r="H313" s="9"/>
      <c r="I313" s="9" t="s">
        <v>11679</v>
      </c>
      <c r="J313" s="9" t="s">
        <v>2982</v>
      </c>
      <c r="K313" t="s">
        <v>11680</v>
      </c>
      <c r="L313" t="s">
        <v>11681</v>
      </c>
      <c r="M313" s="3" t="str">
        <f>HYPERLINK(склад2въезд1319[[#This Row],[RelativePath]])</f>
        <v>5 Крыльцо общага\K07156189_22_20260208T170743Z.jpg</v>
      </c>
    </row>
    <row r="314" spans="1:13" x14ac:dyDescent="0.25">
      <c r="A314" s="2" t="s">
        <v>13</v>
      </c>
      <c r="B314" s="4">
        <v>46062</v>
      </c>
      <c r="C314" s="5">
        <v>0.38737268518518519</v>
      </c>
      <c r="D314" s="9" t="s">
        <v>4</v>
      </c>
      <c r="E314" s="9" t="s">
        <v>2932</v>
      </c>
      <c r="F314" s="9"/>
      <c r="H314" s="9"/>
      <c r="I314" s="9" t="s">
        <v>11903</v>
      </c>
      <c r="J314" s="9" t="s">
        <v>2982</v>
      </c>
      <c r="K314" t="s">
        <v>11904</v>
      </c>
      <c r="L314" t="s">
        <v>11905</v>
      </c>
      <c r="M314" s="3" t="str">
        <f>HYPERLINK(склад2въезд1319[[#This Row],[RelativePath]])</f>
        <v>5 Крыльцо общага\K07156189_22_20260209T091749Z.jpg</v>
      </c>
    </row>
    <row r="315" spans="1:13" x14ac:dyDescent="0.25">
      <c r="A315" s="2" t="s">
        <v>14</v>
      </c>
      <c r="B315" s="4">
        <v>46063</v>
      </c>
      <c r="C315" s="5">
        <v>0.35336805555555556</v>
      </c>
      <c r="D315" s="9" t="s">
        <v>6171</v>
      </c>
      <c r="E315" s="9" t="s">
        <v>11958</v>
      </c>
      <c r="F315" s="9"/>
      <c r="H315" s="9"/>
      <c r="I315" s="9" t="s">
        <v>11906</v>
      </c>
      <c r="J315" s="9" t="s">
        <v>2982</v>
      </c>
      <c r="K315" t="s">
        <v>11907</v>
      </c>
      <c r="L315" t="s">
        <v>11908</v>
      </c>
      <c r="M315" s="3" t="str">
        <f>HYPERLINK(склад2въезд1319[[#This Row],[RelativePath]])</f>
        <v>5 Крыльцо общага\K07156189_22_20260210T082851Z.jpg</v>
      </c>
    </row>
    <row r="316" spans="1:13" x14ac:dyDescent="0.25">
      <c r="A316" s="2" t="s">
        <v>14</v>
      </c>
      <c r="B316" s="4">
        <v>46063</v>
      </c>
      <c r="C316" s="5">
        <v>0.35630787037037037</v>
      </c>
      <c r="D316" s="9" t="s">
        <v>159</v>
      </c>
      <c r="E316" s="9" t="s">
        <v>11958</v>
      </c>
      <c r="F316" s="9"/>
      <c r="H316" s="9"/>
      <c r="I316" s="9" t="s">
        <v>11909</v>
      </c>
      <c r="J316" s="9" t="s">
        <v>2982</v>
      </c>
      <c r="K316" t="s">
        <v>11910</v>
      </c>
      <c r="L316" t="s">
        <v>11911</v>
      </c>
      <c r="M316" s="3" t="str">
        <f>HYPERLINK(склад2въезд1319[[#This Row],[RelativePath]])</f>
        <v>5 Крыльцо общага\K07156189_22_20260210T083305Z.jpg</v>
      </c>
    </row>
    <row r="317" spans="1:13" x14ac:dyDescent="0.25">
      <c r="A317" s="2" t="s">
        <v>14</v>
      </c>
      <c r="B317" s="4">
        <v>46063</v>
      </c>
      <c r="C317" s="5">
        <v>0.37211805555555555</v>
      </c>
      <c r="D317" s="9" t="s">
        <v>201</v>
      </c>
      <c r="E317" s="9" t="s">
        <v>11958</v>
      </c>
      <c r="F317" s="9"/>
      <c r="H317" s="9"/>
      <c r="I317" s="9" t="s">
        <v>11912</v>
      </c>
      <c r="J317" s="9" t="s">
        <v>2982</v>
      </c>
      <c r="K317" t="s">
        <v>11913</v>
      </c>
      <c r="L317" t="s">
        <v>11914</v>
      </c>
      <c r="M317" s="3" t="str">
        <f>HYPERLINK(склад2въезд1319[[#This Row],[RelativePath]])</f>
        <v>5 Крыльцо общага\K07156189_22_20260210T085551Z.jpg</v>
      </c>
    </row>
    <row r="318" spans="1:13" x14ac:dyDescent="0.25">
      <c r="A318" s="2" t="s">
        <v>14</v>
      </c>
      <c r="B318" s="4">
        <v>46063</v>
      </c>
      <c r="C318" s="5">
        <v>0.61754629629629632</v>
      </c>
      <c r="D318" s="9" t="s">
        <v>4</v>
      </c>
      <c r="E318" s="9" t="s">
        <v>8</v>
      </c>
      <c r="F318" s="9"/>
      <c r="H318" s="9"/>
      <c r="I318" s="9" t="s">
        <v>11915</v>
      </c>
      <c r="J318" s="9" t="s">
        <v>2982</v>
      </c>
      <c r="K318" t="s">
        <v>11916</v>
      </c>
      <c r="L318" t="s">
        <v>11917</v>
      </c>
      <c r="M318" s="3" t="str">
        <f>HYPERLINK(склад2въезд1319[[#This Row],[RelativePath]])</f>
        <v>5 Крыльцо общага\K07156189_22_20260210T144916Z.jpg</v>
      </c>
    </row>
    <row r="319" spans="1:13" x14ac:dyDescent="0.25">
      <c r="A319" s="2" t="s">
        <v>15</v>
      </c>
      <c r="B319" s="4">
        <v>46064</v>
      </c>
      <c r="C319" s="5">
        <v>0.45370370370370372</v>
      </c>
      <c r="D319" s="9" t="s">
        <v>159</v>
      </c>
      <c r="E319" s="9" t="s">
        <v>4193</v>
      </c>
      <c r="F319" s="9"/>
      <c r="H319" s="9"/>
      <c r="I319" s="9" t="s">
        <v>11918</v>
      </c>
      <c r="J319" s="9" t="s">
        <v>2982</v>
      </c>
      <c r="K319" t="s">
        <v>11919</v>
      </c>
      <c r="L319" t="s">
        <v>11920</v>
      </c>
      <c r="M319" s="3" t="str">
        <f>HYPERLINK(склад2въезд1319[[#This Row],[RelativePath]])</f>
        <v>5 Крыльцо общага\K07156189_22_20260211T105320Z.jpg</v>
      </c>
    </row>
    <row r="320" spans="1:13" x14ac:dyDescent="0.25">
      <c r="A320" s="2" t="s">
        <v>15</v>
      </c>
      <c r="B320" s="4">
        <v>46064</v>
      </c>
      <c r="C320" s="5">
        <v>0.57721064814814815</v>
      </c>
      <c r="D320" s="9" t="s">
        <v>201</v>
      </c>
      <c r="E320" s="9" t="s">
        <v>4193</v>
      </c>
      <c r="F320" s="9"/>
      <c r="H320" s="9"/>
      <c r="I320" s="9" t="s">
        <v>11921</v>
      </c>
      <c r="J320" s="9" t="s">
        <v>2982</v>
      </c>
      <c r="K320" t="s">
        <v>11922</v>
      </c>
      <c r="L320" t="s">
        <v>11923</v>
      </c>
      <c r="M320" s="3" t="str">
        <f>HYPERLINK(склад2въезд1319[[#This Row],[RelativePath]])</f>
        <v>5 Крыльцо общага\K07156189_22_20260211T135111Z.jpg</v>
      </c>
    </row>
    <row r="321" spans="1:13" x14ac:dyDescent="0.25">
      <c r="A321" s="2" t="s">
        <v>15</v>
      </c>
      <c r="B321" s="4">
        <v>46064</v>
      </c>
      <c r="C321" s="5">
        <v>0.71149305555555553</v>
      </c>
      <c r="D321" s="9" t="s">
        <v>4</v>
      </c>
      <c r="E321" s="9" t="s">
        <v>8</v>
      </c>
      <c r="F321" s="9"/>
      <c r="H321" s="9"/>
      <c r="I321" s="9" t="s">
        <v>11924</v>
      </c>
      <c r="J321" s="9" t="s">
        <v>2982</v>
      </c>
      <c r="K321" t="s">
        <v>11925</v>
      </c>
      <c r="L321" t="s">
        <v>11926</v>
      </c>
      <c r="M321" s="3" t="str">
        <f>HYPERLINK(склад2въезд1319[[#This Row],[RelativePath]])</f>
        <v>5 Крыльцо общага\K07156189_22_20260211T170433Z.jpg</v>
      </c>
    </row>
    <row r="322" spans="1:13" x14ac:dyDescent="0.25">
      <c r="A322" s="2" t="s">
        <v>16</v>
      </c>
      <c r="B322" s="4">
        <v>46065</v>
      </c>
      <c r="C322" s="5">
        <v>0.38642361111111112</v>
      </c>
      <c r="D322" s="9" t="s">
        <v>159</v>
      </c>
      <c r="E322" s="9" t="s">
        <v>70</v>
      </c>
      <c r="F322" s="9"/>
      <c r="H322" s="9"/>
      <c r="I322" s="9" t="s">
        <v>11927</v>
      </c>
      <c r="J322" s="9" t="s">
        <v>2982</v>
      </c>
      <c r="K322" t="s">
        <v>11928</v>
      </c>
      <c r="L322" t="s">
        <v>11929</v>
      </c>
      <c r="M322" s="3" t="str">
        <f>HYPERLINK(склад2въезд1319[[#This Row],[RelativePath]])</f>
        <v>5 Крыльцо общага\K07156189_22_20260212T091627Z.jpg</v>
      </c>
    </row>
    <row r="323" spans="1:13" x14ac:dyDescent="0.25">
      <c r="A323" s="2" t="s">
        <v>16</v>
      </c>
      <c r="B323" s="4">
        <v>46065</v>
      </c>
      <c r="C323" s="5">
        <v>0.69628472222222226</v>
      </c>
      <c r="D323" s="9" t="s">
        <v>4</v>
      </c>
      <c r="E323" s="9" t="s">
        <v>8</v>
      </c>
      <c r="F323" s="9"/>
      <c r="H323" s="9"/>
      <c r="I323" s="9" t="s">
        <v>11930</v>
      </c>
      <c r="J323" s="9" t="s">
        <v>2982</v>
      </c>
      <c r="K323" t="s">
        <v>11931</v>
      </c>
      <c r="L323" t="s">
        <v>11932</v>
      </c>
      <c r="M323" s="3" t="str">
        <f>HYPERLINK(склад2въезд1319[[#This Row],[RelativePath]])</f>
        <v>5 Крыльцо общага\K07156189_22_20260212T164239Z.jpg</v>
      </c>
    </row>
  </sheetData>
  <conditionalFormatting sqref="E324:E337 D324:D334 G2:H323 D2:E323">
    <cfRule type="containsText" dxfId="767" priority="17" operator="containsText" text="Выезд с территории">
      <formula>NOT(ISERROR(SEARCH("Выезд с территории",D2)))</formula>
    </cfRule>
  </conditionalFormatting>
  <conditionalFormatting sqref="F2:F323">
    <cfRule type="notContainsText" dxfId="766" priority="16" operator="notContains" text="порожний">
      <formula>ISERROR(SEARCH("порожний",F2))</formula>
    </cfRule>
  </conditionalFormatting>
  <conditionalFormatting sqref="E2:E337">
    <cfRule type="containsText" dxfId="765" priority="14" operator="containsText" text="Газель базы">
      <formula>NOT(ISERROR(SEARCH("Газель базы",E2)))</formula>
    </cfRule>
    <cfRule type="containsText" dxfId="764" priority="15" operator="containsText" text="Погрузчик базы">
      <formula>NOT(ISERROR(SEARCH("Погрузчик базы",E2)))</formula>
    </cfRule>
  </conditionalFormatting>
  <conditionalFormatting sqref="E2:E337">
    <cfRule type="containsText" dxfId="763" priority="13" operator="containsText" text="Трактор базы">
      <formula>NOT(ISERROR(SEARCH("Трактор базы",E2)))</formula>
    </cfRule>
  </conditionalFormatting>
  <conditionalFormatting sqref="A2:C323">
    <cfRule type="expression" dxfId="762" priority="12">
      <formula>$A2="пн"</formula>
    </cfRule>
  </conditionalFormatting>
  <conditionalFormatting sqref="A2:C325">
    <cfRule type="expression" dxfId="761" priority="6">
      <formula>$A2="вс"</formula>
    </cfRule>
    <cfRule type="expression" dxfId="760" priority="7">
      <formula>$A2="сб"</formula>
    </cfRule>
    <cfRule type="expression" dxfId="759" priority="8">
      <formula>$A2="пт"</formula>
    </cfRule>
    <cfRule type="expression" dxfId="758" priority="9">
      <formula>$A2="чт"</formula>
    </cfRule>
    <cfRule type="expression" dxfId="757" priority="10">
      <formula>$A2="ср"</formula>
    </cfRule>
    <cfRule type="expression" dxfId="756" priority="11">
      <formula>$A2="вт"</formula>
    </cfRule>
  </conditionalFormatting>
  <conditionalFormatting sqref="D2:D334">
    <cfRule type="containsText" dxfId="75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4">
    <cfRule type="containsText" dxfId="754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41"/>
  <sheetViews>
    <sheetView zoomScale="90" zoomScaleNormal="90" workbookViewId="0">
      <pane ySplit="1" topLeftCell="A121" activePane="bottomLeft" state="frozen"/>
      <selection pane="bottomLeft" activeCell="D136" sqref="D13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9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480</v>
      </c>
      <c r="J2" s="9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483</v>
      </c>
      <c r="J3" s="9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486</v>
      </c>
      <c r="J4" s="9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9" t="s">
        <v>289</v>
      </c>
      <c r="E5" s="9" t="s">
        <v>86</v>
      </c>
      <c r="F5" s="9" t="s">
        <v>528</v>
      </c>
      <c r="H5" s="9"/>
      <c r="I5" s="9" t="s">
        <v>489</v>
      </c>
      <c r="J5" s="9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9" t="s">
        <v>159</v>
      </c>
      <c r="E6" s="9" t="s">
        <v>86</v>
      </c>
      <c r="F6" s="9" t="s">
        <v>528</v>
      </c>
      <c r="H6" s="9"/>
      <c r="I6" s="9" t="s">
        <v>492</v>
      </c>
      <c r="J6" s="9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9" t="s">
        <v>4</v>
      </c>
      <c r="E7" s="9" t="s">
        <v>8</v>
      </c>
      <c r="F7" s="9"/>
      <c r="H7" s="9"/>
      <c r="I7" s="9" t="s">
        <v>495</v>
      </c>
      <c r="J7" s="9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9" t="s">
        <v>4</v>
      </c>
      <c r="E8" s="9" t="s">
        <v>8</v>
      </c>
      <c r="F8" s="9"/>
      <c r="H8" s="9"/>
      <c r="I8" s="9" t="s">
        <v>498</v>
      </c>
      <c r="J8" s="9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9" t="s">
        <v>4</v>
      </c>
      <c r="E9" s="9" t="s">
        <v>529</v>
      </c>
      <c r="F9" s="9"/>
      <c r="H9" s="9"/>
      <c r="I9" s="9" t="s">
        <v>501</v>
      </c>
      <c r="J9" s="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504</v>
      </c>
      <c r="J10" s="9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507</v>
      </c>
      <c r="J11" s="9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9" t="s">
        <v>289</v>
      </c>
      <c r="E12" s="9" t="s">
        <v>86</v>
      </c>
      <c r="F12" s="9" t="s">
        <v>530</v>
      </c>
      <c r="H12" s="9"/>
      <c r="I12" s="9" t="s">
        <v>510</v>
      </c>
      <c r="J12" s="9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9" t="s">
        <v>289</v>
      </c>
      <c r="E13" s="9" t="s">
        <v>86</v>
      </c>
      <c r="F13" s="9" t="s">
        <v>530</v>
      </c>
      <c r="H13" s="9"/>
      <c r="I13" s="9" t="s">
        <v>513</v>
      </c>
      <c r="J13" s="9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9" t="s">
        <v>533</v>
      </c>
      <c r="E14" s="9" t="s">
        <v>531</v>
      </c>
      <c r="F14" s="9" t="s">
        <v>534</v>
      </c>
      <c r="H14" s="9"/>
      <c r="I14" s="9" t="s">
        <v>516</v>
      </c>
      <c r="J14" s="9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9" t="s">
        <v>289</v>
      </c>
      <c r="E15" s="9" t="s">
        <v>86</v>
      </c>
      <c r="F15" s="9" t="s">
        <v>532</v>
      </c>
      <c r="H15" s="9"/>
      <c r="I15" s="9" t="s">
        <v>519</v>
      </c>
      <c r="J15" s="9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9" t="s">
        <v>289</v>
      </c>
      <c r="E16" s="9" t="s">
        <v>86</v>
      </c>
      <c r="F16" s="9" t="s">
        <v>532</v>
      </c>
      <c r="H16" s="9"/>
      <c r="I16" s="9" t="s">
        <v>522</v>
      </c>
      <c r="J16" s="9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525</v>
      </c>
      <c r="J17" s="9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9" t="s">
        <v>4</v>
      </c>
      <c r="E18" s="9" t="s">
        <v>8</v>
      </c>
      <c r="F18" s="9"/>
      <c r="H18" s="9" t="s">
        <v>2009</v>
      </c>
      <c r="I18" s="9" t="s">
        <v>2015</v>
      </c>
      <c r="J18" s="9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9" t="s">
        <v>4</v>
      </c>
      <c r="E19" s="9" t="s">
        <v>8</v>
      </c>
      <c r="F19" s="9"/>
      <c r="H19" s="9" t="s">
        <v>2004</v>
      </c>
      <c r="I19" s="9" t="s">
        <v>2018</v>
      </c>
      <c r="J19" s="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9" t="s">
        <v>4</v>
      </c>
      <c r="E20" s="9" t="s">
        <v>8</v>
      </c>
      <c r="F20" s="9"/>
      <c r="H20" s="9" t="s">
        <v>2004</v>
      </c>
      <c r="I20" s="9" t="s">
        <v>2021</v>
      </c>
      <c r="J20" s="9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9" t="s">
        <v>2004</v>
      </c>
      <c r="E21" s="9"/>
      <c r="F21" s="9"/>
      <c r="H21" s="9"/>
      <c r="I21" s="9" t="s">
        <v>2115</v>
      </c>
      <c r="J21" s="9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9" t="s">
        <v>4</v>
      </c>
      <c r="E22" s="9" t="s">
        <v>8</v>
      </c>
      <c r="F22" s="9"/>
      <c r="H22" s="9" t="s">
        <v>2932</v>
      </c>
      <c r="I22" s="9" t="s">
        <v>2934</v>
      </c>
      <c r="J22" s="9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9" t="s">
        <v>2004</v>
      </c>
      <c r="E23" s="9"/>
      <c r="F23" s="9"/>
      <c r="H23" s="9"/>
      <c r="I23" s="9" t="s">
        <v>2118</v>
      </c>
      <c r="J23" s="9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9" t="s">
        <v>2004</v>
      </c>
      <c r="E24" s="9"/>
      <c r="F24" s="9"/>
      <c r="H24" s="9"/>
      <c r="I24" s="9" t="s">
        <v>2121</v>
      </c>
      <c r="J24" s="9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9" t="s">
        <v>2004</v>
      </c>
      <c r="E25" s="9"/>
      <c r="F25" s="9"/>
      <c r="H25" s="9"/>
      <c r="I25" s="9" t="s">
        <v>2124</v>
      </c>
      <c r="J25" s="9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9" t="s">
        <v>2004</v>
      </c>
      <c r="E26" s="9"/>
      <c r="F26" s="9"/>
      <c r="H26" s="9"/>
      <c r="I26" s="9" t="s">
        <v>2127</v>
      </c>
      <c r="J26" s="9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9" t="s">
        <v>2004</v>
      </c>
      <c r="E27" s="9"/>
      <c r="F27" s="9"/>
      <c r="H27" s="9"/>
      <c r="I27" s="9" t="s">
        <v>2130</v>
      </c>
      <c r="J27" s="9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9" t="s">
        <v>4</v>
      </c>
      <c r="E28" s="9" t="s">
        <v>8</v>
      </c>
      <c r="F28" s="9"/>
      <c r="H28" s="9"/>
      <c r="I28" s="9" t="s">
        <v>3405</v>
      </c>
      <c r="J28" s="9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9" t="s">
        <v>4</v>
      </c>
      <c r="E29" s="9" t="s">
        <v>8</v>
      </c>
      <c r="F29" s="9"/>
      <c r="H29" s="9"/>
      <c r="I29" s="9" t="s">
        <v>4206</v>
      </c>
      <c r="J29" s="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9" t="s">
        <v>4</v>
      </c>
      <c r="E30" s="9" t="s">
        <v>8</v>
      </c>
      <c r="F30" s="9"/>
      <c r="H30" s="9"/>
      <c r="I30" s="9" t="s">
        <v>3408</v>
      </c>
      <c r="J30" s="9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9" t="s">
        <v>4209</v>
      </c>
      <c r="E31" s="9" t="s">
        <v>4210</v>
      </c>
      <c r="F31" s="9"/>
      <c r="H31" s="9"/>
      <c r="I31" s="9" t="s">
        <v>3411</v>
      </c>
      <c r="J31" s="9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9" t="s">
        <v>4209</v>
      </c>
      <c r="E32" s="9" t="s">
        <v>4210</v>
      </c>
      <c r="F32" s="9"/>
      <c r="H32" s="9" t="s">
        <v>2936</v>
      </c>
      <c r="I32" s="9" t="s">
        <v>3414</v>
      </c>
      <c r="J32" s="9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9" t="s">
        <v>4209</v>
      </c>
      <c r="E33" s="9" t="s">
        <v>4210</v>
      </c>
      <c r="F33" s="9"/>
      <c r="H33" s="9" t="s">
        <v>2936</v>
      </c>
      <c r="I33" s="9" t="s">
        <v>3417</v>
      </c>
      <c r="J33" s="9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9" t="s">
        <v>4209</v>
      </c>
      <c r="E34" s="9" t="s">
        <v>4210</v>
      </c>
      <c r="F34" s="9"/>
      <c r="H34" s="9" t="s">
        <v>2936</v>
      </c>
      <c r="I34" s="9" t="s">
        <v>3420</v>
      </c>
      <c r="J34" s="9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9" t="s">
        <v>4209</v>
      </c>
      <c r="E35" s="9" t="s">
        <v>4210</v>
      </c>
      <c r="F35" s="9"/>
      <c r="H35" s="9" t="s">
        <v>2936</v>
      </c>
      <c r="I35" s="9" t="s">
        <v>3423</v>
      </c>
      <c r="J35" s="9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9" t="s">
        <v>4209</v>
      </c>
      <c r="E36" s="9" t="s">
        <v>4210</v>
      </c>
      <c r="F36" s="9"/>
      <c r="H36" s="9" t="s">
        <v>2936</v>
      </c>
      <c r="I36" s="9" t="s">
        <v>3426</v>
      </c>
      <c r="J36" s="9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9" t="s">
        <v>4209</v>
      </c>
      <c r="E37" s="9" t="s">
        <v>4210</v>
      </c>
      <c r="F37" s="9"/>
      <c r="H37" s="9" t="s">
        <v>2936</v>
      </c>
      <c r="I37" s="9" t="s">
        <v>3429</v>
      </c>
      <c r="J37" s="9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9" t="s">
        <v>4209</v>
      </c>
      <c r="E38" s="9" t="s">
        <v>4210</v>
      </c>
      <c r="F38" s="9"/>
      <c r="H38" s="9" t="s">
        <v>2936</v>
      </c>
      <c r="I38" s="9" t="s">
        <v>3432</v>
      </c>
      <c r="J38" s="9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9" t="s">
        <v>4209</v>
      </c>
      <c r="E39" s="9" t="s">
        <v>4210</v>
      </c>
      <c r="F39" s="9"/>
      <c r="H39" s="9" t="s">
        <v>2936</v>
      </c>
      <c r="I39" s="9" t="s">
        <v>3435</v>
      </c>
      <c r="J39" s="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9" t="s">
        <v>4209</v>
      </c>
      <c r="E40" s="9" t="s">
        <v>4210</v>
      </c>
      <c r="F40" s="9"/>
      <c r="H40" s="9" t="s">
        <v>2936</v>
      </c>
      <c r="I40" s="9" t="s">
        <v>3438</v>
      </c>
      <c r="J40" s="9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9" t="s">
        <v>4209</v>
      </c>
      <c r="E41" s="9" t="s">
        <v>4210</v>
      </c>
      <c r="F41" s="9"/>
      <c r="H41" s="9" t="s">
        <v>2936</v>
      </c>
      <c r="I41" s="9" t="s">
        <v>3441</v>
      </c>
      <c r="J41" s="9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9" t="s">
        <v>4209</v>
      </c>
      <c r="E42" s="9" t="s">
        <v>4210</v>
      </c>
      <c r="F42" s="9"/>
      <c r="H42" s="9" t="s">
        <v>2936</v>
      </c>
      <c r="I42" s="9" t="s">
        <v>3444</v>
      </c>
      <c r="J42" s="9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9" t="s">
        <v>4</v>
      </c>
      <c r="E43" s="9" t="s">
        <v>8</v>
      </c>
      <c r="F43" s="9"/>
      <c r="H43" s="9"/>
      <c r="I43" s="9" t="s">
        <v>3447</v>
      </c>
      <c r="J43" s="9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9" t="s">
        <v>289</v>
      </c>
      <c r="E44" s="9" t="s">
        <v>4211</v>
      </c>
      <c r="F44" s="9"/>
      <c r="H44" s="9"/>
      <c r="I44" s="9" t="s">
        <v>3450</v>
      </c>
      <c r="J44" s="9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9" t="s">
        <v>289</v>
      </c>
      <c r="E45" s="9" t="s">
        <v>4211</v>
      </c>
      <c r="F45" s="9"/>
      <c r="H45" s="9" t="s">
        <v>2936</v>
      </c>
      <c r="I45" s="9" t="s">
        <v>3453</v>
      </c>
      <c r="J45" s="9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9" t="s">
        <v>289</v>
      </c>
      <c r="E46" s="9" t="s">
        <v>4211</v>
      </c>
      <c r="F46" s="9"/>
      <c r="H46" s="9" t="s">
        <v>2936</v>
      </c>
      <c r="I46" s="9" t="s">
        <v>3456</v>
      </c>
      <c r="J46" s="9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9" t="s">
        <v>289</v>
      </c>
      <c r="E47" s="9" t="s">
        <v>4211</v>
      </c>
      <c r="F47" s="9"/>
      <c r="H47" s="9" t="s">
        <v>2936</v>
      </c>
      <c r="I47" s="9" t="s">
        <v>3459</v>
      </c>
      <c r="J47" s="9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9" t="s">
        <v>289</v>
      </c>
      <c r="E48" s="9" t="s">
        <v>4211</v>
      </c>
      <c r="F48" s="9"/>
      <c r="H48" s="9" t="s">
        <v>2936</v>
      </c>
      <c r="I48" s="9" t="s">
        <v>3462</v>
      </c>
      <c r="J48" s="9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9" t="s">
        <v>4</v>
      </c>
      <c r="E49" s="9" t="s">
        <v>8</v>
      </c>
      <c r="F49" s="9"/>
      <c r="H49" s="9"/>
      <c r="I49" s="9" t="s">
        <v>3465</v>
      </c>
      <c r="J49" s="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9" t="s">
        <v>2004</v>
      </c>
      <c r="E50" s="9"/>
      <c r="F50" s="9"/>
      <c r="H50" s="9"/>
      <c r="I50" s="9" t="s">
        <v>4273</v>
      </c>
      <c r="J50" s="9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9" t="s">
        <v>1615</v>
      </c>
      <c r="E51" s="9" t="s">
        <v>86</v>
      </c>
      <c r="F51" s="9" t="s">
        <v>200</v>
      </c>
      <c r="H51" s="9"/>
      <c r="I51" s="9" t="s">
        <v>5110</v>
      </c>
      <c r="J51" s="9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9" t="s">
        <v>1094</v>
      </c>
      <c r="E52" s="9" t="s">
        <v>4247</v>
      </c>
      <c r="F52" s="9" t="s">
        <v>60</v>
      </c>
      <c r="H52" s="9"/>
      <c r="I52" s="9" t="s">
        <v>5112</v>
      </c>
      <c r="J52" s="9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9" t="s">
        <v>533</v>
      </c>
      <c r="E53" s="9" t="s">
        <v>1607</v>
      </c>
      <c r="F53" s="9" t="s">
        <v>58</v>
      </c>
      <c r="H53" s="9"/>
      <c r="I53" s="9" t="s">
        <v>5114</v>
      </c>
      <c r="J53" s="9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9" t="s">
        <v>1615</v>
      </c>
      <c r="E54" s="9" t="s">
        <v>86</v>
      </c>
      <c r="F54" s="9" t="s">
        <v>200</v>
      </c>
      <c r="H54" s="9"/>
      <c r="I54" s="9" t="s">
        <v>4576</v>
      </c>
      <c r="J54" s="9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9" t="s">
        <v>1094</v>
      </c>
      <c r="E55" s="9" t="s">
        <v>4247</v>
      </c>
      <c r="F55" s="9" t="s">
        <v>200</v>
      </c>
      <c r="H55" s="9"/>
      <c r="I55" s="9" t="s">
        <v>4579</v>
      </c>
      <c r="J55" s="9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9" t="s">
        <v>1094</v>
      </c>
      <c r="E56" s="9" t="s">
        <v>4247</v>
      </c>
      <c r="F56" s="9" t="s">
        <v>200</v>
      </c>
      <c r="H56" s="9"/>
      <c r="I56" s="9" t="s">
        <v>4582</v>
      </c>
      <c r="J56" s="9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9" t="s">
        <v>5109</v>
      </c>
      <c r="E57" s="9" t="s">
        <v>86</v>
      </c>
      <c r="F57" s="9"/>
      <c r="H57" s="9"/>
      <c r="I57" s="9" t="s">
        <v>4585</v>
      </c>
      <c r="J57" s="9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9" t="s">
        <v>4</v>
      </c>
      <c r="E58" s="9" t="s">
        <v>8</v>
      </c>
      <c r="F58" s="9"/>
      <c r="H58" s="9"/>
      <c r="I58" s="9" t="s">
        <v>4588</v>
      </c>
      <c r="J58" s="9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9" t="s">
        <v>5109</v>
      </c>
      <c r="E59" s="9" t="s">
        <v>86</v>
      </c>
      <c r="F59" s="9"/>
      <c r="H59" s="9"/>
      <c r="I59" s="9" t="s">
        <v>4591</v>
      </c>
      <c r="J59" s="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9" t="s">
        <v>5109</v>
      </c>
      <c r="E60" s="9" t="s">
        <v>86</v>
      </c>
      <c r="F60" s="9"/>
      <c r="H60" s="9"/>
      <c r="I60" s="9" t="s">
        <v>4594</v>
      </c>
      <c r="J60" s="9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9" t="s">
        <v>2004</v>
      </c>
      <c r="E61" s="9" t="s">
        <v>8</v>
      </c>
      <c r="F61" s="9"/>
      <c r="H61" s="9"/>
      <c r="I61" s="9" t="s">
        <v>4597</v>
      </c>
      <c r="J61" s="9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9" t="s">
        <v>2004</v>
      </c>
      <c r="E62" s="9" t="s">
        <v>8</v>
      </c>
      <c r="F62" s="9"/>
      <c r="H62" s="9"/>
      <c r="I62" s="9" t="s">
        <v>5175</v>
      </c>
      <c r="J62" s="9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9" t="s">
        <v>4</v>
      </c>
      <c r="E63" s="9" t="s">
        <v>8</v>
      </c>
      <c r="F63" s="9"/>
      <c r="H63" s="9"/>
      <c r="I63" s="9" t="s">
        <v>5310</v>
      </c>
      <c r="J63" s="9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9" t="s">
        <v>2004</v>
      </c>
      <c r="E64" s="9" t="s">
        <v>8</v>
      </c>
      <c r="F64" s="9"/>
      <c r="H64" s="9"/>
      <c r="I64" s="9" t="s">
        <v>5313</v>
      </c>
      <c r="J64" s="9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9" t="s">
        <v>2004</v>
      </c>
      <c r="E65" s="9" t="s">
        <v>8</v>
      </c>
      <c r="F65" s="9"/>
      <c r="H65" s="9"/>
      <c r="I65" s="9" t="s">
        <v>5539</v>
      </c>
      <c r="J65" s="9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9" t="s">
        <v>2004</v>
      </c>
      <c r="E66" s="9" t="s">
        <v>8</v>
      </c>
      <c r="F66" s="9"/>
      <c r="H66" s="9"/>
      <c r="I66" s="9" t="s">
        <v>5542</v>
      </c>
      <c r="J66" s="9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9" t="s">
        <v>2004</v>
      </c>
      <c r="E67" s="9" t="s">
        <v>8</v>
      </c>
      <c r="F67" s="9"/>
      <c r="H67" s="9"/>
      <c r="I67" s="9" t="s">
        <v>5545</v>
      </c>
      <c r="J67" s="9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9" t="s">
        <v>1615</v>
      </c>
      <c r="E68" s="9" t="s">
        <v>86</v>
      </c>
      <c r="F68" s="9" t="s">
        <v>200</v>
      </c>
      <c r="H68" s="9"/>
      <c r="I68" s="9" t="s">
        <v>5867</v>
      </c>
      <c r="J68" s="9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9" t="s">
        <v>1615</v>
      </c>
      <c r="E69" s="9" t="s">
        <v>86</v>
      </c>
      <c r="F69" s="9" t="s">
        <v>200</v>
      </c>
      <c r="H69" s="9"/>
      <c r="I69" s="9" t="s">
        <v>5870</v>
      </c>
      <c r="J69" s="9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9" t="s">
        <v>1615</v>
      </c>
      <c r="E70" s="9" t="s">
        <v>86</v>
      </c>
      <c r="F70" s="9" t="s">
        <v>200</v>
      </c>
      <c r="H70" s="9"/>
      <c r="I70" s="9" t="s">
        <v>5873</v>
      </c>
      <c r="J70" s="9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9" t="s">
        <v>2004</v>
      </c>
      <c r="E71" s="9" t="s">
        <v>8</v>
      </c>
      <c r="F71" s="9"/>
      <c r="H71" s="9"/>
      <c r="I71" s="9" t="s">
        <v>6077</v>
      </c>
      <c r="J71" s="9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9" t="s">
        <v>2004</v>
      </c>
      <c r="E72" s="9" t="s">
        <v>8</v>
      </c>
      <c r="F72" s="9"/>
      <c r="H72" s="9"/>
      <c r="I72" s="9" t="s">
        <v>6207</v>
      </c>
      <c r="J72" s="9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9" t="s">
        <v>2004</v>
      </c>
      <c r="E73" s="9" t="s">
        <v>8</v>
      </c>
      <c r="F73" s="9"/>
      <c r="H73" s="9"/>
      <c r="I73" s="9" t="s">
        <v>6326</v>
      </c>
      <c r="J73" s="9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9" t="s">
        <v>2004</v>
      </c>
      <c r="E74" s="9" t="s">
        <v>8</v>
      </c>
      <c r="F74" s="9"/>
      <c r="H74" s="9"/>
      <c r="I74" s="9" t="s">
        <v>6566</v>
      </c>
      <c r="J74" s="9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9" t="s">
        <v>2004</v>
      </c>
      <c r="E75" s="9" t="s">
        <v>8</v>
      </c>
      <c r="F75" s="9"/>
      <c r="H75" s="9"/>
      <c r="I75" s="9" t="s">
        <v>6715</v>
      </c>
      <c r="J75" s="9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9" t="s">
        <v>2004</v>
      </c>
      <c r="E76" s="9" t="s">
        <v>8</v>
      </c>
      <c r="F76" s="9"/>
      <c r="H76" s="9"/>
      <c r="I76" s="9" t="s">
        <v>6917</v>
      </c>
      <c r="J76" s="9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9" t="s">
        <v>2004</v>
      </c>
      <c r="E77" s="9" t="s">
        <v>8</v>
      </c>
      <c r="F77" s="9"/>
      <c r="H77" s="9"/>
      <c r="I77" s="9" t="s">
        <v>6920</v>
      </c>
      <c r="J77" s="9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9" t="s">
        <v>2004</v>
      </c>
      <c r="E78" s="9" t="s">
        <v>8</v>
      </c>
      <c r="F78" s="9"/>
      <c r="H78" s="9"/>
      <c r="I78" s="9" t="s">
        <v>6923</v>
      </c>
      <c r="J78" s="9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9" t="s">
        <v>2004</v>
      </c>
      <c r="E79" s="9" t="s">
        <v>8</v>
      </c>
      <c r="F79" s="9"/>
      <c r="H79" s="9"/>
      <c r="I79" s="9" t="s">
        <v>7187</v>
      </c>
      <c r="J79" s="9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9" t="s">
        <v>2004</v>
      </c>
      <c r="E80" s="9" t="s">
        <v>8</v>
      </c>
      <c r="F80" s="9"/>
      <c r="H80" s="9"/>
      <c r="I80" s="9" t="s">
        <v>7254</v>
      </c>
      <c r="J80" s="9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9" t="s">
        <v>2004</v>
      </c>
      <c r="E81" s="9" t="s">
        <v>8</v>
      </c>
      <c r="F81" s="9"/>
      <c r="H81" s="9"/>
      <c r="I81" s="9" t="s">
        <v>7257</v>
      </c>
      <c r="J81" s="9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9" t="s">
        <v>2004</v>
      </c>
      <c r="E82" s="9" t="s">
        <v>8</v>
      </c>
      <c r="F82" s="9"/>
      <c r="H82" s="9"/>
      <c r="I82" s="9" t="s">
        <v>7694</v>
      </c>
      <c r="J82" s="9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9" t="s">
        <v>2004</v>
      </c>
      <c r="E83" s="9" t="s">
        <v>8</v>
      </c>
      <c r="F83" s="9"/>
      <c r="H83" s="9"/>
      <c r="I83" s="9" t="s">
        <v>7697</v>
      </c>
      <c r="J83" s="9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9" t="s">
        <v>290</v>
      </c>
      <c r="E84" s="9" t="s">
        <v>86</v>
      </c>
      <c r="F84" s="9" t="s">
        <v>60</v>
      </c>
      <c r="H84" s="9" t="s">
        <v>5104</v>
      </c>
      <c r="I84" s="9" t="s">
        <v>7855</v>
      </c>
      <c r="J84" s="9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9" t="s">
        <v>290</v>
      </c>
      <c r="E85" s="9" t="s">
        <v>86</v>
      </c>
      <c r="F85" s="9" t="s">
        <v>60</v>
      </c>
      <c r="H85" s="9" t="s">
        <v>2936</v>
      </c>
      <c r="I85" s="9" t="s">
        <v>7858</v>
      </c>
      <c r="J85" s="9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9" t="s">
        <v>290</v>
      </c>
      <c r="E86" s="9" t="s">
        <v>86</v>
      </c>
      <c r="F86" s="9" t="s">
        <v>60</v>
      </c>
      <c r="H86" s="9" t="s">
        <v>2936</v>
      </c>
      <c r="I86" s="9" t="s">
        <v>7861</v>
      </c>
      <c r="J86" s="9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9" t="s">
        <v>2004</v>
      </c>
      <c r="E87" s="9" t="s">
        <v>8</v>
      </c>
      <c r="F87" s="9"/>
      <c r="H87" s="9"/>
      <c r="I87" s="9" t="s">
        <v>8016</v>
      </c>
      <c r="J87" s="9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9" t="s">
        <v>2004</v>
      </c>
      <c r="E88" s="9" t="s">
        <v>8</v>
      </c>
      <c r="F88" s="9"/>
      <c r="H88" s="9"/>
      <c r="I88" s="9" t="s">
        <v>8019</v>
      </c>
      <c r="J88" s="9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9" t="s">
        <v>2004</v>
      </c>
      <c r="E89" s="9" t="s">
        <v>8</v>
      </c>
      <c r="F89" s="9"/>
      <c r="H89" s="9"/>
      <c r="I89" s="9" t="s">
        <v>8303</v>
      </c>
      <c r="J89" s="9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9" t="s">
        <v>2004</v>
      </c>
      <c r="E90" s="9" t="s">
        <v>8</v>
      </c>
      <c r="F90" s="9"/>
      <c r="H90" s="9"/>
      <c r="I90" s="9" t="s">
        <v>8306</v>
      </c>
      <c r="J90" s="9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9" t="s">
        <v>2004</v>
      </c>
      <c r="E91" s="9" t="s">
        <v>8</v>
      </c>
      <c r="F91" s="9"/>
      <c r="H91" s="9"/>
      <c r="I91" s="9" t="s">
        <v>8309</v>
      </c>
      <c r="J91" s="9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9" t="s">
        <v>2004</v>
      </c>
      <c r="E92" s="9" t="s">
        <v>8</v>
      </c>
      <c r="F92" s="9"/>
      <c r="H92" s="9"/>
      <c r="I92" s="9" t="s">
        <v>8312</v>
      </c>
      <c r="J92" s="9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9" t="s">
        <v>2004</v>
      </c>
      <c r="E93" s="9" t="s">
        <v>8</v>
      </c>
      <c r="F93" s="9"/>
      <c r="H93" s="9"/>
      <c r="I93" s="9" t="s">
        <v>8393</v>
      </c>
      <c r="J93" s="9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9" t="s">
        <v>2004</v>
      </c>
      <c r="E94" s="9" t="s">
        <v>8</v>
      </c>
      <c r="F94" s="9"/>
      <c r="H94" s="9"/>
      <c r="I94" s="9" t="s">
        <v>8396</v>
      </c>
      <c r="J94" s="9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9" t="s">
        <v>2004</v>
      </c>
      <c r="E95" s="9" t="s">
        <v>8</v>
      </c>
      <c r="F95" s="9"/>
      <c r="H95" s="9"/>
      <c r="I95" s="9" t="s">
        <v>8399</v>
      </c>
      <c r="J95" s="9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9" t="s">
        <v>2004</v>
      </c>
      <c r="E96" s="9" t="s">
        <v>8</v>
      </c>
      <c r="F96" s="9"/>
      <c r="H96" s="9"/>
      <c r="I96" s="9" t="s">
        <v>8577</v>
      </c>
      <c r="J96" s="9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9" t="s">
        <v>2004</v>
      </c>
      <c r="E97" s="9" t="s">
        <v>8</v>
      </c>
      <c r="F97" s="9"/>
      <c r="H97" s="9"/>
      <c r="I97" s="9" t="s">
        <v>8580</v>
      </c>
      <c r="J97" s="9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9" t="s">
        <v>2004</v>
      </c>
      <c r="E98" s="9" t="s">
        <v>8</v>
      </c>
      <c r="F98" s="9"/>
      <c r="H98" s="9"/>
      <c r="I98" s="9" t="s">
        <v>8583</v>
      </c>
      <c r="J98" s="9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9" t="s">
        <v>2004</v>
      </c>
      <c r="E99" s="9" t="s">
        <v>8</v>
      </c>
      <c r="F99" s="9"/>
      <c r="H99" s="9"/>
      <c r="I99" s="9" t="s">
        <v>8586</v>
      </c>
      <c r="J99" s="9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9" t="s">
        <v>2004</v>
      </c>
      <c r="E100" s="9" t="s">
        <v>8</v>
      </c>
      <c r="F100" s="9"/>
      <c r="H100" s="9"/>
      <c r="I100" s="9" t="s">
        <v>8589</v>
      </c>
      <c r="J100" s="9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9" t="s">
        <v>2004</v>
      </c>
      <c r="E101" s="9" t="s">
        <v>8</v>
      </c>
      <c r="F101" s="9"/>
      <c r="H101" s="9"/>
      <c r="I101" s="9" t="s">
        <v>8592</v>
      </c>
      <c r="J101" s="9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9" t="s">
        <v>2004</v>
      </c>
      <c r="E102" s="9" t="s">
        <v>8</v>
      </c>
      <c r="F102" s="9"/>
      <c r="H102" s="9"/>
      <c r="I102" s="9" t="s">
        <v>8595</v>
      </c>
      <c r="J102" s="9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9" t="s">
        <v>9191</v>
      </c>
      <c r="E103" s="9" t="s">
        <v>5480</v>
      </c>
      <c r="F103" s="9" t="s">
        <v>9190</v>
      </c>
      <c r="H103" s="9"/>
      <c r="I103" s="9" t="s">
        <v>8994</v>
      </c>
      <c r="J103" s="9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9" t="s">
        <v>2004</v>
      </c>
      <c r="E104" s="9" t="s">
        <v>8</v>
      </c>
      <c r="F104" s="9"/>
      <c r="H104" s="9"/>
      <c r="I104" s="9" t="s">
        <v>8997</v>
      </c>
      <c r="J104" s="9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9" t="s">
        <v>2004</v>
      </c>
      <c r="E105" s="9" t="s">
        <v>8</v>
      </c>
      <c r="F105" s="9"/>
      <c r="H105" s="9"/>
      <c r="I105" s="9" t="s">
        <v>9267</v>
      </c>
      <c r="J105" s="9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9" t="s">
        <v>2004</v>
      </c>
      <c r="E106" s="9" t="s">
        <v>8</v>
      </c>
      <c r="F106" s="9"/>
      <c r="H106" s="9"/>
      <c r="I106" s="9" t="s">
        <v>9387</v>
      </c>
      <c r="J106" s="9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9" t="s">
        <v>9399</v>
      </c>
      <c r="E107" s="9" t="s">
        <v>60</v>
      </c>
      <c r="F107" s="9"/>
      <c r="H107" s="9"/>
      <c r="I107" s="9" t="s">
        <v>9390</v>
      </c>
      <c r="J107" s="9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9" t="s">
        <v>1094</v>
      </c>
      <c r="E108" s="9" t="s">
        <v>4247</v>
      </c>
      <c r="F108" s="9" t="s">
        <v>60</v>
      </c>
      <c r="H108" s="9"/>
      <c r="I108" s="9" t="s">
        <v>9393</v>
      </c>
      <c r="J108" s="9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9" t="s">
        <v>4</v>
      </c>
      <c r="E109" s="9" t="s">
        <v>8</v>
      </c>
      <c r="F109" s="9"/>
      <c r="H109" s="9"/>
      <c r="I109" s="9" t="s">
        <v>9396</v>
      </c>
      <c r="J109" s="9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9" t="s">
        <v>2004</v>
      </c>
      <c r="E110" s="9" t="s">
        <v>8</v>
      </c>
      <c r="F110" s="9"/>
      <c r="H110" s="9"/>
      <c r="I110" s="9" t="s">
        <v>9612</v>
      </c>
      <c r="J110" s="9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9" t="s">
        <v>2004</v>
      </c>
      <c r="E111" s="9" t="s">
        <v>8</v>
      </c>
      <c r="F111" s="9"/>
      <c r="H111" s="9"/>
      <c r="I111" s="9" t="s">
        <v>9615</v>
      </c>
      <c r="J111" s="9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9" t="s">
        <v>2004</v>
      </c>
      <c r="E112" s="9" t="s">
        <v>8</v>
      </c>
      <c r="F112" s="9"/>
      <c r="H112" s="9"/>
      <c r="I112" s="9" t="s">
        <v>9735</v>
      </c>
      <c r="J112" s="9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9" t="s">
        <v>2004</v>
      </c>
      <c r="E113" s="9" t="s">
        <v>8</v>
      </c>
      <c r="F113" s="9"/>
      <c r="H113" s="9"/>
      <c r="I113" s="9" t="s">
        <v>9738</v>
      </c>
      <c r="J113" s="9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9" t="s">
        <v>2004</v>
      </c>
      <c r="E114" s="9" t="s">
        <v>8</v>
      </c>
      <c r="F114" s="9"/>
      <c r="H114" s="9"/>
      <c r="I114" s="9" t="s">
        <v>9969</v>
      </c>
      <c r="J114" s="9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9" t="s">
        <v>4</v>
      </c>
      <c r="E115" s="9" t="s">
        <v>8</v>
      </c>
      <c r="F115" s="9"/>
      <c r="H115" s="9"/>
      <c r="I115" s="9" t="s">
        <v>9972</v>
      </c>
      <c r="J115" s="9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9" t="s">
        <v>4</v>
      </c>
      <c r="E116" s="9" t="s">
        <v>8</v>
      </c>
      <c r="F116" s="9"/>
      <c r="H116" s="9" t="s">
        <v>2936</v>
      </c>
      <c r="I116" s="9" t="s">
        <v>9975</v>
      </c>
      <c r="J116" s="9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9" t="s">
        <v>2004</v>
      </c>
      <c r="E117" s="9" t="s">
        <v>8</v>
      </c>
      <c r="F117" s="9"/>
      <c r="H117" s="9"/>
      <c r="I117" s="9" t="s">
        <v>10350</v>
      </c>
      <c r="J117" s="9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9" t="s">
        <v>2004</v>
      </c>
      <c r="E118" s="9" t="s">
        <v>8</v>
      </c>
      <c r="F118" s="9"/>
      <c r="H118" s="9"/>
      <c r="I118" s="9" t="s">
        <v>10506</v>
      </c>
      <c r="J118" s="9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9" t="s">
        <v>2004</v>
      </c>
      <c r="E119" s="9" t="s">
        <v>8</v>
      </c>
      <c r="F119" s="9"/>
      <c r="H119" s="9"/>
      <c r="I119" s="9" t="s">
        <v>10509</v>
      </c>
      <c r="J119" s="9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9" t="s">
        <v>2004</v>
      </c>
      <c r="E120" s="9" t="s">
        <v>8</v>
      </c>
      <c r="F120" s="9"/>
      <c r="H120" s="9"/>
      <c r="I120" s="9" t="s">
        <v>10552</v>
      </c>
      <c r="J120" s="9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9" t="s">
        <v>2004</v>
      </c>
      <c r="E121" s="9" t="s">
        <v>8</v>
      </c>
      <c r="F121" s="9"/>
      <c r="H121" s="9"/>
      <c r="I121" s="9" t="s">
        <v>10555</v>
      </c>
      <c r="J121" s="9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s="9" t="s">
        <v>2004</v>
      </c>
      <c r="E122" s="9" t="s">
        <v>8</v>
      </c>
      <c r="F122" s="9"/>
      <c r="H122" s="9"/>
      <c r="I122" s="9" t="s">
        <v>10782</v>
      </c>
      <c r="J122" s="9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s="9" t="s">
        <v>2004</v>
      </c>
      <c r="E123" s="9" t="s">
        <v>8</v>
      </c>
      <c r="F123" s="9"/>
      <c r="H123" s="9"/>
      <c r="I123" s="9" t="s">
        <v>10785</v>
      </c>
      <c r="J123" s="9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s="9" t="s">
        <v>2004</v>
      </c>
      <c r="E124" s="9" t="s">
        <v>8</v>
      </c>
      <c r="F124" s="9"/>
      <c r="H124" s="9"/>
      <c r="I124" s="9" t="s">
        <v>10920</v>
      </c>
      <c r="J124" s="9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s="9" t="s">
        <v>4</v>
      </c>
      <c r="E125" s="9" t="s">
        <v>8045</v>
      </c>
      <c r="F125" s="9"/>
      <c r="H125" s="9"/>
      <c r="I125" s="9" t="s">
        <v>11034</v>
      </c>
      <c r="J125" s="9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s="9" t="s">
        <v>2004</v>
      </c>
      <c r="E126" s="9" t="s">
        <v>8</v>
      </c>
      <c r="F126" s="9"/>
      <c r="H126" s="9"/>
      <c r="I126" s="9" t="s">
        <v>11037</v>
      </c>
      <c r="J126" s="9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  <row r="127" spans="1:13" x14ac:dyDescent="0.25">
      <c r="A127" s="2" t="s">
        <v>13</v>
      </c>
      <c r="B127" s="4">
        <v>46055</v>
      </c>
      <c r="C127" s="5">
        <v>0.50019675925925922</v>
      </c>
      <c r="D127" s="9" t="s">
        <v>2004</v>
      </c>
      <c r="E127" s="9" t="s">
        <v>8</v>
      </c>
      <c r="F127" s="9"/>
      <c r="H127" s="9"/>
      <c r="I127" s="9" t="s">
        <v>11181</v>
      </c>
      <c r="J127" s="9" t="s">
        <v>2983</v>
      </c>
      <c r="K127" t="s">
        <v>11182</v>
      </c>
      <c r="L127" t="s">
        <v>11183</v>
      </c>
      <c r="M127" s="3" t="str">
        <f>HYPERLINK(склад2въезд131920[[#This Row],[RelativePath]])</f>
        <v>6 Площадка 1 общага\826398429_1_20260202T120017Z.jpg</v>
      </c>
    </row>
    <row r="128" spans="1:13" x14ac:dyDescent="0.25">
      <c r="A128" s="2" t="s">
        <v>14</v>
      </c>
      <c r="B128" s="4">
        <v>46056</v>
      </c>
      <c r="C128" s="5">
        <v>0.71646990740740746</v>
      </c>
      <c r="D128" s="9" t="s">
        <v>4</v>
      </c>
      <c r="E128" s="9" t="s">
        <v>8045</v>
      </c>
      <c r="F128" s="9"/>
      <c r="H128" s="9"/>
      <c r="I128" s="9" t="s">
        <v>11184</v>
      </c>
      <c r="J128" s="9" t="s">
        <v>2983</v>
      </c>
      <c r="K128" t="s">
        <v>11185</v>
      </c>
      <c r="L128" t="s">
        <v>11186</v>
      </c>
      <c r="M128" s="3" t="str">
        <f>HYPERLINK(склад2въезд131920[[#This Row],[RelativePath]])</f>
        <v>6 Площадка 1 общага\826398429_1_20260203T171143Z.jpg</v>
      </c>
    </row>
    <row r="129" spans="1:13" x14ac:dyDescent="0.25">
      <c r="A129" s="2" t="s">
        <v>15</v>
      </c>
      <c r="B129" s="4">
        <v>46057</v>
      </c>
      <c r="C129" s="5">
        <v>0.52496527777777779</v>
      </c>
      <c r="D129" s="9" t="s">
        <v>4</v>
      </c>
      <c r="E129" s="9" t="s">
        <v>8805</v>
      </c>
      <c r="F129" s="9"/>
      <c r="H129" s="9"/>
      <c r="I129" s="9" t="s">
        <v>11639</v>
      </c>
      <c r="J129" s="9" t="s">
        <v>2983</v>
      </c>
      <c r="K129" t="s">
        <v>11640</v>
      </c>
      <c r="L129" t="s">
        <v>11641</v>
      </c>
      <c r="M129" s="3" t="str">
        <f>HYPERLINK(склад2въезд131920[[#This Row],[RelativePath]])</f>
        <v>6 Площадка 1 общага\826398429_1_20260204T123557Z.jpg</v>
      </c>
    </row>
    <row r="130" spans="1:13" x14ac:dyDescent="0.25">
      <c r="A130" s="2" t="s">
        <v>16</v>
      </c>
      <c r="B130" s="4">
        <v>46058</v>
      </c>
      <c r="C130" s="5">
        <v>0.5090393518518519</v>
      </c>
      <c r="D130" s="9" t="s">
        <v>2004</v>
      </c>
      <c r="E130" s="9" t="s">
        <v>8</v>
      </c>
      <c r="F130" s="9"/>
      <c r="H130" s="9"/>
      <c r="I130" s="9" t="s">
        <v>11613</v>
      </c>
      <c r="J130" s="9" t="s">
        <v>2983</v>
      </c>
      <c r="K130" t="s">
        <v>11614</v>
      </c>
      <c r="L130" t="s">
        <v>11615</v>
      </c>
      <c r="M130" s="3" t="str">
        <f>HYPERLINK(склад2въезд131920[[#This Row],[RelativePath]])</f>
        <v>6 Площадка 1 общага\826398429_1_20260205T121301Z.jpg</v>
      </c>
    </row>
    <row r="131" spans="1:13" x14ac:dyDescent="0.25">
      <c r="A131" s="2" t="s">
        <v>17</v>
      </c>
      <c r="B131" s="4">
        <v>46059</v>
      </c>
      <c r="C131" s="5">
        <v>0.67365740740740743</v>
      </c>
      <c r="D131" s="9" t="s">
        <v>2004</v>
      </c>
      <c r="E131" s="9" t="s">
        <v>8</v>
      </c>
      <c r="F131" s="9"/>
      <c r="H131" s="9"/>
      <c r="I131" s="9" t="s">
        <v>11616</v>
      </c>
      <c r="J131" s="9" t="s">
        <v>2983</v>
      </c>
      <c r="K131" t="s">
        <v>11617</v>
      </c>
      <c r="L131" t="s">
        <v>11618</v>
      </c>
      <c r="M131" s="3" t="str">
        <f>HYPERLINK(склад2въезд131920[[#This Row],[RelativePath]])</f>
        <v>6 Площадка 1 общага\826398429_1_20260206T161004Z.jpg</v>
      </c>
    </row>
    <row r="132" spans="1:13" x14ac:dyDescent="0.25">
      <c r="A132" s="2" t="s">
        <v>18</v>
      </c>
      <c r="B132" s="4">
        <v>46060</v>
      </c>
      <c r="C132" s="5">
        <v>0.35116898148148146</v>
      </c>
      <c r="D132" s="9" t="s">
        <v>2004</v>
      </c>
      <c r="E132" s="9" t="s">
        <v>8</v>
      </c>
      <c r="F132" s="9"/>
      <c r="H132" s="9"/>
      <c r="I132" s="9" t="s">
        <v>11691</v>
      </c>
      <c r="J132" s="9" t="s">
        <v>2983</v>
      </c>
      <c r="K132" t="s">
        <v>11692</v>
      </c>
      <c r="L132" t="s">
        <v>11693</v>
      </c>
      <c r="M132" s="3" t="str">
        <f>HYPERLINK(склад2въезд131920[[#This Row],[RelativePath]])</f>
        <v>6 Площадка 1 общага\826398429_1_20260207T082541Z.jpg</v>
      </c>
    </row>
    <row r="133" spans="1:13" x14ac:dyDescent="0.25">
      <c r="A133" s="2" t="s">
        <v>22</v>
      </c>
      <c r="B133" s="4">
        <v>46061</v>
      </c>
      <c r="C133" s="5">
        <v>0.68150462962962965</v>
      </c>
      <c r="D133" s="9" t="s">
        <v>2004</v>
      </c>
      <c r="E133" s="9" t="s">
        <v>8</v>
      </c>
      <c r="F133" s="9"/>
      <c r="H133" s="9"/>
      <c r="I133" s="9" t="s">
        <v>11694</v>
      </c>
      <c r="J133" s="9" t="s">
        <v>2983</v>
      </c>
      <c r="K133" t="s">
        <v>11695</v>
      </c>
      <c r="L133" t="s">
        <v>11696</v>
      </c>
      <c r="M133" s="3" t="str">
        <f>HYPERLINK(склад2въезд131920[[#This Row],[RelativePath]])</f>
        <v>6 Площадка 1 общага\826398429_1_20260208T162122Z.jpg</v>
      </c>
    </row>
    <row r="134" spans="1:13" x14ac:dyDescent="0.25">
      <c r="A134" s="2" t="s">
        <v>13</v>
      </c>
      <c r="B134" s="4">
        <v>46062</v>
      </c>
      <c r="C134" s="5">
        <v>0.62783564814814818</v>
      </c>
      <c r="D134" s="9" t="s">
        <v>2004</v>
      </c>
      <c r="E134" s="9" t="s">
        <v>8</v>
      </c>
      <c r="F134" s="9"/>
      <c r="H134" s="9"/>
      <c r="I134" s="9" t="s">
        <v>11933</v>
      </c>
      <c r="J134" s="9" t="s">
        <v>2983</v>
      </c>
      <c r="K134" t="s">
        <v>11934</v>
      </c>
      <c r="L134" t="s">
        <v>11935</v>
      </c>
      <c r="M134" s="3" t="str">
        <f>HYPERLINK(склад2въезд131920[[#This Row],[RelativePath]])</f>
        <v>6 Площадка 1 общага\826398429_1_20260209T150405Z.jpg</v>
      </c>
    </row>
    <row r="135" spans="1:13" x14ac:dyDescent="0.25">
      <c r="A135" s="2" t="s">
        <v>14</v>
      </c>
      <c r="B135" s="4">
        <v>46063</v>
      </c>
      <c r="C135" s="5">
        <v>0.52511574074074074</v>
      </c>
      <c r="D135" s="9" t="s">
        <v>11960</v>
      </c>
      <c r="E135" s="9"/>
      <c r="F135" s="9"/>
      <c r="H135" s="9"/>
      <c r="I135" s="9" t="s">
        <v>11936</v>
      </c>
      <c r="J135" s="9" t="s">
        <v>2983</v>
      </c>
      <c r="K135" t="s">
        <v>11937</v>
      </c>
      <c r="L135" t="s">
        <v>11938</v>
      </c>
      <c r="M135" s="3" t="str">
        <f>HYPERLINK(склад2въезд131920[[#This Row],[RelativePath]])</f>
        <v>6 Площадка 1 общага\826398429_1_20260210T123610Z.jpg</v>
      </c>
    </row>
    <row r="136" spans="1:13" x14ac:dyDescent="0.25">
      <c r="A136" s="2" t="s">
        <v>14</v>
      </c>
      <c r="B136" s="4">
        <v>46063</v>
      </c>
      <c r="C136" s="5">
        <v>0.63376157407407407</v>
      </c>
      <c r="D136" s="9" t="s">
        <v>11961</v>
      </c>
      <c r="E136" s="9"/>
      <c r="F136" s="9"/>
      <c r="H136" s="9"/>
      <c r="I136" s="9" t="s">
        <v>11939</v>
      </c>
      <c r="J136" s="9" t="s">
        <v>2983</v>
      </c>
      <c r="K136" t="s">
        <v>11940</v>
      </c>
      <c r="L136" t="s">
        <v>11941</v>
      </c>
      <c r="M136" s="3" t="str">
        <f>HYPERLINK(склад2въезд131920[[#This Row],[RelativePath]])</f>
        <v>6 Площадка 1 общага\826398429_1_20260210T151237Z.jpg</v>
      </c>
    </row>
    <row r="137" spans="1:13" x14ac:dyDescent="0.25">
      <c r="A137" s="2" t="s">
        <v>14</v>
      </c>
      <c r="B137" s="4">
        <v>46063</v>
      </c>
      <c r="C137" s="5">
        <v>0.76949074074074075</v>
      </c>
      <c r="D137" s="9" t="s">
        <v>2004</v>
      </c>
      <c r="E137" s="9" t="s">
        <v>8</v>
      </c>
      <c r="F137" s="9"/>
      <c r="H137" s="9"/>
      <c r="I137" s="9" t="s">
        <v>11942</v>
      </c>
      <c r="J137" s="9" t="s">
        <v>2983</v>
      </c>
      <c r="K137" t="s">
        <v>11943</v>
      </c>
      <c r="L137" t="s">
        <v>11944</v>
      </c>
      <c r="M137" s="3" t="str">
        <f>HYPERLINK(склад2въезд131920[[#This Row],[RelativePath]])</f>
        <v>6 Площадка 1 общага\826398429_1_20260210T182804Z.jpg</v>
      </c>
    </row>
    <row r="138" spans="1:13" x14ac:dyDescent="0.25">
      <c r="A138" s="2" t="s">
        <v>15</v>
      </c>
      <c r="B138" s="4">
        <v>46064</v>
      </c>
      <c r="C138" s="5">
        <v>0.41890046296296296</v>
      </c>
      <c r="D138" s="9" t="s">
        <v>4</v>
      </c>
      <c r="E138" s="9" t="s">
        <v>8045</v>
      </c>
      <c r="F138" s="9"/>
      <c r="H138" s="9"/>
      <c r="I138" s="9" t="s">
        <v>11945</v>
      </c>
      <c r="J138" s="9" t="s">
        <v>2983</v>
      </c>
      <c r="K138" t="s">
        <v>11946</v>
      </c>
      <c r="L138" t="s">
        <v>11947</v>
      </c>
      <c r="M138" s="3" t="str">
        <f>HYPERLINK(склад2въезд131920[[#This Row],[RelativePath]])</f>
        <v>6 Площадка 1 общага\826398429_1_20260211T100313Z.jpg</v>
      </c>
    </row>
    <row r="139" spans="1:13" x14ac:dyDescent="0.25">
      <c r="A139" s="2" t="s">
        <v>15</v>
      </c>
      <c r="B139" s="4">
        <v>46064</v>
      </c>
      <c r="C139" s="5">
        <v>0.75252314814814814</v>
      </c>
      <c r="D139" s="9" t="s">
        <v>4</v>
      </c>
      <c r="E139" s="9" t="s">
        <v>8</v>
      </c>
      <c r="F139" s="9"/>
      <c r="H139" s="9"/>
      <c r="I139" s="9" t="s">
        <v>11948</v>
      </c>
      <c r="J139" s="9" t="s">
        <v>2983</v>
      </c>
      <c r="K139" t="s">
        <v>11949</v>
      </c>
      <c r="L139" t="s">
        <v>11950</v>
      </c>
      <c r="M139" s="3" t="str">
        <f>HYPERLINK(склад2въезд131920[[#This Row],[RelativePath]])</f>
        <v>6 Площадка 1 общага\826398429_1_20260211T180338Z.jpg</v>
      </c>
    </row>
    <row r="140" spans="1:13" x14ac:dyDescent="0.25">
      <c r="A140" s="2" t="s">
        <v>16</v>
      </c>
      <c r="B140" s="4">
        <v>46065</v>
      </c>
      <c r="C140" s="5">
        <v>0.60403935185185187</v>
      </c>
      <c r="D140" s="9" t="s">
        <v>4</v>
      </c>
      <c r="E140" s="9" t="s">
        <v>8045</v>
      </c>
      <c r="F140" s="9"/>
      <c r="H140" s="9"/>
      <c r="I140" s="9" t="s">
        <v>11951</v>
      </c>
      <c r="J140" s="9" t="s">
        <v>2983</v>
      </c>
      <c r="K140" t="s">
        <v>11952</v>
      </c>
      <c r="L140" t="s">
        <v>11953</v>
      </c>
      <c r="M140" s="3" t="str">
        <f>HYPERLINK(склад2въезд131920[[#This Row],[RelativePath]])</f>
        <v>6 Площадка 1 общага\826398429_1_20260212T142949Z.jpg</v>
      </c>
    </row>
    <row r="141" spans="1:13" x14ac:dyDescent="0.25">
      <c r="A141" s="2" t="s">
        <v>16</v>
      </c>
      <c r="B141" s="4">
        <v>46065</v>
      </c>
      <c r="C141" s="5">
        <v>0.69699074074074074</v>
      </c>
      <c r="D141" s="9" t="s">
        <v>4</v>
      </c>
      <c r="E141" s="9" t="s">
        <v>8045</v>
      </c>
      <c r="F141" s="9"/>
      <c r="H141" s="9"/>
      <c r="I141" s="9" t="s">
        <v>11954</v>
      </c>
      <c r="J141" s="9" t="s">
        <v>2983</v>
      </c>
      <c r="K141" t="s">
        <v>11955</v>
      </c>
      <c r="L141" t="s">
        <v>11956</v>
      </c>
      <c r="M141" s="3" t="str">
        <f>HYPERLINK(склад2въезд131920[[#This Row],[RelativePath]])</f>
        <v>6 Площадка 1 общага\826398429_1_20260212T164340Z.jpg</v>
      </c>
    </row>
  </sheetData>
  <conditionalFormatting sqref="D142:D152 E142:E155 G2:H141 D2:E141">
    <cfRule type="containsText" dxfId="753" priority="14" operator="containsText" text="Выезд с территории">
      <formula>NOT(ISERROR(SEARCH("Выезд с территории",D2)))</formula>
    </cfRule>
  </conditionalFormatting>
  <conditionalFormatting sqref="F2:F141">
    <cfRule type="notContainsText" dxfId="752" priority="13" operator="notContains" text="порожний">
      <formula>ISERROR(SEARCH("порожний",F2))</formula>
    </cfRule>
  </conditionalFormatting>
  <conditionalFormatting sqref="E2:E155">
    <cfRule type="containsText" dxfId="751" priority="11" operator="containsText" text="Газель базы">
      <formula>NOT(ISERROR(SEARCH("Газель базы",E2)))</formula>
    </cfRule>
    <cfRule type="containsText" dxfId="750" priority="12" operator="containsText" text="Погрузчик базы">
      <formula>NOT(ISERROR(SEARCH("Погрузчик базы",E2)))</formula>
    </cfRule>
  </conditionalFormatting>
  <conditionalFormatting sqref="E2:E155">
    <cfRule type="containsText" dxfId="749" priority="10" operator="containsText" text="Трактор базы">
      <formula>NOT(ISERROR(SEARCH("Трактор базы",E2)))</formula>
    </cfRule>
  </conditionalFormatting>
  <conditionalFormatting sqref="A2:C141">
    <cfRule type="expression" dxfId="748" priority="9">
      <formula>$A2="пн"</formula>
    </cfRule>
  </conditionalFormatting>
  <conditionalFormatting sqref="A2:C143">
    <cfRule type="expression" dxfId="747" priority="3">
      <formula>$A2="вс"</formula>
    </cfRule>
    <cfRule type="expression" dxfId="746" priority="4">
      <formula>$A2="сб"</formula>
    </cfRule>
    <cfRule type="expression" dxfId="745" priority="5">
      <formula>$A2="пт"</formula>
    </cfRule>
    <cfRule type="expression" dxfId="744" priority="6">
      <formula>$A2="чт"</formula>
    </cfRule>
    <cfRule type="expression" dxfId="743" priority="7">
      <formula>$A2="ср"</formula>
    </cfRule>
    <cfRule type="expression" dxfId="742" priority="8">
      <formula>$A2="вт"</formula>
    </cfRule>
  </conditionalFormatting>
  <conditionalFormatting sqref="D2:D152">
    <cfRule type="containsText" dxfId="74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2">
    <cfRule type="containsText" dxfId="74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79"/>
  <sheetViews>
    <sheetView zoomScale="90" zoomScaleNormal="90" workbookViewId="0">
      <pane ySplit="1" topLeftCell="A257" activePane="bottomLeft" state="frozen"/>
      <selection pane="bottomLeft" activeCell="D272" sqref="D2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535</v>
      </c>
      <c r="J2" s="9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9" t="s">
        <v>4</v>
      </c>
      <c r="E3" s="9" t="s">
        <v>11</v>
      </c>
      <c r="F3" s="9"/>
      <c r="H3" s="9"/>
      <c r="I3" s="9" t="s">
        <v>538</v>
      </c>
      <c r="J3" s="9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9" t="s">
        <v>4</v>
      </c>
      <c r="E4" s="9" t="s">
        <v>19</v>
      </c>
      <c r="F4" s="9"/>
      <c r="H4" s="9"/>
      <c r="I4" s="9" t="s">
        <v>541</v>
      </c>
      <c r="J4" s="9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9" t="s">
        <v>4</v>
      </c>
      <c r="E5" s="9" t="s">
        <v>19</v>
      </c>
      <c r="F5" s="9"/>
      <c r="H5" s="9"/>
      <c r="I5" s="9" t="s">
        <v>544</v>
      </c>
      <c r="J5" s="9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547</v>
      </c>
      <c r="J6" s="9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550</v>
      </c>
      <c r="J7" s="9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9" t="s">
        <v>4</v>
      </c>
      <c r="E8" s="9" t="s">
        <v>19</v>
      </c>
      <c r="F8" s="9"/>
      <c r="H8" s="9"/>
      <c r="I8" s="9" t="s">
        <v>553</v>
      </c>
      <c r="J8" s="9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9" t="s">
        <v>4</v>
      </c>
      <c r="E9" s="9" t="s">
        <v>19</v>
      </c>
      <c r="F9" s="9"/>
      <c r="H9" s="9"/>
      <c r="I9" s="9" t="s">
        <v>556</v>
      </c>
      <c r="J9" s="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9" t="s">
        <v>648</v>
      </c>
      <c r="E10" s="9" t="s">
        <v>86</v>
      </c>
      <c r="F10" s="9" t="s">
        <v>528</v>
      </c>
      <c r="H10" s="9"/>
      <c r="I10" s="9" t="s">
        <v>559</v>
      </c>
      <c r="J10" s="9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9" t="s">
        <v>4</v>
      </c>
      <c r="E11" s="9" t="s">
        <v>19</v>
      </c>
      <c r="F11" s="9"/>
      <c r="H11" s="9"/>
      <c r="I11" s="9" t="s">
        <v>562</v>
      </c>
      <c r="J11" s="9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9" t="s">
        <v>158</v>
      </c>
      <c r="E12" s="9" t="s">
        <v>86</v>
      </c>
      <c r="F12" s="9" t="s">
        <v>649</v>
      </c>
      <c r="H12" s="9"/>
      <c r="I12" s="9" t="s">
        <v>565</v>
      </c>
      <c r="J12" s="9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9" t="s">
        <v>290</v>
      </c>
      <c r="E13" s="9" t="s">
        <v>86</v>
      </c>
      <c r="F13" s="9" t="s">
        <v>649</v>
      </c>
      <c r="H13" s="9"/>
      <c r="I13" s="9" t="s">
        <v>568</v>
      </c>
      <c r="J13" s="9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9" t="s">
        <v>289</v>
      </c>
      <c r="E14" s="9" t="s">
        <v>86</v>
      </c>
      <c r="F14" s="9" t="s">
        <v>60</v>
      </c>
      <c r="G14">
        <v>2</v>
      </c>
      <c r="H14" s="9"/>
      <c r="I14" s="9" t="s">
        <v>571</v>
      </c>
      <c r="J14" s="9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9" t="s">
        <v>650</v>
      </c>
      <c r="E15" s="9" t="s">
        <v>86</v>
      </c>
      <c r="F15" s="9" t="s">
        <v>60</v>
      </c>
      <c r="H15" s="9"/>
      <c r="I15" s="9" t="s">
        <v>574</v>
      </c>
      <c r="J15" s="9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9" t="s">
        <v>4</v>
      </c>
      <c r="E16" s="9" t="s">
        <v>12</v>
      </c>
      <c r="F16" s="9"/>
      <c r="H16" s="9"/>
      <c r="I16" s="9" t="s">
        <v>577</v>
      </c>
      <c r="J16" s="9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9" t="s">
        <v>4</v>
      </c>
      <c r="E17" s="9" t="s">
        <v>651</v>
      </c>
      <c r="F17" s="9"/>
      <c r="H17" s="9"/>
      <c r="I17" s="9" t="s">
        <v>580</v>
      </c>
      <c r="J17" s="9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583</v>
      </c>
      <c r="J18" s="9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9" t="s">
        <v>4</v>
      </c>
      <c r="E19" s="9" t="s">
        <v>652</v>
      </c>
      <c r="F19" s="9"/>
      <c r="H19" s="9"/>
      <c r="I19" s="9" t="s">
        <v>586</v>
      </c>
      <c r="J19" s="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9" t="s">
        <v>4</v>
      </c>
      <c r="E20" s="9" t="s">
        <v>652</v>
      </c>
      <c r="F20" s="9"/>
      <c r="H20" s="9"/>
      <c r="I20" s="9" t="s">
        <v>589</v>
      </c>
      <c r="J20" s="9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9" t="s">
        <v>4</v>
      </c>
      <c r="E21" s="9" t="s">
        <v>7</v>
      </c>
      <c r="F21" s="9"/>
      <c r="H21" s="9"/>
      <c r="I21" s="9" t="s">
        <v>592</v>
      </c>
      <c r="J21" s="9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9" t="s">
        <v>4</v>
      </c>
      <c r="E22" s="9" t="s">
        <v>652</v>
      </c>
      <c r="F22" s="9"/>
      <c r="H22" s="9"/>
      <c r="I22" s="9" t="s">
        <v>595</v>
      </c>
      <c r="J22" s="9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598</v>
      </c>
      <c r="J23" s="9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9" t="s">
        <v>4</v>
      </c>
      <c r="E24" s="9" t="s">
        <v>652</v>
      </c>
      <c r="F24" s="9"/>
      <c r="H24" s="9"/>
      <c r="I24" s="9" t="s">
        <v>601</v>
      </c>
      <c r="J24" s="9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9" t="s">
        <v>4</v>
      </c>
      <c r="E25" s="9" t="s">
        <v>7</v>
      </c>
      <c r="F25" s="9"/>
      <c r="H25" s="9"/>
      <c r="I25" s="9" t="s">
        <v>603</v>
      </c>
      <c r="J25" s="9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9" t="s">
        <v>4</v>
      </c>
      <c r="E26" s="9" t="s">
        <v>7</v>
      </c>
      <c r="F26" s="9"/>
      <c r="H26" s="9"/>
      <c r="I26" s="9" t="s">
        <v>606</v>
      </c>
      <c r="J26" s="9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9" t="s">
        <v>4</v>
      </c>
      <c r="E27" s="9" t="s">
        <v>652</v>
      </c>
      <c r="F27" s="9"/>
      <c r="H27" s="9"/>
      <c r="I27" s="9" t="s">
        <v>609</v>
      </c>
      <c r="J27" s="9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9" t="s">
        <v>4</v>
      </c>
      <c r="E28" s="9" t="s">
        <v>652</v>
      </c>
      <c r="F28" s="9"/>
      <c r="H28" s="9"/>
      <c r="I28" s="9" t="s">
        <v>612</v>
      </c>
      <c r="J28" s="9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615</v>
      </c>
      <c r="J29" s="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9" t="s">
        <v>4</v>
      </c>
      <c r="E30" s="9" t="s">
        <v>12</v>
      </c>
      <c r="F30" s="9"/>
      <c r="H30" s="9"/>
      <c r="I30" s="9" t="s">
        <v>618</v>
      </c>
      <c r="J30" s="9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9" t="s">
        <v>4</v>
      </c>
      <c r="E31" s="9" t="s">
        <v>11</v>
      </c>
      <c r="F31" s="9"/>
      <c r="H31" s="9"/>
      <c r="I31" s="9" t="s">
        <v>621</v>
      </c>
      <c r="J31" s="9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9" t="s">
        <v>4</v>
      </c>
      <c r="E32" s="9" t="s">
        <v>11</v>
      </c>
      <c r="F32" s="9"/>
      <c r="H32" s="9"/>
      <c r="I32" s="9" t="s">
        <v>624</v>
      </c>
      <c r="J32" s="9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9" t="s">
        <v>289</v>
      </c>
      <c r="E33" s="9" t="s">
        <v>86</v>
      </c>
      <c r="F33" s="9" t="s">
        <v>60</v>
      </c>
      <c r="G33">
        <v>1</v>
      </c>
      <c r="H33" s="9"/>
      <c r="I33" s="9" t="s">
        <v>627</v>
      </c>
      <c r="J33" s="9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9" t="s">
        <v>653</v>
      </c>
      <c r="E34" s="9" t="s">
        <v>86</v>
      </c>
      <c r="F34" s="9" t="s">
        <v>200</v>
      </c>
      <c r="H34" s="9"/>
      <c r="I34" s="9" t="s">
        <v>630</v>
      </c>
      <c r="J34" s="9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9" t="s">
        <v>650</v>
      </c>
      <c r="E35" s="9" t="s">
        <v>86</v>
      </c>
      <c r="F35" s="9" t="s">
        <v>200</v>
      </c>
      <c r="H35" s="9"/>
      <c r="I35" s="9" t="s">
        <v>633</v>
      </c>
      <c r="J35" s="9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9" t="s">
        <v>289</v>
      </c>
      <c r="E36" s="9" t="s">
        <v>86</v>
      </c>
      <c r="F36" s="9" t="s">
        <v>200</v>
      </c>
      <c r="H36" s="9"/>
      <c r="I36" s="9" t="s">
        <v>636</v>
      </c>
      <c r="J36" s="9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9" t="s">
        <v>650</v>
      </c>
      <c r="E37" s="9" t="s">
        <v>86</v>
      </c>
      <c r="F37" s="9" t="s">
        <v>200</v>
      </c>
      <c r="H37" s="9"/>
      <c r="I37" s="9" t="s">
        <v>639</v>
      </c>
      <c r="J37" s="9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9" t="s">
        <v>4</v>
      </c>
      <c r="E38" s="9" t="s">
        <v>11</v>
      </c>
      <c r="F38" s="9"/>
      <c r="H38" s="9"/>
      <c r="I38" s="9" t="s">
        <v>642</v>
      </c>
      <c r="J38" s="9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645</v>
      </c>
      <c r="J39" s="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9" t="s">
        <v>4</v>
      </c>
      <c r="E40" s="9" t="s">
        <v>8</v>
      </c>
      <c r="F40" s="9"/>
      <c r="H40" s="9"/>
      <c r="I40" s="9" t="s">
        <v>1115</v>
      </c>
      <c r="J40" s="9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9" t="s">
        <v>4</v>
      </c>
      <c r="E41" s="9" t="s">
        <v>8</v>
      </c>
      <c r="F41" s="9"/>
      <c r="H41" s="9" t="s">
        <v>2004</v>
      </c>
      <c r="I41" s="9" t="s">
        <v>1118</v>
      </c>
      <c r="J41" s="9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9" t="s">
        <v>4</v>
      </c>
      <c r="E42" s="9" t="s">
        <v>8</v>
      </c>
      <c r="F42" s="9"/>
      <c r="H42" s="9"/>
      <c r="I42" s="9" t="s">
        <v>1121</v>
      </c>
      <c r="J42" s="9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9" t="s">
        <v>4</v>
      </c>
      <c r="E43" s="9" t="s">
        <v>8</v>
      </c>
      <c r="F43" s="9"/>
      <c r="H43" s="9" t="s">
        <v>2004</v>
      </c>
      <c r="I43" s="9" t="s">
        <v>1124</v>
      </c>
      <c r="J43" s="9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9" t="s">
        <v>4</v>
      </c>
      <c r="E44" s="9" t="s">
        <v>8</v>
      </c>
      <c r="F44" s="9"/>
      <c r="H44" s="9"/>
      <c r="I44" s="9" t="s">
        <v>1127</v>
      </c>
      <c r="J44" s="9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9" t="s">
        <v>11</v>
      </c>
      <c r="E45" s="9"/>
      <c r="F45" s="9"/>
      <c r="H45" s="9"/>
      <c r="I45" s="9" t="s">
        <v>2154</v>
      </c>
      <c r="J45" s="9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9" t="s">
        <v>11</v>
      </c>
      <c r="E46" s="9"/>
      <c r="F46" s="9"/>
      <c r="H46" s="9"/>
      <c r="I46" s="9" t="s">
        <v>2157</v>
      </c>
      <c r="J46" s="9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9" t="s">
        <v>11</v>
      </c>
      <c r="E47" s="9"/>
      <c r="F47" s="9"/>
      <c r="H47" s="9"/>
      <c r="I47" s="9" t="s">
        <v>2160</v>
      </c>
      <c r="J47" s="9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9" t="s">
        <v>11</v>
      </c>
      <c r="E48" s="9"/>
      <c r="F48" s="9"/>
      <c r="H48" s="9"/>
      <c r="I48" s="9" t="s">
        <v>2163</v>
      </c>
      <c r="J48" s="9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9" t="s">
        <v>11</v>
      </c>
      <c r="E49" s="9"/>
      <c r="F49" s="9"/>
      <c r="H49" s="9"/>
      <c r="I49" s="9" t="s">
        <v>2166</v>
      </c>
      <c r="J49" s="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9" t="s">
        <v>11</v>
      </c>
      <c r="E50" s="9"/>
      <c r="F50" s="9"/>
      <c r="H50" s="9"/>
      <c r="I50" s="9" t="s">
        <v>2169</v>
      </c>
      <c r="J50" s="9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9" t="s">
        <v>11</v>
      </c>
      <c r="E51" s="9"/>
      <c r="F51" s="9"/>
      <c r="H51" s="9"/>
      <c r="I51" s="9" t="s">
        <v>2172</v>
      </c>
      <c r="J51" s="9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9" t="s">
        <v>11</v>
      </c>
      <c r="E52" s="9"/>
      <c r="F52" s="9"/>
      <c r="H52" s="9"/>
      <c r="I52" s="9" t="s">
        <v>2175</v>
      </c>
      <c r="J52" s="9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9" t="s">
        <v>11</v>
      </c>
      <c r="E53" s="9"/>
      <c r="F53" s="9"/>
      <c r="H53" s="9"/>
      <c r="I53" s="9" t="s">
        <v>2178</v>
      </c>
      <c r="J53" s="9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9" t="s">
        <v>4</v>
      </c>
      <c r="E54" s="9" t="s">
        <v>8</v>
      </c>
      <c r="F54" s="9"/>
      <c r="H54" s="9" t="s">
        <v>1625</v>
      </c>
      <c r="I54" s="9" t="s">
        <v>2181</v>
      </c>
      <c r="J54" s="9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9" t="s">
        <v>11</v>
      </c>
      <c r="E55" s="9"/>
      <c r="F55" s="9"/>
      <c r="H55" s="9"/>
      <c r="I55" s="9" t="s">
        <v>2184</v>
      </c>
      <c r="J55" s="9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9" t="s">
        <v>11</v>
      </c>
      <c r="E56" s="9"/>
      <c r="F56" s="9"/>
      <c r="H56" s="9"/>
      <c r="I56" s="9" t="s">
        <v>2187</v>
      </c>
      <c r="J56" s="9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9" t="s">
        <v>11</v>
      </c>
      <c r="E57" s="9"/>
      <c r="F57" s="9"/>
      <c r="H57" s="9"/>
      <c r="I57" s="9" t="s">
        <v>2190</v>
      </c>
      <c r="J57" s="9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9" t="s">
        <v>11</v>
      </c>
      <c r="E58" s="9"/>
      <c r="F58" s="9"/>
      <c r="H58" s="9"/>
      <c r="I58" s="9" t="s">
        <v>2193</v>
      </c>
      <c r="J58" s="9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9" t="s">
        <v>11</v>
      </c>
      <c r="E59" s="9"/>
      <c r="F59" s="9"/>
      <c r="H59" s="9"/>
      <c r="I59" s="9" t="s">
        <v>2196</v>
      </c>
      <c r="J59" s="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9" t="s">
        <v>11</v>
      </c>
      <c r="E60" s="9"/>
      <c r="F60" s="9"/>
      <c r="H60" s="9"/>
      <c r="I60" s="9" t="s">
        <v>2199</v>
      </c>
      <c r="J60" s="9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9" t="s">
        <v>11</v>
      </c>
      <c r="E61" s="9"/>
      <c r="F61" s="9"/>
      <c r="H61" s="9"/>
      <c r="I61" s="9" t="s">
        <v>2202</v>
      </c>
      <c r="J61" s="9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9" t="s">
        <v>11</v>
      </c>
      <c r="E62" s="9"/>
      <c r="F62" s="9"/>
      <c r="H62" s="9"/>
      <c r="I62" s="9" t="s">
        <v>2205</v>
      </c>
      <c r="J62" s="9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9" t="s">
        <v>11</v>
      </c>
      <c r="E63" s="9"/>
      <c r="F63" s="9"/>
      <c r="H63" s="9"/>
      <c r="I63" s="9" t="s">
        <v>2208</v>
      </c>
      <c r="J63" s="9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9" t="s">
        <v>11</v>
      </c>
      <c r="E64" s="9"/>
      <c r="F64" s="9"/>
      <c r="H64" s="9"/>
      <c r="I64" s="9" t="s">
        <v>2211</v>
      </c>
      <c r="J64" s="9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9" t="s">
        <v>11</v>
      </c>
      <c r="E65" s="9"/>
      <c r="F65" s="9"/>
      <c r="H65" s="9"/>
      <c r="I65" s="9" t="s">
        <v>2214</v>
      </c>
      <c r="J65" s="9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9" t="s">
        <v>11</v>
      </c>
      <c r="E66" s="9"/>
      <c r="F66" s="9"/>
      <c r="H66" s="9"/>
      <c r="I66" s="9" t="s">
        <v>2217</v>
      </c>
      <c r="J66" s="9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9" t="s">
        <v>11</v>
      </c>
      <c r="E67" s="9"/>
      <c r="F67" s="9"/>
      <c r="H67" s="9"/>
      <c r="I67" s="9" t="s">
        <v>2220</v>
      </c>
      <c r="J67" s="9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9" t="s">
        <v>4</v>
      </c>
      <c r="E68" s="9" t="s">
        <v>8</v>
      </c>
      <c r="F68" s="9"/>
      <c r="H68" s="9" t="s">
        <v>1625</v>
      </c>
      <c r="I68" s="9" t="s">
        <v>2223</v>
      </c>
      <c r="J68" s="9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9" t="s">
        <v>2004</v>
      </c>
      <c r="E69" s="9"/>
      <c r="F69" s="9"/>
      <c r="H69" s="9"/>
      <c r="I69" s="9" t="s">
        <v>2226</v>
      </c>
      <c r="J69" s="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9" t="s">
        <v>2004</v>
      </c>
      <c r="E70" s="9"/>
      <c r="F70" s="9"/>
      <c r="H70" s="9"/>
      <c r="I70" s="9" t="s">
        <v>2229</v>
      </c>
      <c r="J70" s="9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9" t="s">
        <v>4</v>
      </c>
      <c r="E71" s="9" t="s">
        <v>8</v>
      </c>
      <c r="F71" s="9"/>
      <c r="H71" s="9"/>
      <c r="I71" s="9" t="s">
        <v>3468</v>
      </c>
      <c r="J71" s="9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9" t="s">
        <v>4</v>
      </c>
      <c r="E72" s="9" t="s">
        <v>8</v>
      </c>
      <c r="F72" s="9"/>
      <c r="H72" s="9"/>
      <c r="I72" s="9" t="s">
        <v>3471</v>
      </c>
      <c r="J72" s="9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9" t="s">
        <v>4</v>
      </c>
      <c r="E73" s="9" t="s">
        <v>8</v>
      </c>
      <c r="F73" s="9"/>
      <c r="H73" s="9"/>
      <c r="I73" s="9" t="s">
        <v>3474</v>
      </c>
      <c r="J73" s="9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9" t="s">
        <v>4212</v>
      </c>
      <c r="E74" s="9"/>
      <c r="F74" s="9"/>
      <c r="H74" s="9"/>
      <c r="I74" s="9" t="s">
        <v>4213</v>
      </c>
      <c r="J74" s="9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9" t="s">
        <v>4</v>
      </c>
      <c r="E75" s="9" t="s">
        <v>8</v>
      </c>
      <c r="F75" s="9"/>
      <c r="H75" s="9"/>
      <c r="I75" s="9" t="s">
        <v>3477</v>
      </c>
      <c r="J75" s="9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9" t="s">
        <v>4209</v>
      </c>
      <c r="E76" s="9" t="s">
        <v>4210</v>
      </c>
      <c r="F76" s="9"/>
      <c r="H76" s="9"/>
      <c r="I76" s="9" t="s">
        <v>3480</v>
      </c>
      <c r="J76" s="9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9" t="s">
        <v>4209</v>
      </c>
      <c r="E77" s="9" t="s">
        <v>4210</v>
      </c>
      <c r="F77" s="9"/>
      <c r="H77" s="9" t="s">
        <v>2936</v>
      </c>
      <c r="I77" s="9" t="s">
        <v>3483</v>
      </c>
      <c r="J77" s="9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9" t="s">
        <v>4209</v>
      </c>
      <c r="E78" s="9" t="s">
        <v>4210</v>
      </c>
      <c r="F78" s="9"/>
      <c r="H78" s="9" t="s">
        <v>2936</v>
      </c>
      <c r="I78" s="9" t="s">
        <v>3486</v>
      </c>
      <c r="J78" s="9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9" t="s">
        <v>4209</v>
      </c>
      <c r="E79" s="9" t="s">
        <v>4210</v>
      </c>
      <c r="F79" s="9"/>
      <c r="H79" s="9" t="s">
        <v>2936</v>
      </c>
      <c r="I79" s="9" t="s">
        <v>3489</v>
      </c>
      <c r="J79" s="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9" t="s">
        <v>4209</v>
      </c>
      <c r="E80" s="9" t="s">
        <v>4210</v>
      </c>
      <c r="F80" s="9"/>
      <c r="H80" s="9" t="s">
        <v>2936</v>
      </c>
      <c r="I80" s="9" t="s">
        <v>3492</v>
      </c>
      <c r="J80" s="9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9" t="s">
        <v>4209</v>
      </c>
      <c r="E81" s="9" t="s">
        <v>4210</v>
      </c>
      <c r="F81" s="9"/>
      <c r="H81" s="9" t="s">
        <v>2936</v>
      </c>
      <c r="I81" s="9" t="s">
        <v>3495</v>
      </c>
      <c r="J81" s="9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9" t="s">
        <v>4209</v>
      </c>
      <c r="E82" s="9" t="s">
        <v>4210</v>
      </c>
      <c r="F82" s="9"/>
      <c r="H82" s="9" t="s">
        <v>2936</v>
      </c>
      <c r="I82" s="9" t="s">
        <v>3498</v>
      </c>
      <c r="J82" s="9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9" t="s">
        <v>4209</v>
      </c>
      <c r="E83" s="9" t="s">
        <v>4210</v>
      </c>
      <c r="F83" s="9"/>
      <c r="H83" s="9" t="s">
        <v>2936</v>
      </c>
      <c r="I83" s="9" t="s">
        <v>3501</v>
      </c>
      <c r="J83" s="9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9" t="s">
        <v>4209</v>
      </c>
      <c r="E84" s="9" t="s">
        <v>4210</v>
      </c>
      <c r="F84" s="9"/>
      <c r="H84" s="9" t="s">
        <v>2936</v>
      </c>
      <c r="I84" s="9" t="s">
        <v>3504</v>
      </c>
      <c r="J84" s="9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9" t="s">
        <v>4209</v>
      </c>
      <c r="E85" s="9" t="s">
        <v>4210</v>
      </c>
      <c r="F85" s="9"/>
      <c r="H85" s="9" t="s">
        <v>2936</v>
      </c>
      <c r="I85" s="9" t="s">
        <v>3507</v>
      </c>
      <c r="J85" s="9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9" t="s">
        <v>4209</v>
      </c>
      <c r="E86" s="9" t="s">
        <v>4210</v>
      </c>
      <c r="F86" s="9"/>
      <c r="H86" s="9" t="s">
        <v>2936</v>
      </c>
      <c r="I86" s="9" t="s">
        <v>3510</v>
      </c>
      <c r="J86" s="9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9" t="s">
        <v>4209</v>
      </c>
      <c r="E87" s="9" t="s">
        <v>4210</v>
      </c>
      <c r="F87" s="9"/>
      <c r="H87" s="9" t="s">
        <v>2936</v>
      </c>
      <c r="I87" s="9" t="s">
        <v>3513</v>
      </c>
      <c r="J87" s="9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9" t="s">
        <v>4209</v>
      </c>
      <c r="E88" s="9" t="s">
        <v>4210</v>
      </c>
      <c r="F88" s="9"/>
      <c r="H88" s="9" t="s">
        <v>2936</v>
      </c>
      <c r="I88" s="9" t="s">
        <v>3516</v>
      </c>
      <c r="J88" s="9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9" t="s">
        <v>4209</v>
      </c>
      <c r="E89" s="9" t="s">
        <v>4210</v>
      </c>
      <c r="F89" s="9"/>
      <c r="H89" s="9" t="s">
        <v>2936</v>
      </c>
      <c r="I89" s="9" t="s">
        <v>3519</v>
      </c>
      <c r="J89" s="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9" t="s">
        <v>4209</v>
      </c>
      <c r="E90" s="9" t="s">
        <v>4210</v>
      </c>
      <c r="F90" s="9"/>
      <c r="H90" s="9" t="s">
        <v>2936</v>
      </c>
      <c r="I90" s="9" t="s">
        <v>3522</v>
      </c>
      <c r="J90" s="9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9" t="s">
        <v>4209</v>
      </c>
      <c r="E91" s="9" t="s">
        <v>4210</v>
      </c>
      <c r="F91" s="9"/>
      <c r="H91" s="9" t="s">
        <v>2936</v>
      </c>
      <c r="I91" s="9" t="s">
        <v>3525</v>
      </c>
      <c r="J91" s="9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9" t="s">
        <v>4209</v>
      </c>
      <c r="E92" s="9" t="s">
        <v>4210</v>
      </c>
      <c r="F92" s="9"/>
      <c r="H92" s="9" t="s">
        <v>2936</v>
      </c>
      <c r="I92" s="9" t="s">
        <v>3528</v>
      </c>
      <c r="J92" s="9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9" t="s">
        <v>4209</v>
      </c>
      <c r="E93" s="9" t="s">
        <v>4210</v>
      </c>
      <c r="F93" s="9"/>
      <c r="H93" s="9" t="s">
        <v>2936</v>
      </c>
      <c r="I93" s="9" t="s">
        <v>3531</v>
      </c>
      <c r="J93" s="9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9" t="s">
        <v>4209</v>
      </c>
      <c r="E94" s="9" t="s">
        <v>4210</v>
      </c>
      <c r="F94" s="9"/>
      <c r="H94" s="9" t="s">
        <v>2936</v>
      </c>
      <c r="I94" s="9" t="s">
        <v>3534</v>
      </c>
      <c r="J94" s="9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9" t="s">
        <v>4209</v>
      </c>
      <c r="E95" s="9" t="s">
        <v>4210</v>
      </c>
      <c r="F95" s="9"/>
      <c r="H95" s="9" t="s">
        <v>2936</v>
      </c>
      <c r="I95" s="9" t="s">
        <v>3537</v>
      </c>
      <c r="J95" s="9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9" t="s">
        <v>4216</v>
      </c>
      <c r="E96" s="9" t="s">
        <v>4211</v>
      </c>
      <c r="F96" s="9"/>
      <c r="H96" s="9"/>
      <c r="I96" s="9" t="s">
        <v>3540</v>
      </c>
      <c r="J96" s="9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9" t="s">
        <v>4216</v>
      </c>
      <c r="E97" s="9" t="s">
        <v>4211</v>
      </c>
      <c r="F97" s="9"/>
      <c r="H97" s="9" t="s">
        <v>2936</v>
      </c>
      <c r="I97" s="9" t="s">
        <v>3543</v>
      </c>
      <c r="J97" s="9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9" t="s">
        <v>4216</v>
      </c>
      <c r="E98" s="9" t="s">
        <v>4211</v>
      </c>
      <c r="F98" s="9"/>
      <c r="H98" s="9" t="s">
        <v>2936</v>
      </c>
      <c r="I98" s="9" t="s">
        <v>3546</v>
      </c>
      <c r="J98" s="9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9" t="s">
        <v>4216</v>
      </c>
      <c r="E99" s="9" t="s">
        <v>4211</v>
      </c>
      <c r="F99" s="9"/>
      <c r="H99" s="9" t="s">
        <v>2936</v>
      </c>
      <c r="I99" s="9" t="s">
        <v>3549</v>
      </c>
      <c r="J99" s="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9" t="s">
        <v>4216</v>
      </c>
      <c r="E100" s="9" t="s">
        <v>4211</v>
      </c>
      <c r="F100" s="9"/>
      <c r="H100" s="9" t="s">
        <v>2936</v>
      </c>
      <c r="I100" s="9" t="s">
        <v>3552</v>
      </c>
      <c r="J100" s="9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9" t="s">
        <v>4216</v>
      </c>
      <c r="E101" s="9" t="s">
        <v>4211</v>
      </c>
      <c r="F101" s="9"/>
      <c r="H101" s="9" t="s">
        <v>2936</v>
      </c>
      <c r="I101" s="9" t="s">
        <v>3555</v>
      </c>
      <c r="J101" s="9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9" t="s">
        <v>4</v>
      </c>
      <c r="E102" s="9" t="s">
        <v>8</v>
      </c>
      <c r="F102" s="9"/>
      <c r="H102" s="9"/>
      <c r="I102" s="9" t="s">
        <v>3558</v>
      </c>
      <c r="J102" s="9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9" t="s">
        <v>1606</v>
      </c>
      <c r="E103" s="9" t="s">
        <v>4194</v>
      </c>
      <c r="F103" s="9"/>
      <c r="H103" s="9"/>
      <c r="I103" s="9" t="s">
        <v>3561</v>
      </c>
      <c r="J103" s="9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9" t="s">
        <v>1606</v>
      </c>
      <c r="E104" s="9" t="s">
        <v>4217</v>
      </c>
      <c r="F104" s="9"/>
      <c r="H104" s="9"/>
      <c r="I104" s="9" t="s">
        <v>3564</v>
      </c>
      <c r="J104" s="9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9" t="s">
        <v>289</v>
      </c>
      <c r="E105" s="9" t="s">
        <v>4217</v>
      </c>
      <c r="F105" s="9" t="s">
        <v>4211</v>
      </c>
      <c r="H105" s="9"/>
      <c r="I105" s="9" t="s">
        <v>3567</v>
      </c>
      <c r="J105" s="9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9" t="s">
        <v>289</v>
      </c>
      <c r="E106" s="9" t="s">
        <v>4217</v>
      </c>
      <c r="F106" s="9" t="s">
        <v>4211</v>
      </c>
      <c r="H106" s="9" t="s">
        <v>2936</v>
      </c>
      <c r="I106" s="9" t="s">
        <v>3570</v>
      </c>
      <c r="J106" s="9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9" t="s">
        <v>289</v>
      </c>
      <c r="E107" s="9" t="s">
        <v>4217</v>
      </c>
      <c r="F107" s="9" t="s">
        <v>4211</v>
      </c>
      <c r="H107" s="9" t="s">
        <v>2936</v>
      </c>
      <c r="I107" s="9" t="s">
        <v>3573</v>
      </c>
      <c r="J107" s="9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9" t="s">
        <v>289</v>
      </c>
      <c r="E108" s="9" t="s">
        <v>4217</v>
      </c>
      <c r="F108" s="9" t="s">
        <v>4211</v>
      </c>
      <c r="H108" s="9" t="s">
        <v>2936</v>
      </c>
      <c r="I108" s="9" t="s">
        <v>3576</v>
      </c>
      <c r="J108" s="9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9" t="s">
        <v>289</v>
      </c>
      <c r="E109" s="9" t="s">
        <v>4217</v>
      </c>
      <c r="F109" s="9" t="s">
        <v>4211</v>
      </c>
      <c r="H109" s="9" t="s">
        <v>2936</v>
      </c>
      <c r="I109" s="9" t="s">
        <v>3579</v>
      </c>
      <c r="J109" s="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9" t="s">
        <v>289</v>
      </c>
      <c r="E110" s="9" t="s">
        <v>4217</v>
      </c>
      <c r="F110" s="9" t="s">
        <v>4211</v>
      </c>
      <c r="H110" s="9" t="s">
        <v>2936</v>
      </c>
      <c r="I110" s="9" t="s">
        <v>3582</v>
      </c>
      <c r="J110" s="9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9" t="s">
        <v>289</v>
      </c>
      <c r="E111" s="9" t="s">
        <v>4217</v>
      </c>
      <c r="F111" s="9" t="s">
        <v>4211</v>
      </c>
      <c r="H111" s="9" t="s">
        <v>2936</v>
      </c>
      <c r="I111" s="9" t="s">
        <v>3585</v>
      </c>
      <c r="J111" s="9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9" t="s">
        <v>289</v>
      </c>
      <c r="E112" s="9" t="s">
        <v>4217</v>
      </c>
      <c r="F112" s="9" t="s">
        <v>4211</v>
      </c>
      <c r="H112" s="9" t="s">
        <v>2936</v>
      </c>
      <c r="I112" s="9" t="s">
        <v>3588</v>
      </c>
      <c r="J112" s="9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9" t="s">
        <v>289</v>
      </c>
      <c r="E113" s="9" t="s">
        <v>4217</v>
      </c>
      <c r="F113" s="9" t="s">
        <v>4211</v>
      </c>
      <c r="H113" s="9" t="s">
        <v>2936</v>
      </c>
      <c r="I113" s="9" t="s">
        <v>3591</v>
      </c>
      <c r="J113" s="9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9" t="s">
        <v>289</v>
      </c>
      <c r="E114" s="9" t="s">
        <v>4217</v>
      </c>
      <c r="F114" s="9" t="s">
        <v>4211</v>
      </c>
      <c r="H114" s="9" t="s">
        <v>2936</v>
      </c>
      <c r="I114" s="9" t="s">
        <v>3594</v>
      </c>
      <c r="J114" s="9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9" t="s">
        <v>289</v>
      </c>
      <c r="E115" s="9" t="s">
        <v>4217</v>
      </c>
      <c r="F115" s="9" t="s">
        <v>4211</v>
      </c>
      <c r="H115" s="9" t="s">
        <v>2936</v>
      </c>
      <c r="I115" s="9" t="s">
        <v>3597</v>
      </c>
      <c r="J115" s="9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9" t="s">
        <v>289</v>
      </c>
      <c r="E116" s="9" t="s">
        <v>4217</v>
      </c>
      <c r="F116" s="9" t="s">
        <v>4211</v>
      </c>
      <c r="H116" s="9" t="s">
        <v>2936</v>
      </c>
      <c r="I116" s="9" t="s">
        <v>3600</v>
      </c>
      <c r="J116" s="9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9" t="s">
        <v>289</v>
      </c>
      <c r="E117" s="9" t="s">
        <v>4217</v>
      </c>
      <c r="F117" s="9" t="s">
        <v>4211</v>
      </c>
      <c r="H117" s="9" t="s">
        <v>2936</v>
      </c>
      <c r="I117" s="9" t="s">
        <v>3603</v>
      </c>
      <c r="J117" s="9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9" t="s">
        <v>289</v>
      </c>
      <c r="E118" s="9" t="s">
        <v>4217</v>
      </c>
      <c r="F118" s="9" t="s">
        <v>4211</v>
      </c>
      <c r="H118" s="9" t="s">
        <v>2936</v>
      </c>
      <c r="I118" s="9" t="s">
        <v>3606</v>
      </c>
      <c r="J118" s="9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9" t="s">
        <v>650</v>
      </c>
      <c r="E119" s="9" t="s">
        <v>4217</v>
      </c>
      <c r="F119" s="9" t="s">
        <v>4211</v>
      </c>
      <c r="H119" s="9" t="s">
        <v>4218</v>
      </c>
      <c r="I119" s="9" t="s">
        <v>3609</v>
      </c>
      <c r="J119" s="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9" t="s">
        <v>289</v>
      </c>
      <c r="E120" s="9" t="s">
        <v>4194</v>
      </c>
      <c r="F120" s="9" t="s">
        <v>4211</v>
      </c>
      <c r="H120" s="9"/>
      <c r="I120" s="9" t="s">
        <v>3612</v>
      </c>
      <c r="J120" s="9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9" t="s">
        <v>289</v>
      </c>
      <c r="E121" s="9" t="s">
        <v>4194</v>
      </c>
      <c r="F121" s="9" t="s">
        <v>4211</v>
      </c>
      <c r="H121" s="9" t="s">
        <v>2936</v>
      </c>
      <c r="I121" s="9" t="s">
        <v>3615</v>
      </c>
      <c r="J121" s="9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9" t="s">
        <v>289</v>
      </c>
      <c r="E122" s="9" t="s">
        <v>4194</v>
      </c>
      <c r="F122" s="9" t="s">
        <v>4211</v>
      </c>
      <c r="H122" s="9" t="s">
        <v>2936</v>
      </c>
      <c r="I122" s="9" t="s">
        <v>3618</v>
      </c>
      <c r="J122" s="9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9" t="s">
        <v>289</v>
      </c>
      <c r="E123" s="9" t="s">
        <v>4194</v>
      </c>
      <c r="F123" s="9" t="s">
        <v>4211</v>
      </c>
      <c r="H123" s="9" t="s">
        <v>2936</v>
      </c>
      <c r="I123" s="9" t="s">
        <v>3621</v>
      </c>
      <c r="J123" s="9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9" t="s">
        <v>289</v>
      </c>
      <c r="E124" s="9" t="s">
        <v>4194</v>
      </c>
      <c r="F124" s="9" t="s">
        <v>4211</v>
      </c>
      <c r="H124" s="9" t="s">
        <v>2936</v>
      </c>
      <c r="I124" s="9" t="s">
        <v>3624</v>
      </c>
      <c r="J124" s="9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9" t="s">
        <v>289</v>
      </c>
      <c r="E125" s="9" t="s">
        <v>4194</v>
      </c>
      <c r="F125" s="9" t="s">
        <v>4211</v>
      </c>
      <c r="H125" s="9" t="s">
        <v>2936</v>
      </c>
      <c r="I125" s="9" t="s">
        <v>3627</v>
      </c>
      <c r="J125" s="9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9" t="s">
        <v>289</v>
      </c>
      <c r="E126" s="9" t="s">
        <v>4194</v>
      </c>
      <c r="F126" s="9" t="s">
        <v>4211</v>
      </c>
      <c r="H126" s="9" t="s">
        <v>2936</v>
      </c>
      <c r="I126" s="9" t="s">
        <v>3630</v>
      </c>
      <c r="J126" s="9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9" t="s">
        <v>289</v>
      </c>
      <c r="E127" s="9" t="s">
        <v>4194</v>
      </c>
      <c r="F127" s="9" t="s">
        <v>4211</v>
      </c>
      <c r="H127" s="9" t="s">
        <v>2936</v>
      </c>
      <c r="I127" s="9" t="s">
        <v>3633</v>
      </c>
      <c r="J127" s="9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9" t="s">
        <v>289</v>
      </c>
      <c r="E128" s="9" t="s">
        <v>4194</v>
      </c>
      <c r="F128" s="9" t="s">
        <v>4211</v>
      </c>
      <c r="H128" s="9" t="s">
        <v>2936</v>
      </c>
      <c r="I128" s="9" t="s">
        <v>3636</v>
      </c>
      <c r="J128" s="9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9" t="s">
        <v>289</v>
      </c>
      <c r="E129" s="9" t="s">
        <v>4194</v>
      </c>
      <c r="F129" s="9" t="s">
        <v>4211</v>
      </c>
      <c r="H129" s="9" t="s">
        <v>2936</v>
      </c>
      <c r="I129" s="9" t="s">
        <v>3639</v>
      </c>
      <c r="J129" s="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9" t="s">
        <v>289</v>
      </c>
      <c r="E130" s="9" t="s">
        <v>4194</v>
      </c>
      <c r="F130" s="9" t="s">
        <v>4211</v>
      </c>
      <c r="H130" s="9" t="s">
        <v>2936</v>
      </c>
      <c r="I130" s="9" t="s">
        <v>3642</v>
      </c>
      <c r="J130" s="9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9" t="s">
        <v>289</v>
      </c>
      <c r="E131" s="9" t="s">
        <v>4194</v>
      </c>
      <c r="F131" s="9" t="s">
        <v>87</v>
      </c>
      <c r="H131" s="9"/>
      <c r="I131" s="9" t="s">
        <v>3645</v>
      </c>
      <c r="J131" s="9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9" t="s">
        <v>1606</v>
      </c>
      <c r="E132" s="9" t="s">
        <v>4195</v>
      </c>
      <c r="F132" s="9"/>
      <c r="H132" s="9"/>
      <c r="I132" s="9" t="s">
        <v>3648</v>
      </c>
      <c r="J132" s="9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9" t="s">
        <v>1606</v>
      </c>
      <c r="E133" s="9" t="s">
        <v>4195</v>
      </c>
      <c r="F133" s="9"/>
      <c r="H133" s="9" t="s">
        <v>2936</v>
      </c>
      <c r="I133" s="9" t="s">
        <v>3650</v>
      </c>
      <c r="J133" s="9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9" t="s">
        <v>289</v>
      </c>
      <c r="E134" s="9" t="s">
        <v>4195</v>
      </c>
      <c r="F134" s="9" t="s">
        <v>4211</v>
      </c>
      <c r="H134" s="9"/>
      <c r="I134" s="9" t="s">
        <v>3653</v>
      </c>
      <c r="J134" s="9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9" t="s">
        <v>289</v>
      </c>
      <c r="E135" s="9" t="s">
        <v>4195</v>
      </c>
      <c r="F135" s="9" t="s">
        <v>4211</v>
      </c>
      <c r="H135" s="9" t="s">
        <v>2936</v>
      </c>
      <c r="I135" s="9" t="s">
        <v>3656</v>
      </c>
      <c r="J135" s="9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9" t="s">
        <v>289</v>
      </c>
      <c r="E136" s="9" t="s">
        <v>4195</v>
      </c>
      <c r="F136" s="9" t="s">
        <v>4211</v>
      </c>
      <c r="H136" s="9" t="s">
        <v>2936</v>
      </c>
      <c r="I136" s="9" t="s">
        <v>3659</v>
      </c>
      <c r="J136" s="9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9" t="s">
        <v>289</v>
      </c>
      <c r="E137" s="9" t="s">
        <v>4195</v>
      </c>
      <c r="F137" s="9" t="s">
        <v>4211</v>
      </c>
      <c r="H137" s="9" t="s">
        <v>2936</v>
      </c>
      <c r="I137" s="9" t="s">
        <v>3662</v>
      </c>
      <c r="J137" s="9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9" t="s">
        <v>289</v>
      </c>
      <c r="E138" s="9" t="s">
        <v>4195</v>
      </c>
      <c r="F138" s="9" t="s">
        <v>4211</v>
      </c>
      <c r="H138" s="9" t="s">
        <v>2936</v>
      </c>
      <c r="I138" s="9" t="s">
        <v>3665</v>
      </c>
      <c r="J138" s="9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9" t="s">
        <v>289</v>
      </c>
      <c r="E139" s="9" t="s">
        <v>4195</v>
      </c>
      <c r="F139" s="9" t="s">
        <v>4211</v>
      </c>
      <c r="H139" s="9" t="s">
        <v>2936</v>
      </c>
      <c r="I139" s="9" t="s">
        <v>3668</v>
      </c>
      <c r="J139" s="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9" t="s">
        <v>289</v>
      </c>
      <c r="E140" s="9" t="s">
        <v>4195</v>
      </c>
      <c r="F140" s="9" t="s">
        <v>4211</v>
      </c>
      <c r="H140" s="9" t="s">
        <v>2936</v>
      </c>
      <c r="I140" s="9" t="s">
        <v>3671</v>
      </c>
      <c r="J140" s="9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9" t="s">
        <v>289</v>
      </c>
      <c r="E141" s="9" t="s">
        <v>4195</v>
      </c>
      <c r="F141" s="9" t="s">
        <v>4211</v>
      </c>
      <c r="H141" s="9" t="s">
        <v>2936</v>
      </c>
      <c r="I141" s="9" t="s">
        <v>3674</v>
      </c>
      <c r="J141" s="9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9" t="s">
        <v>289</v>
      </c>
      <c r="E142" s="9" t="s">
        <v>4195</v>
      </c>
      <c r="F142" s="9" t="s">
        <v>4211</v>
      </c>
      <c r="H142" s="9" t="s">
        <v>2936</v>
      </c>
      <c r="I142" s="9" t="s">
        <v>3677</v>
      </c>
      <c r="J142" s="9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9" t="s">
        <v>289</v>
      </c>
      <c r="E143" s="9" t="s">
        <v>4195</v>
      </c>
      <c r="F143" s="9" t="s">
        <v>4211</v>
      </c>
      <c r="H143" s="9" t="s">
        <v>2936</v>
      </c>
      <c r="I143" s="9" t="s">
        <v>3680</v>
      </c>
      <c r="J143" s="9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9" t="s">
        <v>289</v>
      </c>
      <c r="E144" s="9" t="s">
        <v>4195</v>
      </c>
      <c r="F144" s="9" t="s">
        <v>4211</v>
      </c>
      <c r="H144" s="9" t="s">
        <v>2936</v>
      </c>
      <c r="I144" s="9" t="s">
        <v>3683</v>
      </c>
      <c r="J144" s="9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9" t="s">
        <v>289</v>
      </c>
      <c r="E145" s="9" t="s">
        <v>4195</v>
      </c>
      <c r="F145" s="9" t="s">
        <v>4211</v>
      </c>
      <c r="H145" s="9" t="s">
        <v>2936</v>
      </c>
      <c r="I145" s="9" t="s">
        <v>3686</v>
      </c>
      <c r="J145" s="9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9" t="s">
        <v>289</v>
      </c>
      <c r="E146" s="9" t="s">
        <v>4195</v>
      </c>
      <c r="F146" s="9" t="s">
        <v>4211</v>
      </c>
      <c r="H146" s="9" t="s">
        <v>2936</v>
      </c>
      <c r="I146" s="9" t="s">
        <v>3689</v>
      </c>
      <c r="J146" s="9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9" t="s">
        <v>289</v>
      </c>
      <c r="E147" s="9" t="s">
        <v>4195</v>
      </c>
      <c r="F147" s="9" t="s">
        <v>4211</v>
      </c>
      <c r="H147" s="9" t="s">
        <v>2936</v>
      </c>
      <c r="I147" s="9" t="s">
        <v>3692</v>
      </c>
      <c r="J147" s="9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9" t="s">
        <v>289</v>
      </c>
      <c r="E148" s="9" t="s">
        <v>4195</v>
      </c>
      <c r="F148" s="9" t="s">
        <v>4211</v>
      </c>
      <c r="H148" s="9" t="s">
        <v>2936</v>
      </c>
      <c r="I148" s="9" t="s">
        <v>3695</v>
      </c>
      <c r="J148" s="9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9" t="s">
        <v>289</v>
      </c>
      <c r="E149" s="9" t="s">
        <v>4195</v>
      </c>
      <c r="F149" s="9" t="s">
        <v>4211</v>
      </c>
      <c r="H149" s="9" t="s">
        <v>2936</v>
      </c>
      <c r="I149" s="9" t="s">
        <v>3698</v>
      </c>
      <c r="J149" s="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9" t="s">
        <v>289</v>
      </c>
      <c r="E150" s="9" t="s">
        <v>4195</v>
      </c>
      <c r="F150" s="9" t="s">
        <v>4211</v>
      </c>
      <c r="H150" s="9" t="s">
        <v>2936</v>
      </c>
      <c r="I150" s="9" t="s">
        <v>3701</v>
      </c>
      <c r="J150" s="9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9" t="s">
        <v>289</v>
      </c>
      <c r="E151" s="9" t="s">
        <v>4195</v>
      </c>
      <c r="F151" s="9" t="s">
        <v>4211</v>
      </c>
      <c r="H151" s="9" t="s">
        <v>2936</v>
      </c>
      <c r="I151" s="9" t="s">
        <v>3704</v>
      </c>
      <c r="J151" s="9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9" t="s">
        <v>289</v>
      </c>
      <c r="E152" s="9" t="s">
        <v>4195</v>
      </c>
      <c r="F152" s="9" t="s">
        <v>4211</v>
      </c>
      <c r="H152" s="9" t="s">
        <v>2936</v>
      </c>
      <c r="I152" s="9" t="s">
        <v>3707</v>
      </c>
      <c r="J152" s="9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9" t="s">
        <v>289</v>
      </c>
      <c r="E153" s="9" t="s">
        <v>4195</v>
      </c>
      <c r="F153" s="9" t="s">
        <v>4211</v>
      </c>
      <c r="H153" s="9" t="s">
        <v>2936</v>
      </c>
      <c r="I153" s="9" t="s">
        <v>3710</v>
      </c>
      <c r="J153" s="9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9" t="s">
        <v>471</v>
      </c>
      <c r="E154" s="9" t="s">
        <v>4195</v>
      </c>
      <c r="F154" s="9"/>
      <c r="H154" s="9"/>
      <c r="I154" s="9" t="s">
        <v>3713</v>
      </c>
      <c r="J154" s="9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9" t="s">
        <v>650</v>
      </c>
      <c r="E155" s="9" t="s">
        <v>4195</v>
      </c>
      <c r="F155" s="9" t="s">
        <v>4211</v>
      </c>
      <c r="H155" s="9" t="s">
        <v>4219</v>
      </c>
      <c r="I155" s="9" t="s">
        <v>3716</v>
      </c>
      <c r="J155" s="9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9" t="s">
        <v>4297</v>
      </c>
      <c r="E156" s="9" t="s">
        <v>55</v>
      </c>
      <c r="F156" s="9"/>
      <c r="H156" s="9"/>
      <c r="I156" s="9" t="s">
        <v>4276</v>
      </c>
      <c r="J156" s="9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9" t="s">
        <v>289</v>
      </c>
      <c r="E157" s="9" t="s">
        <v>86</v>
      </c>
      <c r="F157" s="9" t="s">
        <v>200</v>
      </c>
      <c r="H157" s="9"/>
      <c r="I157" s="9" t="s">
        <v>4999</v>
      </c>
      <c r="J157" s="9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9" t="s">
        <v>289</v>
      </c>
      <c r="E158" s="9" t="s">
        <v>86</v>
      </c>
      <c r="F158" s="9" t="s">
        <v>200</v>
      </c>
      <c r="H158" s="9"/>
      <c r="I158" s="9" t="s">
        <v>5002</v>
      </c>
      <c r="J158" s="9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9" t="s">
        <v>289</v>
      </c>
      <c r="E159" s="9" t="s">
        <v>86</v>
      </c>
      <c r="F159" s="9" t="s">
        <v>200</v>
      </c>
      <c r="H159" s="9"/>
      <c r="I159" s="9" t="s">
        <v>5005</v>
      </c>
      <c r="J159" s="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9" t="s">
        <v>1094</v>
      </c>
      <c r="E160" s="9" t="s">
        <v>4247</v>
      </c>
      <c r="F160" s="9" t="s">
        <v>58</v>
      </c>
      <c r="H160" s="9"/>
      <c r="I160" s="9" t="s">
        <v>5008</v>
      </c>
      <c r="J160" s="9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9" t="s">
        <v>289</v>
      </c>
      <c r="E161" s="9" t="s">
        <v>86</v>
      </c>
      <c r="F161" s="9" t="s">
        <v>200</v>
      </c>
      <c r="H161" s="9"/>
      <c r="I161" s="9" t="s">
        <v>5011</v>
      </c>
      <c r="J161" s="9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9" t="s">
        <v>1094</v>
      </c>
      <c r="E162" s="9" t="s">
        <v>4247</v>
      </c>
      <c r="F162" s="9" t="s">
        <v>58</v>
      </c>
      <c r="H162" s="9"/>
      <c r="I162" s="9" t="s">
        <v>5014</v>
      </c>
      <c r="J162" s="9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9" t="s">
        <v>1094</v>
      </c>
      <c r="E163" s="9" t="s">
        <v>531</v>
      </c>
      <c r="F163" s="9" t="s">
        <v>58</v>
      </c>
      <c r="H163" s="9"/>
      <c r="I163" s="9" t="s">
        <v>5017</v>
      </c>
      <c r="J163" s="9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9" t="s">
        <v>4</v>
      </c>
      <c r="E164" s="9" t="s">
        <v>8</v>
      </c>
      <c r="F164" s="9"/>
      <c r="H164" s="9"/>
      <c r="I164" s="9" t="s">
        <v>5020</v>
      </c>
      <c r="J164" s="9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9" t="s">
        <v>289</v>
      </c>
      <c r="E165" s="9" t="s">
        <v>86</v>
      </c>
      <c r="F165" s="9" t="s">
        <v>60</v>
      </c>
      <c r="H165" s="9"/>
      <c r="I165" s="9" t="s">
        <v>5023</v>
      </c>
      <c r="J165" s="9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9" t="s">
        <v>289</v>
      </c>
      <c r="E166" s="9" t="s">
        <v>86</v>
      </c>
      <c r="F166" s="9" t="s">
        <v>60</v>
      </c>
      <c r="H166" s="9"/>
      <c r="I166" s="9" t="s">
        <v>5026</v>
      </c>
      <c r="J166" s="9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9" t="s">
        <v>289</v>
      </c>
      <c r="E167" s="9" t="s">
        <v>86</v>
      </c>
      <c r="F167" s="9" t="s">
        <v>200</v>
      </c>
      <c r="H167" s="9"/>
      <c r="I167" s="9" t="s">
        <v>5029</v>
      </c>
      <c r="J167" s="9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9" t="s">
        <v>4</v>
      </c>
      <c r="E168" s="9" t="s">
        <v>8</v>
      </c>
      <c r="F168" s="9"/>
      <c r="H168" s="9"/>
      <c r="I168" s="9" t="s">
        <v>5032</v>
      </c>
      <c r="J168" s="9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9" t="s">
        <v>289</v>
      </c>
      <c r="E169" s="9" t="s">
        <v>86</v>
      </c>
      <c r="F169" s="9" t="s">
        <v>60</v>
      </c>
      <c r="H169" s="9"/>
      <c r="I169" s="9" t="s">
        <v>5035</v>
      </c>
      <c r="J169" s="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9" t="s">
        <v>289</v>
      </c>
      <c r="E170" s="9" t="s">
        <v>86</v>
      </c>
      <c r="F170" s="9" t="s">
        <v>60</v>
      </c>
      <c r="H170" s="9"/>
      <c r="I170" s="9" t="s">
        <v>5038</v>
      </c>
      <c r="J170" s="9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9" t="s">
        <v>4</v>
      </c>
      <c r="E171" s="9" t="s">
        <v>8</v>
      </c>
      <c r="F171" s="9"/>
      <c r="H171" s="9"/>
      <c r="I171" s="9" t="s">
        <v>5041</v>
      </c>
      <c r="J171" s="9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9" t="s">
        <v>1094</v>
      </c>
      <c r="E172" s="9" t="s">
        <v>4247</v>
      </c>
      <c r="F172" s="9" t="s">
        <v>60</v>
      </c>
      <c r="H172" s="9"/>
      <c r="I172" s="9" t="s">
        <v>5116</v>
      </c>
      <c r="J172" s="9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9" t="s">
        <v>1094</v>
      </c>
      <c r="E173" s="9" t="s">
        <v>4247</v>
      </c>
      <c r="F173" s="9" t="s">
        <v>200</v>
      </c>
      <c r="H173" s="9"/>
      <c r="I173" s="9" t="s">
        <v>5119</v>
      </c>
      <c r="J173" s="9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9" t="s">
        <v>1094</v>
      </c>
      <c r="E174" s="9" t="s">
        <v>4247</v>
      </c>
      <c r="F174" s="9" t="s">
        <v>200</v>
      </c>
      <c r="H174" s="9"/>
      <c r="I174" s="9" t="s">
        <v>5122</v>
      </c>
      <c r="J174" s="9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9" t="s">
        <v>4</v>
      </c>
      <c r="E175" s="9" t="s">
        <v>8</v>
      </c>
      <c r="F175" s="9"/>
      <c r="H175" s="9" t="s">
        <v>2936</v>
      </c>
      <c r="I175" s="9" t="s">
        <v>5125</v>
      </c>
      <c r="J175" s="9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9" t="s">
        <v>4</v>
      </c>
      <c r="E176" s="9" t="s">
        <v>8</v>
      </c>
      <c r="F176" s="9"/>
      <c r="H176" s="9" t="s">
        <v>2936</v>
      </c>
      <c r="I176" s="9" t="s">
        <v>5128</v>
      </c>
      <c r="J176" s="9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9" t="s">
        <v>4</v>
      </c>
      <c r="E177" s="9" t="s">
        <v>8</v>
      </c>
      <c r="F177" s="9"/>
      <c r="H177" s="9" t="s">
        <v>2936</v>
      </c>
      <c r="I177" s="9" t="s">
        <v>5131</v>
      </c>
      <c r="J177" s="9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9" t="s">
        <v>4</v>
      </c>
      <c r="E178" s="9" t="s">
        <v>8</v>
      </c>
      <c r="F178" s="9"/>
      <c r="H178" s="9" t="s">
        <v>2936</v>
      </c>
      <c r="I178" s="9" t="s">
        <v>5044</v>
      </c>
      <c r="J178" s="9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9" t="s">
        <v>4</v>
      </c>
      <c r="E179" s="9" t="s">
        <v>8</v>
      </c>
      <c r="F179" s="9"/>
      <c r="H179" s="9" t="s">
        <v>2936</v>
      </c>
      <c r="I179" s="9" t="s">
        <v>5047</v>
      </c>
      <c r="J179" s="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9" t="s">
        <v>4</v>
      </c>
      <c r="E180" s="9" t="s">
        <v>8</v>
      </c>
      <c r="F180" s="9"/>
      <c r="H180" s="9" t="s">
        <v>2936</v>
      </c>
      <c r="I180" s="9" t="s">
        <v>5050</v>
      </c>
      <c r="J180" s="9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9" t="s">
        <v>289</v>
      </c>
      <c r="E181" s="9" t="s">
        <v>86</v>
      </c>
      <c r="F181" s="9" t="s">
        <v>200</v>
      </c>
      <c r="H181" s="9"/>
      <c r="I181" s="9" t="s">
        <v>5053</v>
      </c>
      <c r="J181" s="9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9" t="s">
        <v>289</v>
      </c>
      <c r="E182" s="9" t="s">
        <v>86</v>
      </c>
      <c r="F182" s="9" t="s">
        <v>200</v>
      </c>
      <c r="H182" s="9"/>
      <c r="I182" s="9" t="s">
        <v>5056</v>
      </c>
      <c r="J182" s="9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9" t="s">
        <v>289</v>
      </c>
      <c r="E183" s="9" t="s">
        <v>86</v>
      </c>
      <c r="F183" s="9" t="s">
        <v>200</v>
      </c>
      <c r="H183" s="9"/>
      <c r="I183" s="9" t="s">
        <v>5059</v>
      </c>
      <c r="J183" s="9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9" t="s">
        <v>289</v>
      </c>
      <c r="E184" s="9" t="s">
        <v>86</v>
      </c>
      <c r="F184" s="9" t="s">
        <v>200</v>
      </c>
      <c r="H184" s="9"/>
      <c r="I184" s="9" t="s">
        <v>5062</v>
      </c>
      <c r="J184" s="9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9" t="s">
        <v>289</v>
      </c>
      <c r="E185" s="9" t="s">
        <v>86</v>
      </c>
      <c r="F185" s="9" t="s">
        <v>200</v>
      </c>
      <c r="H185" s="9"/>
      <c r="I185" s="9" t="s">
        <v>5065</v>
      </c>
      <c r="J185" s="9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9" t="s">
        <v>5134</v>
      </c>
      <c r="E186" s="9"/>
      <c r="F186" s="9"/>
      <c r="H186" s="9"/>
      <c r="I186" s="9" t="s">
        <v>5068</v>
      </c>
      <c r="J186" s="9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9" t="s">
        <v>2004</v>
      </c>
      <c r="E187" s="9"/>
      <c r="F187" s="9"/>
      <c r="H187" s="9"/>
      <c r="I187" s="9" t="s">
        <v>5071</v>
      </c>
      <c r="J187" s="9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9" t="s">
        <v>2004</v>
      </c>
      <c r="E188" s="9"/>
      <c r="F188" s="9"/>
      <c r="H188" s="9"/>
      <c r="I188" s="9" t="s">
        <v>5229</v>
      </c>
      <c r="J188" s="9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9" t="s">
        <v>4</v>
      </c>
      <c r="E189" s="9" t="s">
        <v>8</v>
      </c>
      <c r="F189" s="9"/>
      <c r="H189" s="9"/>
      <c r="I189" s="9" t="s">
        <v>5316</v>
      </c>
      <c r="J189" s="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9" t="s">
        <v>289</v>
      </c>
      <c r="E190" s="9" t="s">
        <v>86</v>
      </c>
      <c r="F190" s="9" t="s">
        <v>200</v>
      </c>
      <c r="H190" s="9"/>
      <c r="I190" s="9" t="s">
        <v>5319</v>
      </c>
      <c r="J190" s="9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9" t="s">
        <v>289</v>
      </c>
      <c r="E191" s="9" t="s">
        <v>86</v>
      </c>
      <c r="F191" s="9" t="s">
        <v>200</v>
      </c>
      <c r="H191" s="9"/>
      <c r="I191" s="9" t="s">
        <v>5322</v>
      </c>
      <c r="J191" s="9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9" t="s">
        <v>2004</v>
      </c>
      <c r="E192" s="9" t="s">
        <v>8</v>
      </c>
      <c r="F192" s="9"/>
      <c r="H192" s="9"/>
      <c r="I192" s="9" t="s">
        <v>5548</v>
      </c>
      <c r="J192" s="9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9" t="s">
        <v>2004</v>
      </c>
      <c r="E193" s="9" t="s">
        <v>8</v>
      </c>
      <c r="F193" s="9"/>
      <c r="H193" s="9"/>
      <c r="I193" s="9" t="s">
        <v>5551</v>
      </c>
      <c r="J193" s="9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9" t="s">
        <v>2004</v>
      </c>
      <c r="E194" s="9" t="s">
        <v>8</v>
      </c>
      <c r="F194" s="9"/>
      <c r="H194" s="9"/>
      <c r="I194" s="9" t="s">
        <v>5554</v>
      </c>
      <c r="J194" s="9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9" t="s">
        <v>4212</v>
      </c>
      <c r="E195" s="9"/>
      <c r="F195" s="9"/>
      <c r="H195" s="9"/>
      <c r="I195" s="9" t="s">
        <v>6330</v>
      </c>
      <c r="J195" s="9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9" t="s">
        <v>4212</v>
      </c>
      <c r="E196" s="9"/>
      <c r="F196" s="9"/>
      <c r="H196" s="9"/>
      <c r="I196" s="9" t="s">
        <v>6333</v>
      </c>
      <c r="J196" s="9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9" t="s">
        <v>4212</v>
      </c>
      <c r="E197" s="9"/>
      <c r="F197" s="9"/>
      <c r="H197" s="9"/>
      <c r="I197" s="9" t="s">
        <v>6336</v>
      </c>
      <c r="J197" s="9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9" t="s">
        <v>2004</v>
      </c>
      <c r="E198" s="9" t="s">
        <v>8</v>
      </c>
      <c r="F198" s="9"/>
      <c r="H198" s="9"/>
      <c r="I198" s="9" t="s">
        <v>6320</v>
      </c>
      <c r="J198" s="9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9" t="s">
        <v>2004</v>
      </c>
      <c r="E199" s="9" t="s">
        <v>8</v>
      </c>
      <c r="F199" s="9"/>
      <c r="H199" s="9"/>
      <c r="I199" s="9" t="s">
        <v>6560</v>
      </c>
      <c r="J199" s="9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9" t="s">
        <v>4</v>
      </c>
      <c r="E200" s="9" t="s">
        <v>6868</v>
      </c>
      <c r="F200" s="9"/>
      <c r="H200" s="9"/>
      <c r="I200" s="9" t="s">
        <v>6875</v>
      </c>
      <c r="J200" s="9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9" t="s">
        <v>2004</v>
      </c>
      <c r="E201" s="9" t="s">
        <v>8</v>
      </c>
      <c r="F201" s="9"/>
      <c r="H201" s="9"/>
      <c r="I201" s="9" t="s">
        <v>6926</v>
      </c>
      <c r="J201" s="9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9" t="s">
        <v>4212</v>
      </c>
      <c r="E202" s="9"/>
      <c r="F202" s="9"/>
      <c r="H202" s="9"/>
      <c r="I202" s="9" t="s">
        <v>7160</v>
      </c>
      <c r="J202" s="9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9" t="s">
        <v>2004</v>
      </c>
      <c r="E203" s="9" t="s">
        <v>8</v>
      </c>
      <c r="F203" s="9"/>
      <c r="H203" s="9"/>
      <c r="I203" s="9" t="s">
        <v>6929</v>
      </c>
      <c r="J203" s="9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9" t="s">
        <v>2004</v>
      </c>
      <c r="E204" s="9" t="s">
        <v>8</v>
      </c>
      <c r="F204" s="9"/>
      <c r="H204" s="9"/>
      <c r="I204" s="9" t="s">
        <v>7214</v>
      </c>
      <c r="J204" s="9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9" t="s">
        <v>2004</v>
      </c>
      <c r="E205" s="9" t="s">
        <v>8</v>
      </c>
      <c r="F205" s="9"/>
      <c r="H205" s="9"/>
      <c r="I205" s="9" t="s">
        <v>7411</v>
      </c>
      <c r="J205" s="9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9" t="s">
        <v>2004</v>
      </c>
      <c r="E206" s="9" t="s">
        <v>8</v>
      </c>
      <c r="F206" s="9"/>
      <c r="H206" s="9"/>
      <c r="I206" s="9" t="s">
        <v>7414</v>
      </c>
      <c r="J206" s="9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9" t="s">
        <v>2004</v>
      </c>
      <c r="E207" s="9" t="s">
        <v>8</v>
      </c>
      <c r="F207" s="9"/>
      <c r="H207" s="9"/>
      <c r="I207" s="9" t="s">
        <v>7700</v>
      </c>
      <c r="J207" s="9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9" t="s">
        <v>2004</v>
      </c>
      <c r="E208" s="9" t="s">
        <v>8</v>
      </c>
      <c r="F208" s="9"/>
      <c r="H208" s="9"/>
      <c r="I208" s="9" t="s">
        <v>7703</v>
      </c>
      <c r="J208" s="9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9" t="s">
        <v>2004</v>
      </c>
      <c r="E209" s="9" t="s">
        <v>8</v>
      </c>
      <c r="F209" s="9"/>
      <c r="H209" s="9"/>
      <c r="I209" s="9" t="s">
        <v>7867</v>
      </c>
      <c r="J209" s="9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9" t="s">
        <v>2004</v>
      </c>
      <c r="E210" s="9" t="s">
        <v>8</v>
      </c>
      <c r="F210" s="9"/>
      <c r="H210" s="9"/>
      <c r="I210" s="9" t="s">
        <v>8046</v>
      </c>
      <c r="J210" s="9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9" t="s">
        <v>2004</v>
      </c>
      <c r="E211" s="9" t="s">
        <v>8</v>
      </c>
      <c r="F211" s="9"/>
      <c r="H211" s="9"/>
      <c r="I211" s="9" t="s">
        <v>8049</v>
      </c>
      <c r="J211" s="9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9" t="s">
        <v>2004</v>
      </c>
      <c r="E212" s="9" t="s">
        <v>8</v>
      </c>
      <c r="F212" s="9"/>
      <c r="H212" s="9"/>
      <c r="I212" s="9" t="s">
        <v>8336</v>
      </c>
      <c r="J212" s="9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9" t="s">
        <v>2004</v>
      </c>
      <c r="E213" s="9" t="s">
        <v>8</v>
      </c>
      <c r="F213" s="9"/>
      <c r="H213" s="9"/>
      <c r="I213" s="9" t="s">
        <v>8339</v>
      </c>
      <c r="J213" s="9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9" t="s">
        <v>2004</v>
      </c>
      <c r="E214" s="9" t="s">
        <v>8</v>
      </c>
      <c r="F214" s="9"/>
      <c r="H214" s="9"/>
      <c r="I214" s="9" t="s">
        <v>8342</v>
      </c>
      <c r="J214" s="9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9" t="s">
        <v>2004</v>
      </c>
      <c r="E215" s="9" t="s">
        <v>8</v>
      </c>
      <c r="F215" s="9"/>
      <c r="H215" s="9"/>
      <c r="I215" s="9" t="s">
        <v>8346</v>
      </c>
      <c r="J215" s="9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9" t="s">
        <v>2004</v>
      </c>
      <c r="E216" s="9" t="s">
        <v>8</v>
      </c>
      <c r="F216" s="9"/>
      <c r="H216" s="9"/>
      <c r="I216" s="9" t="s">
        <v>8348</v>
      </c>
      <c r="J216" s="9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9" t="s">
        <v>2004</v>
      </c>
      <c r="E217" s="9" t="s">
        <v>8</v>
      </c>
      <c r="F217" s="9"/>
      <c r="H217" s="9"/>
      <c r="I217" s="9" t="s">
        <v>8474</v>
      </c>
      <c r="J217" s="9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9" t="s">
        <v>2004</v>
      </c>
      <c r="E218" s="9" t="s">
        <v>8</v>
      </c>
      <c r="F218" s="9"/>
      <c r="H218" s="9"/>
      <c r="I218" s="9" t="s">
        <v>8477</v>
      </c>
      <c r="J218" s="9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9" t="s">
        <v>2004</v>
      </c>
      <c r="E219" s="9" t="s">
        <v>8</v>
      </c>
      <c r="F219" s="9"/>
      <c r="H219" s="9"/>
      <c r="I219" s="9" t="s">
        <v>8480</v>
      </c>
      <c r="J219" s="9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9" t="s">
        <v>2004</v>
      </c>
      <c r="E220" s="9" t="s">
        <v>8</v>
      </c>
      <c r="F220" s="9"/>
      <c r="H220" s="9"/>
      <c r="I220" s="9" t="s">
        <v>8679</v>
      </c>
      <c r="J220" s="9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9" t="s">
        <v>2004</v>
      </c>
      <c r="E221" s="9" t="s">
        <v>8</v>
      </c>
      <c r="F221" s="9"/>
      <c r="H221" s="9"/>
      <c r="I221" s="9" t="s">
        <v>8806</v>
      </c>
      <c r="J221" s="9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9" t="s">
        <v>2004</v>
      </c>
      <c r="E222" s="9" t="s">
        <v>8</v>
      </c>
      <c r="F222" s="9"/>
      <c r="H222" s="9"/>
      <c r="I222" s="9" t="s">
        <v>8809</v>
      </c>
      <c r="J222" s="9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9" t="s">
        <v>2004</v>
      </c>
      <c r="E223" s="9" t="s">
        <v>8</v>
      </c>
      <c r="F223" s="9"/>
      <c r="H223" s="9"/>
      <c r="I223" s="9" t="s">
        <v>8812</v>
      </c>
      <c r="J223" s="9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9" t="s">
        <v>2004</v>
      </c>
      <c r="E224" s="9" t="s">
        <v>8</v>
      </c>
      <c r="F224" s="9"/>
      <c r="H224" s="9"/>
      <c r="I224" s="9" t="s">
        <v>8815</v>
      </c>
      <c r="J224" s="9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9" t="s">
        <v>2004</v>
      </c>
      <c r="E225" s="9" t="s">
        <v>8</v>
      </c>
      <c r="F225" s="9"/>
      <c r="H225" s="9"/>
      <c r="I225" s="9" t="s">
        <v>8818</v>
      </c>
      <c r="J225" s="9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9" t="s">
        <v>2004</v>
      </c>
      <c r="E226" s="9" t="s">
        <v>8</v>
      </c>
      <c r="F226" s="9"/>
      <c r="H226" s="9"/>
      <c r="I226" s="9" t="s">
        <v>8821</v>
      </c>
      <c r="J226" s="9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9" t="s">
        <v>2004</v>
      </c>
      <c r="E227" s="9" t="s">
        <v>8</v>
      </c>
      <c r="F227" s="9"/>
      <c r="H227" s="9"/>
      <c r="I227" s="9" t="s">
        <v>9192</v>
      </c>
      <c r="J227" s="9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9" t="s">
        <v>2004</v>
      </c>
      <c r="E228" s="9" t="s">
        <v>8</v>
      </c>
      <c r="F228" s="9"/>
      <c r="H228" s="9"/>
      <c r="I228" s="9" t="s">
        <v>9195</v>
      </c>
      <c r="J228" s="9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9" t="s">
        <v>2004</v>
      </c>
      <c r="E229" s="9" t="s">
        <v>8</v>
      </c>
      <c r="F229" s="9"/>
      <c r="H229" s="9"/>
      <c r="I229" s="9" t="s">
        <v>9400</v>
      </c>
      <c r="J229" s="9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9" t="s">
        <v>2004</v>
      </c>
      <c r="E230" s="9" t="s">
        <v>8</v>
      </c>
      <c r="F230" s="9"/>
      <c r="H230" s="9"/>
      <c r="I230" s="9" t="s">
        <v>9403</v>
      </c>
      <c r="J230" s="9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9" t="s">
        <v>2004</v>
      </c>
      <c r="E231" s="9" t="s">
        <v>8</v>
      </c>
      <c r="F231" s="9"/>
      <c r="H231" s="9"/>
      <c r="I231" s="9" t="s">
        <v>9406</v>
      </c>
      <c r="J231" s="9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9" t="s">
        <v>2004</v>
      </c>
      <c r="E232" s="9" t="s">
        <v>8</v>
      </c>
      <c r="F232" s="9"/>
      <c r="H232" s="9"/>
      <c r="I232" s="9" t="s">
        <v>9686</v>
      </c>
      <c r="J232" s="9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9" t="s">
        <v>2004</v>
      </c>
      <c r="E233" s="9" t="s">
        <v>8</v>
      </c>
      <c r="F233" s="9"/>
      <c r="H233" s="9"/>
      <c r="I233" s="9" t="s">
        <v>9688</v>
      </c>
      <c r="J233" s="9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9" t="s">
        <v>4</v>
      </c>
      <c r="E234" s="9" t="s">
        <v>9913</v>
      </c>
      <c r="F234" s="9"/>
      <c r="H234" s="9"/>
      <c r="I234" s="9" t="s">
        <v>9877</v>
      </c>
      <c r="J234" s="9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9" t="s">
        <v>4</v>
      </c>
      <c r="E235" s="9" t="s">
        <v>9913</v>
      </c>
      <c r="F235" s="9"/>
      <c r="H235" s="9" t="s">
        <v>2936</v>
      </c>
      <c r="I235" s="9" t="s">
        <v>9880</v>
      </c>
      <c r="J235" s="9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9" t="s">
        <v>4</v>
      </c>
      <c r="E236" s="9" t="s">
        <v>9913</v>
      </c>
      <c r="F236" s="9"/>
      <c r="H236" s="9" t="s">
        <v>2936</v>
      </c>
      <c r="I236" s="9" t="s">
        <v>9883</v>
      </c>
      <c r="J236" s="9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9" t="s">
        <v>4</v>
      </c>
      <c r="E237" s="9" t="s">
        <v>9913</v>
      </c>
      <c r="F237" s="9"/>
      <c r="H237" s="9" t="s">
        <v>2936</v>
      </c>
      <c r="I237" s="9" t="s">
        <v>9886</v>
      </c>
      <c r="J237" s="9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9" t="s">
        <v>4</v>
      </c>
      <c r="E238" s="9" t="s">
        <v>9913</v>
      </c>
      <c r="F238" s="9"/>
      <c r="H238" s="9" t="s">
        <v>2936</v>
      </c>
      <c r="I238" s="9" t="s">
        <v>9889</v>
      </c>
      <c r="J238" s="9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9" t="s">
        <v>4</v>
      </c>
      <c r="E239" s="9" t="s">
        <v>9913</v>
      </c>
      <c r="F239" s="9"/>
      <c r="H239" s="9" t="s">
        <v>2936</v>
      </c>
      <c r="I239" s="9" t="s">
        <v>9892</v>
      </c>
      <c r="J239" s="9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9" t="s">
        <v>4</v>
      </c>
      <c r="E240" s="9" t="s">
        <v>9913</v>
      </c>
      <c r="F240" s="9"/>
      <c r="H240" s="9" t="s">
        <v>2936</v>
      </c>
      <c r="I240" s="9" t="s">
        <v>9895</v>
      </c>
      <c r="J240" s="9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9" t="s">
        <v>4</v>
      </c>
      <c r="E241" s="9" t="s">
        <v>9913</v>
      </c>
      <c r="F241" s="9"/>
      <c r="H241" s="9" t="s">
        <v>2936</v>
      </c>
      <c r="I241" s="9" t="s">
        <v>9898</v>
      </c>
      <c r="J241" s="9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9" t="s">
        <v>4</v>
      </c>
      <c r="E242" s="9" t="s">
        <v>9913</v>
      </c>
      <c r="F242" s="9"/>
      <c r="H242" s="9" t="s">
        <v>2936</v>
      </c>
      <c r="I242" s="9" t="s">
        <v>9901</v>
      </c>
      <c r="J242" s="9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9" t="s">
        <v>4</v>
      </c>
      <c r="E243" s="9" t="s">
        <v>9913</v>
      </c>
      <c r="F243" s="9"/>
      <c r="H243" s="9" t="s">
        <v>2936</v>
      </c>
      <c r="I243" s="9" t="s">
        <v>9904</v>
      </c>
      <c r="J243" s="9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9" t="s">
        <v>4</v>
      </c>
      <c r="E244" s="9" t="s">
        <v>9913</v>
      </c>
      <c r="F244" s="9"/>
      <c r="H244" s="9" t="s">
        <v>2936</v>
      </c>
      <c r="I244" s="9" t="s">
        <v>9907</v>
      </c>
      <c r="J244" s="9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9" t="s">
        <v>4</v>
      </c>
      <c r="E245" s="9" t="s">
        <v>9913</v>
      </c>
      <c r="F245" s="9"/>
      <c r="H245" s="9" t="s">
        <v>2936</v>
      </c>
      <c r="I245" s="9" t="s">
        <v>9910</v>
      </c>
      <c r="J245" s="9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9" t="s">
        <v>4</v>
      </c>
      <c r="E246" s="9" t="s">
        <v>9913</v>
      </c>
      <c r="F246" s="9"/>
      <c r="H246" s="9" t="s">
        <v>2936</v>
      </c>
      <c r="I246" s="9" t="s">
        <v>10125</v>
      </c>
      <c r="J246" s="9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9" t="s">
        <v>4</v>
      </c>
      <c r="E247" s="9" t="s">
        <v>9913</v>
      </c>
      <c r="F247" s="9"/>
      <c r="H247" s="9" t="s">
        <v>2936</v>
      </c>
      <c r="I247" s="9" t="s">
        <v>10128</v>
      </c>
      <c r="J247" s="9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9" t="s">
        <v>4</v>
      </c>
      <c r="E248" s="9" t="s">
        <v>9913</v>
      </c>
      <c r="F248" s="9"/>
      <c r="H248" s="9" t="s">
        <v>2936</v>
      </c>
      <c r="I248" s="9" t="s">
        <v>10131</v>
      </c>
      <c r="J248" s="9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9" t="s">
        <v>4</v>
      </c>
      <c r="E249" s="9" t="s">
        <v>9913</v>
      </c>
      <c r="F249" s="9"/>
      <c r="H249" s="9" t="s">
        <v>2936</v>
      </c>
      <c r="I249" s="9" t="s">
        <v>10134</v>
      </c>
      <c r="J249" s="9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9" t="s">
        <v>2004</v>
      </c>
      <c r="E250" s="9" t="s">
        <v>8</v>
      </c>
      <c r="F250" s="9"/>
      <c r="H250" s="9"/>
      <c r="I250" s="9" t="s">
        <v>10137</v>
      </c>
      <c r="J250" s="9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9" t="s">
        <v>4</v>
      </c>
      <c r="E251" s="9" t="s">
        <v>10392</v>
      </c>
      <c r="F251" s="9"/>
      <c r="H251" s="9"/>
      <c r="I251" s="9" t="s">
        <v>10389</v>
      </c>
      <c r="J251" s="9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9" t="s">
        <v>2004</v>
      </c>
      <c r="E252" s="9" t="s">
        <v>8</v>
      </c>
      <c r="F252" s="9"/>
      <c r="H252" s="9"/>
      <c r="I252" s="9" t="s">
        <v>10512</v>
      </c>
      <c r="J252" s="9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9" t="s">
        <v>2004</v>
      </c>
      <c r="E253" s="9" t="s">
        <v>8</v>
      </c>
      <c r="F253" s="9"/>
      <c r="H253" s="9"/>
      <c r="I253" s="9" t="s">
        <v>10515</v>
      </c>
      <c r="J253" s="9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9" t="s">
        <v>2004</v>
      </c>
      <c r="E254" s="9" t="s">
        <v>8</v>
      </c>
      <c r="F254" s="9"/>
      <c r="H254" s="9"/>
      <c r="I254" s="9" t="s">
        <v>10631</v>
      </c>
      <c r="J254" s="9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9" t="s">
        <v>2004</v>
      </c>
      <c r="E255" s="9" t="s">
        <v>8</v>
      </c>
      <c r="F255" s="9"/>
      <c r="H255" s="9"/>
      <c r="I255" s="9" t="s">
        <v>10634</v>
      </c>
      <c r="J255" s="9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s="9" t="s">
        <v>2004</v>
      </c>
      <c r="E256" s="9" t="s">
        <v>8</v>
      </c>
      <c r="F256" s="9"/>
      <c r="H256" s="9"/>
      <c r="I256" s="9" t="s">
        <v>10878</v>
      </c>
      <c r="J256" s="9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s="9" t="s">
        <v>2004</v>
      </c>
      <c r="E257" s="9" t="s">
        <v>8</v>
      </c>
      <c r="F257" s="9"/>
      <c r="H257" s="9"/>
      <c r="I257" s="9" t="s">
        <v>10881</v>
      </c>
      <c r="J257" s="9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s="9" t="s">
        <v>2004</v>
      </c>
      <c r="E258" s="9" t="s">
        <v>8</v>
      </c>
      <c r="F258" s="9"/>
      <c r="H258" s="9"/>
      <c r="I258" s="9" t="s">
        <v>11004</v>
      </c>
      <c r="J258" s="9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s="9" t="s">
        <v>2004</v>
      </c>
      <c r="E259" s="9" t="s">
        <v>8</v>
      </c>
      <c r="F259" s="9"/>
      <c r="H259" s="9"/>
      <c r="I259" s="9" t="s">
        <v>11127</v>
      </c>
      <c r="J259" s="9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s="9" t="s">
        <v>2004</v>
      </c>
      <c r="E260" s="9" t="s">
        <v>8</v>
      </c>
      <c r="F260" s="9"/>
      <c r="H260" s="9"/>
      <c r="I260" s="9" t="s">
        <v>11130</v>
      </c>
      <c r="J260" s="9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2" t="s">
        <v>13</v>
      </c>
      <c r="B261" s="4">
        <v>46055</v>
      </c>
      <c r="C261" s="5">
        <v>0.72077546296296291</v>
      </c>
      <c r="D261" s="9" t="s">
        <v>2004</v>
      </c>
      <c r="E261" s="9" t="s">
        <v>8</v>
      </c>
      <c r="F261" s="9"/>
      <c r="H261" s="9"/>
      <c r="I261" s="9" t="s">
        <v>11414</v>
      </c>
      <c r="J261" s="9" t="s">
        <v>2984</v>
      </c>
      <c r="K261" t="s">
        <v>11415</v>
      </c>
      <c r="L261" t="s">
        <v>11416</v>
      </c>
      <c r="M261" s="3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2" t="s">
        <v>14</v>
      </c>
      <c r="B262" s="4">
        <v>46056</v>
      </c>
      <c r="C262" s="5">
        <v>0.69887731481481485</v>
      </c>
      <c r="D262" s="9" t="s">
        <v>2004</v>
      </c>
      <c r="E262" s="9" t="s">
        <v>8</v>
      </c>
      <c r="F262" s="9"/>
      <c r="H262" s="9"/>
      <c r="I262" s="9" t="s">
        <v>11417</v>
      </c>
      <c r="J262" s="9" t="s">
        <v>2984</v>
      </c>
      <c r="K262" t="s">
        <v>11418</v>
      </c>
      <c r="L262" t="s">
        <v>11419</v>
      </c>
      <c r="M262" s="3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2" t="s">
        <v>15</v>
      </c>
      <c r="B263" s="4">
        <v>46057</v>
      </c>
      <c r="C263" s="5">
        <v>0.66939814814814813</v>
      </c>
      <c r="D263" s="9" t="s">
        <v>2004</v>
      </c>
      <c r="E263" s="9" t="s">
        <v>8</v>
      </c>
      <c r="F263" s="9"/>
      <c r="H263" s="9"/>
      <c r="I263" s="9" t="s">
        <v>11642</v>
      </c>
      <c r="J263" s="9" t="s">
        <v>2984</v>
      </c>
      <c r="K263" t="s">
        <v>11643</v>
      </c>
      <c r="L263" t="s">
        <v>11644</v>
      </c>
      <c r="M263" s="3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2" t="s">
        <v>16</v>
      </c>
      <c r="B264" s="4">
        <v>46058</v>
      </c>
      <c r="C264" s="5">
        <v>0.69550925925925922</v>
      </c>
      <c r="D264" s="9" t="s">
        <v>2004</v>
      </c>
      <c r="E264" s="9" t="s">
        <v>8</v>
      </c>
      <c r="F264" s="9"/>
      <c r="H264" s="9"/>
      <c r="I264" s="9" t="s">
        <v>11645</v>
      </c>
      <c r="J264" s="9" t="s">
        <v>2984</v>
      </c>
      <c r="K264" t="s">
        <v>11646</v>
      </c>
      <c r="L264" t="s">
        <v>11647</v>
      </c>
      <c r="M264" s="3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2" t="s">
        <v>17</v>
      </c>
      <c r="B265" s="4">
        <v>46059</v>
      </c>
      <c r="C265" s="5">
        <v>0.67675925925925928</v>
      </c>
      <c r="D265" s="9" t="s">
        <v>2004</v>
      </c>
      <c r="E265" s="9" t="s">
        <v>8</v>
      </c>
      <c r="F265" s="9"/>
      <c r="H265" s="9"/>
      <c r="I265" s="9" t="s">
        <v>11648</v>
      </c>
      <c r="J265" s="9" t="s">
        <v>2984</v>
      </c>
      <c r="K265" t="s">
        <v>11649</v>
      </c>
      <c r="L265" t="s">
        <v>11650</v>
      </c>
      <c r="M265" s="3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2" t="s">
        <v>18</v>
      </c>
      <c r="B266" s="4">
        <v>46060</v>
      </c>
      <c r="C266" s="5">
        <v>0.75275462962962958</v>
      </c>
      <c r="D266" s="9" t="s">
        <v>2004</v>
      </c>
      <c r="E266" s="9" t="s">
        <v>8</v>
      </c>
      <c r="F266" s="9"/>
      <c r="H266" s="9"/>
      <c r="I266" s="9" t="s">
        <v>11776</v>
      </c>
      <c r="J266" s="9" t="s">
        <v>2984</v>
      </c>
      <c r="K266" t="s">
        <v>11777</v>
      </c>
      <c r="L266" t="s">
        <v>11778</v>
      </c>
      <c r="M266" s="3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2" t="s">
        <v>22</v>
      </c>
      <c r="B267" s="4">
        <v>46061</v>
      </c>
      <c r="C267" s="5">
        <v>0.70277777777777772</v>
      </c>
      <c r="D267" s="9" t="s">
        <v>2004</v>
      </c>
      <c r="E267" s="9" t="s">
        <v>8</v>
      </c>
      <c r="F267" s="9"/>
      <c r="H267" s="9"/>
      <c r="I267" s="9" t="s">
        <v>11779</v>
      </c>
      <c r="J267" s="9" t="s">
        <v>2984</v>
      </c>
      <c r="K267" t="s">
        <v>11780</v>
      </c>
      <c r="L267" t="s">
        <v>11781</v>
      </c>
      <c r="M267" s="3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2" t="s">
        <v>13</v>
      </c>
      <c r="B268" s="4">
        <v>46062</v>
      </c>
      <c r="C268" s="5">
        <v>0.66651620370370368</v>
      </c>
      <c r="D268" s="9" t="s">
        <v>4</v>
      </c>
      <c r="E268" s="9" t="s">
        <v>9913</v>
      </c>
      <c r="F268" s="9"/>
      <c r="H268" s="9"/>
      <c r="I268" s="9" t="s">
        <v>11784</v>
      </c>
      <c r="J268" s="9" t="s">
        <v>2984</v>
      </c>
      <c r="K268" t="s">
        <v>11785</v>
      </c>
      <c r="L268" t="s">
        <v>11786</v>
      </c>
      <c r="M268" s="3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2" t="s">
        <v>13</v>
      </c>
      <c r="B269" s="4">
        <v>46062</v>
      </c>
      <c r="C269" s="5">
        <v>0.75518518518518518</v>
      </c>
      <c r="D269" s="9" t="s">
        <v>4</v>
      </c>
      <c r="E269" s="9" t="s">
        <v>8</v>
      </c>
      <c r="F269" s="9"/>
      <c r="H269" s="9"/>
      <c r="I269" s="9" t="s">
        <v>11787</v>
      </c>
      <c r="J269" s="9" t="s">
        <v>2984</v>
      </c>
      <c r="K269" t="s">
        <v>11788</v>
      </c>
      <c r="L269" t="s">
        <v>11789</v>
      </c>
      <c r="M269" s="3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2" t="s">
        <v>14</v>
      </c>
      <c r="B270" s="4">
        <v>46063</v>
      </c>
      <c r="C270" s="5">
        <v>0.40858796296296296</v>
      </c>
      <c r="D270" s="9" t="s">
        <v>4</v>
      </c>
      <c r="E270" s="9" t="s">
        <v>9913</v>
      </c>
      <c r="F270" s="9"/>
      <c r="H270" s="9"/>
      <c r="I270" s="9" t="s">
        <v>11790</v>
      </c>
      <c r="J270" s="9" t="s">
        <v>2984</v>
      </c>
      <c r="K270" t="s">
        <v>11791</v>
      </c>
      <c r="L270" t="s">
        <v>11792</v>
      </c>
      <c r="M270" s="3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2" t="s">
        <v>14</v>
      </c>
      <c r="B271" s="4">
        <v>46063</v>
      </c>
      <c r="C271" s="5">
        <v>0.62464120370370368</v>
      </c>
      <c r="D271" s="9" t="s">
        <v>4</v>
      </c>
      <c r="E271" s="9" t="s">
        <v>9913</v>
      </c>
      <c r="F271" s="9"/>
      <c r="H271" s="9"/>
      <c r="I271" s="9" t="s">
        <v>11793</v>
      </c>
      <c r="J271" s="9" t="s">
        <v>2984</v>
      </c>
      <c r="K271" t="s">
        <v>11794</v>
      </c>
      <c r="L271" t="s">
        <v>11795</v>
      </c>
      <c r="M271" s="3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2" t="s">
        <v>14</v>
      </c>
      <c r="B272" s="4">
        <v>46063</v>
      </c>
      <c r="C272" s="5">
        <v>0.76784722222222224</v>
      </c>
      <c r="D272" s="9" t="s">
        <v>11961</v>
      </c>
      <c r="E272" s="9"/>
      <c r="F272" s="9"/>
      <c r="H272" s="9"/>
      <c r="I272" s="9" t="s">
        <v>11796</v>
      </c>
      <c r="J272" s="9" t="s">
        <v>2984</v>
      </c>
      <c r="K272" t="s">
        <v>11797</v>
      </c>
      <c r="L272" t="s">
        <v>11798</v>
      </c>
      <c r="M272" s="3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2" t="s">
        <v>14</v>
      </c>
      <c r="B273" s="4">
        <v>46063</v>
      </c>
      <c r="C273" s="5">
        <v>0.77371527777777782</v>
      </c>
      <c r="D273" s="9" t="s">
        <v>4</v>
      </c>
      <c r="E273" s="9" t="s">
        <v>8</v>
      </c>
      <c r="F273" s="9"/>
      <c r="H273" s="9"/>
      <c r="I273" s="9" t="s">
        <v>11799</v>
      </c>
      <c r="J273" s="9" t="s">
        <v>2984</v>
      </c>
      <c r="K273" t="s">
        <v>11800</v>
      </c>
      <c r="L273" t="s">
        <v>11801</v>
      </c>
      <c r="M273" s="3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2" t="s">
        <v>15</v>
      </c>
      <c r="B274" s="4">
        <v>46064</v>
      </c>
      <c r="C274" s="5">
        <v>0.45231481481481484</v>
      </c>
      <c r="D274" s="9" t="s">
        <v>4</v>
      </c>
      <c r="E274" s="9" t="s">
        <v>8</v>
      </c>
      <c r="F274" s="9"/>
      <c r="H274" s="9"/>
      <c r="I274" s="9" t="s">
        <v>11802</v>
      </c>
      <c r="J274" s="9" t="s">
        <v>2984</v>
      </c>
      <c r="K274" t="s">
        <v>11803</v>
      </c>
      <c r="L274" t="s">
        <v>11804</v>
      </c>
      <c r="M274" s="3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2" t="s">
        <v>15</v>
      </c>
      <c r="B275" s="4">
        <v>46064</v>
      </c>
      <c r="C275" s="5">
        <v>0.5962615740740741</v>
      </c>
      <c r="D275" s="9" t="s">
        <v>4</v>
      </c>
      <c r="E275" s="9" t="s">
        <v>8</v>
      </c>
      <c r="F275" s="9"/>
      <c r="H275" s="9"/>
      <c r="I275" s="9" t="s">
        <v>11805</v>
      </c>
      <c r="J275" s="9" t="s">
        <v>2984</v>
      </c>
      <c r="K275" t="s">
        <v>11806</v>
      </c>
      <c r="L275" t="s">
        <v>11807</v>
      </c>
      <c r="M275" s="3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2" t="s">
        <v>16</v>
      </c>
      <c r="B276" s="4">
        <v>46065</v>
      </c>
      <c r="C276" s="5">
        <v>0.4445486111111111</v>
      </c>
      <c r="D276" s="9" t="s">
        <v>4</v>
      </c>
      <c r="E276" s="9" t="s">
        <v>8</v>
      </c>
      <c r="F276" s="9"/>
      <c r="H276" s="9"/>
      <c r="I276" s="9" t="s">
        <v>11808</v>
      </c>
      <c r="J276" s="9" t="s">
        <v>2984</v>
      </c>
      <c r="K276" t="s">
        <v>11809</v>
      </c>
      <c r="L276" t="s">
        <v>11810</v>
      </c>
      <c r="M276" s="3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2" t="s">
        <v>16</v>
      </c>
      <c r="B277" s="4">
        <v>46065</v>
      </c>
      <c r="C277" s="5">
        <v>0.50905092592592593</v>
      </c>
      <c r="D277" s="9" t="s">
        <v>11962</v>
      </c>
      <c r="E277" s="9" t="s">
        <v>2932</v>
      </c>
      <c r="F277" s="9"/>
      <c r="H277" s="9"/>
      <c r="I277" s="9" t="s">
        <v>11811</v>
      </c>
      <c r="J277" s="9" t="s">
        <v>2984</v>
      </c>
      <c r="K277" t="s">
        <v>11812</v>
      </c>
      <c r="L277" t="s">
        <v>11813</v>
      </c>
      <c r="M277" s="3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2" t="s">
        <v>16</v>
      </c>
      <c r="B278" s="4">
        <v>46065</v>
      </c>
      <c r="C278" s="5">
        <v>0.51561342592592596</v>
      </c>
      <c r="D278" s="9" t="s">
        <v>4</v>
      </c>
      <c r="E278" s="9" t="s">
        <v>9913</v>
      </c>
      <c r="F278" s="9"/>
      <c r="H278" s="9"/>
      <c r="I278" s="9" t="s">
        <v>11814</v>
      </c>
      <c r="J278" s="9" t="s">
        <v>2984</v>
      </c>
      <c r="K278" t="s">
        <v>11815</v>
      </c>
      <c r="L278" t="s">
        <v>11816</v>
      </c>
      <c r="M278" s="3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2" t="s">
        <v>16</v>
      </c>
      <c r="B279" s="4">
        <v>46065</v>
      </c>
      <c r="C279" s="5">
        <v>0.73291666666666666</v>
      </c>
      <c r="D279" s="9" t="s">
        <v>4</v>
      </c>
      <c r="E279" s="9" t="s">
        <v>8</v>
      </c>
      <c r="F279" s="9"/>
      <c r="H279" s="9"/>
      <c r="I279" s="9" t="s">
        <v>11817</v>
      </c>
      <c r="J279" s="9" t="s">
        <v>2984</v>
      </c>
      <c r="K279" t="s">
        <v>11818</v>
      </c>
      <c r="L279" t="s">
        <v>11819</v>
      </c>
      <c r="M279" s="3" t="str">
        <f>HYPERLINK(склад2въезд13192021[[#This Row],[RelativePath]])</f>
        <v>7 Площадка 2 бетонщики\K07156189_18_20260212T173524Z.jpg</v>
      </c>
    </row>
  </sheetData>
  <conditionalFormatting sqref="E280:E293 D1:D197 D280:D1048576 G2:H279 D2:E279">
    <cfRule type="containsText" dxfId="739" priority="18" operator="containsText" text="Выезд с территории">
      <formula>NOT(ISERROR(SEARCH("Выезд с территории",D1)))</formula>
    </cfRule>
  </conditionalFormatting>
  <conditionalFormatting sqref="F2:F279">
    <cfRule type="notContainsText" dxfId="738" priority="17" operator="notContains" text="порожний">
      <formula>ISERROR(SEARCH("порожний",F2))</formula>
    </cfRule>
  </conditionalFormatting>
  <conditionalFormatting sqref="E2:E293">
    <cfRule type="containsText" dxfId="737" priority="15" operator="containsText" text="Газель базы">
      <formula>NOT(ISERROR(SEARCH("Газель базы",E2)))</formula>
    </cfRule>
    <cfRule type="containsText" dxfId="736" priority="16" operator="containsText" text="Погрузчик базы">
      <formula>NOT(ISERROR(SEARCH("Погрузчик базы",E2)))</formula>
    </cfRule>
  </conditionalFormatting>
  <conditionalFormatting sqref="E2:E293">
    <cfRule type="containsText" dxfId="735" priority="14" operator="containsText" text="Трактор базы">
      <formula>NOT(ISERROR(SEARCH("Трактор базы",E2)))</formula>
    </cfRule>
  </conditionalFormatting>
  <conditionalFormatting sqref="A2:C279">
    <cfRule type="expression" dxfId="734" priority="13">
      <formula>$A2="пн"</formula>
    </cfRule>
  </conditionalFormatting>
  <conditionalFormatting sqref="A2:C281">
    <cfRule type="expression" dxfId="733" priority="7">
      <formula>$A2="вс"</formula>
    </cfRule>
    <cfRule type="expression" dxfId="732" priority="8">
      <formula>$A2="сб"</formula>
    </cfRule>
    <cfRule type="expression" dxfId="731" priority="9">
      <formula>$A2="пт"</formula>
    </cfRule>
    <cfRule type="expression" dxfId="730" priority="10">
      <formula>$A2="чт"</formula>
    </cfRule>
    <cfRule type="expression" dxfId="729" priority="11">
      <formula>$A2="ср"</formula>
    </cfRule>
    <cfRule type="expression" dxfId="728" priority="12">
      <formula>$A2="вт"</formula>
    </cfRule>
  </conditionalFormatting>
  <conditionalFormatting sqref="D1:D1048576">
    <cfRule type="containsText" dxfId="727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726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25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0"/>
  <sheetViews>
    <sheetView topLeftCell="B1" zoomScale="90" zoomScaleNormal="90" workbookViewId="0">
      <pane ySplit="1" topLeftCell="A272" activePane="bottomLeft" state="frozen"/>
      <selection pane="bottomLeft" activeCell="I287" sqref="I287:I2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t="s">
        <v>4</v>
      </c>
      <c r="E262" t="s">
        <v>9</v>
      </c>
      <c r="I262" t="s">
        <v>10923</v>
      </c>
      <c r="J262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t="s">
        <v>9409</v>
      </c>
      <c r="E263" t="s">
        <v>1607</v>
      </c>
      <c r="I263" t="s">
        <v>10926</v>
      </c>
      <c r="J263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t="s">
        <v>10888</v>
      </c>
      <c r="E264" t="s">
        <v>796</v>
      </c>
      <c r="I264" t="s">
        <v>10929</v>
      </c>
      <c r="J264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t="s">
        <v>2024</v>
      </c>
      <c r="E265" t="s">
        <v>796</v>
      </c>
      <c r="I265" t="s">
        <v>10932</v>
      </c>
      <c r="J265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t="s">
        <v>10888</v>
      </c>
      <c r="E266" t="s">
        <v>796</v>
      </c>
      <c r="I266" t="s">
        <v>10935</v>
      </c>
      <c r="J266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t="s">
        <v>2024</v>
      </c>
      <c r="E267" t="s">
        <v>796</v>
      </c>
      <c r="I267" t="s">
        <v>10938</v>
      </c>
      <c r="J267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t="s">
        <v>10888</v>
      </c>
      <c r="E268" t="s">
        <v>796</v>
      </c>
      <c r="I268" t="s">
        <v>10941</v>
      </c>
      <c r="J26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t="s">
        <v>2024</v>
      </c>
      <c r="E269" t="s">
        <v>796</v>
      </c>
      <c r="I269" t="s">
        <v>10944</v>
      </c>
      <c r="J269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t="s">
        <v>9455</v>
      </c>
      <c r="E270" t="s">
        <v>1607</v>
      </c>
      <c r="I270" t="s">
        <v>11040</v>
      </c>
      <c r="J270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t="s">
        <v>2024</v>
      </c>
      <c r="E271" t="s">
        <v>796</v>
      </c>
      <c r="I271" t="s">
        <v>11043</v>
      </c>
      <c r="J271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  <row r="272" spans="1:13" x14ac:dyDescent="0.25">
      <c r="A272" s="2" t="s">
        <v>13</v>
      </c>
      <c r="B272" s="4">
        <v>46055</v>
      </c>
      <c r="C272" s="5">
        <v>0.39327546296296295</v>
      </c>
      <c r="D272" t="s">
        <v>2024</v>
      </c>
      <c r="E272" t="s">
        <v>796</v>
      </c>
      <c r="I272" t="s">
        <v>11199</v>
      </c>
      <c r="J272" t="s">
        <v>2992</v>
      </c>
      <c r="K272" t="s">
        <v>11200</v>
      </c>
      <c r="L272" t="s">
        <v>11201</v>
      </c>
      <c r="M272" s="3" t="str">
        <f>HYPERLINK(склад2въезд1319202122[[#This Row],[RelativePath]])</f>
        <v>8 Рейсмус\E33149364_2_20260202T092619Z.jpg</v>
      </c>
    </row>
    <row r="273" spans="1:13" x14ac:dyDescent="0.25">
      <c r="A273" s="2" t="s">
        <v>13</v>
      </c>
      <c r="B273" s="4">
        <v>46055</v>
      </c>
      <c r="C273" s="5">
        <v>0.4941550925925926</v>
      </c>
      <c r="D273" t="s">
        <v>9409</v>
      </c>
      <c r="E273" t="s">
        <v>1607</v>
      </c>
      <c r="I273" t="s">
        <v>11202</v>
      </c>
      <c r="J273" t="s">
        <v>2992</v>
      </c>
      <c r="K273" t="s">
        <v>11203</v>
      </c>
      <c r="L273" t="s">
        <v>11204</v>
      </c>
      <c r="M273" s="3" t="str">
        <f>HYPERLINK(склад2въезд1319202122[[#This Row],[RelativePath]])</f>
        <v>8 Рейсмус\E33149364_2_20260202T115135Z.jpg</v>
      </c>
    </row>
    <row r="274" spans="1:13" x14ac:dyDescent="0.25">
      <c r="A274" s="2" t="s">
        <v>13</v>
      </c>
      <c r="B274" s="4">
        <v>46055</v>
      </c>
      <c r="C274" s="5">
        <v>0.64759259259259261</v>
      </c>
      <c r="D274" t="s">
        <v>9409</v>
      </c>
      <c r="E274" t="s">
        <v>1607</v>
      </c>
      <c r="I274" t="s">
        <v>11205</v>
      </c>
      <c r="J274" t="s">
        <v>2992</v>
      </c>
      <c r="K274" t="s">
        <v>11206</v>
      </c>
      <c r="L274" t="s">
        <v>11207</v>
      </c>
      <c r="M274" s="3" t="str">
        <f>HYPERLINK(склад2въезд1319202122[[#This Row],[RelativePath]])</f>
        <v>8 Рейсмус\E33149364_2_20260202T153232Z.jpg</v>
      </c>
    </row>
    <row r="275" spans="1:13" x14ac:dyDescent="0.25">
      <c r="A275" s="2" t="s">
        <v>13</v>
      </c>
      <c r="B275" s="4">
        <v>46055</v>
      </c>
      <c r="C275" s="5">
        <v>0.68866898148148148</v>
      </c>
      <c r="D275" t="s">
        <v>9409</v>
      </c>
      <c r="E275" t="s">
        <v>1607</v>
      </c>
      <c r="I275" t="s">
        <v>11208</v>
      </c>
      <c r="J275" t="s">
        <v>2992</v>
      </c>
      <c r="K275" t="s">
        <v>11209</v>
      </c>
      <c r="L275" t="s">
        <v>11210</v>
      </c>
      <c r="M275" s="3" t="str">
        <f>HYPERLINK(склад2въезд1319202122[[#This Row],[RelativePath]])</f>
        <v>8 Рейсмус\E33149364_2_20260202T163141Z.jpg</v>
      </c>
    </row>
    <row r="276" spans="1:13" x14ac:dyDescent="0.25">
      <c r="A276" s="2" t="s">
        <v>14</v>
      </c>
      <c r="B276" s="4">
        <v>46056</v>
      </c>
      <c r="C276" s="5">
        <v>0.51500000000000001</v>
      </c>
      <c r="D276" t="s">
        <v>4</v>
      </c>
      <c r="E276" t="s">
        <v>9</v>
      </c>
      <c r="I276" t="s">
        <v>11211</v>
      </c>
      <c r="J276" t="s">
        <v>2992</v>
      </c>
      <c r="K276" t="s">
        <v>11212</v>
      </c>
      <c r="L276" t="s">
        <v>11213</v>
      </c>
      <c r="M276" s="3" t="str">
        <f>HYPERLINK(склад2въезд1319202122[[#This Row],[RelativePath]])</f>
        <v>8 Рейсмус\E33149364_2_20260203T122136Z.jpg</v>
      </c>
    </row>
    <row r="277" spans="1:13" x14ac:dyDescent="0.25">
      <c r="A277" s="2" t="s">
        <v>14</v>
      </c>
      <c r="B277" s="4">
        <v>46056</v>
      </c>
      <c r="C277" s="5">
        <v>0.65103009259259259</v>
      </c>
      <c r="D277" t="s">
        <v>9409</v>
      </c>
      <c r="E277" t="s">
        <v>1607</v>
      </c>
      <c r="I277" t="s">
        <v>11214</v>
      </c>
      <c r="J277" t="s">
        <v>2992</v>
      </c>
      <c r="K277" t="s">
        <v>11215</v>
      </c>
      <c r="L277" t="s">
        <v>11216</v>
      </c>
      <c r="M277" s="3" t="str">
        <f>HYPERLINK(склад2въезд1319202122[[#This Row],[RelativePath]])</f>
        <v>8 Рейсмус\E33149364_2_20260203T153729Z.jpg</v>
      </c>
    </row>
    <row r="278" spans="1:13" x14ac:dyDescent="0.25">
      <c r="A278" s="2" t="s">
        <v>14</v>
      </c>
      <c r="B278" s="4">
        <v>46056</v>
      </c>
      <c r="C278" s="5">
        <v>0.65806712962962965</v>
      </c>
      <c r="D278" t="s">
        <v>2024</v>
      </c>
      <c r="E278" t="s">
        <v>796</v>
      </c>
      <c r="I278" t="s">
        <v>11217</v>
      </c>
      <c r="J278" t="s">
        <v>2992</v>
      </c>
      <c r="K278" t="s">
        <v>11218</v>
      </c>
      <c r="L278" t="s">
        <v>11219</v>
      </c>
      <c r="M278" s="3" t="str">
        <f>HYPERLINK(склад2въезд1319202122[[#This Row],[RelativePath]])</f>
        <v>8 Рейсмус\E33149364_2_20260203T154737Z.jpg</v>
      </c>
    </row>
    <row r="279" spans="1:13" x14ac:dyDescent="0.25">
      <c r="A279" s="2" t="s">
        <v>14</v>
      </c>
      <c r="B279" s="4">
        <v>46056</v>
      </c>
      <c r="C279" s="5">
        <v>0.8774305555555556</v>
      </c>
      <c r="D279" t="s">
        <v>9409</v>
      </c>
      <c r="E279" t="s">
        <v>1607</v>
      </c>
      <c r="I279" t="s">
        <v>11220</v>
      </c>
      <c r="J279" t="s">
        <v>2992</v>
      </c>
      <c r="K279" t="s">
        <v>11221</v>
      </c>
      <c r="L279" t="s">
        <v>11222</v>
      </c>
      <c r="M279" s="3" t="str">
        <f>HYPERLINK(склад2въезд1319202122[[#This Row],[RelativePath]])</f>
        <v>8 Рейсмус\E33149364_2_20260203T210330Z.jpg</v>
      </c>
    </row>
    <row r="280" spans="1:13" x14ac:dyDescent="0.25">
      <c r="A280" s="2" t="s">
        <v>14</v>
      </c>
      <c r="B280" s="4">
        <v>46056</v>
      </c>
      <c r="C280" s="5">
        <v>0.90979166666666667</v>
      </c>
      <c r="D280" t="s">
        <v>2024</v>
      </c>
      <c r="E280" t="s">
        <v>796</v>
      </c>
      <c r="I280" t="s">
        <v>11223</v>
      </c>
      <c r="J280" t="s">
        <v>2992</v>
      </c>
      <c r="K280" t="s">
        <v>11224</v>
      </c>
      <c r="L280" t="s">
        <v>11225</v>
      </c>
      <c r="M280" s="3" t="str">
        <f>HYPERLINK(склад2въезд1319202122[[#This Row],[RelativePath]])</f>
        <v>8 Рейсмус\E33149364_2_20260203T215006Z.jpg</v>
      </c>
    </row>
    <row r="281" spans="1:13" x14ac:dyDescent="0.25">
      <c r="A281" s="2" t="s">
        <v>15</v>
      </c>
      <c r="B281" s="4">
        <v>46057</v>
      </c>
      <c r="C281" s="5">
        <v>0.3730324074074074</v>
      </c>
      <c r="D281" t="s">
        <v>9409</v>
      </c>
      <c r="E281" t="s">
        <v>1607</v>
      </c>
      <c r="I281" t="s">
        <v>11619</v>
      </c>
      <c r="J281" t="s">
        <v>2992</v>
      </c>
      <c r="K281" t="s">
        <v>11620</v>
      </c>
      <c r="L281" t="s">
        <v>11621</v>
      </c>
      <c r="M281" s="3" t="str">
        <f>HYPERLINK(склад2въезд1319202122[[#This Row],[RelativePath]])</f>
        <v>8 Рейсмус\E33149364_2_20260204T085710Z.jpg</v>
      </c>
    </row>
    <row r="282" spans="1:13" x14ac:dyDescent="0.25">
      <c r="A282" s="2" t="s">
        <v>15</v>
      </c>
      <c r="B282" s="4">
        <v>46057</v>
      </c>
      <c r="C282" s="5">
        <v>0.80087962962962966</v>
      </c>
      <c r="D282" t="s">
        <v>2024</v>
      </c>
      <c r="E282" t="s">
        <v>796</v>
      </c>
      <c r="I282" t="s">
        <v>11622</v>
      </c>
      <c r="J282" t="s">
        <v>2992</v>
      </c>
      <c r="K282" t="s">
        <v>11623</v>
      </c>
      <c r="L282" t="s">
        <v>11624</v>
      </c>
      <c r="M282" s="3" t="str">
        <f>HYPERLINK(склад2въезд1319202122[[#This Row],[RelativePath]])</f>
        <v>8 Рейсмус\E33149364_2_20260204T191316Z.jpg</v>
      </c>
    </row>
    <row r="283" spans="1:13" x14ac:dyDescent="0.25">
      <c r="A283" s="2" t="s">
        <v>16</v>
      </c>
      <c r="B283" s="4">
        <v>46058</v>
      </c>
      <c r="C283" s="5">
        <v>0.59174768518518517</v>
      </c>
      <c r="D283" t="s">
        <v>9409</v>
      </c>
      <c r="E283" t="s">
        <v>1607</v>
      </c>
      <c r="I283" t="s">
        <v>11625</v>
      </c>
      <c r="J283" t="s">
        <v>2992</v>
      </c>
      <c r="K283" t="s">
        <v>11626</v>
      </c>
      <c r="L283" t="s">
        <v>11627</v>
      </c>
      <c r="M283" s="3" t="str">
        <f>HYPERLINK(склад2въезд1319202122[[#This Row],[RelativePath]])</f>
        <v>8 Рейсмус\E33149364_2_20260205T141207Z.jpg</v>
      </c>
    </row>
    <row r="284" spans="1:13" x14ac:dyDescent="0.25">
      <c r="A284" s="2" t="s">
        <v>16</v>
      </c>
      <c r="B284" s="4">
        <v>46058</v>
      </c>
      <c r="C284" s="5">
        <v>0.84887731481481477</v>
      </c>
      <c r="D284" t="s">
        <v>2024</v>
      </c>
      <c r="E284" t="s">
        <v>796</v>
      </c>
      <c r="I284" t="s">
        <v>11628</v>
      </c>
      <c r="J284" t="s">
        <v>2992</v>
      </c>
      <c r="K284" t="s">
        <v>11629</v>
      </c>
      <c r="L284" t="s">
        <v>11630</v>
      </c>
      <c r="M284" s="3" t="str">
        <f>HYPERLINK(склад2въезд1319202122[[#This Row],[RelativePath]])</f>
        <v>8 Рейсмус\E33149364_2_20260205T202223Z.jpg</v>
      </c>
    </row>
    <row r="285" spans="1:13" x14ac:dyDescent="0.25">
      <c r="A285" s="2" t="s">
        <v>17</v>
      </c>
      <c r="B285" s="4">
        <v>46059</v>
      </c>
      <c r="C285" s="5">
        <v>0.40892361111111108</v>
      </c>
      <c r="D285" t="s">
        <v>2024</v>
      </c>
      <c r="E285" t="s">
        <v>796</v>
      </c>
      <c r="I285" t="s">
        <v>11631</v>
      </c>
      <c r="J285" t="s">
        <v>2992</v>
      </c>
      <c r="K285" t="s">
        <v>11632</v>
      </c>
      <c r="L285" t="s">
        <v>11633</v>
      </c>
      <c r="M285" s="3" t="str">
        <f>HYPERLINK(склад2въезд1319202122[[#This Row],[RelativePath]])</f>
        <v>8 Рейсмус\E33149364_2_20260206T094851Z.jpg</v>
      </c>
    </row>
    <row r="286" spans="1:13" x14ac:dyDescent="0.25">
      <c r="A286" s="2" t="s">
        <v>17</v>
      </c>
      <c r="B286" s="4">
        <v>46059</v>
      </c>
      <c r="C286" s="5">
        <v>0.60069444444444442</v>
      </c>
      <c r="D286" t="s">
        <v>4</v>
      </c>
      <c r="E286" t="s">
        <v>9</v>
      </c>
      <c r="I286" t="s">
        <v>11634</v>
      </c>
      <c r="J286" t="s">
        <v>2992</v>
      </c>
      <c r="K286" t="s">
        <v>11635</v>
      </c>
      <c r="L286" t="s">
        <v>11636</v>
      </c>
      <c r="M286" s="3" t="str">
        <f>HYPERLINK(склад2въезд1319202122[[#This Row],[RelativePath]])</f>
        <v>8 Рейсмус\E33149364_2_20260206T142500Z.jpg</v>
      </c>
    </row>
    <row r="287" spans="1:13" x14ac:dyDescent="0.25">
      <c r="A287" s="2" t="s">
        <v>18</v>
      </c>
      <c r="B287" s="4">
        <v>46060</v>
      </c>
      <c r="C287" s="5">
        <v>0.38190972222222225</v>
      </c>
      <c r="D287" t="s">
        <v>4</v>
      </c>
      <c r="E287" t="s">
        <v>9</v>
      </c>
      <c r="I287" t="s">
        <v>11697</v>
      </c>
      <c r="J287" t="s">
        <v>2992</v>
      </c>
      <c r="K287" t="s">
        <v>11698</v>
      </c>
      <c r="L287" t="s">
        <v>11699</v>
      </c>
      <c r="M287" s="3" t="str">
        <f>HYPERLINK(склад2въезд1319202122[[#This Row],[RelativePath]])</f>
        <v>8 Рейсмус\E33149364_2_20260207T090957Z.jpg</v>
      </c>
    </row>
    <row r="288" spans="1:13" x14ac:dyDescent="0.25">
      <c r="A288" s="2" t="s">
        <v>22</v>
      </c>
      <c r="B288" s="4">
        <v>46061</v>
      </c>
      <c r="C288" s="5">
        <v>0.47939814814814813</v>
      </c>
      <c r="D288" t="s">
        <v>2024</v>
      </c>
      <c r="E288" t="s">
        <v>796</v>
      </c>
      <c r="I288" t="s">
        <v>11700</v>
      </c>
      <c r="J288" t="s">
        <v>2992</v>
      </c>
      <c r="K288" t="s">
        <v>11701</v>
      </c>
      <c r="L288" t="s">
        <v>11702</v>
      </c>
      <c r="M288" s="3" t="str">
        <f>HYPERLINK(склад2въезд1319202122[[#This Row],[RelativePath]])</f>
        <v>8 Рейсмус\E33149364_2_20260208T113020Z.jpg</v>
      </c>
    </row>
    <row r="289" spans="1:13" x14ac:dyDescent="0.25">
      <c r="A289" s="2" t="s">
        <v>22</v>
      </c>
      <c r="B289" s="4">
        <v>46061</v>
      </c>
      <c r="C289" s="5">
        <v>0.54703703703703699</v>
      </c>
      <c r="D289" t="s">
        <v>2024</v>
      </c>
      <c r="E289" t="s">
        <v>796</v>
      </c>
      <c r="I289" t="s">
        <v>11703</v>
      </c>
      <c r="J289" t="s">
        <v>2992</v>
      </c>
      <c r="K289" t="s">
        <v>11704</v>
      </c>
      <c r="L289" t="s">
        <v>11705</v>
      </c>
      <c r="M289" s="3" t="str">
        <f>HYPERLINK(склад2въезд1319202122[[#This Row],[RelativePath]])</f>
        <v>8 Рейсмус\E33149364_2_20260208T130744Z.jpg</v>
      </c>
    </row>
    <row r="290" spans="1:13" x14ac:dyDescent="0.25">
      <c r="A290" s="2" t="s">
        <v>22</v>
      </c>
      <c r="B290" s="4">
        <v>46061</v>
      </c>
      <c r="C290" s="5">
        <v>0.95343750000000005</v>
      </c>
      <c r="D290" t="s">
        <v>2024</v>
      </c>
      <c r="E290" t="s">
        <v>796</v>
      </c>
      <c r="I290" t="s">
        <v>11706</v>
      </c>
      <c r="J290" t="s">
        <v>2992</v>
      </c>
      <c r="K290" t="s">
        <v>11707</v>
      </c>
      <c r="L290" t="s">
        <v>11708</v>
      </c>
      <c r="M290" s="3" t="str">
        <f>HYPERLINK(склад2въезд1319202122[[#This Row],[RelativePath]])</f>
        <v>8 Рейсмус\E33149364_2_20260208T225257Z.jpg</v>
      </c>
    </row>
  </sheetData>
  <conditionalFormatting sqref="D291:D301 E291:E304 G2:H290 D2:E290">
    <cfRule type="containsText" dxfId="724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723" priority="13" operator="notContains" text="порожний">
      <formula>ISERROR(SEARCH("порожний",F2))</formula>
    </cfRule>
  </conditionalFormatting>
  <conditionalFormatting sqref="E2:E304">
    <cfRule type="containsText" dxfId="722" priority="11" operator="containsText" text="Газель базы">
      <formula>NOT(ISERROR(SEARCH("Газель базы",E2)))</formula>
    </cfRule>
    <cfRule type="containsText" dxfId="721" priority="12" operator="containsText" text="Погрузчик базы">
      <formula>NOT(ISERROR(SEARCH("Погрузчик базы",E2)))</formula>
    </cfRule>
  </conditionalFormatting>
  <conditionalFormatting sqref="E2:E304">
    <cfRule type="containsText" dxfId="720" priority="10" operator="containsText" text="Трактор базы">
      <formula>NOT(ISERROR(SEARCH("Трактор базы",E2)))</formula>
    </cfRule>
  </conditionalFormatting>
  <conditionalFormatting sqref="A2:C290">
    <cfRule type="expression" dxfId="719" priority="9">
      <formula>$A2="пн"</formula>
    </cfRule>
  </conditionalFormatting>
  <conditionalFormatting sqref="A2:C292">
    <cfRule type="expression" dxfId="718" priority="3">
      <formula>$A2="вс"</formula>
    </cfRule>
    <cfRule type="expression" dxfId="717" priority="4">
      <formula>$A2="сб"</formula>
    </cfRule>
    <cfRule type="expression" dxfId="716" priority="5">
      <formula>$A2="пт"</formula>
    </cfRule>
    <cfRule type="expression" dxfId="715" priority="6">
      <formula>$A2="чт"</formula>
    </cfRule>
    <cfRule type="expression" dxfId="714" priority="7">
      <formula>$A2="ср"</formula>
    </cfRule>
    <cfRule type="expression" dxfId="713" priority="8">
      <formula>$A2="вт"</formula>
    </cfRule>
  </conditionalFormatting>
  <conditionalFormatting sqref="D2:D301">
    <cfRule type="containsText" dxfId="71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71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03"/>
  <sheetViews>
    <sheetView zoomScale="90" zoomScaleNormal="90" workbookViewId="0">
      <pane ySplit="1" topLeftCell="A577" activePane="bottomLeft" state="frozen"/>
      <selection pane="bottomLeft" activeCell="I594" sqref="I594:I6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t="s">
        <v>9455</v>
      </c>
      <c r="E568" t="s">
        <v>531</v>
      </c>
      <c r="I568" t="s">
        <v>10947</v>
      </c>
      <c r="J56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t="s">
        <v>4</v>
      </c>
      <c r="E569" t="s">
        <v>7709</v>
      </c>
      <c r="I569" t="s">
        <v>10950</v>
      </c>
      <c r="J569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t="s">
        <v>4</v>
      </c>
      <c r="E570" t="s">
        <v>5480</v>
      </c>
      <c r="H570" t="s">
        <v>5479</v>
      </c>
      <c r="I570" t="s">
        <v>10953</v>
      </c>
      <c r="J570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t="s">
        <v>11133</v>
      </c>
      <c r="E571" t="s">
        <v>11134</v>
      </c>
      <c r="I571" t="s">
        <v>11046</v>
      </c>
      <c r="J571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t="s">
        <v>9692</v>
      </c>
      <c r="E572" t="s">
        <v>1607</v>
      </c>
      <c r="I572" t="s">
        <v>11049</v>
      </c>
      <c r="J572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  <row r="573" spans="1:13" x14ac:dyDescent="0.25">
      <c r="A573" s="2" t="s">
        <v>13</v>
      </c>
      <c r="B573" s="4">
        <v>46055</v>
      </c>
      <c r="C573" s="5">
        <v>0.39640046296296294</v>
      </c>
      <c r="D573" t="s">
        <v>4</v>
      </c>
      <c r="E573" t="s">
        <v>9</v>
      </c>
      <c r="I573" t="s">
        <v>11226</v>
      </c>
      <c r="J573" t="s">
        <v>2993</v>
      </c>
      <c r="K573" t="s">
        <v>11227</v>
      </c>
      <c r="L573" t="s">
        <v>11228</v>
      </c>
      <c r="M573" s="3" t="str">
        <f>HYPERLINK(склад2въезд13192021222[[#This Row],[RelativePath]])</f>
        <v>9 Ангар пилорама\E33149364_1_20260202T093049Z.jpg</v>
      </c>
    </row>
    <row r="574" spans="1:13" x14ac:dyDescent="0.25">
      <c r="A574" s="2" t="s">
        <v>13</v>
      </c>
      <c r="B574" s="4">
        <v>46055</v>
      </c>
      <c r="C574" s="5">
        <v>0.40559027777777779</v>
      </c>
      <c r="D574" t="s">
        <v>158</v>
      </c>
      <c r="E574" t="s">
        <v>5480</v>
      </c>
      <c r="F574" t="s">
        <v>528</v>
      </c>
      <c r="G574">
        <v>1</v>
      </c>
      <c r="I574" t="s">
        <v>11229</v>
      </c>
      <c r="J574" t="s">
        <v>2993</v>
      </c>
      <c r="K574" t="s">
        <v>11230</v>
      </c>
      <c r="L574" t="s">
        <v>11231</v>
      </c>
      <c r="M574" s="3" t="str">
        <f>HYPERLINK(склад2въезд13192021222[[#This Row],[RelativePath]])</f>
        <v>9 Ангар пилорама\E33149364_1_20260202T094403Z.jpg</v>
      </c>
    </row>
    <row r="575" spans="1:13" x14ac:dyDescent="0.25">
      <c r="A575" s="2" t="s">
        <v>13</v>
      </c>
      <c r="B575" s="4">
        <v>46055</v>
      </c>
      <c r="C575" s="5">
        <v>0.41613425925925923</v>
      </c>
      <c r="D575" t="s">
        <v>5476</v>
      </c>
      <c r="E575" t="s">
        <v>5480</v>
      </c>
      <c r="F575" t="s">
        <v>9203</v>
      </c>
      <c r="G575">
        <v>1</v>
      </c>
      <c r="I575" t="s">
        <v>11232</v>
      </c>
      <c r="J575" t="s">
        <v>2993</v>
      </c>
      <c r="K575" t="s">
        <v>11233</v>
      </c>
      <c r="L575" t="s">
        <v>11234</v>
      </c>
      <c r="M575" s="3" t="str">
        <f>HYPERLINK(склад2въезд13192021222[[#This Row],[RelativePath]])</f>
        <v>9 Ангар пилорама\E33149364_1_20260202T095914Z.jpg</v>
      </c>
    </row>
    <row r="576" spans="1:13" x14ac:dyDescent="0.25">
      <c r="A576" s="2" t="s">
        <v>13</v>
      </c>
      <c r="B576" s="4">
        <v>46055</v>
      </c>
      <c r="C576" s="5">
        <v>0.95606481481481487</v>
      </c>
      <c r="D576" t="s">
        <v>9200</v>
      </c>
      <c r="E576" t="s">
        <v>9201</v>
      </c>
      <c r="I576" t="s">
        <v>11235</v>
      </c>
      <c r="J576" t="s">
        <v>2993</v>
      </c>
      <c r="K576" t="s">
        <v>11236</v>
      </c>
      <c r="L576" t="s">
        <v>11237</v>
      </c>
      <c r="M576" s="3" t="str">
        <f>HYPERLINK(склад2въезд13192021222[[#This Row],[RelativePath]])</f>
        <v>9 Ангар пилорама\E33149364_1_20260202T225644Z.jpg</v>
      </c>
    </row>
    <row r="577" spans="1:13" x14ac:dyDescent="0.25">
      <c r="A577" s="2" t="s">
        <v>14</v>
      </c>
      <c r="B577" s="4">
        <v>46056</v>
      </c>
      <c r="C577" s="5">
        <v>0.51756944444444442</v>
      </c>
      <c r="D577" t="s">
        <v>2024</v>
      </c>
      <c r="E577" t="s">
        <v>1304</v>
      </c>
      <c r="H577" t="s">
        <v>10889</v>
      </c>
      <c r="I577" t="s">
        <v>11238</v>
      </c>
      <c r="J577" t="s">
        <v>2993</v>
      </c>
      <c r="K577" t="s">
        <v>11239</v>
      </c>
      <c r="L577" t="s">
        <v>11240</v>
      </c>
      <c r="M577" s="3" t="str">
        <f>HYPERLINK(склад2въезд13192021222[[#This Row],[RelativePath]])</f>
        <v>9 Ангар пилорама\E33149364_1_20260203T122518Z.jpg</v>
      </c>
    </row>
    <row r="578" spans="1:13" x14ac:dyDescent="0.25">
      <c r="A578" s="2" t="s">
        <v>14</v>
      </c>
      <c r="B578" s="4">
        <v>46056</v>
      </c>
      <c r="C578" s="5">
        <v>0.52474537037037039</v>
      </c>
      <c r="D578" t="s">
        <v>9200</v>
      </c>
      <c r="E578" t="s">
        <v>9201</v>
      </c>
      <c r="I578" t="s">
        <v>11241</v>
      </c>
      <c r="J578" t="s">
        <v>2993</v>
      </c>
      <c r="K578" t="s">
        <v>11242</v>
      </c>
      <c r="L578" t="s">
        <v>11243</v>
      </c>
      <c r="M578" s="3" t="str">
        <f>HYPERLINK(склад2въезд13192021222[[#This Row],[RelativePath]])</f>
        <v>9 Ангар пилорама\E33149364_1_20260203T123538Z.jpg</v>
      </c>
    </row>
    <row r="579" spans="1:13" x14ac:dyDescent="0.25">
      <c r="A579" s="2" t="s">
        <v>14</v>
      </c>
      <c r="B579" s="4">
        <v>46056</v>
      </c>
      <c r="C579" s="5">
        <v>0.63618055555555553</v>
      </c>
      <c r="D579" t="s">
        <v>9200</v>
      </c>
      <c r="E579" t="s">
        <v>9201</v>
      </c>
      <c r="I579" t="s">
        <v>11244</v>
      </c>
      <c r="J579" t="s">
        <v>2993</v>
      </c>
      <c r="K579" t="s">
        <v>11245</v>
      </c>
      <c r="L579" t="s">
        <v>11246</v>
      </c>
      <c r="M579" s="3" t="str">
        <f>HYPERLINK(склад2въезд13192021222[[#This Row],[RelativePath]])</f>
        <v>9 Ангар пилорама\E33149364_1_20260203T151606Z.jpg</v>
      </c>
    </row>
    <row r="580" spans="1:13" x14ac:dyDescent="0.25">
      <c r="A580" s="2" t="s">
        <v>14</v>
      </c>
      <c r="B580" s="4">
        <v>46056</v>
      </c>
      <c r="C580" s="5">
        <v>0.68791666666666662</v>
      </c>
      <c r="D580" t="s">
        <v>9692</v>
      </c>
      <c r="E580" t="s">
        <v>1607</v>
      </c>
      <c r="I580" t="s">
        <v>11247</v>
      </c>
      <c r="J580" t="s">
        <v>2993</v>
      </c>
      <c r="K580" t="s">
        <v>11248</v>
      </c>
      <c r="L580" t="s">
        <v>11249</v>
      </c>
      <c r="M580" s="3" t="str">
        <f>HYPERLINK(склад2въезд13192021222[[#This Row],[RelativePath]])</f>
        <v>9 Ангар пилорама\E33149364_1_20260203T163036Z.jpg</v>
      </c>
    </row>
    <row r="581" spans="1:13" x14ac:dyDescent="0.25">
      <c r="A581" s="2" t="s">
        <v>14</v>
      </c>
      <c r="B581" s="4">
        <v>46056</v>
      </c>
      <c r="C581" s="5">
        <v>0.9021527777777778</v>
      </c>
      <c r="D581" t="s">
        <v>4</v>
      </c>
      <c r="E581" t="s">
        <v>7709</v>
      </c>
      <c r="I581" t="s">
        <v>11250</v>
      </c>
      <c r="J581" t="s">
        <v>2993</v>
      </c>
      <c r="K581" t="s">
        <v>11251</v>
      </c>
      <c r="L581" t="s">
        <v>11252</v>
      </c>
      <c r="M581" s="3" t="str">
        <f>HYPERLINK(склад2въезд13192021222[[#This Row],[RelativePath]])</f>
        <v>9 Ангар пилорама\E33149364_1_20260203T213906Z.jpg</v>
      </c>
    </row>
    <row r="582" spans="1:13" x14ac:dyDescent="0.25">
      <c r="A582" s="2" t="s">
        <v>15</v>
      </c>
      <c r="B582" s="4">
        <v>46057</v>
      </c>
      <c r="C582" s="5">
        <v>0.3732638888888889</v>
      </c>
      <c r="D582" t="s">
        <v>9200</v>
      </c>
      <c r="E582" t="s">
        <v>9201</v>
      </c>
      <c r="I582" t="s">
        <v>11481</v>
      </c>
      <c r="J582" t="s">
        <v>2993</v>
      </c>
      <c r="K582" t="s">
        <v>11482</v>
      </c>
      <c r="L582" t="s">
        <v>11483</v>
      </c>
      <c r="M582" s="3" t="str">
        <f>HYPERLINK(склад2въезд13192021222[[#This Row],[RelativePath]])</f>
        <v>9 Ангар пилорама\E33149364_1_20260204T085730Z.jpg</v>
      </c>
    </row>
    <row r="583" spans="1:13" x14ac:dyDescent="0.25">
      <c r="A583" s="2" t="s">
        <v>15</v>
      </c>
      <c r="B583" s="4">
        <v>46057</v>
      </c>
      <c r="C583" s="5">
        <v>0.37883101851851853</v>
      </c>
      <c r="D583" t="s">
        <v>9200</v>
      </c>
      <c r="E583" t="s">
        <v>9201</v>
      </c>
      <c r="I583" t="s">
        <v>11484</v>
      </c>
      <c r="J583" t="s">
        <v>2993</v>
      </c>
      <c r="K583" t="s">
        <v>11485</v>
      </c>
      <c r="L583" t="s">
        <v>11486</v>
      </c>
      <c r="M583" s="3" t="str">
        <f>HYPERLINK(склад2въезд13192021222[[#This Row],[RelativePath]])</f>
        <v>9 Ангар пилорама\E33149364_1_20260204T090531Z.jpg</v>
      </c>
    </row>
    <row r="584" spans="1:13" x14ac:dyDescent="0.25">
      <c r="A584" s="2" t="s">
        <v>15</v>
      </c>
      <c r="B584" s="4">
        <v>46057</v>
      </c>
      <c r="C584" s="5">
        <v>0.59903935185185186</v>
      </c>
      <c r="D584" t="s">
        <v>9692</v>
      </c>
      <c r="E584" t="s">
        <v>1607</v>
      </c>
      <c r="I584" t="s">
        <v>11487</v>
      </c>
      <c r="J584" t="s">
        <v>2993</v>
      </c>
      <c r="K584" t="s">
        <v>11488</v>
      </c>
      <c r="L584" t="s">
        <v>11489</v>
      </c>
      <c r="M584" s="3" t="str">
        <f>HYPERLINK(склад2въезд13192021222[[#This Row],[RelativePath]])</f>
        <v>9 Ангар пилорама\E33149364_1_20260204T142237Z.jpg</v>
      </c>
    </row>
    <row r="585" spans="1:13" x14ac:dyDescent="0.25">
      <c r="A585" s="2" t="s">
        <v>15</v>
      </c>
      <c r="B585" s="4">
        <v>46057</v>
      </c>
      <c r="C585" s="5">
        <v>0.64440972222222226</v>
      </c>
      <c r="D585" t="s">
        <v>11651</v>
      </c>
      <c r="E585" t="s">
        <v>1607</v>
      </c>
      <c r="I585" t="s">
        <v>11490</v>
      </c>
      <c r="J585" t="s">
        <v>2993</v>
      </c>
      <c r="K585" t="s">
        <v>11491</v>
      </c>
      <c r="L585" t="s">
        <v>11492</v>
      </c>
      <c r="M585" s="3" t="str">
        <f>HYPERLINK(склад2въезд13192021222[[#This Row],[RelativePath]])</f>
        <v>9 Ангар пилорама\E33149364_1_20260204T152757Z.jpg</v>
      </c>
    </row>
    <row r="586" spans="1:13" x14ac:dyDescent="0.25">
      <c r="A586" s="2" t="s">
        <v>15</v>
      </c>
      <c r="B586" s="4">
        <v>46057</v>
      </c>
      <c r="C586" s="5">
        <v>0.79494212962962962</v>
      </c>
      <c r="D586" t="s">
        <v>9200</v>
      </c>
      <c r="E586" t="s">
        <v>9201</v>
      </c>
      <c r="I586" t="s">
        <v>11493</v>
      </c>
      <c r="J586" t="s">
        <v>2993</v>
      </c>
      <c r="K586" t="s">
        <v>11494</v>
      </c>
      <c r="L586" t="s">
        <v>11495</v>
      </c>
      <c r="M586" s="3" t="str">
        <f>HYPERLINK(склад2въезд13192021222[[#This Row],[RelativePath]])</f>
        <v>9 Ангар пилорама\E33149364_1_20260204T190443Z.jpg</v>
      </c>
    </row>
    <row r="587" spans="1:13" x14ac:dyDescent="0.25">
      <c r="A587" s="2" t="s">
        <v>15</v>
      </c>
      <c r="B587" s="4">
        <v>46057</v>
      </c>
      <c r="C587" s="5">
        <v>0.90642361111111114</v>
      </c>
      <c r="D587" t="s">
        <v>2024</v>
      </c>
      <c r="E587" t="s">
        <v>1304</v>
      </c>
      <c r="I587" t="s">
        <v>11496</v>
      </c>
      <c r="J587" t="s">
        <v>2993</v>
      </c>
      <c r="K587" t="s">
        <v>11497</v>
      </c>
      <c r="L587" t="s">
        <v>11498</v>
      </c>
      <c r="M587" s="3" t="str">
        <f>HYPERLINK(склад2въезд13192021222[[#This Row],[RelativePath]])</f>
        <v>9 Ангар пилорама\E33149364_1_20260204T214515Z.jpg</v>
      </c>
    </row>
    <row r="588" spans="1:13" x14ac:dyDescent="0.25">
      <c r="A588" s="2" t="s">
        <v>16</v>
      </c>
      <c r="B588" s="4">
        <v>46058</v>
      </c>
      <c r="C588" s="5">
        <v>8.4247685185185189E-2</v>
      </c>
      <c r="D588" t="s">
        <v>4</v>
      </c>
      <c r="E588" t="s">
        <v>9</v>
      </c>
      <c r="I588" t="s">
        <v>11499</v>
      </c>
      <c r="J588" t="s">
        <v>2993</v>
      </c>
      <c r="K588" t="s">
        <v>11500</v>
      </c>
      <c r="L588" t="s">
        <v>11501</v>
      </c>
      <c r="M588" s="3" t="str">
        <f>HYPERLINK(склад2въезд13192021222[[#This Row],[RelativePath]])</f>
        <v>9 Ангар пилорама\E33149364_1_20260205T020119Z.jpg</v>
      </c>
    </row>
    <row r="589" spans="1:13" x14ac:dyDescent="0.25">
      <c r="A589" s="2" t="s">
        <v>16</v>
      </c>
      <c r="B589" s="4">
        <v>46058</v>
      </c>
      <c r="C589" s="5">
        <v>0.62304398148148143</v>
      </c>
      <c r="D589" t="s">
        <v>4</v>
      </c>
      <c r="E589" t="s">
        <v>9</v>
      </c>
      <c r="I589" t="s">
        <v>11502</v>
      </c>
      <c r="J589" t="s">
        <v>2993</v>
      </c>
      <c r="K589" t="s">
        <v>11503</v>
      </c>
      <c r="L589" t="s">
        <v>11504</v>
      </c>
      <c r="M589" s="3" t="str">
        <f>HYPERLINK(склад2въезд13192021222[[#This Row],[RelativePath]])</f>
        <v>9 Ангар пилорама\E33149364_1_20260205T145711Z.jpg</v>
      </c>
    </row>
    <row r="590" spans="1:13" x14ac:dyDescent="0.25">
      <c r="A590" s="2" t="s">
        <v>16</v>
      </c>
      <c r="B590" s="4">
        <v>46058</v>
      </c>
      <c r="C590" s="5">
        <v>0.85769675925925926</v>
      </c>
      <c r="D590" t="s">
        <v>9200</v>
      </c>
      <c r="E590" t="s">
        <v>9201</v>
      </c>
      <c r="I590" t="s">
        <v>11505</v>
      </c>
      <c r="J590" t="s">
        <v>2993</v>
      </c>
      <c r="K590" t="s">
        <v>11506</v>
      </c>
      <c r="L590" t="s">
        <v>11507</v>
      </c>
      <c r="M590" s="3" t="str">
        <f>HYPERLINK(склад2въезд13192021222[[#This Row],[RelativePath]])</f>
        <v>9 Ангар пилорама\E33149364_1_20260205T203505Z.jpg</v>
      </c>
    </row>
    <row r="591" spans="1:13" x14ac:dyDescent="0.25">
      <c r="A591" s="2" t="s">
        <v>17</v>
      </c>
      <c r="B591" s="4">
        <v>46059</v>
      </c>
      <c r="C591" s="5">
        <v>0.45833333333333331</v>
      </c>
      <c r="D591" t="s">
        <v>4</v>
      </c>
      <c r="E591" t="s">
        <v>11652</v>
      </c>
      <c r="I591" t="s">
        <v>11508</v>
      </c>
      <c r="J591" t="s">
        <v>2993</v>
      </c>
      <c r="K591" t="s">
        <v>11509</v>
      </c>
      <c r="L591" t="s">
        <v>11510</v>
      </c>
      <c r="M591" s="3" t="str">
        <f>HYPERLINK(склад2въезд13192021222[[#This Row],[RelativePath]])</f>
        <v>9 Ангар пилорама\E33149364_1_20260206T110000Z.jpg</v>
      </c>
    </row>
    <row r="592" spans="1:13" x14ac:dyDescent="0.25">
      <c r="A592" s="2" t="s">
        <v>17</v>
      </c>
      <c r="B592" s="4">
        <v>46059</v>
      </c>
      <c r="C592" s="5">
        <v>0.51790509259259254</v>
      </c>
      <c r="D592" t="s">
        <v>9692</v>
      </c>
      <c r="E592" t="s">
        <v>1607</v>
      </c>
      <c r="H592" t="s">
        <v>11653</v>
      </c>
      <c r="I592" t="s">
        <v>11511</v>
      </c>
      <c r="J592" t="s">
        <v>2993</v>
      </c>
      <c r="K592" t="s">
        <v>11512</v>
      </c>
      <c r="L592" t="s">
        <v>11513</v>
      </c>
      <c r="M592" s="3" t="str">
        <f>HYPERLINK(склад2въезд13192021222[[#This Row],[RelativePath]])</f>
        <v>9 Ангар пилорама\E33149364_1_20260206T122547Z.jpg</v>
      </c>
    </row>
    <row r="593" spans="1:13" x14ac:dyDescent="0.25">
      <c r="A593" s="2" t="s">
        <v>17</v>
      </c>
      <c r="B593" s="4">
        <v>46059</v>
      </c>
      <c r="C593" s="5">
        <v>0.89486111111111111</v>
      </c>
      <c r="D593" t="s">
        <v>9200</v>
      </c>
      <c r="E593" t="s">
        <v>9201</v>
      </c>
      <c r="I593" t="s">
        <v>11514</v>
      </c>
      <c r="J593" t="s">
        <v>2993</v>
      </c>
      <c r="K593" t="s">
        <v>11515</v>
      </c>
      <c r="L593" t="s">
        <v>11516</v>
      </c>
      <c r="M593" s="3" t="str">
        <f>HYPERLINK(склад2въезд13192021222[[#This Row],[RelativePath]])</f>
        <v>9 Ангар пилорама\E33149364_1_20260206T212836Z.jpg</v>
      </c>
    </row>
    <row r="594" spans="1:13" x14ac:dyDescent="0.25">
      <c r="A594" s="2" t="s">
        <v>18</v>
      </c>
      <c r="B594" s="4">
        <v>46060</v>
      </c>
      <c r="C594" s="5">
        <v>0.7510648148148148</v>
      </c>
      <c r="D594" t="s">
        <v>4</v>
      </c>
      <c r="E594" t="s">
        <v>7709</v>
      </c>
      <c r="I594" t="s">
        <v>11709</v>
      </c>
      <c r="J594" t="s">
        <v>2993</v>
      </c>
      <c r="K594" t="s">
        <v>11710</v>
      </c>
      <c r="L594" t="s">
        <v>11711</v>
      </c>
      <c r="M594" s="3" t="str">
        <f>HYPERLINK(склад2въезд13192021222[[#This Row],[RelativePath]])</f>
        <v>9 Ангар пилорама\E33149364_1_20260207T180132Z.jpg</v>
      </c>
    </row>
    <row r="595" spans="1:13" x14ac:dyDescent="0.25">
      <c r="A595" s="2" t="s">
        <v>22</v>
      </c>
      <c r="B595" s="4">
        <v>46061</v>
      </c>
      <c r="C595" s="5">
        <v>0.46247685185185183</v>
      </c>
      <c r="D595" t="s">
        <v>2024</v>
      </c>
      <c r="E595" t="s">
        <v>1304</v>
      </c>
      <c r="I595" t="s">
        <v>11712</v>
      </c>
      <c r="J595" t="s">
        <v>2993</v>
      </c>
      <c r="K595" t="s">
        <v>11713</v>
      </c>
      <c r="L595" t="s">
        <v>11714</v>
      </c>
      <c r="M595" s="3" t="str">
        <f>HYPERLINK(склад2въезд13192021222[[#This Row],[RelativePath]])</f>
        <v>9 Ангар пилорама\E33149364_1_20260208T110558Z.jpg</v>
      </c>
    </row>
    <row r="596" spans="1:13" x14ac:dyDescent="0.25">
      <c r="A596" s="2" t="s">
        <v>22</v>
      </c>
      <c r="B596" s="4">
        <v>46061</v>
      </c>
      <c r="C596" s="5">
        <v>0.46512731481481484</v>
      </c>
      <c r="D596" t="s">
        <v>9200</v>
      </c>
      <c r="E596" t="s">
        <v>9201</v>
      </c>
      <c r="I596" t="s">
        <v>11715</v>
      </c>
      <c r="J596" t="s">
        <v>2993</v>
      </c>
      <c r="K596" t="s">
        <v>11716</v>
      </c>
      <c r="L596" t="s">
        <v>11717</v>
      </c>
      <c r="M596" s="3" t="str">
        <f>HYPERLINK(склад2въезд13192021222[[#This Row],[RelativePath]])</f>
        <v>9 Ангар пилорама\E33149364_1_20260208T110947Z.jpg</v>
      </c>
    </row>
    <row r="597" spans="1:13" x14ac:dyDescent="0.25">
      <c r="A597" s="2" t="s">
        <v>22</v>
      </c>
      <c r="B597" s="4">
        <v>46061</v>
      </c>
      <c r="C597" s="5">
        <v>0.48649305555555555</v>
      </c>
      <c r="D597" t="s">
        <v>9692</v>
      </c>
      <c r="E597" t="s">
        <v>1607</v>
      </c>
      <c r="I597" t="s">
        <v>11718</v>
      </c>
      <c r="J597" t="s">
        <v>2993</v>
      </c>
      <c r="K597" t="s">
        <v>11719</v>
      </c>
      <c r="L597" t="s">
        <v>11720</v>
      </c>
      <c r="M597" s="3" t="str">
        <f>HYPERLINK(склад2въезд13192021222[[#This Row],[RelativePath]])</f>
        <v>9 Ангар пилорама\E33149364_1_20260208T114033Z.jpg</v>
      </c>
    </row>
    <row r="598" spans="1:13" x14ac:dyDescent="0.25">
      <c r="A598" s="2" t="s">
        <v>22</v>
      </c>
      <c r="B598" s="4">
        <v>46061</v>
      </c>
      <c r="C598" s="5">
        <v>0.52831018518518513</v>
      </c>
      <c r="D598" t="s">
        <v>9692</v>
      </c>
      <c r="E598" t="s">
        <v>1607</v>
      </c>
      <c r="I598" t="s">
        <v>11721</v>
      </c>
      <c r="J598" t="s">
        <v>2993</v>
      </c>
      <c r="K598" t="s">
        <v>11722</v>
      </c>
      <c r="L598" t="s">
        <v>11723</v>
      </c>
      <c r="M598" s="3" t="str">
        <f>HYPERLINK(склад2въезд13192021222[[#This Row],[RelativePath]])</f>
        <v>9 Ангар пилорама\E33149364_1_20260208T124046Z.jpg</v>
      </c>
    </row>
    <row r="599" spans="1:13" x14ac:dyDescent="0.25">
      <c r="A599" s="2" t="s">
        <v>22</v>
      </c>
      <c r="B599" s="4">
        <v>46061</v>
      </c>
      <c r="C599" s="5">
        <v>0.76416666666666666</v>
      </c>
      <c r="D599" t="s">
        <v>9200</v>
      </c>
      <c r="E599" t="s">
        <v>9201</v>
      </c>
      <c r="I599" t="s">
        <v>11724</v>
      </c>
      <c r="J599" t="s">
        <v>2993</v>
      </c>
      <c r="K599" t="s">
        <v>11725</v>
      </c>
      <c r="L599" t="s">
        <v>11726</v>
      </c>
      <c r="M599" s="3" t="str">
        <f>HYPERLINK(склад2въезд13192021222[[#This Row],[RelativePath]])</f>
        <v>9 Ангар пилорама\E33149364_1_20260208T182024Z.jpg</v>
      </c>
    </row>
    <row r="600" spans="1:13" x14ac:dyDescent="0.25">
      <c r="A600" s="2" t="s">
        <v>22</v>
      </c>
      <c r="B600" s="4">
        <v>46061</v>
      </c>
      <c r="C600" s="5">
        <v>0.92877314814814815</v>
      </c>
      <c r="D600" t="s">
        <v>9200</v>
      </c>
      <c r="E600" t="s">
        <v>9201</v>
      </c>
      <c r="I600" t="s">
        <v>11727</v>
      </c>
      <c r="J600" t="s">
        <v>2993</v>
      </c>
      <c r="K600" t="s">
        <v>11728</v>
      </c>
      <c r="L600" t="s">
        <v>11729</v>
      </c>
      <c r="M600" s="3" t="str">
        <f>HYPERLINK(склад2въезд13192021222[[#This Row],[RelativePath]])</f>
        <v>9 Ангар пилорама\E33149364_1_20260208T221726Z.jpg</v>
      </c>
    </row>
    <row r="601" spans="1:13" x14ac:dyDescent="0.25">
      <c r="A601" s="2" t="s">
        <v>13</v>
      </c>
      <c r="B601" s="4">
        <v>46062</v>
      </c>
      <c r="C601" s="5">
        <v>0.37874999999999998</v>
      </c>
      <c r="D601" t="s">
        <v>4</v>
      </c>
      <c r="E601" t="s">
        <v>9</v>
      </c>
      <c r="I601" t="s">
        <v>11730</v>
      </c>
      <c r="J601" t="s">
        <v>2993</v>
      </c>
      <c r="K601" t="s">
        <v>11731</v>
      </c>
      <c r="L601" t="s">
        <v>11732</v>
      </c>
      <c r="M601" s="3" t="str">
        <f>HYPERLINK(склад2въезд13192021222[[#This Row],[RelativePath]])</f>
        <v>9 Ангар пилорама\E33149364_1_20260209T090524Z.jpg</v>
      </c>
    </row>
    <row r="602" spans="1:13" x14ac:dyDescent="0.25">
      <c r="A602" s="2" t="s">
        <v>13</v>
      </c>
      <c r="B602" s="4">
        <v>46062</v>
      </c>
      <c r="C602" s="5">
        <v>0.48042824074074075</v>
      </c>
      <c r="D602" t="s">
        <v>4</v>
      </c>
      <c r="E602" t="s">
        <v>9</v>
      </c>
      <c r="H602" t="s">
        <v>2936</v>
      </c>
      <c r="I602" t="s">
        <v>11733</v>
      </c>
      <c r="J602" t="s">
        <v>2993</v>
      </c>
      <c r="K602" t="s">
        <v>11734</v>
      </c>
      <c r="L602" t="s">
        <v>11735</v>
      </c>
      <c r="M602" s="3" t="str">
        <f>HYPERLINK(склад2въезд13192021222[[#This Row],[RelativePath]])</f>
        <v>9 Ангар пилорама\E33149364_1_20260209T113149Z.jpg</v>
      </c>
    </row>
    <row r="603" spans="1:13" x14ac:dyDescent="0.25">
      <c r="A603" s="2" t="s">
        <v>13</v>
      </c>
      <c r="B603" s="4">
        <v>46062</v>
      </c>
      <c r="C603" s="5">
        <v>0.68579861111111107</v>
      </c>
      <c r="D603" t="s">
        <v>4</v>
      </c>
      <c r="E603" t="s">
        <v>11783</v>
      </c>
      <c r="I603" t="s">
        <v>11736</v>
      </c>
      <c r="J603" t="s">
        <v>2993</v>
      </c>
      <c r="K603" t="s">
        <v>11737</v>
      </c>
      <c r="L603" t="s">
        <v>11738</v>
      </c>
      <c r="M603" s="3" t="str">
        <f>HYPERLINK(склад2въезд13192021222[[#This Row],[RelativePath]])</f>
        <v>9 Ангар пилорама\E33149364_1_20260209T162733Z.jpg</v>
      </c>
    </row>
  </sheetData>
  <conditionalFormatting sqref="D604:D614 E604:E617 G2:H603 D2:E603">
    <cfRule type="containsText" dxfId="710" priority="14" operator="containsText" text="Выезд с территории">
      <formula>NOT(ISERROR(SEARCH("Выезд с территории",D2)))</formula>
    </cfRule>
  </conditionalFormatting>
  <conditionalFormatting sqref="F2:F603">
    <cfRule type="notContainsText" dxfId="709" priority="13" operator="notContains" text="порожний">
      <formula>ISERROR(SEARCH("порожний",F2))</formula>
    </cfRule>
  </conditionalFormatting>
  <conditionalFormatting sqref="E2:E617">
    <cfRule type="containsText" dxfId="708" priority="11" operator="containsText" text="Газель базы">
      <formula>NOT(ISERROR(SEARCH("Газель базы",E2)))</formula>
    </cfRule>
    <cfRule type="containsText" dxfId="707" priority="12" operator="containsText" text="Погрузчик базы">
      <formula>NOT(ISERROR(SEARCH("Погрузчик базы",E2)))</formula>
    </cfRule>
  </conditionalFormatting>
  <conditionalFormatting sqref="E2:E617">
    <cfRule type="containsText" dxfId="706" priority="10" operator="containsText" text="Трактор базы">
      <formula>NOT(ISERROR(SEARCH("Трактор базы",E2)))</formula>
    </cfRule>
  </conditionalFormatting>
  <conditionalFormatting sqref="A2:C603">
    <cfRule type="expression" dxfId="705" priority="9">
      <formula>$A2="пн"</formula>
    </cfRule>
  </conditionalFormatting>
  <conditionalFormatting sqref="A2:C605">
    <cfRule type="expression" dxfId="704" priority="3">
      <formula>$A2="вс"</formula>
    </cfRule>
    <cfRule type="expression" dxfId="703" priority="4">
      <formula>$A2="сб"</formula>
    </cfRule>
    <cfRule type="expression" dxfId="702" priority="5">
      <formula>$A2="пт"</formula>
    </cfRule>
    <cfRule type="expression" dxfId="701" priority="6">
      <formula>$A2="чт"</formula>
    </cfRule>
    <cfRule type="expression" dxfId="700" priority="7">
      <formula>$A2="ср"</formula>
    </cfRule>
    <cfRule type="expression" dxfId="699" priority="8">
      <formula>$A2="вт"</formula>
    </cfRule>
  </conditionalFormatting>
  <conditionalFormatting sqref="D2:D614">
    <cfRule type="containsText" dxfId="6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4">
    <cfRule type="containsText" dxfId="6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22"/>
  <sheetViews>
    <sheetView zoomScale="90" zoomScaleNormal="90" workbookViewId="0">
      <pane ySplit="1" topLeftCell="A590" activePane="bottomLeft" state="frozen"/>
      <selection pane="bottomLeft" activeCell="I620" sqref="I620:I6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t="s">
        <v>1606</v>
      </c>
      <c r="E578" t="s">
        <v>70</v>
      </c>
      <c r="I578" t="s">
        <v>10956</v>
      </c>
      <c r="J57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t="s">
        <v>289</v>
      </c>
      <c r="E579" t="s">
        <v>70</v>
      </c>
      <c r="F579" t="s">
        <v>11007</v>
      </c>
      <c r="I579" t="s">
        <v>10959</v>
      </c>
      <c r="J579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t="s">
        <v>289</v>
      </c>
      <c r="E580" t="s">
        <v>70</v>
      </c>
      <c r="F580" t="s">
        <v>11007</v>
      </c>
      <c r="H580" t="s">
        <v>2936</v>
      </c>
      <c r="I580" t="s">
        <v>10962</v>
      </c>
      <c r="J580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t="s">
        <v>289</v>
      </c>
      <c r="E581" t="s">
        <v>70</v>
      </c>
      <c r="F581" t="s">
        <v>11007</v>
      </c>
      <c r="H581" t="s">
        <v>2936</v>
      </c>
      <c r="I581" t="s">
        <v>10965</v>
      </c>
      <c r="J581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t="s">
        <v>289</v>
      </c>
      <c r="E582" t="s">
        <v>70</v>
      </c>
      <c r="F582" t="s">
        <v>11007</v>
      </c>
      <c r="H582" t="s">
        <v>2936</v>
      </c>
      <c r="I582" t="s">
        <v>10968</v>
      </c>
      <c r="J582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t="s">
        <v>650</v>
      </c>
      <c r="E583" t="s">
        <v>70</v>
      </c>
      <c r="I583" t="s">
        <v>10971</v>
      </c>
      <c r="J583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t="s">
        <v>4223</v>
      </c>
      <c r="E584" t="s">
        <v>86</v>
      </c>
      <c r="F584" t="s">
        <v>9202</v>
      </c>
      <c r="I584" t="s">
        <v>10974</v>
      </c>
      <c r="J584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t="s">
        <v>159</v>
      </c>
      <c r="E585" t="s">
        <v>10140</v>
      </c>
      <c r="I585" t="s">
        <v>10977</v>
      </c>
      <c r="J585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t="s">
        <v>1606</v>
      </c>
      <c r="E586" t="s">
        <v>10140</v>
      </c>
      <c r="I586" t="s">
        <v>10980</v>
      </c>
      <c r="J586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t="s">
        <v>4</v>
      </c>
      <c r="E587" t="s">
        <v>11008</v>
      </c>
      <c r="I587" t="s">
        <v>10983</v>
      </c>
      <c r="J587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t="s">
        <v>650</v>
      </c>
      <c r="E588" t="s">
        <v>10140</v>
      </c>
      <c r="I588" t="s">
        <v>10986</v>
      </c>
      <c r="J58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t="s">
        <v>289</v>
      </c>
      <c r="E589" t="s">
        <v>11124</v>
      </c>
      <c r="F589" t="s">
        <v>7167</v>
      </c>
      <c r="G589">
        <v>1</v>
      </c>
      <c r="I589" t="s">
        <v>11076</v>
      </c>
      <c r="J589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t="s">
        <v>289</v>
      </c>
      <c r="E590" t="s">
        <v>11124</v>
      </c>
      <c r="F590" t="s">
        <v>7167</v>
      </c>
      <c r="G590">
        <v>1</v>
      </c>
      <c r="I590" t="s">
        <v>11079</v>
      </c>
      <c r="J590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t="s">
        <v>289</v>
      </c>
      <c r="E591" t="s">
        <v>11124</v>
      </c>
      <c r="F591" t="s">
        <v>7167</v>
      </c>
      <c r="G591">
        <v>1</v>
      </c>
      <c r="I591" t="s">
        <v>11082</v>
      </c>
      <c r="J591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t="s">
        <v>289</v>
      </c>
      <c r="E592" t="s">
        <v>11124</v>
      </c>
      <c r="F592" t="s">
        <v>7167</v>
      </c>
      <c r="G592">
        <v>1</v>
      </c>
      <c r="I592" t="s">
        <v>11085</v>
      </c>
      <c r="J592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t="s">
        <v>289</v>
      </c>
      <c r="E593" t="s">
        <v>11124</v>
      </c>
      <c r="F593" t="s">
        <v>7167</v>
      </c>
      <c r="G593">
        <v>1</v>
      </c>
      <c r="I593" t="s">
        <v>11088</v>
      </c>
      <c r="J593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t="s">
        <v>289</v>
      </c>
      <c r="E594" t="s">
        <v>11124</v>
      </c>
      <c r="F594" t="s">
        <v>7167</v>
      </c>
      <c r="G594">
        <v>1</v>
      </c>
      <c r="I594" t="s">
        <v>11091</v>
      </c>
      <c r="J594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t="s">
        <v>289</v>
      </c>
      <c r="E595" t="s">
        <v>11124</v>
      </c>
      <c r="F595" t="s">
        <v>7167</v>
      </c>
      <c r="G595">
        <v>1</v>
      </c>
      <c r="I595" t="s">
        <v>11094</v>
      </c>
      <c r="J595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t="s">
        <v>289</v>
      </c>
      <c r="E596" t="s">
        <v>11124</v>
      </c>
      <c r="F596" t="s">
        <v>7167</v>
      </c>
      <c r="G596">
        <v>1</v>
      </c>
      <c r="I596" t="s">
        <v>11097</v>
      </c>
      <c r="J596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t="s">
        <v>289</v>
      </c>
      <c r="E597" t="s">
        <v>11124</v>
      </c>
      <c r="F597" t="s">
        <v>7167</v>
      </c>
      <c r="G597">
        <v>1</v>
      </c>
      <c r="I597" t="s">
        <v>11100</v>
      </c>
      <c r="J597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t="s">
        <v>289</v>
      </c>
      <c r="E598" t="s">
        <v>11124</v>
      </c>
      <c r="F598" t="s">
        <v>7167</v>
      </c>
      <c r="G598">
        <v>1</v>
      </c>
      <c r="I598" t="s">
        <v>11103</v>
      </c>
      <c r="J59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t="s">
        <v>289</v>
      </c>
      <c r="E599" t="s">
        <v>11124</v>
      </c>
      <c r="F599" t="s">
        <v>7167</v>
      </c>
      <c r="G599">
        <v>1</v>
      </c>
      <c r="I599" t="s">
        <v>11106</v>
      </c>
      <c r="J599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t="s">
        <v>650</v>
      </c>
      <c r="E600" t="s">
        <v>11124</v>
      </c>
      <c r="I600" t="s">
        <v>11109</v>
      </c>
      <c r="J600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t="s">
        <v>533</v>
      </c>
      <c r="E601" t="s">
        <v>1607</v>
      </c>
      <c r="F601" t="s">
        <v>2929</v>
      </c>
      <c r="I601" t="s">
        <v>11112</v>
      </c>
      <c r="J601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t="s">
        <v>533</v>
      </c>
      <c r="E602" t="s">
        <v>1607</v>
      </c>
      <c r="F602" t="s">
        <v>2929</v>
      </c>
      <c r="I602" t="s">
        <v>11115</v>
      </c>
      <c r="J602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  <row r="603" spans="1:13" x14ac:dyDescent="0.25">
      <c r="A603" s="2" t="s">
        <v>13</v>
      </c>
      <c r="B603" s="4">
        <v>46055</v>
      </c>
      <c r="C603" s="5">
        <v>0.39371527777777776</v>
      </c>
      <c r="D603" t="s">
        <v>533</v>
      </c>
      <c r="E603" t="s">
        <v>1607</v>
      </c>
      <c r="F603" t="s">
        <v>2929</v>
      </c>
      <c r="I603" t="s">
        <v>11253</v>
      </c>
      <c r="J603" t="s">
        <v>2985</v>
      </c>
      <c r="K603" t="s">
        <v>11254</v>
      </c>
      <c r="L603" t="s">
        <v>11255</v>
      </c>
      <c r="M603" s="3" t="str">
        <f>HYPERLINK(склад2въезд131920212223[[#This Row],[RelativePath]])</f>
        <v>10 Сушилка навес\E33149364_3_20260202T092657Z.jpg</v>
      </c>
    </row>
    <row r="604" spans="1:13" x14ac:dyDescent="0.25">
      <c r="A604" s="2" t="s">
        <v>13</v>
      </c>
      <c r="B604" s="4">
        <v>46055</v>
      </c>
      <c r="C604" s="5">
        <v>0.40539351851851851</v>
      </c>
      <c r="D604" t="s">
        <v>11420</v>
      </c>
      <c r="E604" t="s">
        <v>86</v>
      </c>
      <c r="I604" t="s">
        <v>11256</v>
      </c>
      <c r="J604" t="s">
        <v>2985</v>
      </c>
      <c r="K604" t="s">
        <v>11257</v>
      </c>
      <c r="L604" t="s">
        <v>11258</v>
      </c>
      <c r="M604" s="3" t="str">
        <f>HYPERLINK(склад2въезд131920212223[[#This Row],[RelativePath]])</f>
        <v>10 Сушилка навес\E33149364_3_20260202T094346Z.jpg</v>
      </c>
    </row>
    <row r="605" spans="1:13" x14ac:dyDescent="0.25">
      <c r="A605" s="2" t="s">
        <v>13</v>
      </c>
      <c r="B605" s="4">
        <v>46055</v>
      </c>
      <c r="C605" s="5">
        <v>0.41719907407407408</v>
      </c>
      <c r="D605" t="s">
        <v>11421</v>
      </c>
      <c r="E605" t="s">
        <v>86</v>
      </c>
      <c r="I605" t="s">
        <v>11259</v>
      </c>
      <c r="J605" t="s">
        <v>2985</v>
      </c>
      <c r="K605" t="s">
        <v>11260</v>
      </c>
      <c r="L605" t="s">
        <v>11261</v>
      </c>
      <c r="M605" s="3" t="str">
        <f>HYPERLINK(склад2въезд131920212223[[#This Row],[RelativePath]])</f>
        <v>10 Сушилка навес\E33149364_3_20260202T100046Z.jpg</v>
      </c>
    </row>
    <row r="606" spans="1:13" x14ac:dyDescent="0.25">
      <c r="A606" s="2" t="s">
        <v>13</v>
      </c>
      <c r="B606" s="4">
        <v>46055</v>
      </c>
      <c r="C606" s="5">
        <v>0.49484953703703705</v>
      </c>
      <c r="D606" t="s">
        <v>533</v>
      </c>
      <c r="E606" t="s">
        <v>1607</v>
      </c>
      <c r="F606" t="s">
        <v>2929</v>
      </c>
      <c r="I606" t="s">
        <v>11262</v>
      </c>
      <c r="J606" t="s">
        <v>2985</v>
      </c>
      <c r="K606" t="s">
        <v>11263</v>
      </c>
      <c r="L606" t="s">
        <v>11264</v>
      </c>
      <c r="M606" s="3" t="str">
        <f>HYPERLINK(склад2въезд131920212223[[#This Row],[RelativePath]])</f>
        <v>10 Сушилка навес\E33149364_3_20260202T115235Z.jpg</v>
      </c>
    </row>
    <row r="607" spans="1:13" x14ac:dyDescent="0.25">
      <c r="A607" s="2" t="s">
        <v>14</v>
      </c>
      <c r="B607" s="4">
        <v>46056</v>
      </c>
      <c r="C607" s="5">
        <v>0.4612384259259259</v>
      </c>
      <c r="D607" t="s">
        <v>533</v>
      </c>
      <c r="E607" t="s">
        <v>531</v>
      </c>
      <c r="F607" t="s">
        <v>9202</v>
      </c>
      <c r="I607" t="s">
        <v>11265</v>
      </c>
      <c r="J607" t="s">
        <v>2985</v>
      </c>
      <c r="K607" t="s">
        <v>11266</v>
      </c>
      <c r="L607" t="s">
        <v>11267</v>
      </c>
      <c r="M607" s="3" t="str">
        <f>HYPERLINK(склад2въезд131920212223[[#This Row],[RelativePath]])</f>
        <v>10 Сушилка навес\E33149364_3_20260203T110411Z.jpg</v>
      </c>
    </row>
    <row r="608" spans="1:13" x14ac:dyDescent="0.25">
      <c r="A608" s="2" t="s">
        <v>14</v>
      </c>
      <c r="B608" s="4">
        <v>46056</v>
      </c>
      <c r="C608" s="5">
        <v>0.55513888888888885</v>
      </c>
      <c r="D608" t="s">
        <v>1606</v>
      </c>
      <c r="E608" t="s">
        <v>10140</v>
      </c>
      <c r="I608" t="s">
        <v>11268</v>
      </c>
      <c r="J608" t="s">
        <v>2985</v>
      </c>
      <c r="K608" t="s">
        <v>11269</v>
      </c>
      <c r="L608" t="s">
        <v>11270</v>
      </c>
      <c r="M608" s="3" t="str">
        <f>HYPERLINK(склад2въезд131920212223[[#This Row],[RelativePath]])</f>
        <v>10 Сушилка навес\E33149364_3_20260203T131924Z.jpg</v>
      </c>
    </row>
    <row r="609" spans="1:13" x14ac:dyDescent="0.25">
      <c r="A609" s="2" t="s">
        <v>14</v>
      </c>
      <c r="B609" s="4">
        <v>46056</v>
      </c>
      <c r="C609" s="5">
        <v>0.60166666666666668</v>
      </c>
      <c r="D609" t="s">
        <v>11422</v>
      </c>
      <c r="E609" t="s">
        <v>10140</v>
      </c>
      <c r="I609" t="s">
        <v>11271</v>
      </c>
      <c r="J609" t="s">
        <v>2985</v>
      </c>
      <c r="K609" t="s">
        <v>11272</v>
      </c>
      <c r="L609" t="s">
        <v>11273</v>
      </c>
      <c r="M609" s="3" t="str">
        <f>HYPERLINK(склад2въезд131920212223[[#This Row],[RelativePath]])</f>
        <v>10 Сушилка навес\E33149364_3_20260203T142624Z.jpg</v>
      </c>
    </row>
    <row r="610" spans="1:13" x14ac:dyDescent="0.25">
      <c r="A610" s="2" t="s">
        <v>14</v>
      </c>
      <c r="B610" s="4">
        <v>46056</v>
      </c>
      <c r="C610" s="5">
        <v>0.60630787037037037</v>
      </c>
      <c r="D610" t="s">
        <v>11423</v>
      </c>
      <c r="E610" t="s">
        <v>86</v>
      </c>
      <c r="I610" t="s">
        <v>11274</v>
      </c>
      <c r="J610" t="s">
        <v>2985</v>
      </c>
      <c r="K610" t="s">
        <v>11275</v>
      </c>
      <c r="L610" t="s">
        <v>11276</v>
      </c>
      <c r="M610" s="3" t="str">
        <f>HYPERLINK(склад2въезд131920212223[[#This Row],[RelativePath]])</f>
        <v>10 Сушилка навес\E33149364_3_20260203T143305Z.jpg</v>
      </c>
    </row>
    <row r="611" spans="1:13" x14ac:dyDescent="0.25">
      <c r="A611" s="2" t="s">
        <v>14</v>
      </c>
      <c r="B611" s="4">
        <v>46056</v>
      </c>
      <c r="C611" s="5">
        <v>0.63982638888888888</v>
      </c>
      <c r="D611" t="s">
        <v>533</v>
      </c>
      <c r="E611" t="s">
        <v>1607</v>
      </c>
      <c r="F611" t="s">
        <v>2929</v>
      </c>
      <c r="I611" t="s">
        <v>11277</v>
      </c>
      <c r="J611" t="s">
        <v>2985</v>
      </c>
      <c r="K611" t="s">
        <v>11278</v>
      </c>
      <c r="L611" t="s">
        <v>11279</v>
      </c>
      <c r="M611" s="3" t="str">
        <f>HYPERLINK(склад2въезд131920212223[[#This Row],[RelativePath]])</f>
        <v>10 Сушилка навес\E33149364_3_20260203T152121Z.jpg</v>
      </c>
    </row>
    <row r="612" spans="1:13" x14ac:dyDescent="0.25">
      <c r="A612" s="2" t="s">
        <v>14</v>
      </c>
      <c r="B612" s="4">
        <v>46056</v>
      </c>
      <c r="C612" s="5">
        <v>0.67363425925925924</v>
      </c>
      <c r="D612" t="s">
        <v>650</v>
      </c>
      <c r="E612" t="s">
        <v>10140</v>
      </c>
      <c r="I612" t="s">
        <v>11280</v>
      </c>
      <c r="J612" t="s">
        <v>2985</v>
      </c>
      <c r="K612" t="s">
        <v>11281</v>
      </c>
      <c r="L612" t="s">
        <v>11282</v>
      </c>
      <c r="M612" s="3" t="str">
        <f>HYPERLINK(склад2въезд131920212223[[#This Row],[RelativePath]])</f>
        <v>10 Сушилка навес\E33149364_3_20260203T161002Z.jpg</v>
      </c>
    </row>
    <row r="613" spans="1:13" x14ac:dyDescent="0.25">
      <c r="A613" s="2" t="s">
        <v>15</v>
      </c>
      <c r="B613" s="4">
        <v>46057</v>
      </c>
      <c r="C613" s="5">
        <v>0.59472222222222226</v>
      </c>
      <c r="D613" t="s">
        <v>4223</v>
      </c>
      <c r="E613" t="s">
        <v>86</v>
      </c>
      <c r="F613" t="s">
        <v>11654</v>
      </c>
      <c r="I613" t="s">
        <v>11517</v>
      </c>
      <c r="J613" t="s">
        <v>2985</v>
      </c>
      <c r="K613" t="s">
        <v>11518</v>
      </c>
      <c r="L613" t="s">
        <v>11519</v>
      </c>
      <c r="M613" s="3" t="str">
        <f>HYPERLINK(склад2въезд131920212223[[#This Row],[RelativePath]])</f>
        <v>10 Сушилка навес\E33149364_3_20260204T141624Z.jpg</v>
      </c>
    </row>
    <row r="614" spans="1:13" x14ac:dyDescent="0.25">
      <c r="A614" s="2" t="s">
        <v>15</v>
      </c>
      <c r="B614" s="4">
        <v>46057</v>
      </c>
      <c r="C614" s="5">
        <v>0.633275462962963</v>
      </c>
      <c r="D614" t="s">
        <v>158</v>
      </c>
      <c r="E614" t="s">
        <v>86</v>
      </c>
      <c r="F614" t="s">
        <v>58</v>
      </c>
      <c r="H614" t="s">
        <v>11655</v>
      </c>
      <c r="I614" t="s">
        <v>11520</v>
      </c>
      <c r="J614" t="s">
        <v>2985</v>
      </c>
      <c r="K614" t="s">
        <v>11521</v>
      </c>
      <c r="L614" t="s">
        <v>11522</v>
      </c>
      <c r="M614" s="3" t="str">
        <f>HYPERLINK(склад2въезд131920212223[[#This Row],[RelativePath]])</f>
        <v>10 Сушилка навес\E33149364_3_20260204T151155Z.jpg</v>
      </c>
    </row>
    <row r="615" spans="1:13" x14ac:dyDescent="0.25">
      <c r="A615" s="2" t="s">
        <v>15</v>
      </c>
      <c r="B615" s="4">
        <v>46057</v>
      </c>
      <c r="C615" s="5">
        <v>0.64008101851851851</v>
      </c>
      <c r="D615" t="s">
        <v>11656</v>
      </c>
      <c r="E615" t="s">
        <v>1607</v>
      </c>
      <c r="I615" t="s">
        <v>11523</v>
      </c>
      <c r="J615" t="s">
        <v>2985</v>
      </c>
      <c r="K615" t="s">
        <v>11524</v>
      </c>
      <c r="L615" t="s">
        <v>11525</v>
      </c>
      <c r="M615" s="3" t="str">
        <f>HYPERLINK(склад2въезд131920212223[[#This Row],[RelativePath]])</f>
        <v>10 Сушилка навес\E33149364_3_20260204T152143Z.jpg</v>
      </c>
    </row>
    <row r="616" spans="1:13" x14ac:dyDescent="0.25">
      <c r="A616" s="2" t="s">
        <v>15</v>
      </c>
      <c r="B616" s="4">
        <v>46057</v>
      </c>
      <c r="C616" s="5">
        <v>0.64031249999999995</v>
      </c>
      <c r="D616" t="s">
        <v>11657</v>
      </c>
      <c r="E616" t="s">
        <v>1607</v>
      </c>
      <c r="I616" t="s">
        <v>11526</v>
      </c>
      <c r="J616" t="s">
        <v>2985</v>
      </c>
      <c r="K616" t="s">
        <v>11527</v>
      </c>
      <c r="L616" t="s">
        <v>11528</v>
      </c>
      <c r="M616" s="3" t="str">
        <f>HYPERLINK(склад2въезд131920212223[[#This Row],[RelativePath]])</f>
        <v>10 Сушилка навес\E33149364_3_20260204T152203Z.jpg</v>
      </c>
    </row>
    <row r="617" spans="1:13" x14ac:dyDescent="0.25">
      <c r="A617" s="2" t="s">
        <v>16</v>
      </c>
      <c r="B617" s="4">
        <v>46058</v>
      </c>
      <c r="C617" s="5">
        <v>0.38155092592592593</v>
      </c>
      <c r="D617" t="s">
        <v>11658</v>
      </c>
      <c r="E617" t="s">
        <v>1607</v>
      </c>
      <c r="I617" t="s">
        <v>11529</v>
      </c>
      <c r="J617" t="s">
        <v>2985</v>
      </c>
      <c r="K617" t="s">
        <v>11530</v>
      </c>
      <c r="L617" t="s">
        <v>11531</v>
      </c>
      <c r="M617" s="3" t="str">
        <f>HYPERLINK(склад2въезд131920212223[[#This Row],[RelativePath]])</f>
        <v>10 Сушилка навес\E33149364_3_20260205T090926Z.jpg</v>
      </c>
    </row>
    <row r="618" spans="1:13" x14ac:dyDescent="0.25">
      <c r="A618" s="2" t="s">
        <v>16</v>
      </c>
      <c r="B618" s="4">
        <v>46058</v>
      </c>
      <c r="C618" s="5">
        <v>0.66181712962962957</v>
      </c>
      <c r="D618" t="s">
        <v>11658</v>
      </c>
      <c r="E618" t="s">
        <v>1607</v>
      </c>
      <c r="I618" t="s">
        <v>11532</v>
      </c>
      <c r="J618" t="s">
        <v>2985</v>
      </c>
      <c r="K618" t="s">
        <v>11533</v>
      </c>
      <c r="L618" t="s">
        <v>11534</v>
      </c>
      <c r="M618" s="3" t="str">
        <f>HYPERLINK(склад2въезд131920212223[[#This Row],[RelativePath]])</f>
        <v>10 Сушилка навес\E33149364_3_20260205T155301Z.jpg</v>
      </c>
    </row>
    <row r="619" spans="1:13" x14ac:dyDescent="0.25">
      <c r="A619" s="2" t="s">
        <v>17</v>
      </c>
      <c r="B619" s="4">
        <v>46059</v>
      </c>
      <c r="C619" s="5">
        <v>0.46134259259259258</v>
      </c>
      <c r="D619" t="s">
        <v>11658</v>
      </c>
      <c r="E619" t="s">
        <v>1607</v>
      </c>
      <c r="I619" t="s">
        <v>11535</v>
      </c>
      <c r="J619" t="s">
        <v>2985</v>
      </c>
      <c r="K619" t="s">
        <v>11536</v>
      </c>
      <c r="L619" t="s">
        <v>11537</v>
      </c>
      <c r="M619" s="3" t="str">
        <f>HYPERLINK(склад2въезд131920212223[[#This Row],[RelativePath]])</f>
        <v>10 Сушилка навес\E33149364_3_20260206T110420Z.jpg</v>
      </c>
    </row>
    <row r="620" spans="1:13" x14ac:dyDescent="0.25">
      <c r="A620" s="2" t="s">
        <v>18</v>
      </c>
      <c r="B620" s="4">
        <v>46060</v>
      </c>
      <c r="C620" s="5">
        <v>0.7</v>
      </c>
      <c r="D620" t="s">
        <v>2004</v>
      </c>
      <c r="E620" t="s">
        <v>8</v>
      </c>
      <c r="I620" t="s">
        <v>11739</v>
      </c>
      <c r="J620" t="s">
        <v>2985</v>
      </c>
      <c r="K620" t="s">
        <v>11740</v>
      </c>
      <c r="L620" t="s">
        <v>11741</v>
      </c>
      <c r="M620" s="3" t="str">
        <f>HYPERLINK(склад2въезд131920212223[[#This Row],[RelativePath]])</f>
        <v>10 Сушилка навес\E33149364_3_20260207T164800Z.jpg</v>
      </c>
    </row>
    <row r="621" spans="1:13" x14ac:dyDescent="0.25">
      <c r="A621" s="2" t="s">
        <v>22</v>
      </c>
      <c r="B621" s="4">
        <v>46061</v>
      </c>
      <c r="C621" s="5">
        <v>0.48668981481481483</v>
      </c>
      <c r="D621" t="s">
        <v>533</v>
      </c>
      <c r="E621" t="s">
        <v>1607</v>
      </c>
      <c r="F621" t="s">
        <v>58</v>
      </c>
      <c r="I621" t="s">
        <v>11742</v>
      </c>
      <c r="J621" t="s">
        <v>2985</v>
      </c>
      <c r="K621" t="s">
        <v>11743</v>
      </c>
      <c r="L621" t="s">
        <v>11744</v>
      </c>
      <c r="M621" s="3" t="str">
        <f>HYPERLINK(склад2въезд131920212223[[#This Row],[RelativePath]])</f>
        <v>10 Сушилка навес\E33149364_3_20260208T114050Z.jpg</v>
      </c>
    </row>
    <row r="622" spans="1:13" x14ac:dyDescent="0.25">
      <c r="A622" s="2" t="s">
        <v>22</v>
      </c>
      <c r="B622" s="4">
        <v>46061</v>
      </c>
      <c r="C622" s="5">
        <v>0.52968749999999998</v>
      </c>
      <c r="D622" t="s">
        <v>533</v>
      </c>
      <c r="E622" t="s">
        <v>1607</v>
      </c>
      <c r="F622" t="s">
        <v>58</v>
      </c>
      <c r="I622" t="s">
        <v>11745</v>
      </c>
      <c r="J622" t="s">
        <v>2985</v>
      </c>
      <c r="K622" t="s">
        <v>11746</v>
      </c>
      <c r="L622" t="s">
        <v>11747</v>
      </c>
      <c r="M622" s="3" t="str">
        <f>HYPERLINK(склад2въезд131920212223[[#This Row],[RelativePath]])</f>
        <v>10 Сушилка навес\E33149364_3_20260208T124245Z.jpg</v>
      </c>
    </row>
  </sheetData>
  <conditionalFormatting sqref="D623:D633 E623:E636 G2:H622 D2:E622">
    <cfRule type="containsText" dxfId="696" priority="14" operator="containsText" text="Выезд с территории">
      <formula>NOT(ISERROR(SEARCH("Выезд с территории",D2)))</formula>
    </cfRule>
  </conditionalFormatting>
  <conditionalFormatting sqref="F2:F622">
    <cfRule type="notContainsText" dxfId="695" priority="13" operator="notContains" text="порожний">
      <formula>ISERROR(SEARCH("порожний",F2))</formula>
    </cfRule>
  </conditionalFormatting>
  <conditionalFormatting sqref="E2:E636">
    <cfRule type="containsText" dxfId="694" priority="11" operator="containsText" text="Газель базы">
      <formula>NOT(ISERROR(SEARCH("Газель базы",E2)))</formula>
    </cfRule>
    <cfRule type="containsText" dxfId="693" priority="12" operator="containsText" text="Погрузчик базы">
      <formula>NOT(ISERROR(SEARCH("Погрузчик базы",E2)))</formula>
    </cfRule>
  </conditionalFormatting>
  <conditionalFormatting sqref="E2:E636">
    <cfRule type="containsText" dxfId="692" priority="10" operator="containsText" text="Трактор базы">
      <formula>NOT(ISERROR(SEARCH("Трактор базы",E2)))</formula>
    </cfRule>
  </conditionalFormatting>
  <conditionalFormatting sqref="A2:C622">
    <cfRule type="expression" dxfId="691" priority="9">
      <formula>$A2="пн"</formula>
    </cfRule>
  </conditionalFormatting>
  <conditionalFormatting sqref="A2:C624">
    <cfRule type="expression" dxfId="690" priority="3">
      <formula>$A2="вс"</formula>
    </cfRule>
    <cfRule type="expression" dxfId="689" priority="4">
      <formula>$A2="сб"</formula>
    </cfRule>
    <cfRule type="expression" dxfId="688" priority="5">
      <formula>$A2="пт"</formula>
    </cfRule>
    <cfRule type="expression" dxfId="687" priority="6">
      <formula>$A2="чт"</formula>
    </cfRule>
    <cfRule type="expression" dxfId="686" priority="7">
      <formula>$A2="ср"</formula>
    </cfRule>
    <cfRule type="expression" dxfId="685" priority="8">
      <formula>$A2="вт"</formula>
    </cfRule>
  </conditionalFormatting>
  <conditionalFormatting sqref="D2:D633">
    <cfRule type="containsText" dxfId="6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3">
    <cfRule type="containsText" dxfId="6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03"/>
  <sheetViews>
    <sheetView zoomScale="90" zoomScaleNormal="90" workbookViewId="0">
      <pane ySplit="1" topLeftCell="A290" activePane="bottomLeft" state="frozen"/>
      <selection pane="bottomLeft" activeCell="I302" sqref="I302:I3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t="s">
        <v>2004</v>
      </c>
      <c r="E263" t="s">
        <v>8</v>
      </c>
      <c r="I263" t="s">
        <v>10989</v>
      </c>
      <c r="J263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t="s">
        <v>2004</v>
      </c>
      <c r="E264" t="s">
        <v>8</v>
      </c>
      <c r="I264" t="s">
        <v>10992</v>
      </c>
      <c r="J264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t="s">
        <v>2004</v>
      </c>
      <c r="E265" t="s">
        <v>8</v>
      </c>
      <c r="I265" t="s">
        <v>11052</v>
      </c>
      <c r="J265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t="s">
        <v>11138</v>
      </c>
      <c r="I266" t="s">
        <v>11135</v>
      </c>
      <c r="J266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  <row r="267" spans="1:13" x14ac:dyDescent="0.25">
      <c r="A267" s="2" t="s">
        <v>13</v>
      </c>
      <c r="B267" s="4">
        <v>46055</v>
      </c>
      <c r="C267" s="5">
        <v>0.68052083333333335</v>
      </c>
      <c r="D267" t="s">
        <v>2004</v>
      </c>
      <c r="E267" t="s">
        <v>8</v>
      </c>
      <c r="I267" t="s">
        <v>11283</v>
      </c>
      <c r="J267" t="s">
        <v>2986</v>
      </c>
      <c r="K267" t="s">
        <v>11284</v>
      </c>
      <c r="L267" t="s">
        <v>11285</v>
      </c>
      <c r="M267" s="3" t="str">
        <f>HYPERLINK(склад2въезд1319202122237[[#This Row],[RelativePath]])</f>
        <v>11 С ангара на базу\E33149364_4_20260202T161957Z.jpg</v>
      </c>
    </row>
    <row r="268" spans="1:13" x14ac:dyDescent="0.25">
      <c r="A268" s="2" t="s">
        <v>14</v>
      </c>
      <c r="B268" s="4">
        <v>46056</v>
      </c>
      <c r="C268" s="5">
        <v>0.47658564814814813</v>
      </c>
      <c r="D268" t="s">
        <v>290</v>
      </c>
      <c r="E268" t="s">
        <v>11412</v>
      </c>
      <c r="F268" t="s">
        <v>60</v>
      </c>
      <c r="I268" t="s">
        <v>11286</v>
      </c>
      <c r="J268" t="s">
        <v>2986</v>
      </c>
      <c r="K268" t="s">
        <v>11287</v>
      </c>
      <c r="L268" t="s">
        <v>11288</v>
      </c>
      <c r="M268" s="3" t="str">
        <f>HYPERLINK(склад2въезд1319202122237[[#This Row],[RelativePath]])</f>
        <v>11 С ангара на базу\E33149364_4_20260203T112617Z.jpg</v>
      </c>
    </row>
    <row r="269" spans="1:13" x14ac:dyDescent="0.25">
      <c r="A269" s="2" t="s">
        <v>14</v>
      </c>
      <c r="B269" s="4">
        <v>46056</v>
      </c>
      <c r="C269" s="5">
        <v>0.47879629629629628</v>
      </c>
      <c r="D269" t="s">
        <v>290</v>
      </c>
      <c r="E269" t="s">
        <v>11412</v>
      </c>
      <c r="F269" t="s">
        <v>60</v>
      </c>
      <c r="H269" t="s">
        <v>2936</v>
      </c>
      <c r="I269" t="s">
        <v>11289</v>
      </c>
      <c r="J269" t="s">
        <v>2986</v>
      </c>
      <c r="K269" t="s">
        <v>11290</v>
      </c>
      <c r="L269" t="s">
        <v>11291</v>
      </c>
      <c r="M269" s="3" t="str">
        <f>HYPERLINK(склад2въезд1319202122237[[#This Row],[RelativePath]])</f>
        <v>11 С ангара на базу\E33149364_4_20260203T112928Z.jpg</v>
      </c>
    </row>
    <row r="270" spans="1:13" x14ac:dyDescent="0.25">
      <c r="A270" s="2" t="s">
        <v>14</v>
      </c>
      <c r="B270" s="4">
        <v>46056</v>
      </c>
      <c r="C270" s="5">
        <v>0.48052083333333334</v>
      </c>
      <c r="D270" t="s">
        <v>290</v>
      </c>
      <c r="E270" t="s">
        <v>11412</v>
      </c>
      <c r="F270" t="s">
        <v>60</v>
      </c>
      <c r="H270" t="s">
        <v>2936</v>
      </c>
      <c r="I270" t="s">
        <v>11292</v>
      </c>
      <c r="J270" t="s">
        <v>2986</v>
      </c>
      <c r="K270" t="s">
        <v>11293</v>
      </c>
      <c r="L270" t="s">
        <v>11294</v>
      </c>
      <c r="M270" s="3" t="str">
        <f>HYPERLINK(склад2въезд1319202122237[[#This Row],[RelativePath]])</f>
        <v>11 С ангара на базу\E33149364_4_20260203T113157Z.jpg</v>
      </c>
    </row>
    <row r="271" spans="1:13" x14ac:dyDescent="0.25">
      <c r="A271" s="2" t="s">
        <v>14</v>
      </c>
      <c r="B271" s="4">
        <v>46056</v>
      </c>
      <c r="C271" s="5">
        <v>0.48226851851851854</v>
      </c>
      <c r="D271" t="s">
        <v>290</v>
      </c>
      <c r="E271" t="s">
        <v>11412</v>
      </c>
      <c r="F271" t="s">
        <v>60</v>
      </c>
      <c r="H271" t="s">
        <v>2936</v>
      </c>
      <c r="I271" t="s">
        <v>11295</v>
      </c>
      <c r="J271" t="s">
        <v>2986</v>
      </c>
      <c r="K271" t="s">
        <v>11296</v>
      </c>
      <c r="L271" t="s">
        <v>11297</v>
      </c>
      <c r="M271" s="3" t="str">
        <f>HYPERLINK(склад2въезд1319202122237[[#This Row],[RelativePath]])</f>
        <v>11 С ангара на базу\E33149364_4_20260203T113428Z.jpg</v>
      </c>
    </row>
    <row r="272" spans="1:13" x14ac:dyDescent="0.25">
      <c r="A272" s="2" t="s">
        <v>14</v>
      </c>
      <c r="B272" s="4">
        <v>46056</v>
      </c>
      <c r="C272" s="5">
        <v>0.48519675925925926</v>
      </c>
      <c r="D272" t="s">
        <v>290</v>
      </c>
      <c r="E272" t="s">
        <v>11412</v>
      </c>
      <c r="F272" t="s">
        <v>60</v>
      </c>
      <c r="H272" t="s">
        <v>2936</v>
      </c>
      <c r="I272" t="s">
        <v>11298</v>
      </c>
      <c r="J272" t="s">
        <v>2986</v>
      </c>
      <c r="K272" t="s">
        <v>11299</v>
      </c>
      <c r="L272" t="s">
        <v>11300</v>
      </c>
      <c r="M272" s="3" t="str">
        <f>HYPERLINK(склад2въезд1319202122237[[#This Row],[RelativePath]])</f>
        <v>11 С ангара на базу\E33149364_4_20260203T113841Z.jpg</v>
      </c>
    </row>
    <row r="273" spans="1:13" x14ac:dyDescent="0.25">
      <c r="A273" s="2" t="s">
        <v>14</v>
      </c>
      <c r="B273" s="4">
        <v>46056</v>
      </c>
      <c r="C273" s="5">
        <v>0.48715277777777777</v>
      </c>
      <c r="D273" t="s">
        <v>290</v>
      </c>
      <c r="E273" t="s">
        <v>11412</v>
      </c>
      <c r="F273" t="s">
        <v>60</v>
      </c>
      <c r="H273" t="s">
        <v>2936</v>
      </c>
      <c r="I273" t="s">
        <v>11301</v>
      </c>
      <c r="J273" t="s">
        <v>2986</v>
      </c>
      <c r="K273" t="s">
        <v>11302</v>
      </c>
      <c r="L273" t="s">
        <v>11303</v>
      </c>
      <c r="M273" s="3" t="str">
        <f>HYPERLINK(склад2въезд1319202122237[[#This Row],[RelativePath]])</f>
        <v>11 С ангара на базу\E33149364_4_20260203T114130Z.jpg</v>
      </c>
    </row>
    <row r="274" spans="1:13" x14ac:dyDescent="0.25">
      <c r="A274" s="2" t="s">
        <v>14</v>
      </c>
      <c r="B274" s="4">
        <v>46056</v>
      </c>
      <c r="C274" s="5">
        <v>0.49083333333333334</v>
      </c>
      <c r="D274" t="s">
        <v>290</v>
      </c>
      <c r="E274" t="s">
        <v>11412</v>
      </c>
      <c r="F274" t="s">
        <v>60</v>
      </c>
      <c r="H274" t="s">
        <v>2936</v>
      </c>
      <c r="I274" t="s">
        <v>11304</v>
      </c>
      <c r="J274" t="s">
        <v>2986</v>
      </c>
      <c r="K274" t="s">
        <v>11305</v>
      </c>
      <c r="L274" t="s">
        <v>11306</v>
      </c>
      <c r="M274" s="3" t="str">
        <f>HYPERLINK(склад2въезд1319202122237[[#This Row],[RelativePath]])</f>
        <v>11 С ангара на базу\E33149364_4_20260203T114648Z.jpg</v>
      </c>
    </row>
    <row r="275" spans="1:13" x14ac:dyDescent="0.25">
      <c r="A275" s="2" t="s">
        <v>14</v>
      </c>
      <c r="B275" s="4">
        <v>46056</v>
      </c>
      <c r="C275" s="5">
        <v>0.49300925925925926</v>
      </c>
      <c r="D275" t="s">
        <v>290</v>
      </c>
      <c r="E275" t="s">
        <v>11412</v>
      </c>
      <c r="F275" t="s">
        <v>60</v>
      </c>
      <c r="H275" t="s">
        <v>2936</v>
      </c>
      <c r="I275" t="s">
        <v>11307</v>
      </c>
      <c r="J275" t="s">
        <v>2986</v>
      </c>
      <c r="K275" t="s">
        <v>11308</v>
      </c>
      <c r="L275" t="s">
        <v>11309</v>
      </c>
      <c r="M275" s="3" t="str">
        <f>HYPERLINK(склад2въезд1319202122237[[#This Row],[RelativePath]])</f>
        <v>11 С ангара на базу\E33149364_4_20260203T114956Z.jpg</v>
      </c>
    </row>
    <row r="276" spans="1:13" x14ac:dyDescent="0.25">
      <c r="A276" s="2" t="s">
        <v>14</v>
      </c>
      <c r="B276" s="4">
        <v>46056</v>
      </c>
      <c r="C276" s="5">
        <v>0.4952199074074074</v>
      </c>
      <c r="D276" t="s">
        <v>290</v>
      </c>
      <c r="E276" t="s">
        <v>11412</v>
      </c>
      <c r="F276" t="s">
        <v>60</v>
      </c>
      <c r="H276" t="s">
        <v>2936</v>
      </c>
      <c r="I276" t="s">
        <v>11310</v>
      </c>
      <c r="J276" t="s">
        <v>2986</v>
      </c>
      <c r="K276" t="s">
        <v>11311</v>
      </c>
      <c r="L276" t="s">
        <v>11312</v>
      </c>
      <c r="M276" s="3" t="str">
        <f>HYPERLINK(склад2въезд1319202122237[[#This Row],[RelativePath]])</f>
        <v>11 С ангара на базу\E33149364_4_20260203T115307Z.jpg</v>
      </c>
    </row>
    <row r="277" spans="1:13" x14ac:dyDescent="0.25">
      <c r="A277" s="2" t="s">
        <v>14</v>
      </c>
      <c r="B277" s="4">
        <v>46056</v>
      </c>
      <c r="C277" s="5">
        <v>0.50091435185185185</v>
      </c>
      <c r="D277" t="s">
        <v>290</v>
      </c>
      <c r="E277" t="s">
        <v>11412</v>
      </c>
      <c r="F277" t="s">
        <v>60</v>
      </c>
      <c r="H277" t="s">
        <v>2936</v>
      </c>
      <c r="I277" t="s">
        <v>11313</v>
      </c>
      <c r="J277" t="s">
        <v>2986</v>
      </c>
      <c r="K277" t="s">
        <v>11314</v>
      </c>
      <c r="L277" t="s">
        <v>11315</v>
      </c>
      <c r="M277" s="3" t="str">
        <f>HYPERLINK(склад2въезд1319202122237[[#This Row],[RelativePath]])</f>
        <v>11 С ангара на базу\E33149364_4_20260203T120119Z.jpg</v>
      </c>
    </row>
    <row r="278" spans="1:13" x14ac:dyDescent="0.25">
      <c r="A278" s="2" t="s">
        <v>14</v>
      </c>
      <c r="B278" s="4">
        <v>46056</v>
      </c>
      <c r="C278" s="5">
        <v>0.50259259259259259</v>
      </c>
      <c r="D278" t="s">
        <v>290</v>
      </c>
      <c r="E278" t="s">
        <v>11412</v>
      </c>
      <c r="F278" t="s">
        <v>60</v>
      </c>
      <c r="H278" t="s">
        <v>2936</v>
      </c>
      <c r="I278" t="s">
        <v>11316</v>
      </c>
      <c r="J278" t="s">
        <v>2986</v>
      </c>
      <c r="K278" t="s">
        <v>11317</v>
      </c>
      <c r="L278" t="s">
        <v>11318</v>
      </c>
      <c r="M278" s="3" t="str">
        <f>HYPERLINK(склад2въезд1319202122237[[#This Row],[RelativePath]])</f>
        <v>11 С ангара на базу\E33149364_4_20260203T120344Z.jpg</v>
      </c>
    </row>
    <row r="279" spans="1:13" x14ac:dyDescent="0.25">
      <c r="A279" s="2" t="s">
        <v>14</v>
      </c>
      <c r="B279" s="4">
        <v>46056</v>
      </c>
      <c r="C279" s="5">
        <v>0.50442129629629628</v>
      </c>
      <c r="D279" t="s">
        <v>290</v>
      </c>
      <c r="E279" t="s">
        <v>11412</v>
      </c>
      <c r="F279" t="s">
        <v>60</v>
      </c>
      <c r="H279" t="s">
        <v>2936</v>
      </c>
      <c r="I279" t="s">
        <v>11319</v>
      </c>
      <c r="J279" t="s">
        <v>2986</v>
      </c>
      <c r="K279" t="s">
        <v>11320</v>
      </c>
      <c r="L279" t="s">
        <v>11321</v>
      </c>
      <c r="M279" s="3" t="str">
        <f>HYPERLINK(склад2въезд1319202122237[[#This Row],[RelativePath]])</f>
        <v>11 С ангара на базу\E33149364_4_20260203T120622Z.jpg</v>
      </c>
    </row>
    <row r="280" spans="1:13" x14ac:dyDescent="0.25">
      <c r="A280" s="2" t="s">
        <v>14</v>
      </c>
      <c r="B280" s="4">
        <v>46056</v>
      </c>
      <c r="C280" s="5">
        <v>0.51177083333333329</v>
      </c>
      <c r="D280" t="s">
        <v>11422</v>
      </c>
      <c r="E280" t="s">
        <v>11412</v>
      </c>
      <c r="I280" t="s">
        <v>11322</v>
      </c>
      <c r="J280" t="s">
        <v>2986</v>
      </c>
      <c r="K280" t="s">
        <v>11323</v>
      </c>
      <c r="L280" t="s">
        <v>11324</v>
      </c>
      <c r="M280" s="3" t="str">
        <f>HYPERLINK(склад2въезд1319202122237[[#This Row],[RelativePath]])</f>
        <v>11 С ангара на базу\E33149364_4_20260203T121657Z.jpg</v>
      </c>
    </row>
    <row r="281" spans="1:13" x14ac:dyDescent="0.25">
      <c r="A281" s="2" t="s">
        <v>14</v>
      </c>
      <c r="B281" s="4">
        <v>46056</v>
      </c>
      <c r="C281" s="5">
        <v>0.51491898148148152</v>
      </c>
      <c r="D281" t="s">
        <v>290</v>
      </c>
      <c r="E281" t="s">
        <v>11412</v>
      </c>
      <c r="F281" t="s">
        <v>60</v>
      </c>
      <c r="I281" t="s">
        <v>11325</v>
      </c>
      <c r="J281" t="s">
        <v>2986</v>
      </c>
      <c r="K281" t="s">
        <v>11326</v>
      </c>
      <c r="L281" t="s">
        <v>11327</v>
      </c>
      <c r="M281" s="3" t="str">
        <f>HYPERLINK(склад2въезд1319202122237[[#This Row],[RelativePath]])</f>
        <v>11 С ангара на базу\E33149364_4_20260203T122129Z.jpg</v>
      </c>
    </row>
    <row r="282" spans="1:13" x14ac:dyDescent="0.25">
      <c r="A282" s="2" t="s">
        <v>14</v>
      </c>
      <c r="B282" s="4">
        <v>46056</v>
      </c>
      <c r="C282" s="5">
        <v>0.51747685185185188</v>
      </c>
      <c r="D282" t="s">
        <v>290</v>
      </c>
      <c r="E282" t="s">
        <v>11412</v>
      </c>
      <c r="F282" t="s">
        <v>60</v>
      </c>
      <c r="H282" t="s">
        <v>2936</v>
      </c>
      <c r="I282" t="s">
        <v>11328</v>
      </c>
      <c r="J282" t="s">
        <v>2986</v>
      </c>
      <c r="K282" t="s">
        <v>11329</v>
      </c>
      <c r="L282" t="s">
        <v>11330</v>
      </c>
      <c r="M282" s="3" t="str">
        <f>HYPERLINK(склад2въезд1319202122237[[#This Row],[RelativePath]])</f>
        <v>11 С ангара на базу\E33149364_4_20260203T122510Z.jpg</v>
      </c>
    </row>
    <row r="283" spans="1:13" x14ac:dyDescent="0.25">
      <c r="A283" s="2" t="s">
        <v>14</v>
      </c>
      <c r="B283" s="4">
        <v>46056</v>
      </c>
      <c r="C283" s="5">
        <v>0.51936342592592588</v>
      </c>
      <c r="D283" t="s">
        <v>290</v>
      </c>
      <c r="E283" t="s">
        <v>11412</v>
      </c>
      <c r="F283" t="s">
        <v>60</v>
      </c>
      <c r="H283" t="s">
        <v>2936</v>
      </c>
      <c r="I283" t="s">
        <v>11331</v>
      </c>
      <c r="J283" t="s">
        <v>2986</v>
      </c>
      <c r="K283" t="s">
        <v>11332</v>
      </c>
      <c r="L283" t="s">
        <v>11333</v>
      </c>
      <c r="M283" s="3" t="str">
        <f>HYPERLINK(склад2въезд1319202122237[[#This Row],[RelativePath]])</f>
        <v>11 С ангара на базу\E33149364_4_20260203T122753Z.jpg</v>
      </c>
    </row>
    <row r="284" spans="1:13" x14ac:dyDescent="0.25">
      <c r="A284" s="2" t="s">
        <v>14</v>
      </c>
      <c r="B284" s="4">
        <v>46056</v>
      </c>
      <c r="C284" s="5">
        <v>0.52197916666666666</v>
      </c>
      <c r="D284" t="s">
        <v>290</v>
      </c>
      <c r="E284" t="s">
        <v>11412</v>
      </c>
      <c r="F284" t="s">
        <v>60</v>
      </c>
      <c r="H284" t="s">
        <v>2936</v>
      </c>
      <c r="I284" t="s">
        <v>11334</v>
      </c>
      <c r="J284" t="s">
        <v>2986</v>
      </c>
      <c r="K284" t="s">
        <v>11335</v>
      </c>
      <c r="L284" t="s">
        <v>11336</v>
      </c>
      <c r="M284" s="3" t="str">
        <f>HYPERLINK(склад2въезд1319202122237[[#This Row],[RelativePath]])</f>
        <v>11 С ангара на базу\E33149364_4_20260203T123139Z.jpg</v>
      </c>
    </row>
    <row r="285" spans="1:13" x14ac:dyDescent="0.25">
      <c r="A285" s="2" t="s">
        <v>14</v>
      </c>
      <c r="B285" s="4">
        <v>46056</v>
      </c>
      <c r="C285" s="5">
        <v>0.52274305555555556</v>
      </c>
      <c r="D285" t="s">
        <v>290</v>
      </c>
      <c r="E285" t="s">
        <v>11412</v>
      </c>
      <c r="F285" t="s">
        <v>60</v>
      </c>
      <c r="H285" t="s">
        <v>2936</v>
      </c>
      <c r="I285" t="s">
        <v>11337</v>
      </c>
      <c r="J285" t="s">
        <v>2986</v>
      </c>
      <c r="K285" t="s">
        <v>11338</v>
      </c>
      <c r="L285" t="s">
        <v>11339</v>
      </c>
      <c r="M285" s="3" t="str">
        <f>HYPERLINK(склад2въезд1319202122237[[#This Row],[RelativePath]])</f>
        <v>11 С ангара на базу\E33149364_4_20260203T123245Z.jpg</v>
      </c>
    </row>
    <row r="286" spans="1:13" x14ac:dyDescent="0.25">
      <c r="A286" s="2" t="s">
        <v>14</v>
      </c>
      <c r="B286" s="4">
        <v>46056</v>
      </c>
      <c r="C286" s="5">
        <v>0.52563657407407405</v>
      </c>
      <c r="D286" t="s">
        <v>290</v>
      </c>
      <c r="E286" t="s">
        <v>11412</v>
      </c>
      <c r="F286" t="s">
        <v>60</v>
      </c>
      <c r="H286" t="s">
        <v>2936</v>
      </c>
      <c r="I286" t="s">
        <v>11340</v>
      </c>
      <c r="J286" t="s">
        <v>2986</v>
      </c>
      <c r="K286" t="s">
        <v>11341</v>
      </c>
      <c r="L286" t="s">
        <v>11342</v>
      </c>
      <c r="M286" s="3" t="str">
        <f>HYPERLINK(склад2въезд1319202122237[[#This Row],[RelativePath]])</f>
        <v>11 С ангара на базу\E33149364_4_20260203T123655Z.jpg</v>
      </c>
    </row>
    <row r="287" spans="1:13" x14ac:dyDescent="0.25">
      <c r="A287" s="2" t="s">
        <v>14</v>
      </c>
      <c r="B287" s="4">
        <v>46056</v>
      </c>
      <c r="C287" s="5">
        <v>0.52638888888888891</v>
      </c>
      <c r="D287" t="s">
        <v>290</v>
      </c>
      <c r="E287" t="s">
        <v>11412</v>
      </c>
      <c r="F287" t="s">
        <v>60</v>
      </c>
      <c r="H287" t="s">
        <v>2936</v>
      </c>
      <c r="I287" t="s">
        <v>11343</v>
      </c>
      <c r="J287" t="s">
        <v>2986</v>
      </c>
      <c r="K287" t="s">
        <v>11344</v>
      </c>
      <c r="L287" t="s">
        <v>11345</v>
      </c>
      <c r="M287" s="3" t="str">
        <f>HYPERLINK(склад2въезд1319202122237[[#This Row],[RelativePath]])</f>
        <v>11 С ангара на базу\E33149364_4_20260203T123800Z.jpg</v>
      </c>
    </row>
    <row r="288" spans="1:13" x14ac:dyDescent="0.25">
      <c r="A288" s="2" t="s">
        <v>14</v>
      </c>
      <c r="B288" s="4">
        <v>46056</v>
      </c>
      <c r="C288" s="5">
        <v>0.52846064814814819</v>
      </c>
      <c r="D288" t="s">
        <v>290</v>
      </c>
      <c r="E288" t="s">
        <v>11412</v>
      </c>
      <c r="F288" t="s">
        <v>60</v>
      </c>
      <c r="H288" t="s">
        <v>2936</v>
      </c>
      <c r="I288" t="s">
        <v>11346</v>
      </c>
      <c r="J288" t="s">
        <v>2986</v>
      </c>
      <c r="K288" t="s">
        <v>11347</v>
      </c>
      <c r="L288" t="s">
        <v>11348</v>
      </c>
      <c r="M288" s="3" t="str">
        <f>HYPERLINK(склад2въезд1319202122237[[#This Row],[RelativePath]])</f>
        <v>11 С ангара на базу\E33149364_4_20260203T124059Z.jpg</v>
      </c>
    </row>
    <row r="289" spans="1:13" x14ac:dyDescent="0.25">
      <c r="A289" s="2" t="s">
        <v>14</v>
      </c>
      <c r="B289" s="4">
        <v>46056</v>
      </c>
      <c r="C289" s="5">
        <v>0.53401620370370373</v>
      </c>
      <c r="D289" t="s">
        <v>290</v>
      </c>
      <c r="E289" t="s">
        <v>11412</v>
      </c>
      <c r="F289" t="s">
        <v>60</v>
      </c>
      <c r="H289" t="s">
        <v>2936</v>
      </c>
      <c r="I289" t="s">
        <v>11349</v>
      </c>
      <c r="J289" t="s">
        <v>2986</v>
      </c>
      <c r="K289" t="s">
        <v>11350</v>
      </c>
      <c r="L289" t="s">
        <v>11351</v>
      </c>
      <c r="M289" s="3" t="str">
        <f>HYPERLINK(склад2въезд1319202122237[[#This Row],[RelativePath]])</f>
        <v>11 С ангара на базу\E33149364_4_20260203T124859Z.jpg</v>
      </c>
    </row>
    <row r="290" spans="1:13" x14ac:dyDescent="0.25">
      <c r="A290" s="2" t="s">
        <v>14</v>
      </c>
      <c r="B290" s="4">
        <v>46056</v>
      </c>
      <c r="C290" s="5">
        <v>0.5352662037037037</v>
      </c>
      <c r="D290" t="s">
        <v>290</v>
      </c>
      <c r="E290" t="s">
        <v>11412</v>
      </c>
      <c r="F290" t="s">
        <v>60</v>
      </c>
      <c r="H290" t="s">
        <v>2936</v>
      </c>
      <c r="I290" t="s">
        <v>11352</v>
      </c>
      <c r="J290" t="s">
        <v>2986</v>
      </c>
      <c r="K290" t="s">
        <v>11353</v>
      </c>
      <c r="L290" t="s">
        <v>11354</v>
      </c>
      <c r="M290" s="3" t="str">
        <f>HYPERLINK(склад2въезд1319202122237[[#This Row],[RelativePath]])</f>
        <v>11 С ангара на базу\E33149364_4_20260203T125047Z.jpg</v>
      </c>
    </row>
    <row r="291" spans="1:13" x14ac:dyDescent="0.25">
      <c r="A291" s="2" t="s">
        <v>14</v>
      </c>
      <c r="B291" s="4">
        <v>46056</v>
      </c>
      <c r="C291" s="5">
        <v>0.53737268518518522</v>
      </c>
      <c r="D291" t="s">
        <v>290</v>
      </c>
      <c r="E291" t="s">
        <v>11412</v>
      </c>
      <c r="F291" t="s">
        <v>60</v>
      </c>
      <c r="H291" t="s">
        <v>2936</v>
      </c>
      <c r="I291" t="s">
        <v>11355</v>
      </c>
      <c r="J291" t="s">
        <v>2986</v>
      </c>
      <c r="K291" t="s">
        <v>11356</v>
      </c>
      <c r="L291" t="s">
        <v>11357</v>
      </c>
      <c r="M291" s="3" t="str">
        <f>HYPERLINK(склад2въезд1319202122237[[#This Row],[RelativePath]])</f>
        <v>11 С ангара на базу\E33149364_4_20260203T125349Z.jpg</v>
      </c>
    </row>
    <row r="292" spans="1:13" x14ac:dyDescent="0.25">
      <c r="A292" s="2" t="s">
        <v>14</v>
      </c>
      <c r="B292" s="4">
        <v>46056</v>
      </c>
      <c r="C292" s="5">
        <v>0.55482638888888891</v>
      </c>
      <c r="D292" t="s">
        <v>5105</v>
      </c>
      <c r="E292" t="s">
        <v>11412</v>
      </c>
      <c r="I292" t="s">
        <v>11358</v>
      </c>
      <c r="J292" t="s">
        <v>2986</v>
      </c>
      <c r="K292" t="s">
        <v>11359</v>
      </c>
      <c r="L292" t="s">
        <v>11360</v>
      </c>
      <c r="M292" s="3" t="str">
        <f>HYPERLINK(склад2въезд1319202122237[[#This Row],[RelativePath]])</f>
        <v>11 С ангара на базу\E33149364_4_20260203T131857Z.jpg</v>
      </c>
    </row>
    <row r="293" spans="1:13" x14ac:dyDescent="0.25">
      <c r="A293" s="2" t="s">
        <v>14</v>
      </c>
      <c r="B293" s="4">
        <v>46056</v>
      </c>
      <c r="C293" s="5">
        <v>0.62818287037037035</v>
      </c>
      <c r="D293" t="s">
        <v>651</v>
      </c>
      <c r="E293" t="s">
        <v>5480</v>
      </c>
      <c r="I293" t="s">
        <v>11361</v>
      </c>
      <c r="J293" t="s">
        <v>2986</v>
      </c>
      <c r="K293" t="s">
        <v>11362</v>
      </c>
      <c r="L293" t="s">
        <v>11363</v>
      </c>
      <c r="M293" s="3" t="str">
        <f>HYPERLINK(склад2въезд1319202122237[[#This Row],[RelativePath]])</f>
        <v>11 С ангара на базу\E33149364_4_20260203T150435Z.jpg</v>
      </c>
    </row>
    <row r="294" spans="1:13" x14ac:dyDescent="0.25">
      <c r="A294" s="2" t="s">
        <v>14</v>
      </c>
      <c r="B294" s="4">
        <v>46056</v>
      </c>
      <c r="C294" s="5">
        <v>0.63287037037037042</v>
      </c>
      <c r="D294" t="s">
        <v>651</v>
      </c>
      <c r="E294" t="s">
        <v>5480</v>
      </c>
      <c r="I294" t="s">
        <v>11364</v>
      </c>
      <c r="J294" t="s">
        <v>2986</v>
      </c>
      <c r="K294" t="s">
        <v>11365</v>
      </c>
      <c r="L294" t="s">
        <v>11366</v>
      </c>
      <c r="M294" s="3" t="str">
        <f>HYPERLINK(склад2въезд1319202122237[[#This Row],[RelativePath]])</f>
        <v>11 С ангара на базу\E33149364_4_20260203T151120Z.jpg</v>
      </c>
    </row>
    <row r="295" spans="1:13" x14ac:dyDescent="0.25">
      <c r="A295" s="2" t="s">
        <v>14</v>
      </c>
      <c r="B295" s="4">
        <v>46056</v>
      </c>
      <c r="C295" s="5">
        <v>0.64457175925925925</v>
      </c>
      <c r="D295" t="s">
        <v>651</v>
      </c>
      <c r="E295" t="s">
        <v>5480</v>
      </c>
      <c r="I295" t="s">
        <v>11367</v>
      </c>
      <c r="J295" t="s">
        <v>2986</v>
      </c>
      <c r="K295" t="s">
        <v>11368</v>
      </c>
      <c r="L295" t="s">
        <v>11369</v>
      </c>
      <c r="M295" s="3" t="str">
        <f>HYPERLINK(склад2въезд1319202122237[[#This Row],[RelativePath]])</f>
        <v>11 С ангара на базу\E33149364_4_20260203T152811Z.jpg</v>
      </c>
    </row>
    <row r="296" spans="1:13" x14ac:dyDescent="0.25">
      <c r="A296" s="2" t="s">
        <v>14</v>
      </c>
      <c r="B296" s="4">
        <v>46056</v>
      </c>
      <c r="C296" s="5">
        <v>0.65008101851851852</v>
      </c>
      <c r="D296" t="s">
        <v>651</v>
      </c>
      <c r="E296" t="s">
        <v>5480</v>
      </c>
      <c r="I296" t="s">
        <v>11370</v>
      </c>
      <c r="J296" t="s">
        <v>2986</v>
      </c>
      <c r="K296" t="s">
        <v>11371</v>
      </c>
      <c r="L296" t="s">
        <v>11372</v>
      </c>
      <c r="M296" s="3" t="str">
        <f>HYPERLINK(склад2въезд1319202122237[[#This Row],[RelativePath]])</f>
        <v>11 С ангара на базу\E33149364_4_20260203T153607Z.jpg</v>
      </c>
    </row>
    <row r="297" spans="1:13" x14ac:dyDescent="0.25">
      <c r="A297" s="2" t="s">
        <v>14</v>
      </c>
      <c r="B297" s="4">
        <v>46056</v>
      </c>
      <c r="C297" s="5">
        <v>0.6918981481481481</v>
      </c>
      <c r="D297" t="s">
        <v>651</v>
      </c>
      <c r="E297" t="s">
        <v>5480</v>
      </c>
      <c r="I297" t="s">
        <v>11373</v>
      </c>
      <c r="J297" t="s">
        <v>2986</v>
      </c>
      <c r="K297" t="s">
        <v>11374</v>
      </c>
      <c r="L297" t="s">
        <v>11375</v>
      </c>
      <c r="M297" s="3" t="str">
        <f>HYPERLINK(склад2въезд1319202122237[[#This Row],[RelativePath]])</f>
        <v>11 С ангара на базу\E33149364_4_20260203T163620Z.jpg</v>
      </c>
    </row>
    <row r="298" spans="1:13" x14ac:dyDescent="0.25">
      <c r="A298" s="2" t="s">
        <v>14</v>
      </c>
      <c r="B298" s="4">
        <v>46056</v>
      </c>
      <c r="C298" s="5">
        <v>0.71322916666666669</v>
      </c>
      <c r="D298" t="s">
        <v>4</v>
      </c>
      <c r="E298" t="s">
        <v>8</v>
      </c>
      <c r="I298" t="s">
        <v>11376</v>
      </c>
      <c r="J298" t="s">
        <v>2986</v>
      </c>
      <c r="K298" t="s">
        <v>11377</v>
      </c>
      <c r="L298" t="s">
        <v>11378</v>
      </c>
      <c r="M298" s="3" t="str">
        <f>HYPERLINK(склад2въезд1319202122237[[#This Row],[RelativePath]])</f>
        <v>11 С ангара на базу\E33149364_4_20260203T170703Z.jpg</v>
      </c>
    </row>
    <row r="299" spans="1:13" x14ac:dyDescent="0.25">
      <c r="A299" s="2" t="s">
        <v>15</v>
      </c>
      <c r="B299" s="4">
        <v>46057</v>
      </c>
      <c r="C299" s="5">
        <v>0.632349537037037</v>
      </c>
      <c r="D299" t="s">
        <v>4</v>
      </c>
      <c r="E299" t="s">
        <v>8045</v>
      </c>
      <c r="I299" t="s">
        <v>11538</v>
      </c>
      <c r="J299" t="s">
        <v>2986</v>
      </c>
      <c r="K299" t="s">
        <v>11539</v>
      </c>
      <c r="L299" t="s">
        <v>11540</v>
      </c>
      <c r="M299" s="3" t="str">
        <f>HYPERLINK(склад2въезд1319202122237[[#This Row],[RelativePath]])</f>
        <v>11 С ангара на базу\E33149364_4_20260204T151035Z.jpg</v>
      </c>
    </row>
    <row r="300" spans="1:13" x14ac:dyDescent="0.25">
      <c r="A300" s="2" t="s">
        <v>16</v>
      </c>
      <c r="B300" s="4">
        <v>46058</v>
      </c>
      <c r="C300" s="5">
        <v>0.69366898148148148</v>
      </c>
      <c r="D300" t="s">
        <v>2004</v>
      </c>
      <c r="E300" t="s">
        <v>8</v>
      </c>
      <c r="I300" t="s">
        <v>11541</v>
      </c>
      <c r="J300" t="s">
        <v>2986</v>
      </c>
      <c r="K300" t="s">
        <v>11542</v>
      </c>
      <c r="L300" t="s">
        <v>11543</v>
      </c>
      <c r="M300" s="3" t="str">
        <f>HYPERLINK(склад2въезд1319202122237[[#This Row],[RelativePath]])</f>
        <v>11 С ангара на базу\E33149364_4_20260205T163853Z.jpg</v>
      </c>
    </row>
    <row r="301" spans="1:13" x14ac:dyDescent="0.25">
      <c r="A301" s="2" t="s">
        <v>17</v>
      </c>
      <c r="B301" s="4">
        <v>46059</v>
      </c>
      <c r="C301" s="5">
        <v>0.70149305555555552</v>
      </c>
      <c r="D301" t="s">
        <v>4</v>
      </c>
      <c r="E301" t="s">
        <v>8045</v>
      </c>
      <c r="I301" t="s">
        <v>11544</v>
      </c>
      <c r="J301" t="s">
        <v>2986</v>
      </c>
      <c r="K301" t="s">
        <v>11545</v>
      </c>
      <c r="L301" t="s">
        <v>11546</v>
      </c>
      <c r="M301" s="3" t="str">
        <f>HYPERLINK(склад2въезд1319202122237[[#This Row],[RelativePath]])</f>
        <v>11 С ангара на базу\E33149364_4_20260206T165009Z.jpg</v>
      </c>
    </row>
    <row r="302" spans="1:13" x14ac:dyDescent="0.25">
      <c r="A302" s="2" t="s">
        <v>18</v>
      </c>
      <c r="B302" s="4">
        <v>46060</v>
      </c>
      <c r="C302" s="5">
        <v>0.65710648148148143</v>
      </c>
      <c r="D302" t="s">
        <v>2004</v>
      </c>
      <c r="E302" t="s">
        <v>8</v>
      </c>
      <c r="I302" t="s">
        <v>11748</v>
      </c>
      <c r="J302" t="s">
        <v>2986</v>
      </c>
      <c r="K302" t="s">
        <v>11749</v>
      </c>
      <c r="L302" t="s">
        <v>11750</v>
      </c>
      <c r="M302" s="3" t="str">
        <f>HYPERLINK(склад2въезд1319202122237[[#This Row],[RelativePath]])</f>
        <v>11 С ангара на базу\E33149364_4_20260207T154614Z.jpg</v>
      </c>
    </row>
    <row r="303" spans="1:13" x14ac:dyDescent="0.25">
      <c r="A303" s="2" t="s">
        <v>22</v>
      </c>
      <c r="B303" s="4">
        <v>46061</v>
      </c>
      <c r="C303" s="5">
        <v>0.7429513888888889</v>
      </c>
      <c r="D303" t="s">
        <v>2004</v>
      </c>
      <c r="E303" t="s">
        <v>8</v>
      </c>
      <c r="I303" t="s">
        <v>11751</v>
      </c>
      <c r="J303" t="s">
        <v>2986</v>
      </c>
      <c r="K303" t="s">
        <v>11752</v>
      </c>
      <c r="L303" t="s">
        <v>11753</v>
      </c>
      <c r="M303" s="3" t="str">
        <f>HYPERLINK(склад2въезд1319202122237[[#This Row],[RelativePath]])</f>
        <v>11 С ангара на базу\E33149364_4_20260208T174951Z.jpg</v>
      </c>
    </row>
  </sheetData>
  <conditionalFormatting sqref="D304:D314 E304:E317 G2:H303 D2:E303">
    <cfRule type="containsText" dxfId="682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681" priority="13" operator="notContains" text="порожний">
      <formula>ISERROR(SEARCH("порожний",F2))</formula>
    </cfRule>
  </conditionalFormatting>
  <conditionalFormatting sqref="E2:E317">
    <cfRule type="containsText" dxfId="680" priority="11" operator="containsText" text="Газель базы">
      <formula>NOT(ISERROR(SEARCH("Газель базы",E2)))</formula>
    </cfRule>
    <cfRule type="containsText" dxfId="679" priority="12" operator="containsText" text="Погрузчик базы">
      <formula>NOT(ISERROR(SEARCH("Погрузчик базы",E2)))</formula>
    </cfRule>
  </conditionalFormatting>
  <conditionalFormatting sqref="E2:E317">
    <cfRule type="containsText" dxfId="678" priority="10" operator="containsText" text="Трактор базы">
      <formula>NOT(ISERROR(SEARCH("Трактор базы",E2)))</formula>
    </cfRule>
  </conditionalFormatting>
  <conditionalFormatting sqref="A2:C303">
    <cfRule type="expression" dxfId="677" priority="9">
      <formula>$A2="пн"</formula>
    </cfRule>
  </conditionalFormatting>
  <conditionalFormatting sqref="A2:C305">
    <cfRule type="expression" dxfId="676" priority="3">
      <formula>$A2="вс"</formula>
    </cfRule>
    <cfRule type="expression" dxfId="675" priority="4">
      <formula>$A2="сб"</formula>
    </cfRule>
    <cfRule type="expression" dxfId="674" priority="5">
      <formula>$A2="пт"</formula>
    </cfRule>
    <cfRule type="expression" dxfId="673" priority="6">
      <formula>$A2="чт"</formula>
    </cfRule>
    <cfRule type="expression" dxfId="672" priority="7">
      <formula>$A2="ср"</formula>
    </cfRule>
    <cfRule type="expression" dxfId="671" priority="8">
      <formula>$A2="вт"</formula>
    </cfRule>
  </conditionalFormatting>
  <conditionalFormatting sqref="D2:D314">
    <cfRule type="containsText" dxfId="6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6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99"/>
  <sheetViews>
    <sheetView zoomScale="90" zoomScaleNormal="90" workbookViewId="0">
      <pane ySplit="1" topLeftCell="A173" activePane="bottomLeft" state="frozen"/>
      <selection pane="bottomLeft" activeCell="I191" sqref="I191:I19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1826</v>
      </c>
      <c r="J2" s="9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9" t="s">
        <v>4</v>
      </c>
      <c r="E3" s="9" t="s">
        <v>8</v>
      </c>
      <c r="F3" s="9"/>
      <c r="H3" s="9"/>
      <c r="I3" s="9" t="s">
        <v>1829</v>
      </c>
      <c r="J3" s="9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9" t="s">
        <v>4</v>
      </c>
      <c r="E4" s="9" t="s">
        <v>8</v>
      </c>
      <c r="F4" s="9"/>
      <c r="H4" s="9"/>
      <c r="I4" s="9" t="s">
        <v>1832</v>
      </c>
      <c r="J4" s="9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9" t="s">
        <v>4</v>
      </c>
      <c r="E5" s="9" t="s">
        <v>1935</v>
      </c>
      <c r="F5" s="9"/>
      <c r="H5" s="9"/>
      <c r="I5" s="9" t="s">
        <v>1835</v>
      </c>
      <c r="J5" s="9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9" t="s">
        <v>4</v>
      </c>
      <c r="E6" s="9" t="s">
        <v>8</v>
      </c>
      <c r="F6" s="9"/>
      <c r="H6" s="9"/>
      <c r="I6" s="9" t="s">
        <v>1838</v>
      </c>
      <c r="J6" s="9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9" t="s">
        <v>4</v>
      </c>
      <c r="E7" s="9" t="s">
        <v>8</v>
      </c>
      <c r="F7" s="9"/>
      <c r="H7" s="9"/>
      <c r="I7" s="9" t="s">
        <v>1841</v>
      </c>
      <c r="J7" s="9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9" t="s">
        <v>4</v>
      </c>
      <c r="E8" s="9" t="s">
        <v>21</v>
      </c>
      <c r="F8" s="9"/>
      <c r="H8" s="9"/>
      <c r="I8" s="9" t="s">
        <v>1844</v>
      </c>
      <c r="J8" s="9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9" t="s">
        <v>4</v>
      </c>
      <c r="E9" s="9" t="s">
        <v>8</v>
      </c>
      <c r="F9" s="9"/>
      <c r="H9" s="9"/>
      <c r="I9" s="9" t="s">
        <v>1847</v>
      </c>
      <c r="J9" s="9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9" t="s">
        <v>4</v>
      </c>
      <c r="E10" s="9" t="s">
        <v>8</v>
      </c>
      <c r="F10" s="9"/>
      <c r="H10" s="9"/>
      <c r="I10" s="9" t="s">
        <v>1850</v>
      </c>
      <c r="J10" s="9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9" t="s">
        <v>4</v>
      </c>
      <c r="E11" s="9" t="s">
        <v>8</v>
      </c>
      <c r="F11" s="9"/>
      <c r="H11" s="9" t="s">
        <v>1625</v>
      </c>
      <c r="I11" s="9" t="s">
        <v>1853</v>
      </c>
      <c r="J11" s="9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9" t="s">
        <v>4</v>
      </c>
      <c r="E12" s="9" t="s">
        <v>1936</v>
      </c>
      <c r="F12" s="9"/>
      <c r="H12" s="9"/>
      <c r="I12" s="9" t="s">
        <v>1856</v>
      </c>
      <c r="J12" s="9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9" t="s">
        <v>4</v>
      </c>
      <c r="E13" s="9" t="s">
        <v>1936</v>
      </c>
      <c r="F13" s="9"/>
      <c r="H13" s="9"/>
      <c r="I13" s="9" t="s">
        <v>1859</v>
      </c>
      <c r="J13" s="9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1862</v>
      </c>
      <c r="J14" s="9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9" t="s">
        <v>4</v>
      </c>
      <c r="E15" s="9" t="s">
        <v>8</v>
      </c>
      <c r="F15" s="9"/>
      <c r="H15" s="9"/>
      <c r="I15" s="9" t="s">
        <v>1865</v>
      </c>
      <c r="J15" s="9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9" t="s">
        <v>4</v>
      </c>
      <c r="E16" s="9" t="s">
        <v>8</v>
      </c>
      <c r="F16" s="9"/>
      <c r="H16" s="9"/>
      <c r="I16" s="9" t="s">
        <v>1868</v>
      </c>
      <c r="J16" s="9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9" t="s">
        <v>4</v>
      </c>
      <c r="E17" s="9" t="s">
        <v>8</v>
      </c>
      <c r="F17" s="9"/>
      <c r="H17" s="9"/>
      <c r="I17" s="9" t="s">
        <v>1871</v>
      </c>
      <c r="J17" s="9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9" t="s">
        <v>4</v>
      </c>
      <c r="E18" s="9" t="s">
        <v>8</v>
      </c>
      <c r="F18" s="9"/>
      <c r="H18" s="9" t="s">
        <v>1625</v>
      </c>
      <c r="I18" s="9" t="s">
        <v>1874</v>
      </c>
      <c r="J18" s="9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9" t="s">
        <v>4</v>
      </c>
      <c r="E19" s="9" t="s">
        <v>8</v>
      </c>
      <c r="F19" s="9"/>
      <c r="H19" s="9"/>
      <c r="I19" s="9" t="s">
        <v>1877</v>
      </c>
      <c r="J19" s="9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9" t="s">
        <v>4</v>
      </c>
      <c r="E20" s="9" t="s">
        <v>8</v>
      </c>
      <c r="F20" s="9"/>
      <c r="H20" s="9"/>
      <c r="I20" s="9" t="s">
        <v>1880</v>
      </c>
      <c r="J20" s="9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9" t="s">
        <v>4</v>
      </c>
      <c r="E21" s="9" t="s">
        <v>21</v>
      </c>
      <c r="F21" s="9"/>
      <c r="H21" s="9"/>
      <c r="I21" s="9" t="s">
        <v>1883</v>
      </c>
      <c r="J21" s="9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9" t="s">
        <v>4</v>
      </c>
      <c r="E22" s="9" t="s">
        <v>8</v>
      </c>
      <c r="F22" s="9"/>
      <c r="H22" s="9"/>
      <c r="I22" s="9" t="s">
        <v>1886</v>
      </c>
      <c r="J22" s="9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9" t="s">
        <v>4</v>
      </c>
      <c r="E23" s="9" t="s">
        <v>21</v>
      </c>
      <c r="F23" s="9"/>
      <c r="H23" s="9"/>
      <c r="I23" s="9" t="s">
        <v>1889</v>
      </c>
      <c r="J23" s="9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9" t="s">
        <v>4</v>
      </c>
      <c r="E24" s="9" t="s">
        <v>8</v>
      </c>
      <c r="F24" s="9"/>
      <c r="H24" s="9"/>
      <c r="I24" s="9" t="s">
        <v>1892</v>
      </c>
      <c r="J24" s="9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9" t="s">
        <v>4</v>
      </c>
      <c r="E25" s="9" t="s">
        <v>21</v>
      </c>
      <c r="F25" s="9"/>
      <c r="H25" s="9"/>
      <c r="I25" s="9" t="s">
        <v>1895</v>
      </c>
      <c r="J25" s="9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9" t="s">
        <v>4</v>
      </c>
      <c r="E26" s="9" t="s">
        <v>8</v>
      </c>
      <c r="F26" s="9"/>
      <c r="H26" s="9" t="s">
        <v>1625</v>
      </c>
      <c r="I26" s="9" t="s">
        <v>1898</v>
      </c>
      <c r="J26" s="9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9" t="s">
        <v>4</v>
      </c>
      <c r="E27" s="9" t="s">
        <v>8</v>
      </c>
      <c r="F27" s="9"/>
      <c r="H27" s="9"/>
      <c r="I27" s="9" t="s">
        <v>1901</v>
      </c>
      <c r="J27" s="9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9" t="s">
        <v>289</v>
      </c>
      <c r="E28" s="9" t="s">
        <v>86</v>
      </c>
      <c r="F28" s="9" t="s">
        <v>200</v>
      </c>
      <c r="H28" s="9"/>
      <c r="I28" s="9" t="s">
        <v>1904</v>
      </c>
      <c r="J28" s="9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9" t="s">
        <v>289</v>
      </c>
      <c r="E29" s="9" t="s">
        <v>86</v>
      </c>
      <c r="F29" s="9" t="s">
        <v>200</v>
      </c>
      <c r="H29" s="9"/>
      <c r="I29" s="9" t="s">
        <v>1907</v>
      </c>
      <c r="J29" s="9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9" t="s">
        <v>289</v>
      </c>
      <c r="E30" s="9" t="s">
        <v>86</v>
      </c>
      <c r="F30" s="9" t="s">
        <v>200</v>
      </c>
      <c r="H30" s="9"/>
      <c r="I30" s="9" t="s">
        <v>1910</v>
      </c>
      <c r="J30" s="9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9" t="s">
        <v>289</v>
      </c>
      <c r="E31" s="9" t="s">
        <v>86</v>
      </c>
      <c r="F31" s="9" t="s">
        <v>200</v>
      </c>
      <c r="H31" s="9"/>
      <c r="I31" s="9" t="s">
        <v>1913</v>
      </c>
      <c r="J31" s="9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9" t="s">
        <v>4</v>
      </c>
      <c r="E32" s="9" t="s">
        <v>8</v>
      </c>
      <c r="F32" s="9"/>
      <c r="H32" s="9" t="s">
        <v>1625</v>
      </c>
      <c r="I32" s="9" t="s">
        <v>1916</v>
      </c>
      <c r="J32" s="9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9" t="s">
        <v>4</v>
      </c>
      <c r="E33" s="9" t="s">
        <v>8</v>
      </c>
      <c r="F33" s="9"/>
      <c r="H33" s="9" t="s">
        <v>5</v>
      </c>
      <c r="I33" s="9" t="s">
        <v>1919</v>
      </c>
      <c r="J33" s="9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9" t="s">
        <v>4</v>
      </c>
      <c r="E34" s="9" t="s">
        <v>8</v>
      </c>
      <c r="F34" s="9"/>
      <c r="H34" s="9" t="s">
        <v>1625</v>
      </c>
      <c r="I34" s="9" t="s">
        <v>1922</v>
      </c>
      <c r="J34" s="9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1925</v>
      </c>
      <c r="J35" s="9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9" t="s">
        <v>4</v>
      </c>
      <c r="E36" s="9" t="s">
        <v>8</v>
      </c>
      <c r="F36" s="9"/>
      <c r="H36" s="9"/>
      <c r="I36" s="9" t="s">
        <v>1928</v>
      </c>
      <c r="J36" s="9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9" t="s">
        <v>4</v>
      </c>
      <c r="E37" s="9" t="s">
        <v>8</v>
      </c>
      <c r="F37" s="9"/>
      <c r="H37" s="9"/>
      <c r="I37" s="9" t="s">
        <v>1931</v>
      </c>
      <c r="J37" s="9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9" t="s">
        <v>4</v>
      </c>
      <c r="E38" s="9" t="s">
        <v>8</v>
      </c>
      <c r="F38" s="9"/>
      <c r="H38" s="9"/>
      <c r="I38" s="9" t="s">
        <v>2589</v>
      </c>
      <c r="J38" s="9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9" t="s">
        <v>7</v>
      </c>
      <c r="E39" s="9"/>
      <c r="F39" s="9"/>
      <c r="H39" s="9"/>
      <c r="I39" s="9" t="s">
        <v>2592</v>
      </c>
      <c r="J39" s="9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9" t="s">
        <v>4</v>
      </c>
      <c r="E40" s="9" t="s">
        <v>8</v>
      </c>
      <c r="F40" s="9"/>
      <c r="H40" s="9"/>
      <c r="I40" s="9" t="s">
        <v>2595</v>
      </c>
      <c r="J40" s="9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9" t="s">
        <v>11</v>
      </c>
      <c r="E41" s="9"/>
      <c r="F41" s="9"/>
      <c r="H41" s="9"/>
      <c r="I41" s="9" t="s">
        <v>2598</v>
      </c>
      <c r="J41" s="9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9" t="s">
        <v>4</v>
      </c>
      <c r="E42" s="9" t="s">
        <v>8</v>
      </c>
      <c r="F42" s="9"/>
      <c r="H42" s="9"/>
      <c r="I42" s="9" t="s">
        <v>2601</v>
      </c>
      <c r="J42" s="9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9" t="s">
        <v>2004</v>
      </c>
      <c r="E43" s="9"/>
      <c r="F43" s="9"/>
      <c r="H43" s="9"/>
      <c r="I43" s="9" t="s">
        <v>2604</v>
      </c>
      <c r="J43" s="9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9" t="s">
        <v>4</v>
      </c>
      <c r="E44" s="9" t="s">
        <v>8</v>
      </c>
      <c r="F44" s="9"/>
      <c r="H44" s="9"/>
      <c r="I44" s="9" t="s">
        <v>2607</v>
      </c>
      <c r="J44" s="9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9" t="s">
        <v>2004</v>
      </c>
      <c r="E45" s="9"/>
      <c r="F45" s="9"/>
      <c r="H45" s="9"/>
      <c r="I45" s="9" t="s">
        <v>2610</v>
      </c>
      <c r="J45" s="9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9" t="s">
        <v>4</v>
      </c>
      <c r="E46" s="9" t="s">
        <v>8</v>
      </c>
      <c r="F46" s="9"/>
      <c r="H46" s="9"/>
      <c r="I46" s="9" t="s">
        <v>2613</v>
      </c>
      <c r="J46" s="9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9" t="s">
        <v>2004</v>
      </c>
      <c r="E47" s="9"/>
      <c r="F47" s="9"/>
      <c r="H47" s="9"/>
      <c r="I47" s="9" t="s">
        <v>2616</v>
      </c>
      <c r="J47" s="9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9" t="s">
        <v>4</v>
      </c>
      <c r="E48" s="9" t="s">
        <v>8</v>
      </c>
      <c r="F48" s="9"/>
      <c r="H48" s="9"/>
      <c r="I48" s="9" t="s">
        <v>2619</v>
      </c>
      <c r="J48" s="9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9" t="s">
        <v>2004</v>
      </c>
      <c r="E49" s="9"/>
      <c r="F49" s="9"/>
      <c r="H49" s="9"/>
      <c r="I49" s="9" t="s">
        <v>2622</v>
      </c>
      <c r="J49" s="9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9" t="s">
        <v>4</v>
      </c>
      <c r="E50" s="9" t="s">
        <v>8</v>
      </c>
      <c r="F50" s="9"/>
      <c r="H50" s="9"/>
      <c r="I50" s="9" t="s">
        <v>2625</v>
      </c>
      <c r="J50" s="9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9" t="s">
        <v>2004</v>
      </c>
      <c r="E51" s="9"/>
      <c r="F51" s="9"/>
      <c r="H51" s="9"/>
      <c r="I51" s="9" t="s">
        <v>2628</v>
      </c>
      <c r="J51" s="9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9" t="s">
        <v>7</v>
      </c>
      <c r="E52" s="9"/>
      <c r="F52" s="9"/>
      <c r="H52" s="9"/>
      <c r="I52" s="9" t="s">
        <v>4127</v>
      </c>
      <c r="J52" s="9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9" t="s">
        <v>4246</v>
      </c>
      <c r="E53" s="9" t="s">
        <v>4247</v>
      </c>
      <c r="F53" s="9"/>
      <c r="H53" s="9"/>
      <c r="I53" s="9" t="s">
        <v>4130</v>
      </c>
      <c r="J53" s="9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9" t="s">
        <v>4246</v>
      </c>
      <c r="E54" s="9" t="s">
        <v>4247</v>
      </c>
      <c r="F54" s="9"/>
      <c r="H54" s="9"/>
      <c r="I54" s="9" t="s">
        <v>4133</v>
      </c>
      <c r="J54" s="9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9" t="s">
        <v>4246</v>
      </c>
      <c r="E55" s="9" t="s">
        <v>4247</v>
      </c>
      <c r="F55" s="9"/>
      <c r="H55" s="9"/>
      <c r="I55" s="9" t="s">
        <v>4136</v>
      </c>
      <c r="J55" s="9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9" t="s">
        <v>4246</v>
      </c>
      <c r="E56" s="9" t="s">
        <v>4247</v>
      </c>
      <c r="F56" s="9"/>
      <c r="H56" s="9"/>
      <c r="I56" s="9" t="s">
        <v>4139</v>
      </c>
      <c r="J56" s="9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9" t="s">
        <v>4246</v>
      </c>
      <c r="E57" s="9" t="s">
        <v>4247</v>
      </c>
      <c r="F57" s="9"/>
      <c r="H57" s="9"/>
      <c r="I57" s="9" t="s">
        <v>4142</v>
      </c>
      <c r="J57" s="9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9" t="s">
        <v>7</v>
      </c>
      <c r="E58" s="9" t="s">
        <v>4248</v>
      </c>
      <c r="F58" s="9"/>
      <c r="H58" s="9"/>
      <c r="I58" s="9" t="s">
        <v>4145</v>
      </c>
      <c r="J58" s="9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9" t="s">
        <v>7</v>
      </c>
      <c r="E59" s="9" t="s">
        <v>4248</v>
      </c>
      <c r="F59" s="9"/>
      <c r="H59" s="9"/>
      <c r="I59" s="9" t="s">
        <v>4148</v>
      </c>
      <c r="J59" s="9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9" t="s">
        <v>7</v>
      </c>
      <c r="E60" s="9" t="s">
        <v>4248</v>
      </c>
      <c r="F60" s="9"/>
      <c r="H60" s="9"/>
      <c r="I60" s="9" t="s">
        <v>4151</v>
      </c>
      <c r="J60" s="9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9" t="s">
        <v>7</v>
      </c>
      <c r="E61" s="9" t="s">
        <v>4248</v>
      </c>
      <c r="F61" s="9"/>
      <c r="H61" s="9"/>
      <c r="I61" s="9" t="s">
        <v>4154</v>
      </c>
      <c r="J61" s="9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9" t="s">
        <v>7</v>
      </c>
      <c r="E62" s="9" t="s">
        <v>4248</v>
      </c>
      <c r="F62" s="9"/>
      <c r="H62" s="9"/>
      <c r="I62" s="9" t="s">
        <v>4157</v>
      </c>
      <c r="J62" s="9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9" t="s">
        <v>7</v>
      </c>
      <c r="E63" s="9" t="s">
        <v>4248</v>
      </c>
      <c r="F63" s="9"/>
      <c r="H63" s="9"/>
      <c r="I63" s="9" t="s">
        <v>4160</v>
      </c>
      <c r="J63" s="9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9" t="s">
        <v>4</v>
      </c>
      <c r="E64" s="9" t="s">
        <v>8</v>
      </c>
      <c r="F64" s="9"/>
      <c r="H64" s="9"/>
      <c r="I64" s="9" t="s">
        <v>4163</v>
      </c>
      <c r="J64" s="9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9" t="s">
        <v>2004</v>
      </c>
      <c r="E65" s="9"/>
      <c r="F65" s="9"/>
      <c r="H65" s="9"/>
      <c r="I65" s="9" t="s">
        <v>4291</v>
      </c>
      <c r="J65" s="9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9" t="s">
        <v>4</v>
      </c>
      <c r="E66" s="9" t="s">
        <v>8</v>
      </c>
      <c r="F66" s="9"/>
      <c r="H66" s="9"/>
      <c r="I66" s="9" t="s">
        <v>4921</v>
      </c>
      <c r="J66" s="9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9" t="s">
        <v>4</v>
      </c>
      <c r="E67" s="9" t="s">
        <v>8</v>
      </c>
      <c r="F67" s="9"/>
      <c r="H67" s="9" t="s">
        <v>2936</v>
      </c>
      <c r="I67" s="9" t="s">
        <v>4924</v>
      </c>
      <c r="J67" s="9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9" t="s">
        <v>4</v>
      </c>
      <c r="E68" s="9" t="s">
        <v>8</v>
      </c>
      <c r="F68" s="9"/>
      <c r="H68" s="9" t="s">
        <v>2936</v>
      </c>
      <c r="I68" s="9" t="s">
        <v>4927</v>
      </c>
      <c r="J68" s="9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9" t="s">
        <v>4</v>
      </c>
      <c r="E69" s="9" t="s">
        <v>8</v>
      </c>
      <c r="F69" s="9"/>
      <c r="H69" s="9" t="s">
        <v>2936</v>
      </c>
      <c r="I69" s="9" t="s">
        <v>4930</v>
      </c>
      <c r="J69" s="9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9" t="s">
        <v>4</v>
      </c>
      <c r="E70" s="9" t="s">
        <v>8</v>
      </c>
      <c r="F70" s="9"/>
      <c r="H70" s="9" t="s">
        <v>2936</v>
      </c>
      <c r="I70" s="9" t="s">
        <v>4933</v>
      </c>
      <c r="J70" s="9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9" t="s">
        <v>4</v>
      </c>
      <c r="E71" s="9" t="s">
        <v>8</v>
      </c>
      <c r="F71" s="9"/>
      <c r="H71" s="9" t="s">
        <v>2936</v>
      </c>
      <c r="I71" s="9" t="s">
        <v>4936</v>
      </c>
      <c r="J71" s="9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9" t="s">
        <v>4</v>
      </c>
      <c r="E72" s="9" t="s">
        <v>8</v>
      </c>
      <c r="F72" s="9"/>
      <c r="H72" s="9" t="s">
        <v>2936</v>
      </c>
      <c r="I72" s="9" t="s">
        <v>4939</v>
      </c>
      <c r="J72" s="9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9" t="s">
        <v>4</v>
      </c>
      <c r="E73" s="9" t="s">
        <v>8</v>
      </c>
      <c r="F73" s="9"/>
      <c r="H73" s="9" t="s">
        <v>2936</v>
      </c>
      <c r="I73" s="9" t="s">
        <v>4942</v>
      </c>
      <c r="J73" s="9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9" t="s">
        <v>4</v>
      </c>
      <c r="E74" s="9" t="s">
        <v>8</v>
      </c>
      <c r="F74" s="9"/>
      <c r="H74" s="9" t="s">
        <v>2936</v>
      </c>
      <c r="I74" s="9" t="s">
        <v>4945</v>
      </c>
      <c r="J74" s="9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9" t="s">
        <v>4</v>
      </c>
      <c r="E75" s="9" t="s">
        <v>8</v>
      </c>
      <c r="F75" s="9"/>
      <c r="H75" s="9" t="s">
        <v>2936</v>
      </c>
      <c r="I75" s="9" t="s">
        <v>4948</v>
      </c>
      <c r="J75" s="9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9" t="s">
        <v>4</v>
      </c>
      <c r="E76" s="9" t="s">
        <v>8</v>
      </c>
      <c r="F76" s="9"/>
      <c r="H76" s="9" t="s">
        <v>2936</v>
      </c>
      <c r="I76" s="9" t="s">
        <v>4951</v>
      </c>
      <c r="J76" s="9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9" t="s">
        <v>4</v>
      </c>
      <c r="E77" s="9" t="s">
        <v>8</v>
      </c>
      <c r="F77" s="9"/>
      <c r="H77" s="9" t="s">
        <v>2936</v>
      </c>
      <c r="I77" s="9" t="s">
        <v>4954</v>
      </c>
      <c r="J77" s="9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9" t="s">
        <v>4</v>
      </c>
      <c r="E78" s="9" t="s">
        <v>8</v>
      </c>
      <c r="F78" s="9"/>
      <c r="H78" s="9" t="s">
        <v>2936</v>
      </c>
      <c r="I78" s="9" t="s">
        <v>4957</v>
      </c>
      <c r="J78" s="9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9" t="s">
        <v>4</v>
      </c>
      <c r="E79" s="9" t="s">
        <v>8</v>
      </c>
      <c r="F79" s="9"/>
      <c r="H79" s="9" t="s">
        <v>2936</v>
      </c>
      <c r="I79" s="9" t="s">
        <v>4960</v>
      </c>
      <c r="J79" s="9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9" t="s">
        <v>4</v>
      </c>
      <c r="E80" s="9" t="s">
        <v>8</v>
      </c>
      <c r="F80" s="9"/>
      <c r="H80" s="9" t="s">
        <v>2936</v>
      </c>
      <c r="I80" s="9" t="s">
        <v>4963</v>
      </c>
      <c r="J80" s="9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9" t="s">
        <v>4</v>
      </c>
      <c r="E81" s="9" t="s">
        <v>8</v>
      </c>
      <c r="F81" s="9"/>
      <c r="H81" s="9" t="s">
        <v>2936</v>
      </c>
      <c r="I81" s="9" t="s">
        <v>4966</v>
      </c>
      <c r="J81" s="9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9" t="s">
        <v>4</v>
      </c>
      <c r="E82" s="9" t="s">
        <v>8</v>
      </c>
      <c r="F82" s="9"/>
      <c r="H82" s="9" t="s">
        <v>2936</v>
      </c>
      <c r="I82" s="9" t="s">
        <v>4969</v>
      </c>
      <c r="J82" s="9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9" t="s">
        <v>4</v>
      </c>
      <c r="E83" s="9" t="s">
        <v>8</v>
      </c>
      <c r="F83" s="9"/>
      <c r="H83" s="9" t="s">
        <v>2936</v>
      </c>
      <c r="I83" s="9" t="s">
        <v>4972</v>
      </c>
      <c r="J83" s="9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9" t="s">
        <v>4</v>
      </c>
      <c r="E84" s="9" t="s">
        <v>8</v>
      </c>
      <c r="F84" s="9"/>
      <c r="H84" s="9" t="s">
        <v>2936</v>
      </c>
      <c r="I84" s="9" t="s">
        <v>4975</v>
      </c>
      <c r="J84" s="9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9" t="s">
        <v>2004</v>
      </c>
      <c r="E85" s="9" t="s">
        <v>8</v>
      </c>
      <c r="F85" s="9"/>
      <c r="H85" s="9"/>
      <c r="I85" s="9" t="s">
        <v>4978</v>
      </c>
      <c r="J85" s="9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9" t="s">
        <v>2004</v>
      </c>
      <c r="E86" s="9" t="s">
        <v>8</v>
      </c>
      <c r="F86" s="9"/>
      <c r="H86" s="9"/>
      <c r="I86" s="9" t="s">
        <v>5217</v>
      </c>
      <c r="J86" s="9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9" t="s">
        <v>4</v>
      </c>
      <c r="E87" s="9" t="s">
        <v>5478</v>
      </c>
      <c r="F87" s="9"/>
      <c r="H87" s="9"/>
      <c r="I87" s="9" t="s">
        <v>5459</v>
      </c>
      <c r="J87" s="9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9" t="s">
        <v>4</v>
      </c>
      <c r="E88" s="9" t="s">
        <v>8</v>
      </c>
      <c r="F88" s="9"/>
      <c r="H88" s="9"/>
      <c r="I88" s="9" t="s">
        <v>5462</v>
      </c>
      <c r="J88" s="9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9" t="s">
        <v>4</v>
      </c>
      <c r="E89" s="9" t="s">
        <v>5478</v>
      </c>
      <c r="F89" s="9"/>
      <c r="H89" s="9" t="s">
        <v>5479</v>
      </c>
      <c r="I89" s="9" t="s">
        <v>5465</v>
      </c>
      <c r="J89" s="9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9" t="s">
        <v>2004</v>
      </c>
      <c r="E90" s="9" t="s">
        <v>8</v>
      </c>
      <c r="F90" s="9"/>
      <c r="H90" s="9"/>
      <c r="I90" s="9" t="s">
        <v>5657</v>
      </c>
      <c r="J90" s="9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9" t="s">
        <v>2004</v>
      </c>
      <c r="E91" s="9" t="s">
        <v>8</v>
      </c>
      <c r="F91" s="9"/>
      <c r="H91" s="9"/>
      <c r="I91" s="9" t="s">
        <v>5660</v>
      </c>
      <c r="J91" s="9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9" t="s">
        <v>2004</v>
      </c>
      <c r="E92" s="9" t="s">
        <v>8</v>
      </c>
      <c r="F92" s="9"/>
      <c r="H92" s="9"/>
      <c r="I92" s="9" t="s">
        <v>5663</v>
      </c>
      <c r="J92" s="9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9" t="s">
        <v>4</v>
      </c>
      <c r="E93" s="9" t="s">
        <v>8</v>
      </c>
      <c r="F93" s="9"/>
      <c r="H93" s="9"/>
      <c r="I93" s="9" t="s">
        <v>6005</v>
      </c>
      <c r="J93" s="9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9" t="s">
        <v>650</v>
      </c>
      <c r="E94" s="9" t="s">
        <v>6190</v>
      </c>
      <c r="F94" s="9"/>
      <c r="H94" s="9"/>
      <c r="I94" s="9" t="s">
        <v>6008</v>
      </c>
      <c r="J94" s="9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9" t="s">
        <v>650</v>
      </c>
      <c r="E95" s="9" t="s">
        <v>6190</v>
      </c>
      <c r="F95" s="9"/>
      <c r="H95" s="9" t="s">
        <v>2936</v>
      </c>
      <c r="I95" s="9" t="s">
        <v>6011</v>
      </c>
      <c r="J95" s="9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9" t="s">
        <v>4</v>
      </c>
      <c r="E96" s="9" t="s">
        <v>8</v>
      </c>
      <c r="F96" s="9"/>
      <c r="H96" s="9"/>
      <c r="I96" s="9" t="s">
        <v>6014</v>
      </c>
      <c r="J96" s="9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9" t="s">
        <v>2004</v>
      </c>
      <c r="E97" s="9" t="s">
        <v>8</v>
      </c>
      <c r="F97" s="9"/>
      <c r="H97" s="9"/>
      <c r="I97" s="9" t="s">
        <v>6017</v>
      </c>
      <c r="J97" s="9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9" t="s">
        <v>2004</v>
      </c>
      <c r="E98" s="9" t="s">
        <v>8</v>
      </c>
      <c r="F98" s="9"/>
      <c r="H98" s="9"/>
      <c r="I98" s="9" t="s">
        <v>6252</v>
      </c>
      <c r="J98" s="9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9" t="s">
        <v>4</v>
      </c>
      <c r="E99" s="9" t="s">
        <v>8</v>
      </c>
      <c r="F99" s="9"/>
      <c r="H99" s="9"/>
      <c r="I99" s="9" t="s">
        <v>6500</v>
      </c>
      <c r="J99" s="9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9" t="s">
        <v>4</v>
      </c>
      <c r="E100" s="9" t="s">
        <v>8</v>
      </c>
      <c r="F100" s="9"/>
      <c r="H100" s="9"/>
      <c r="I100" s="9" t="s">
        <v>6503</v>
      </c>
      <c r="J100" s="9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9" t="s">
        <v>2004</v>
      </c>
      <c r="E101" s="9" t="s">
        <v>8</v>
      </c>
      <c r="F101" s="9"/>
      <c r="H101" s="9"/>
      <c r="I101" s="9" t="s">
        <v>6641</v>
      </c>
      <c r="J101" s="9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9" t="s">
        <v>4</v>
      </c>
      <c r="E102" s="9" t="s">
        <v>8</v>
      </c>
      <c r="F102" s="9"/>
      <c r="H102" s="9"/>
      <c r="I102" s="9" t="s">
        <v>6823</v>
      </c>
      <c r="J102" s="9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9" t="s">
        <v>4</v>
      </c>
      <c r="E103" s="9" t="s">
        <v>8</v>
      </c>
      <c r="F103" s="9"/>
      <c r="H103" s="9" t="s">
        <v>2936</v>
      </c>
      <c r="I103" s="9" t="s">
        <v>6826</v>
      </c>
      <c r="J103" s="9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9" t="s">
        <v>4</v>
      </c>
      <c r="E104" s="9" t="s">
        <v>8</v>
      </c>
      <c r="F104" s="9"/>
      <c r="H104" s="9"/>
      <c r="I104" s="9" t="s">
        <v>7127</v>
      </c>
      <c r="J104" s="9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9" t="s">
        <v>4</v>
      </c>
      <c r="E105" s="9" t="s">
        <v>8</v>
      </c>
      <c r="F105" s="9"/>
      <c r="H105" s="9" t="s">
        <v>2936</v>
      </c>
      <c r="I105" s="9" t="s">
        <v>7130</v>
      </c>
      <c r="J105" s="9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9" t="s">
        <v>2004</v>
      </c>
      <c r="E106" s="9" t="s">
        <v>8</v>
      </c>
      <c r="F106" s="9"/>
      <c r="H106" s="9"/>
      <c r="I106" s="9" t="s">
        <v>7133</v>
      </c>
      <c r="J106" s="9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9" t="s">
        <v>2004</v>
      </c>
      <c r="E107" s="9" t="s">
        <v>8</v>
      </c>
      <c r="F107" s="9"/>
      <c r="H107" s="9" t="s">
        <v>2014</v>
      </c>
      <c r="I107" s="9" t="s">
        <v>7136</v>
      </c>
      <c r="J107" s="9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9" t="s">
        <v>2004</v>
      </c>
      <c r="E108" s="9" t="s">
        <v>8</v>
      </c>
      <c r="F108" s="9"/>
      <c r="H108" s="9"/>
      <c r="I108" s="9" t="s">
        <v>7208</v>
      </c>
      <c r="J108" s="9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9" t="s">
        <v>2004</v>
      </c>
      <c r="E109" s="9" t="s">
        <v>8</v>
      </c>
      <c r="F109" s="9"/>
      <c r="H109" s="9"/>
      <c r="I109" s="9" t="s">
        <v>7401</v>
      </c>
      <c r="J109" s="9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9" t="s">
        <v>2004</v>
      </c>
      <c r="E110" s="9" t="s">
        <v>8</v>
      </c>
      <c r="F110" s="9"/>
      <c r="H110" s="9"/>
      <c r="I110" s="9" t="s">
        <v>7404</v>
      </c>
      <c r="J110" s="9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9" t="s">
        <v>4</v>
      </c>
      <c r="E111" s="9" t="s">
        <v>7417</v>
      </c>
      <c r="F111" s="9"/>
      <c r="H111" s="9"/>
      <c r="I111" s="9" t="s">
        <v>7407</v>
      </c>
      <c r="J111" s="9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9" t="s">
        <v>4</v>
      </c>
      <c r="E112" s="9" t="s">
        <v>7715</v>
      </c>
      <c r="F112" s="9"/>
      <c r="H112" s="9"/>
      <c r="I112" s="9" t="s">
        <v>7583</v>
      </c>
      <c r="J112" s="9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9" t="s">
        <v>4</v>
      </c>
      <c r="E113" s="9" t="s">
        <v>7716</v>
      </c>
      <c r="F113" s="9"/>
      <c r="H113" s="9" t="s">
        <v>2936</v>
      </c>
      <c r="I113" s="9" t="s">
        <v>7586</v>
      </c>
      <c r="J113" s="9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9" t="s">
        <v>4</v>
      </c>
      <c r="E114" s="9" t="s">
        <v>8</v>
      </c>
      <c r="F114" s="9"/>
      <c r="H114" s="9" t="s">
        <v>7717</v>
      </c>
      <c r="I114" s="9" t="s">
        <v>7589</v>
      </c>
      <c r="J114" s="9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9" t="s">
        <v>4</v>
      </c>
      <c r="E115" s="9" t="s">
        <v>8</v>
      </c>
      <c r="F115" s="9"/>
      <c r="H115" s="9" t="s">
        <v>3078</v>
      </c>
      <c r="I115" s="9" t="s">
        <v>7592</v>
      </c>
      <c r="J115" s="9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9" t="s">
        <v>4</v>
      </c>
      <c r="E116" s="9" t="s">
        <v>8</v>
      </c>
      <c r="F116" s="9"/>
      <c r="H116" s="9"/>
      <c r="I116" s="9" t="s">
        <v>7777</v>
      </c>
      <c r="J116" s="9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9" t="s">
        <v>4</v>
      </c>
      <c r="E117" s="9" t="s">
        <v>8</v>
      </c>
      <c r="F117" s="9"/>
      <c r="H117" s="9" t="s">
        <v>2936</v>
      </c>
      <c r="I117" s="9" t="s">
        <v>7780</v>
      </c>
      <c r="J117" s="9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9" t="s">
        <v>4</v>
      </c>
      <c r="E118" s="9" t="s">
        <v>8</v>
      </c>
      <c r="F118" s="9"/>
      <c r="H118" s="9" t="s">
        <v>2936</v>
      </c>
      <c r="I118" s="9" t="s">
        <v>7783</v>
      </c>
      <c r="J118" s="9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9" t="s">
        <v>4</v>
      </c>
      <c r="E119" s="9" t="s">
        <v>8</v>
      </c>
      <c r="F119" s="9"/>
      <c r="H119" s="9" t="s">
        <v>2936</v>
      </c>
      <c r="I119" s="9" t="s">
        <v>7786</v>
      </c>
      <c r="J119" s="9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9" t="s">
        <v>4</v>
      </c>
      <c r="E120" s="9" t="s">
        <v>8</v>
      </c>
      <c r="F120" s="9"/>
      <c r="H120" s="9" t="s">
        <v>2936</v>
      </c>
      <c r="I120" s="9" t="s">
        <v>7789</v>
      </c>
      <c r="J120" s="9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9" t="s">
        <v>4</v>
      </c>
      <c r="E121" s="9" t="s">
        <v>8</v>
      </c>
      <c r="F121" s="9"/>
      <c r="H121" s="9"/>
      <c r="I121" s="9" t="s">
        <v>7971</v>
      </c>
      <c r="J121" s="9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9" t="s">
        <v>4</v>
      </c>
      <c r="E122" s="9" t="s">
        <v>12</v>
      </c>
      <c r="F122" s="9"/>
      <c r="H122" s="9"/>
      <c r="I122" s="9" t="s">
        <v>7974</v>
      </c>
      <c r="J122" s="9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9" t="s">
        <v>4</v>
      </c>
      <c r="E123" s="9" t="s">
        <v>8</v>
      </c>
      <c r="F123" s="9"/>
      <c r="H123" s="9"/>
      <c r="I123" s="9" t="s">
        <v>7977</v>
      </c>
      <c r="J123" s="9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9" t="s">
        <v>4</v>
      </c>
      <c r="E124" s="9" t="s">
        <v>12</v>
      </c>
      <c r="F124" s="9"/>
      <c r="H124" s="9"/>
      <c r="I124" s="9" t="s">
        <v>7980</v>
      </c>
      <c r="J124" s="9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9" t="s">
        <v>2004</v>
      </c>
      <c r="E125" s="9" t="s">
        <v>8</v>
      </c>
      <c r="F125" s="9"/>
      <c r="H125" s="9"/>
      <c r="I125" s="9" t="s">
        <v>8315</v>
      </c>
      <c r="J125" s="9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9" t="s">
        <v>2004</v>
      </c>
      <c r="E126" s="9" t="s">
        <v>8</v>
      </c>
      <c r="F126" s="9"/>
      <c r="H126" s="9"/>
      <c r="I126" s="9" t="s">
        <v>8318</v>
      </c>
      <c r="J126" s="9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9" t="s">
        <v>2004</v>
      </c>
      <c r="E127" s="9" t="s">
        <v>8</v>
      </c>
      <c r="F127" s="9"/>
      <c r="H127" s="9"/>
      <c r="I127" s="9" t="s">
        <v>8321</v>
      </c>
      <c r="J127" s="9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9" t="s">
        <v>2004</v>
      </c>
      <c r="E128" s="9" t="s">
        <v>8</v>
      </c>
      <c r="F128" s="9"/>
      <c r="H128" s="9"/>
      <c r="I128" s="9" t="s">
        <v>8324</v>
      </c>
      <c r="J128" s="9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9" t="s">
        <v>2004</v>
      </c>
      <c r="E129" s="9" t="s">
        <v>8</v>
      </c>
      <c r="F129" s="9"/>
      <c r="H129" s="9"/>
      <c r="I129" s="9" t="s">
        <v>8327</v>
      </c>
      <c r="J129" s="9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9" t="s">
        <v>2004</v>
      </c>
      <c r="E130" s="9" t="s">
        <v>8</v>
      </c>
      <c r="F130" s="9"/>
      <c r="H130" s="9"/>
      <c r="I130" s="9" t="s">
        <v>8456</v>
      </c>
      <c r="J130" s="9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9" t="s">
        <v>2004</v>
      </c>
      <c r="E131" s="9" t="s">
        <v>8</v>
      </c>
      <c r="F131" s="9"/>
      <c r="H131" s="9"/>
      <c r="I131" s="9" t="s">
        <v>8459</v>
      </c>
      <c r="J131" s="9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9" t="s">
        <v>2004</v>
      </c>
      <c r="E132" s="9" t="s">
        <v>8</v>
      </c>
      <c r="F132" s="9"/>
      <c r="H132" s="9"/>
      <c r="I132" s="9" t="s">
        <v>8462</v>
      </c>
      <c r="J132" s="9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9" t="s">
        <v>2004</v>
      </c>
      <c r="E133" s="9" t="s">
        <v>8</v>
      </c>
      <c r="F133" s="9"/>
      <c r="H133" s="9"/>
      <c r="I133" s="9" t="s">
        <v>8757</v>
      </c>
      <c r="J133" s="9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9" t="s">
        <v>2004</v>
      </c>
      <c r="E134" s="9" t="s">
        <v>8</v>
      </c>
      <c r="F134" s="9"/>
      <c r="H134" s="9"/>
      <c r="I134" s="9" t="s">
        <v>8760</v>
      </c>
      <c r="J134" s="9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9" t="s">
        <v>2004</v>
      </c>
      <c r="E135" s="9" t="s">
        <v>8</v>
      </c>
      <c r="F135" s="9"/>
      <c r="H135" s="9"/>
      <c r="I135" s="9" t="s">
        <v>8763</v>
      </c>
      <c r="J135" s="9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9" t="s">
        <v>2004</v>
      </c>
      <c r="E136" s="9" t="s">
        <v>8</v>
      </c>
      <c r="F136" s="9"/>
      <c r="H136" s="9"/>
      <c r="I136" s="9" t="s">
        <v>8766</v>
      </c>
      <c r="J136" s="9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9" t="s">
        <v>2004</v>
      </c>
      <c r="E137" s="9" t="s">
        <v>8</v>
      </c>
      <c r="F137" s="9"/>
      <c r="H137" s="9"/>
      <c r="I137" s="9" t="s">
        <v>8769</v>
      </c>
      <c r="J137" s="9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9" t="s">
        <v>2004</v>
      </c>
      <c r="E138" s="9" t="s">
        <v>8</v>
      </c>
      <c r="F138" s="9"/>
      <c r="H138" s="9"/>
      <c r="I138" s="9" t="s">
        <v>8772</v>
      </c>
      <c r="J138" s="9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9" t="s">
        <v>2004</v>
      </c>
      <c r="E139" s="9" t="s">
        <v>8</v>
      </c>
      <c r="F139" s="9"/>
      <c r="H139" s="9"/>
      <c r="I139" s="9" t="s">
        <v>8775</v>
      </c>
      <c r="J139" s="9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9" t="s">
        <v>4</v>
      </c>
      <c r="E140" s="9" t="s">
        <v>5480</v>
      </c>
      <c r="F140" s="9" t="s">
        <v>9190</v>
      </c>
      <c r="H140" s="9"/>
      <c r="I140" s="9" t="s">
        <v>9147</v>
      </c>
      <c r="J140" s="9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9" t="s">
        <v>4</v>
      </c>
      <c r="E141" s="9" t="s">
        <v>8</v>
      </c>
      <c r="F141" s="9"/>
      <c r="H141" s="9"/>
      <c r="I141" s="9" t="s">
        <v>9150</v>
      </c>
      <c r="J141" s="9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9" t="s">
        <v>4</v>
      </c>
      <c r="E142" s="9" t="s">
        <v>12</v>
      </c>
      <c r="F142" s="9"/>
      <c r="H142" s="9"/>
      <c r="I142" s="9" t="s">
        <v>9153</v>
      </c>
      <c r="J142" s="9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9" t="s">
        <v>4</v>
      </c>
      <c r="E143" s="9" t="s">
        <v>9211</v>
      </c>
      <c r="F143" s="9"/>
      <c r="H143" s="9"/>
      <c r="I143" s="9" t="s">
        <v>9156</v>
      </c>
      <c r="J143" s="9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9" t="s">
        <v>4</v>
      </c>
      <c r="E144" s="9" t="s">
        <v>8</v>
      </c>
      <c r="F144" s="9"/>
      <c r="H144" s="9"/>
      <c r="I144" s="9" t="s">
        <v>9159</v>
      </c>
      <c r="J144" s="9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9" t="s">
        <v>4</v>
      </c>
      <c r="E145" s="9" t="s">
        <v>12</v>
      </c>
      <c r="F145" s="9"/>
      <c r="H145" s="9"/>
      <c r="I145" s="9" t="s">
        <v>9162</v>
      </c>
      <c r="J145" s="9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9" t="s">
        <v>4</v>
      </c>
      <c r="E146" s="9" t="s">
        <v>12</v>
      </c>
      <c r="F146" s="9"/>
      <c r="H146" s="9"/>
      <c r="I146" s="9" t="s">
        <v>9165</v>
      </c>
      <c r="J146" s="9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9" t="s">
        <v>4</v>
      </c>
      <c r="E147" s="9" t="s">
        <v>8</v>
      </c>
      <c r="F147" s="9"/>
      <c r="H147" s="9"/>
      <c r="I147" s="9" t="s">
        <v>9315</v>
      </c>
      <c r="J147" s="9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9" t="s">
        <v>4</v>
      </c>
      <c r="E148" s="9" t="s">
        <v>12</v>
      </c>
      <c r="F148" s="9"/>
      <c r="H148" s="9"/>
      <c r="I148" s="9" t="s">
        <v>9318</v>
      </c>
      <c r="J148" s="9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9" t="s">
        <v>4</v>
      </c>
      <c r="E149" s="9" t="s">
        <v>8</v>
      </c>
      <c r="F149" s="9"/>
      <c r="H149" s="9"/>
      <c r="I149" s="9" t="s">
        <v>9321</v>
      </c>
      <c r="J149" s="9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9" t="s">
        <v>4</v>
      </c>
      <c r="E150" s="9" t="s">
        <v>12</v>
      </c>
      <c r="F150" s="9"/>
      <c r="H150" s="9"/>
      <c r="I150" s="9" t="s">
        <v>9543</v>
      </c>
      <c r="J150" s="9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9" t="s">
        <v>4</v>
      </c>
      <c r="E151" s="9" t="s">
        <v>12</v>
      </c>
      <c r="F151" s="9"/>
      <c r="H151" s="9"/>
      <c r="I151" s="9" t="s">
        <v>9546</v>
      </c>
      <c r="J151" s="9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9" t="s">
        <v>2004</v>
      </c>
      <c r="E152" s="9" t="s">
        <v>8</v>
      </c>
      <c r="F152" s="9"/>
      <c r="H152" s="9"/>
      <c r="I152" s="9" t="s">
        <v>9671</v>
      </c>
      <c r="J152" s="9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9" t="s">
        <v>2004</v>
      </c>
      <c r="E153" s="9" t="s">
        <v>8</v>
      </c>
      <c r="F153" s="9"/>
      <c r="H153" s="9"/>
      <c r="I153" s="9" t="s">
        <v>9674</v>
      </c>
      <c r="J153" s="9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9" t="s">
        <v>9876</v>
      </c>
      <c r="E154" s="9" t="s">
        <v>9201</v>
      </c>
      <c r="F154" s="9"/>
      <c r="H154" s="9"/>
      <c r="I154" s="9" t="s">
        <v>9852</v>
      </c>
      <c r="J154" s="9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9" t="s">
        <v>9876</v>
      </c>
      <c r="E155" s="9" t="s">
        <v>9201</v>
      </c>
      <c r="F155" s="9"/>
      <c r="H155" s="9" t="s">
        <v>2936</v>
      </c>
      <c r="I155" s="9" t="s">
        <v>9855</v>
      </c>
      <c r="J155" s="9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9" t="s">
        <v>9876</v>
      </c>
      <c r="E156" s="9" t="s">
        <v>9201</v>
      </c>
      <c r="F156" s="9"/>
      <c r="H156" s="9" t="s">
        <v>2936</v>
      </c>
      <c r="I156" s="9" t="s">
        <v>9858</v>
      </c>
      <c r="J156" s="9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9" t="s">
        <v>9914</v>
      </c>
      <c r="E157" s="9" t="s">
        <v>4247</v>
      </c>
      <c r="F157" s="9"/>
      <c r="H157" s="9" t="s">
        <v>2936</v>
      </c>
      <c r="I157" s="9" t="s">
        <v>9861</v>
      </c>
      <c r="J157" s="9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9" t="s">
        <v>9876</v>
      </c>
      <c r="E158" s="9" t="s">
        <v>9201</v>
      </c>
      <c r="F158" s="9"/>
      <c r="H158" s="9" t="s">
        <v>2936</v>
      </c>
      <c r="I158" s="9" t="s">
        <v>9864</v>
      </c>
      <c r="J158" s="9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9" t="s">
        <v>4</v>
      </c>
      <c r="E159" s="9" t="s">
        <v>8</v>
      </c>
      <c r="F159" s="9"/>
      <c r="H159" s="9"/>
      <c r="I159" s="9" t="s">
        <v>9867</v>
      </c>
      <c r="J159" s="9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9" t="s">
        <v>4</v>
      </c>
      <c r="E160" s="9" t="s">
        <v>8</v>
      </c>
      <c r="F160" s="9"/>
      <c r="H160" s="9"/>
      <c r="I160" s="9" t="s">
        <v>10104</v>
      </c>
      <c r="J160" s="9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9" t="s">
        <v>9876</v>
      </c>
      <c r="E161" s="9" t="s">
        <v>9201</v>
      </c>
      <c r="F161" s="9"/>
      <c r="H161" s="9"/>
      <c r="I161" s="9" t="s">
        <v>10107</v>
      </c>
      <c r="J161" s="9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9" t="s">
        <v>9876</v>
      </c>
      <c r="E162" s="9" t="s">
        <v>9201</v>
      </c>
      <c r="F162" s="9"/>
      <c r="H162" s="9"/>
      <c r="I162" s="9" t="s">
        <v>10110</v>
      </c>
      <c r="J162" s="9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9" t="s">
        <v>4</v>
      </c>
      <c r="E163" s="9" t="s">
        <v>8</v>
      </c>
      <c r="F163" s="9"/>
      <c r="H163" s="9"/>
      <c r="I163" s="9" t="s">
        <v>10424</v>
      </c>
      <c r="J163" s="9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9" t="s">
        <v>4</v>
      </c>
      <c r="E164" s="9" t="s">
        <v>8</v>
      </c>
      <c r="F164" s="9"/>
      <c r="H164" s="9" t="s">
        <v>2936</v>
      </c>
      <c r="I164" s="9" t="s">
        <v>10427</v>
      </c>
      <c r="J164" s="9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9" t="s">
        <v>4</v>
      </c>
      <c r="E165" s="9" t="s">
        <v>8</v>
      </c>
      <c r="F165" s="9"/>
      <c r="H165" s="9" t="s">
        <v>2936</v>
      </c>
      <c r="I165" s="9" t="s">
        <v>10430</v>
      </c>
      <c r="J165" s="9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9" t="s">
        <v>2004</v>
      </c>
      <c r="E166" s="9" t="s">
        <v>8</v>
      </c>
      <c r="F166" s="9"/>
      <c r="H166" s="9"/>
      <c r="I166" s="9" t="s">
        <v>10479</v>
      </c>
      <c r="J166" s="9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9" t="s">
        <v>2004</v>
      </c>
      <c r="E167" s="9" t="s">
        <v>8</v>
      </c>
      <c r="F167" s="9"/>
      <c r="H167" s="9"/>
      <c r="I167" s="9" t="s">
        <v>10482</v>
      </c>
      <c r="J167" s="9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9" t="s">
        <v>2004</v>
      </c>
      <c r="E168" s="9" t="s">
        <v>8</v>
      </c>
      <c r="F168" s="9"/>
      <c r="H168" s="9"/>
      <c r="I168" s="9" t="s">
        <v>10618</v>
      </c>
      <c r="J168" s="9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9" t="s">
        <v>9914</v>
      </c>
      <c r="E169" s="9" t="s">
        <v>4247</v>
      </c>
      <c r="F169" s="9"/>
      <c r="H169" s="9"/>
      <c r="I169" s="9" t="s">
        <v>10621</v>
      </c>
      <c r="J169" s="9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s="9" t="s">
        <v>9876</v>
      </c>
      <c r="E170" s="9" t="s">
        <v>9201</v>
      </c>
      <c r="F170" s="9"/>
      <c r="H170" s="9"/>
      <c r="I170" s="9" t="s">
        <v>10860</v>
      </c>
      <c r="J170" s="9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s="9" t="s">
        <v>9876</v>
      </c>
      <c r="E171" s="9" t="s">
        <v>9201</v>
      </c>
      <c r="F171" s="9"/>
      <c r="H171" s="9" t="s">
        <v>2936</v>
      </c>
      <c r="I171" s="9" t="s">
        <v>10863</v>
      </c>
      <c r="J171" s="9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s="9" t="s">
        <v>9876</v>
      </c>
      <c r="E172" s="9" t="s">
        <v>9201</v>
      </c>
      <c r="F172" s="9"/>
      <c r="H172" s="9" t="s">
        <v>2936</v>
      </c>
      <c r="I172" s="9" t="s">
        <v>10866</v>
      </c>
      <c r="J172" s="9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s="9" t="s">
        <v>9876</v>
      </c>
      <c r="E173" s="9" t="s">
        <v>9201</v>
      </c>
      <c r="F173" s="9"/>
      <c r="H173" s="9" t="s">
        <v>2936</v>
      </c>
      <c r="I173" s="9" t="s">
        <v>10869</v>
      </c>
      <c r="J173" s="9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s="9" t="s">
        <v>11009</v>
      </c>
      <c r="E174" s="9" t="s">
        <v>9201</v>
      </c>
      <c r="F174" s="9"/>
      <c r="H174" s="9"/>
      <c r="I174" s="9" t="s">
        <v>10995</v>
      </c>
      <c r="J174" s="9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s="9" t="s">
        <v>4</v>
      </c>
      <c r="E175" s="9" t="s">
        <v>8</v>
      </c>
      <c r="F175" s="9"/>
      <c r="H175" s="9"/>
      <c r="I175" s="9" t="s">
        <v>10998</v>
      </c>
      <c r="J175" s="9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s="9" t="s">
        <v>2004</v>
      </c>
      <c r="E176" s="9" t="s">
        <v>8</v>
      </c>
      <c r="F176" s="9"/>
      <c r="H176" s="9" t="s">
        <v>2014</v>
      </c>
      <c r="I176" s="9" t="s">
        <v>11118</v>
      </c>
      <c r="J176" s="9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s="9" t="s">
        <v>2004</v>
      </c>
      <c r="E177" s="9" t="s">
        <v>8</v>
      </c>
      <c r="F177" s="9"/>
      <c r="H177" s="9" t="s">
        <v>2014</v>
      </c>
      <c r="I177" s="9" t="s">
        <v>11121</v>
      </c>
      <c r="J177" s="9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  <row r="178" spans="1:13" x14ac:dyDescent="0.25">
      <c r="A178" s="2" t="s">
        <v>13</v>
      </c>
      <c r="B178" s="4">
        <v>46055</v>
      </c>
      <c r="C178" s="5">
        <v>0.46619212962962964</v>
      </c>
      <c r="D178" s="9" t="s">
        <v>4</v>
      </c>
      <c r="E178" s="9" t="s">
        <v>8</v>
      </c>
      <c r="F178" s="9"/>
      <c r="H178" s="9"/>
      <c r="I178" s="9" t="s">
        <v>11379</v>
      </c>
      <c r="J178" s="9" t="s">
        <v>2987</v>
      </c>
      <c r="K178" t="s">
        <v>11380</v>
      </c>
      <c r="L178" t="s">
        <v>11381</v>
      </c>
      <c r="M178" s="3" t="str">
        <f>HYPERLINK(склад2въезд13192021222378[[#This Row],[RelativePath]])</f>
        <v>12 Площадка 3 кран\K07156189_20_20260202T111119Z.jpg</v>
      </c>
    </row>
    <row r="179" spans="1:13" x14ac:dyDescent="0.25">
      <c r="A179" s="2" t="s">
        <v>13</v>
      </c>
      <c r="B179" s="4">
        <v>46055</v>
      </c>
      <c r="C179" s="5">
        <v>0.69478009259259255</v>
      </c>
      <c r="D179" s="9" t="s">
        <v>9876</v>
      </c>
      <c r="E179" s="9" t="s">
        <v>5137</v>
      </c>
      <c r="F179" s="9"/>
      <c r="H179" s="9"/>
      <c r="I179" s="9" t="s">
        <v>11382</v>
      </c>
      <c r="J179" s="9" t="s">
        <v>2987</v>
      </c>
      <c r="K179" t="s">
        <v>11383</v>
      </c>
      <c r="L179" t="s">
        <v>11384</v>
      </c>
      <c r="M179" s="3" t="str">
        <f>HYPERLINK(склад2въезд13192021222378[[#This Row],[RelativePath]])</f>
        <v>12 Площадка 3 кран\K07156189_20_20260202T164029Z.jpg</v>
      </c>
    </row>
    <row r="180" spans="1:13" x14ac:dyDescent="0.25">
      <c r="A180" s="2" t="s">
        <v>14</v>
      </c>
      <c r="B180" s="4">
        <v>46056</v>
      </c>
      <c r="C180" s="5">
        <v>0.41587962962962965</v>
      </c>
      <c r="D180" s="9" t="s">
        <v>9876</v>
      </c>
      <c r="E180" s="9" t="s">
        <v>5137</v>
      </c>
      <c r="F180" s="9"/>
      <c r="H180" s="9"/>
      <c r="I180" s="9" t="s">
        <v>11385</v>
      </c>
      <c r="J180" s="9" t="s">
        <v>2987</v>
      </c>
      <c r="K180" t="s">
        <v>11386</v>
      </c>
      <c r="L180" t="s">
        <v>11387</v>
      </c>
      <c r="M180" s="3" t="str">
        <f>HYPERLINK(склад2въезд13192021222378[[#This Row],[RelativePath]])</f>
        <v>12 Площадка 3 кран\K07156189_20_20260203T095852Z.jpg</v>
      </c>
    </row>
    <row r="181" spans="1:13" x14ac:dyDescent="0.25">
      <c r="A181" s="2" t="s">
        <v>14</v>
      </c>
      <c r="B181" s="4">
        <v>46056</v>
      </c>
      <c r="C181" s="5">
        <v>0.62693287037037038</v>
      </c>
      <c r="D181" s="9" t="s">
        <v>9876</v>
      </c>
      <c r="E181" s="9" t="s">
        <v>5137</v>
      </c>
      <c r="F181" s="9"/>
      <c r="H181" s="9"/>
      <c r="I181" s="9" t="s">
        <v>11388</v>
      </c>
      <c r="J181" s="9" t="s">
        <v>2987</v>
      </c>
      <c r="K181" t="s">
        <v>11389</v>
      </c>
      <c r="L181" t="s">
        <v>11390</v>
      </c>
      <c r="M181" s="3" t="str">
        <f>HYPERLINK(склад2въезд13192021222378[[#This Row],[RelativePath]])</f>
        <v>12 Площадка 3 кран\K07156189_20_20260203T150247Z.jpg</v>
      </c>
    </row>
    <row r="182" spans="1:13" x14ac:dyDescent="0.25">
      <c r="A182" s="2" t="s">
        <v>15</v>
      </c>
      <c r="B182" s="4">
        <v>46057</v>
      </c>
      <c r="C182" s="5">
        <v>0.60813657407407407</v>
      </c>
      <c r="D182" s="9" t="s">
        <v>9914</v>
      </c>
      <c r="E182" s="9" t="s">
        <v>4247</v>
      </c>
      <c r="F182" s="9"/>
      <c r="H182" s="9"/>
      <c r="I182" s="9" t="s">
        <v>11547</v>
      </c>
      <c r="J182" s="9" t="s">
        <v>2987</v>
      </c>
      <c r="K182" t="s">
        <v>11548</v>
      </c>
      <c r="L182" t="s">
        <v>11549</v>
      </c>
      <c r="M182" s="3" t="str">
        <f>HYPERLINK(склад2въезд13192021222378[[#This Row],[RelativePath]])</f>
        <v>12 Площадка 3 кран\K07156189_20_20260204T143543Z.jpg</v>
      </c>
    </row>
    <row r="183" spans="1:13" x14ac:dyDescent="0.25">
      <c r="A183" s="2" t="s">
        <v>16</v>
      </c>
      <c r="B183" s="4">
        <v>46058</v>
      </c>
      <c r="C183" s="5">
        <v>0.71260416666666671</v>
      </c>
      <c r="D183" s="9" t="s">
        <v>2004</v>
      </c>
      <c r="E183" s="9" t="s">
        <v>8</v>
      </c>
      <c r="F183" s="9"/>
      <c r="H183" s="9"/>
      <c r="I183" s="9" t="s">
        <v>11550</v>
      </c>
      <c r="J183" s="9" t="s">
        <v>2987</v>
      </c>
      <c r="K183" t="s">
        <v>11551</v>
      </c>
      <c r="L183" t="s">
        <v>11552</v>
      </c>
      <c r="M183" s="3" t="str">
        <f>HYPERLINK(склад2въезд13192021222378[[#This Row],[RelativePath]])</f>
        <v>12 Площадка 3 кран\K07156189_20_20260205T170609Z.jpg</v>
      </c>
    </row>
    <row r="184" spans="1:13" x14ac:dyDescent="0.25">
      <c r="A184" s="2" t="s">
        <v>17</v>
      </c>
      <c r="B184" s="4">
        <v>46059</v>
      </c>
      <c r="C184" s="5">
        <v>0.49523148148148149</v>
      </c>
      <c r="D184" s="9" t="s">
        <v>4</v>
      </c>
      <c r="E184" s="9" t="s">
        <v>8</v>
      </c>
      <c r="F184" s="9"/>
      <c r="H184" s="9"/>
      <c r="I184" s="9" t="s">
        <v>11553</v>
      </c>
      <c r="J184" s="9" t="s">
        <v>2987</v>
      </c>
      <c r="K184" t="s">
        <v>11554</v>
      </c>
      <c r="L184" t="s">
        <v>11555</v>
      </c>
      <c r="M184" s="3" t="str">
        <f>HYPERLINK(склад2въезд13192021222378[[#This Row],[RelativePath]])</f>
        <v>12 Площадка 3 кран\K07156189_20_20260206T115308Z.jpg</v>
      </c>
    </row>
    <row r="185" spans="1:13" x14ac:dyDescent="0.25">
      <c r="A185" s="2" t="s">
        <v>17</v>
      </c>
      <c r="B185" s="4">
        <v>46059</v>
      </c>
      <c r="C185" s="5">
        <v>0.50211805555555555</v>
      </c>
      <c r="D185" s="9" t="s">
        <v>9876</v>
      </c>
      <c r="E185" s="9" t="s">
        <v>5137</v>
      </c>
      <c r="F185" s="9"/>
      <c r="H185" s="9"/>
      <c r="I185" s="9" t="s">
        <v>11556</v>
      </c>
      <c r="J185" s="9" t="s">
        <v>2987</v>
      </c>
      <c r="K185" t="s">
        <v>11557</v>
      </c>
      <c r="L185" t="s">
        <v>11558</v>
      </c>
      <c r="M185" s="3" t="str">
        <f>HYPERLINK(склад2въезд13192021222378[[#This Row],[RelativePath]])</f>
        <v>12 Площадка 3 кран\K07156189_20_20260206T120303Z.jpg</v>
      </c>
    </row>
    <row r="186" spans="1:13" x14ac:dyDescent="0.25">
      <c r="A186" s="2" t="s">
        <v>17</v>
      </c>
      <c r="B186" s="4">
        <v>46059</v>
      </c>
      <c r="C186" s="5">
        <v>0.69060185185185186</v>
      </c>
      <c r="D186" s="9" t="s">
        <v>4</v>
      </c>
      <c r="E186" s="9" t="s">
        <v>8</v>
      </c>
      <c r="F186" s="9"/>
      <c r="H186" s="9"/>
      <c r="I186" s="9" t="s">
        <v>11559</v>
      </c>
      <c r="J186" s="9" t="s">
        <v>2987</v>
      </c>
      <c r="K186" t="s">
        <v>11560</v>
      </c>
      <c r="L186" t="s">
        <v>11561</v>
      </c>
      <c r="M186" s="3" t="str">
        <f>HYPERLINK(склад2въезд13192021222378[[#This Row],[RelativePath]])</f>
        <v>12 Площадка 3 кран\K07156189_20_20260206T163428Z.jpg</v>
      </c>
    </row>
    <row r="187" spans="1:13" x14ac:dyDescent="0.25">
      <c r="A187" s="2" t="s">
        <v>18</v>
      </c>
      <c r="B187" s="4">
        <v>46060</v>
      </c>
      <c r="C187" s="5">
        <v>0.34230324074074076</v>
      </c>
      <c r="D187" s="9" t="s">
        <v>2004</v>
      </c>
      <c r="E187" s="9" t="s">
        <v>8</v>
      </c>
      <c r="F187" s="9"/>
      <c r="H187" s="9"/>
      <c r="I187" s="9" t="s">
        <v>11754</v>
      </c>
      <c r="J187" s="9" t="s">
        <v>2987</v>
      </c>
      <c r="K187" t="s">
        <v>11755</v>
      </c>
      <c r="L187" t="s">
        <v>11756</v>
      </c>
      <c r="M187" s="3" t="str">
        <f>HYPERLINK(склад2въезд13192021222378[[#This Row],[RelativePath]])</f>
        <v>12 Площадка 3 кран\K07156189_20_20260207T081255Z.jpg</v>
      </c>
    </row>
    <row r="188" spans="1:13" x14ac:dyDescent="0.25">
      <c r="A188" s="2" t="s">
        <v>22</v>
      </c>
      <c r="B188" s="4">
        <v>46061</v>
      </c>
      <c r="C188" s="5">
        <v>0.67795138888888884</v>
      </c>
      <c r="D188" s="9" t="s">
        <v>9876</v>
      </c>
      <c r="E188" s="9" t="s">
        <v>5137</v>
      </c>
      <c r="F188" s="9"/>
      <c r="H188" s="9"/>
      <c r="I188" s="9" t="s">
        <v>11757</v>
      </c>
      <c r="J188" s="9" t="s">
        <v>2987</v>
      </c>
      <c r="K188" t="s">
        <v>11758</v>
      </c>
      <c r="L188" t="s">
        <v>11759</v>
      </c>
      <c r="M188" s="3" t="str">
        <f>HYPERLINK(склад2въезд13192021222378[[#This Row],[RelativePath]])</f>
        <v>12 Площадка 3 кран\K07156189_20_20260208T161615Z.jpg</v>
      </c>
    </row>
    <row r="189" spans="1:13" x14ac:dyDescent="0.25">
      <c r="A189" s="2" t="s">
        <v>22</v>
      </c>
      <c r="B189" s="4">
        <v>46061</v>
      </c>
      <c r="C189" s="5">
        <v>0.70753472222222225</v>
      </c>
      <c r="D189" s="9" t="s">
        <v>9876</v>
      </c>
      <c r="E189" s="9" t="s">
        <v>5137</v>
      </c>
      <c r="F189" s="9"/>
      <c r="H189" s="9"/>
      <c r="I189" s="9" t="s">
        <v>11760</v>
      </c>
      <c r="J189" s="9" t="s">
        <v>2987</v>
      </c>
      <c r="K189" t="s">
        <v>11761</v>
      </c>
      <c r="L189" t="s">
        <v>11762</v>
      </c>
      <c r="M189" s="3" t="str">
        <f>HYPERLINK(склад2въезд13192021222378[[#This Row],[RelativePath]])</f>
        <v>12 Площадка 3 кран\K07156189_20_20260208T165851Z.jpg</v>
      </c>
    </row>
    <row r="190" spans="1:13" x14ac:dyDescent="0.25">
      <c r="A190" s="2" t="s">
        <v>22</v>
      </c>
      <c r="B190" s="4">
        <v>46061</v>
      </c>
      <c r="C190" s="5">
        <v>0.72619212962962965</v>
      </c>
      <c r="D190" s="9" t="s">
        <v>4</v>
      </c>
      <c r="E190" s="9" t="s">
        <v>8</v>
      </c>
      <c r="F190" s="9"/>
      <c r="H190" s="9"/>
      <c r="I190" s="9" t="s">
        <v>11763</v>
      </c>
      <c r="J190" s="9" t="s">
        <v>2987</v>
      </c>
      <c r="K190" t="s">
        <v>11764</v>
      </c>
      <c r="L190" t="s">
        <v>11765</v>
      </c>
      <c r="M190" s="3" t="str">
        <f>HYPERLINK(склад2въезд13192021222378[[#This Row],[RelativePath]])</f>
        <v>12 Площадка 3 кран\K07156189_20_20260208T172543Z.jpg</v>
      </c>
    </row>
    <row r="191" spans="1:13" x14ac:dyDescent="0.25">
      <c r="A191" s="2" t="s">
        <v>13</v>
      </c>
      <c r="B191" s="4">
        <v>46062</v>
      </c>
      <c r="C191" s="5">
        <v>0.38157407407407407</v>
      </c>
      <c r="D191" s="9" t="s">
        <v>4</v>
      </c>
      <c r="E191" s="9" t="s">
        <v>8</v>
      </c>
      <c r="F191" s="9"/>
      <c r="H191" s="9"/>
      <c r="I191" s="9" t="s">
        <v>11820</v>
      </c>
      <c r="J191" s="9" t="s">
        <v>2987</v>
      </c>
      <c r="K191" t="s">
        <v>11821</v>
      </c>
      <c r="L191" t="s">
        <v>11822</v>
      </c>
      <c r="M191" s="3" t="str">
        <f>HYPERLINK(склад2въезд13192021222378[[#This Row],[RelativePath]])</f>
        <v>12 Площадка 3 кран\K07156189_20_20260209T090928Z.jpg</v>
      </c>
    </row>
    <row r="192" spans="1:13" x14ac:dyDescent="0.25">
      <c r="A192" s="2" t="s">
        <v>13</v>
      </c>
      <c r="B192" s="4">
        <v>46062</v>
      </c>
      <c r="C192" s="5">
        <v>0.72150462962962958</v>
      </c>
      <c r="D192" s="9" t="s">
        <v>4</v>
      </c>
      <c r="E192" s="9" t="s">
        <v>8</v>
      </c>
      <c r="F192" s="9"/>
      <c r="H192" s="9" t="s">
        <v>2936</v>
      </c>
      <c r="I192" s="9" t="s">
        <v>11823</v>
      </c>
      <c r="J192" s="9" t="s">
        <v>2987</v>
      </c>
      <c r="K192" t="s">
        <v>11824</v>
      </c>
      <c r="L192" t="s">
        <v>11825</v>
      </c>
      <c r="M192" s="3" t="str">
        <f>HYPERLINK(склад2въезд13192021222378[[#This Row],[RelativePath]])</f>
        <v>12 Площадка 3 кран\K07156189_20_20260209T171858Z.jpg</v>
      </c>
    </row>
    <row r="193" spans="1:13" x14ac:dyDescent="0.25">
      <c r="A193" s="2" t="s">
        <v>14</v>
      </c>
      <c r="B193" s="4">
        <v>46063</v>
      </c>
      <c r="C193" s="5">
        <v>0.48109953703703706</v>
      </c>
      <c r="D193" s="9" t="s">
        <v>4</v>
      </c>
      <c r="E193" s="9" t="s">
        <v>2932</v>
      </c>
      <c r="F193" s="9"/>
      <c r="H193" s="9"/>
      <c r="I193" s="9" t="s">
        <v>11826</v>
      </c>
      <c r="J193" s="9" t="s">
        <v>2987</v>
      </c>
      <c r="K193" t="s">
        <v>11827</v>
      </c>
      <c r="L193" t="s">
        <v>11828</v>
      </c>
      <c r="M193" s="3" t="str">
        <f>HYPERLINK(склад2въезд13192021222378[[#This Row],[RelativePath]])</f>
        <v>12 Площадка 3 кран\K07156189_20_20260210T113247Z.jpg</v>
      </c>
    </row>
    <row r="194" spans="1:13" x14ac:dyDescent="0.25">
      <c r="A194" s="2" t="s">
        <v>14</v>
      </c>
      <c r="B194" s="4">
        <v>46063</v>
      </c>
      <c r="C194" s="5">
        <v>0.50216435185185182</v>
      </c>
      <c r="D194" s="9" t="s">
        <v>4</v>
      </c>
      <c r="E194" s="9" t="s">
        <v>2932</v>
      </c>
      <c r="F194" s="9"/>
      <c r="H194" s="9"/>
      <c r="I194" s="9" t="s">
        <v>11829</v>
      </c>
      <c r="J194" s="9" t="s">
        <v>2987</v>
      </c>
      <c r="K194" t="s">
        <v>11830</v>
      </c>
      <c r="L194" t="s">
        <v>11831</v>
      </c>
      <c r="M194" s="3" t="str">
        <f>HYPERLINK(склад2въезд13192021222378[[#This Row],[RelativePath]])</f>
        <v>12 Площадка 3 кран\K07156189_20_20260210T120307Z.jpg</v>
      </c>
    </row>
    <row r="195" spans="1:13" x14ac:dyDescent="0.25">
      <c r="A195" s="2" t="s">
        <v>14</v>
      </c>
      <c r="B195" s="4">
        <v>46063</v>
      </c>
      <c r="C195" s="5">
        <v>0.76939814814814811</v>
      </c>
      <c r="D195" s="9" t="s">
        <v>11961</v>
      </c>
      <c r="E195" s="9"/>
      <c r="F195" s="9"/>
      <c r="H195" s="9"/>
      <c r="I195" s="9" t="s">
        <v>11832</v>
      </c>
      <c r="J195" s="9" t="s">
        <v>2987</v>
      </c>
      <c r="K195" t="s">
        <v>11833</v>
      </c>
      <c r="L195" t="s">
        <v>11834</v>
      </c>
      <c r="M195" s="3" t="str">
        <f>HYPERLINK(склад2въезд13192021222378[[#This Row],[RelativePath]])</f>
        <v>12 Площадка 3 кран\K07156189_20_20260210T182756Z.jpg</v>
      </c>
    </row>
    <row r="196" spans="1:13" x14ac:dyDescent="0.25">
      <c r="A196" s="2" t="s">
        <v>14</v>
      </c>
      <c r="B196" s="4">
        <v>46063</v>
      </c>
      <c r="C196" s="5">
        <v>0.77378472222222228</v>
      </c>
      <c r="D196" s="9" t="s">
        <v>4</v>
      </c>
      <c r="E196" s="9" t="s">
        <v>8</v>
      </c>
      <c r="F196" s="9"/>
      <c r="H196" s="9"/>
      <c r="I196" s="9" t="s">
        <v>11835</v>
      </c>
      <c r="J196" s="9" t="s">
        <v>2987</v>
      </c>
      <c r="K196" t="s">
        <v>11836</v>
      </c>
      <c r="L196" t="s">
        <v>11837</v>
      </c>
      <c r="M196" s="3" t="str">
        <f>HYPERLINK(склад2въезд13192021222378[[#This Row],[RelativePath]])</f>
        <v>12 Площадка 3 кран\K07156189_20_20260210T183415Z.jpg</v>
      </c>
    </row>
    <row r="197" spans="1:13" x14ac:dyDescent="0.25">
      <c r="A197" s="2" t="s">
        <v>15</v>
      </c>
      <c r="B197" s="4">
        <v>46064</v>
      </c>
      <c r="C197" s="5">
        <v>0.36252314814814812</v>
      </c>
      <c r="D197" s="9" t="s">
        <v>2004</v>
      </c>
      <c r="E197" s="9" t="s">
        <v>8</v>
      </c>
      <c r="F197" s="9"/>
      <c r="H197" s="9"/>
      <c r="I197" s="9" t="s">
        <v>11838</v>
      </c>
      <c r="J197" s="9" t="s">
        <v>2987</v>
      </c>
      <c r="K197" t="s">
        <v>11839</v>
      </c>
      <c r="L197" t="s">
        <v>11840</v>
      </c>
      <c r="M197" s="3" t="str">
        <f>HYPERLINK(склад2въезд13192021222378[[#This Row],[RelativePath]])</f>
        <v>12 Площадка 3 кран\K07156189_20_20260211T084202Z.jpg</v>
      </c>
    </row>
    <row r="198" spans="1:13" x14ac:dyDescent="0.25">
      <c r="A198" s="2" t="s">
        <v>16</v>
      </c>
      <c r="B198" s="4">
        <v>46065</v>
      </c>
      <c r="C198" s="5">
        <v>0.46089120370370368</v>
      </c>
      <c r="D198" s="9" t="s">
        <v>4</v>
      </c>
      <c r="E198" s="9" t="s">
        <v>11963</v>
      </c>
      <c r="F198" s="9"/>
      <c r="H198" s="9"/>
      <c r="I198" s="9" t="s">
        <v>11841</v>
      </c>
      <c r="J198" s="9" t="s">
        <v>2987</v>
      </c>
      <c r="K198" t="s">
        <v>11842</v>
      </c>
      <c r="L198" t="s">
        <v>11843</v>
      </c>
      <c r="M198" s="3" t="str">
        <f>HYPERLINK(склад2въезд13192021222378[[#This Row],[RelativePath]])</f>
        <v>12 Площадка 3 кран\K07156189_20_20260212T110341Z.jpg</v>
      </c>
    </row>
    <row r="199" spans="1:13" x14ac:dyDescent="0.25">
      <c r="A199" s="2" t="s">
        <v>16</v>
      </c>
      <c r="B199" s="4">
        <v>46065</v>
      </c>
      <c r="C199" s="5">
        <v>0.7011574074074074</v>
      </c>
      <c r="D199" s="9" t="s">
        <v>4</v>
      </c>
      <c r="E199" s="9" t="s">
        <v>11963</v>
      </c>
      <c r="F199" s="9"/>
      <c r="H199" s="9" t="s">
        <v>2936</v>
      </c>
      <c r="I199" s="9" t="s">
        <v>11844</v>
      </c>
      <c r="J199" s="9" t="s">
        <v>2987</v>
      </c>
      <c r="K199" t="s">
        <v>11845</v>
      </c>
      <c r="L199" t="s">
        <v>11846</v>
      </c>
      <c r="M199" s="3" t="str">
        <f>HYPERLINK(склад2въезд13192021222378[[#This Row],[RelativePath]])</f>
        <v>12 Площадка 3 кран\K07156189_20_20260212T164940Z.jpg</v>
      </c>
    </row>
  </sheetData>
  <conditionalFormatting sqref="D200:D210 E200:E213 G2:H199 D2:E199">
    <cfRule type="containsText" dxfId="668" priority="14" operator="containsText" text="Выезд с территории">
      <formula>NOT(ISERROR(SEARCH("Выезд с территории",D2)))</formula>
    </cfRule>
  </conditionalFormatting>
  <conditionalFormatting sqref="F2:F199">
    <cfRule type="notContainsText" dxfId="667" priority="13" operator="notContains" text="порожний">
      <formula>ISERROR(SEARCH("порожний",F2))</formula>
    </cfRule>
  </conditionalFormatting>
  <conditionalFormatting sqref="E2:E213">
    <cfRule type="containsText" dxfId="666" priority="11" operator="containsText" text="Газель базы">
      <formula>NOT(ISERROR(SEARCH("Газель базы",E2)))</formula>
    </cfRule>
    <cfRule type="containsText" dxfId="665" priority="12" operator="containsText" text="Погрузчик базы">
      <formula>NOT(ISERROR(SEARCH("Погрузчик базы",E2)))</formula>
    </cfRule>
  </conditionalFormatting>
  <conditionalFormatting sqref="E2:E213">
    <cfRule type="containsText" dxfId="664" priority="10" operator="containsText" text="Трактор базы">
      <formula>NOT(ISERROR(SEARCH("Трактор базы",E2)))</formula>
    </cfRule>
  </conditionalFormatting>
  <conditionalFormatting sqref="A2:C199">
    <cfRule type="expression" dxfId="663" priority="9">
      <formula>$A2="пн"</formula>
    </cfRule>
  </conditionalFormatting>
  <conditionalFormatting sqref="A2:C201">
    <cfRule type="expression" dxfId="662" priority="3">
      <formula>$A2="вс"</formula>
    </cfRule>
    <cfRule type="expression" dxfId="661" priority="4">
      <formula>$A2="сб"</formula>
    </cfRule>
    <cfRule type="expression" dxfId="660" priority="5">
      <formula>$A2="пт"</formula>
    </cfRule>
    <cfRule type="expression" dxfId="659" priority="6">
      <formula>$A2="чт"</formula>
    </cfRule>
    <cfRule type="expression" dxfId="658" priority="7">
      <formula>$A2="ср"</formula>
    </cfRule>
    <cfRule type="expression" dxfId="657" priority="8">
      <formula>$A2="вт"</formula>
    </cfRule>
  </conditionalFormatting>
  <conditionalFormatting sqref="D2:D210">
    <cfRule type="containsText" dxfId="6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0">
    <cfRule type="containsText" dxfId="6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75"/>
  <sheetViews>
    <sheetView zoomScale="90" zoomScaleNormal="90" workbookViewId="0">
      <pane ySplit="1" topLeftCell="A155" activePane="bottomLeft" state="frozen"/>
      <selection pane="bottomLeft" activeCell="I166" sqref="I166:I17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9" t="s">
        <v>4</v>
      </c>
      <c r="E2" s="9" t="s">
        <v>8</v>
      </c>
      <c r="F2" s="9"/>
      <c r="H2" s="9"/>
      <c r="I2" s="9" t="s">
        <v>1937</v>
      </c>
      <c r="J2" s="9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9" t="s">
        <v>4</v>
      </c>
      <c r="E3" s="9" t="s">
        <v>8</v>
      </c>
      <c r="F3" s="9"/>
      <c r="H3" s="9"/>
      <c r="I3" s="9" t="s">
        <v>1940</v>
      </c>
      <c r="J3" s="9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9" t="s">
        <v>4</v>
      </c>
      <c r="E4" s="9" t="s">
        <v>8</v>
      </c>
      <c r="F4" s="9"/>
      <c r="H4" s="9"/>
      <c r="I4" s="9" t="s">
        <v>1943</v>
      </c>
      <c r="J4" s="9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9" t="s">
        <v>4</v>
      </c>
      <c r="E5" s="9" t="s">
        <v>8</v>
      </c>
      <c r="F5" s="9"/>
      <c r="H5" s="9"/>
      <c r="I5" s="9" t="s">
        <v>1946</v>
      </c>
      <c r="J5" s="9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9" t="s">
        <v>4</v>
      </c>
      <c r="E6" s="9" t="s">
        <v>8</v>
      </c>
      <c r="F6" s="9"/>
      <c r="H6" s="9"/>
      <c r="I6" s="9" t="s">
        <v>1949</v>
      </c>
      <c r="J6" s="9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9" t="s">
        <v>289</v>
      </c>
      <c r="E7" s="9" t="s">
        <v>86</v>
      </c>
      <c r="F7" s="9" t="s">
        <v>1998</v>
      </c>
      <c r="H7" s="9"/>
      <c r="I7" s="9" t="s">
        <v>1952</v>
      </c>
      <c r="J7" s="9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9" t="s">
        <v>1999</v>
      </c>
      <c r="E8" s="9" t="s">
        <v>86</v>
      </c>
      <c r="F8" s="9" t="s">
        <v>1998</v>
      </c>
      <c r="H8" s="9"/>
      <c r="I8" s="9" t="s">
        <v>1955</v>
      </c>
      <c r="J8" s="9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9" t="s">
        <v>1999</v>
      </c>
      <c r="E9" s="9" t="s">
        <v>86</v>
      </c>
      <c r="F9" s="9" t="s">
        <v>1998</v>
      </c>
      <c r="H9" s="9"/>
      <c r="I9" s="9" t="s">
        <v>1958</v>
      </c>
      <c r="J9" s="9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9" t="s">
        <v>4</v>
      </c>
      <c r="E10" s="9" t="s">
        <v>8</v>
      </c>
      <c r="F10" s="9"/>
      <c r="H10" s="9"/>
      <c r="I10" s="9" t="s">
        <v>1961</v>
      </c>
      <c r="J10" s="9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9" t="s">
        <v>4</v>
      </c>
      <c r="E11" s="9" t="s">
        <v>8</v>
      </c>
      <c r="F11" s="9"/>
      <c r="H11" s="9"/>
      <c r="I11" s="9" t="s">
        <v>1964</v>
      </c>
      <c r="J11" s="9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9" t="s">
        <v>4</v>
      </c>
      <c r="E12" s="9" t="s">
        <v>8</v>
      </c>
      <c r="F12" s="9"/>
      <c r="H12" s="9"/>
      <c r="I12" s="9" t="s">
        <v>1967</v>
      </c>
      <c r="J12" s="9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9" t="s">
        <v>4</v>
      </c>
      <c r="E13" s="9" t="s">
        <v>8</v>
      </c>
      <c r="F13" s="9"/>
      <c r="H13" s="9"/>
      <c r="I13" s="9" t="s">
        <v>1970</v>
      </c>
      <c r="J13" s="9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9" t="s">
        <v>4</v>
      </c>
      <c r="E14" s="9" t="s">
        <v>8</v>
      </c>
      <c r="F14" s="9"/>
      <c r="H14" s="9"/>
      <c r="I14" s="9" t="s">
        <v>1973</v>
      </c>
      <c r="J14" s="9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9" t="s">
        <v>4</v>
      </c>
      <c r="E15" s="9" t="s">
        <v>8</v>
      </c>
      <c r="F15" s="9"/>
      <c r="H15" s="9"/>
      <c r="I15" s="9" t="s">
        <v>1976</v>
      </c>
      <c r="J15" s="9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9" t="s">
        <v>4</v>
      </c>
      <c r="E16" s="9" t="s">
        <v>8</v>
      </c>
      <c r="F16" s="9"/>
      <c r="H16" s="9"/>
      <c r="I16" s="9" t="s">
        <v>1979</v>
      </c>
      <c r="J16" s="9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9" t="s">
        <v>4</v>
      </c>
      <c r="E17" s="9" t="s">
        <v>8</v>
      </c>
      <c r="F17" s="9"/>
      <c r="H17" s="9"/>
      <c r="I17" s="9" t="s">
        <v>1982</v>
      </c>
      <c r="J17" s="9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9" t="s">
        <v>4</v>
      </c>
      <c r="E18" s="9" t="s">
        <v>8</v>
      </c>
      <c r="F18" s="9"/>
      <c r="H18" s="9"/>
      <c r="I18" s="9" t="s">
        <v>1985</v>
      </c>
      <c r="J18" s="9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9" t="s">
        <v>4</v>
      </c>
      <c r="E19" s="9" t="s">
        <v>8</v>
      </c>
      <c r="F19" s="9"/>
      <c r="H19" s="9"/>
      <c r="I19" s="9" t="s">
        <v>1988</v>
      </c>
      <c r="J19" s="9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9" t="s">
        <v>4</v>
      </c>
      <c r="E20" s="9" t="s">
        <v>8</v>
      </c>
      <c r="F20" s="9"/>
      <c r="H20" s="9"/>
      <c r="I20" s="9" t="s">
        <v>1991</v>
      </c>
      <c r="J20" s="9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9" t="s">
        <v>4</v>
      </c>
      <c r="E21" s="9" t="s">
        <v>8</v>
      </c>
      <c r="F21" s="9"/>
      <c r="H21" s="9"/>
      <c r="I21" s="9" t="s">
        <v>1994</v>
      </c>
      <c r="J21" s="9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9" t="s">
        <v>4</v>
      </c>
      <c r="E22" s="9" t="s">
        <v>8</v>
      </c>
      <c r="F22" s="9"/>
      <c r="H22" s="9"/>
      <c r="I22" s="9" t="s">
        <v>2976</v>
      </c>
      <c r="J22" s="9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9" t="s">
        <v>533</v>
      </c>
      <c r="E23" s="9" t="s">
        <v>531</v>
      </c>
      <c r="F23" s="9" t="s">
        <v>58</v>
      </c>
      <c r="H23" s="9" t="s">
        <v>2979</v>
      </c>
      <c r="I23" s="9" t="s">
        <v>2896</v>
      </c>
      <c r="J23" s="9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9" t="s">
        <v>533</v>
      </c>
      <c r="E24" s="9" t="s">
        <v>531</v>
      </c>
      <c r="F24" s="9" t="s">
        <v>58</v>
      </c>
      <c r="H24" s="9" t="s">
        <v>2979</v>
      </c>
      <c r="I24" s="9" t="s">
        <v>2899</v>
      </c>
      <c r="J24" s="9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9" t="s">
        <v>533</v>
      </c>
      <c r="E25" s="9" t="s">
        <v>531</v>
      </c>
      <c r="F25" s="9" t="s">
        <v>58</v>
      </c>
      <c r="H25" s="9" t="s">
        <v>2979</v>
      </c>
      <c r="I25" s="9" t="s">
        <v>2902</v>
      </c>
      <c r="J25" s="9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9" t="s">
        <v>2004</v>
      </c>
      <c r="E26" s="9"/>
      <c r="F26" s="9"/>
      <c r="H26" s="9"/>
      <c r="I26" s="9" t="s">
        <v>2905</v>
      </c>
      <c r="J26" s="9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9" t="s">
        <v>2004</v>
      </c>
      <c r="E27" s="9"/>
      <c r="F27" s="9"/>
      <c r="H27" s="9"/>
      <c r="I27" s="9" t="s">
        <v>2908</v>
      </c>
      <c r="J27" s="9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9" t="s">
        <v>2014</v>
      </c>
      <c r="E28" s="9"/>
      <c r="F28" s="9"/>
      <c r="H28" s="9"/>
      <c r="I28" s="9" t="s">
        <v>2911</v>
      </c>
      <c r="J28" s="9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9" t="s">
        <v>2004</v>
      </c>
      <c r="E29" s="9"/>
      <c r="F29" s="9"/>
      <c r="H29" s="9"/>
      <c r="I29" s="9" t="s">
        <v>2914</v>
      </c>
      <c r="J29" s="9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9" t="s">
        <v>2004</v>
      </c>
      <c r="E30" s="9"/>
      <c r="F30" s="9"/>
      <c r="H30" s="9"/>
      <c r="I30" s="9" t="s">
        <v>2917</v>
      </c>
      <c r="J30" s="9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9" t="s">
        <v>2014</v>
      </c>
      <c r="E31" s="9"/>
      <c r="F31" s="9"/>
      <c r="H31" s="9"/>
      <c r="I31" s="9" t="s">
        <v>4166</v>
      </c>
      <c r="J31" s="9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9" t="s">
        <v>4</v>
      </c>
      <c r="E32" s="9" t="s">
        <v>4249</v>
      </c>
      <c r="F32" s="9"/>
      <c r="H32" s="9"/>
      <c r="I32" s="9" t="s">
        <v>4169</v>
      </c>
      <c r="J32" s="9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9" t="s">
        <v>4</v>
      </c>
      <c r="E33" s="9" t="s">
        <v>4250</v>
      </c>
      <c r="F33" s="9"/>
      <c r="H33" s="9"/>
      <c r="I33" s="9" t="s">
        <v>4172</v>
      </c>
      <c r="J33" s="9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9" t="s">
        <v>4</v>
      </c>
      <c r="E34" s="9" t="s">
        <v>4251</v>
      </c>
      <c r="F34" s="9"/>
      <c r="H34" s="9"/>
      <c r="I34" s="9" t="s">
        <v>4175</v>
      </c>
      <c r="J34" s="9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9" t="s">
        <v>4</v>
      </c>
      <c r="E35" s="9" t="s">
        <v>8</v>
      </c>
      <c r="F35" s="9"/>
      <c r="H35" s="9"/>
      <c r="I35" s="9" t="s">
        <v>4178</v>
      </c>
      <c r="J35" s="9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9" t="s">
        <v>4</v>
      </c>
      <c r="E36" s="9" t="s">
        <v>8</v>
      </c>
      <c r="F36" s="9"/>
      <c r="H36" s="9"/>
      <c r="I36" s="9" t="s">
        <v>4181</v>
      </c>
      <c r="J36" s="9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9" t="s">
        <v>4212</v>
      </c>
      <c r="E37" s="9"/>
      <c r="F37" s="9"/>
      <c r="H37" s="9"/>
      <c r="I37" s="9" t="s">
        <v>4187</v>
      </c>
      <c r="J37" s="9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9" t="s">
        <v>2004</v>
      </c>
      <c r="E38" s="9"/>
      <c r="F38" s="9"/>
      <c r="H38" s="9"/>
      <c r="I38" s="9" t="s">
        <v>4184</v>
      </c>
      <c r="J38" s="9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9" t="s">
        <v>4298</v>
      </c>
      <c r="E39" s="9"/>
      <c r="F39" s="9"/>
      <c r="H39" s="9"/>
      <c r="I39" s="9" t="s">
        <v>4294</v>
      </c>
      <c r="J39" s="9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9" t="s">
        <v>2014</v>
      </c>
      <c r="E40" s="9"/>
      <c r="F40" s="9"/>
      <c r="H40" s="9"/>
      <c r="I40" s="9" t="s">
        <v>4981</v>
      </c>
      <c r="J40" s="9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9" t="s">
        <v>2014</v>
      </c>
      <c r="E41" s="9"/>
      <c r="F41" s="9"/>
      <c r="H41" s="9"/>
      <c r="I41" s="9" t="s">
        <v>4984</v>
      </c>
      <c r="J41" s="9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9" t="s">
        <v>2014</v>
      </c>
      <c r="E42" s="9"/>
      <c r="F42" s="9"/>
      <c r="H42" s="9"/>
      <c r="I42" s="9" t="s">
        <v>4987</v>
      </c>
      <c r="J42" s="9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9" t="s">
        <v>2014</v>
      </c>
      <c r="E43" s="9"/>
      <c r="F43" s="9"/>
      <c r="H43" s="9"/>
      <c r="I43" s="9" t="s">
        <v>4990</v>
      </c>
      <c r="J43" s="9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9" t="s">
        <v>2014</v>
      </c>
      <c r="E44" s="9"/>
      <c r="F44" s="9"/>
      <c r="H44" s="9"/>
      <c r="I44" s="9" t="s">
        <v>4993</v>
      </c>
      <c r="J44" s="9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9" t="s">
        <v>2014</v>
      </c>
      <c r="E45" s="9"/>
      <c r="F45" s="9"/>
      <c r="H45" s="9"/>
      <c r="I45" s="9" t="s">
        <v>4996</v>
      </c>
      <c r="J45" s="9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9" t="s">
        <v>4</v>
      </c>
      <c r="E46" s="9" t="s">
        <v>5266</v>
      </c>
      <c r="F46" s="9"/>
      <c r="H46" s="9"/>
      <c r="I46" s="9" t="s">
        <v>5220</v>
      </c>
      <c r="J46" s="9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9" t="s">
        <v>4</v>
      </c>
      <c r="E47" s="9" t="s">
        <v>5267</v>
      </c>
      <c r="F47" s="9"/>
      <c r="H47" s="9"/>
      <c r="I47" s="9" t="s">
        <v>5223</v>
      </c>
      <c r="J47" s="9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9" t="s">
        <v>159</v>
      </c>
      <c r="E48" s="9" t="s">
        <v>5480</v>
      </c>
      <c r="F48" s="9" t="s">
        <v>4240</v>
      </c>
      <c r="H48" s="9"/>
      <c r="I48" s="9" t="s">
        <v>5468</v>
      </c>
      <c r="J48" s="9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9" t="s">
        <v>4</v>
      </c>
      <c r="E49" s="9" t="s">
        <v>8</v>
      </c>
      <c r="F49" s="9"/>
      <c r="H49" s="9"/>
      <c r="I49" s="9" t="s">
        <v>5471</v>
      </c>
      <c r="J49" s="9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9" t="s">
        <v>6191</v>
      </c>
      <c r="E50" s="9" t="s">
        <v>5480</v>
      </c>
      <c r="F50" s="9" t="s">
        <v>6182</v>
      </c>
      <c r="H50" s="9"/>
      <c r="I50" s="9" t="s">
        <v>5666</v>
      </c>
      <c r="J50" s="9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9" t="s">
        <v>6191</v>
      </c>
      <c r="E51" s="9" t="s">
        <v>5480</v>
      </c>
      <c r="F51" s="9" t="s">
        <v>6182</v>
      </c>
      <c r="H51" s="9" t="s">
        <v>2936</v>
      </c>
      <c r="I51" s="9" t="s">
        <v>5669</v>
      </c>
      <c r="J51" s="9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9" t="s">
        <v>4</v>
      </c>
      <c r="E52" s="9" t="s">
        <v>8</v>
      </c>
      <c r="F52" s="9"/>
      <c r="H52" s="9"/>
      <c r="I52" s="9" t="s">
        <v>5672</v>
      </c>
      <c r="J52" s="9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9" t="s">
        <v>4</v>
      </c>
      <c r="E53" s="9" t="s">
        <v>8</v>
      </c>
      <c r="F53" s="9"/>
      <c r="H53" s="9"/>
      <c r="I53" s="9" t="s">
        <v>5675</v>
      </c>
      <c r="J53" s="9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9" t="s">
        <v>4</v>
      </c>
      <c r="E54" s="9" t="s">
        <v>8</v>
      </c>
      <c r="F54" s="9"/>
      <c r="H54" s="9"/>
      <c r="I54" s="9" t="s">
        <v>5678</v>
      </c>
      <c r="J54" s="9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9" t="s">
        <v>2014</v>
      </c>
      <c r="E55" s="9"/>
      <c r="F55" s="9"/>
      <c r="H55" s="9"/>
      <c r="I55" s="9" t="s">
        <v>5681</v>
      </c>
      <c r="J55" s="9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9" t="s">
        <v>6191</v>
      </c>
      <c r="E56" s="9" t="s">
        <v>5480</v>
      </c>
      <c r="F56" s="9" t="s">
        <v>6172</v>
      </c>
      <c r="H56" s="9"/>
      <c r="I56" s="9" t="s">
        <v>5990</v>
      </c>
      <c r="J56" s="9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9" t="s">
        <v>4</v>
      </c>
      <c r="E57" s="9" t="s">
        <v>8</v>
      </c>
      <c r="F57" s="9"/>
      <c r="H57" s="9"/>
      <c r="I57" s="9" t="s">
        <v>5993</v>
      </c>
      <c r="J57" s="9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9" t="s">
        <v>4</v>
      </c>
      <c r="E58" s="9" t="s">
        <v>8</v>
      </c>
      <c r="F58" s="9"/>
      <c r="H58" s="9"/>
      <c r="I58" s="9" t="s">
        <v>5996</v>
      </c>
      <c r="J58" s="9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9" t="s">
        <v>4</v>
      </c>
      <c r="E59" s="9" t="s">
        <v>6167</v>
      </c>
      <c r="F59" s="9"/>
      <c r="H59" s="9"/>
      <c r="I59" s="9" t="s">
        <v>5999</v>
      </c>
      <c r="J59" s="9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9" t="s">
        <v>4</v>
      </c>
      <c r="E60" s="9" t="s">
        <v>8</v>
      </c>
      <c r="F60" s="9"/>
      <c r="H60" s="9"/>
      <c r="I60" s="9" t="s">
        <v>6002</v>
      </c>
      <c r="J60" s="9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9" t="s">
        <v>2004</v>
      </c>
      <c r="E61" s="9" t="s">
        <v>8</v>
      </c>
      <c r="F61" s="9"/>
      <c r="H61" s="9"/>
      <c r="I61" s="9" t="s">
        <v>6255</v>
      </c>
      <c r="J61" s="9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9" t="s">
        <v>289</v>
      </c>
      <c r="E62" s="9" t="s">
        <v>5480</v>
      </c>
      <c r="F62" s="9" t="s">
        <v>528</v>
      </c>
      <c r="H62" s="9"/>
      <c r="I62" s="9" t="s">
        <v>6515</v>
      </c>
      <c r="J62" s="9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9" t="s">
        <v>289</v>
      </c>
      <c r="E63" s="9" t="s">
        <v>5480</v>
      </c>
      <c r="F63" s="9" t="s">
        <v>528</v>
      </c>
      <c r="H63" s="9"/>
      <c r="I63" s="9" t="s">
        <v>6518</v>
      </c>
      <c r="J63" s="9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9" t="s">
        <v>289</v>
      </c>
      <c r="E64" s="9" t="s">
        <v>5480</v>
      </c>
      <c r="F64" s="9" t="s">
        <v>1621</v>
      </c>
      <c r="H64" s="9"/>
      <c r="I64" s="9" t="s">
        <v>6521</v>
      </c>
      <c r="J64" s="9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9" t="s">
        <v>533</v>
      </c>
      <c r="E65" s="9" t="s">
        <v>531</v>
      </c>
      <c r="F65" s="9" t="s">
        <v>58</v>
      </c>
      <c r="H65" s="9"/>
      <c r="I65" s="9" t="s">
        <v>6644</v>
      </c>
      <c r="J65" s="9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9" t="s">
        <v>533</v>
      </c>
      <c r="E66" s="9" t="s">
        <v>531</v>
      </c>
      <c r="F66" s="9" t="s">
        <v>58</v>
      </c>
      <c r="H66" s="9"/>
      <c r="I66" s="9" t="s">
        <v>6647</v>
      </c>
      <c r="J66" s="9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9" t="s">
        <v>533</v>
      </c>
      <c r="E67" s="9" t="s">
        <v>531</v>
      </c>
      <c r="F67" s="9" t="s">
        <v>58</v>
      </c>
      <c r="H67" s="9"/>
      <c r="I67" s="9" t="s">
        <v>6650</v>
      </c>
      <c r="J67" s="9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9" t="s">
        <v>4</v>
      </c>
      <c r="E68" s="9" t="s">
        <v>8</v>
      </c>
      <c r="F68" s="9"/>
      <c r="H68" s="9"/>
      <c r="I68" s="9" t="s">
        <v>6653</v>
      </c>
      <c r="J68" s="9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9" t="s">
        <v>289</v>
      </c>
      <c r="E69" s="9" t="s">
        <v>5480</v>
      </c>
      <c r="F69" s="9" t="s">
        <v>528</v>
      </c>
      <c r="H69" s="9"/>
      <c r="I69" s="9" t="s">
        <v>6829</v>
      </c>
      <c r="J69" s="9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9" t="s">
        <v>289</v>
      </c>
      <c r="E70" s="9" t="s">
        <v>5480</v>
      </c>
      <c r="F70" s="9" t="s">
        <v>528</v>
      </c>
      <c r="H70" s="9" t="s">
        <v>2936</v>
      </c>
      <c r="I70" s="9" t="s">
        <v>6832</v>
      </c>
      <c r="J70" s="9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9" t="s">
        <v>158</v>
      </c>
      <c r="E71" s="9" t="s">
        <v>5480</v>
      </c>
      <c r="F71" s="9" t="s">
        <v>528</v>
      </c>
      <c r="H71" s="9" t="s">
        <v>5102</v>
      </c>
      <c r="I71" s="9" t="s">
        <v>6835</v>
      </c>
      <c r="J71" s="9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9" t="s">
        <v>289</v>
      </c>
      <c r="E72" s="9" t="s">
        <v>5480</v>
      </c>
      <c r="F72" s="9" t="s">
        <v>528</v>
      </c>
      <c r="H72" s="9"/>
      <c r="I72" s="9" t="s">
        <v>6838</v>
      </c>
      <c r="J72" s="9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9" t="s">
        <v>158</v>
      </c>
      <c r="E73" s="9" t="s">
        <v>5480</v>
      </c>
      <c r="F73" s="9" t="s">
        <v>528</v>
      </c>
      <c r="H73" s="9" t="s">
        <v>5102</v>
      </c>
      <c r="I73" s="9" t="s">
        <v>6841</v>
      </c>
      <c r="J73" s="9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9" t="s">
        <v>4223</v>
      </c>
      <c r="E74" s="9" t="s">
        <v>5480</v>
      </c>
      <c r="F74" s="9" t="s">
        <v>6872</v>
      </c>
      <c r="H74" s="9" t="s">
        <v>6531</v>
      </c>
      <c r="I74" s="9" t="s">
        <v>6844</v>
      </c>
      <c r="J74" s="9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9" t="s">
        <v>4223</v>
      </c>
      <c r="E75" s="9" t="s">
        <v>5480</v>
      </c>
      <c r="F75" s="9" t="s">
        <v>6872</v>
      </c>
      <c r="H75" s="9" t="s">
        <v>2936</v>
      </c>
      <c r="I75" s="9" t="s">
        <v>6847</v>
      </c>
      <c r="J75" s="9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9" t="s">
        <v>158</v>
      </c>
      <c r="E76" s="9" t="s">
        <v>5480</v>
      </c>
      <c r="F76" s="9" t="s">
        <v>6872</v>
      </c>
      <c r="H76" s="9" t="s">
        <v>5102</v>
      </c>
      <c r="I76" s="9" t="s">
        <v>6850</v>
      </c>
      <c r="J76" s="9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9" t="s">
        <v>4</v>
      </c>
      <c r="E77" s="9" t="s">
        <v>6873</v>
      </c>
      <c r="F77" s="9"/>
      <c r="H77" s="9" t="s">
        <v>6531</v>
      </c>
      <c r="I77" s="9" t="s">
        <v>6853</v>
      </c>
      <c r="J77" s="9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9" t="s">
        <v>4</v>
      </c>
      <c r="E78" s="9" t="s">
        <v>2932</v>
      </c>
      <c r="F78" s="9"/>
      <c r="H78" s="9"/>
      <c r="I78" s="9" t="s">
        <v>6856</v>
      </c>
      <c r="J78" s="9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9" t="s">
        <v>4</v>
      </c>
      <c r="E79" s="9" t="s">
        <v>6874</v>
      </c>
      <c r="F79" s="9"/>
      <c r="H79" s="9"/>
      <c r="I79" s="9" t="s">
        <v>6859</v>
      </c>
      <c r="J79" s="9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9" t="s">
        <v>4</v>
      </c>
      <c r="E80" s="9" t="s">
        <v>8</v>
      </c>
      <c r="F80" s="9"/>
      <c r="H80" s="9"/>
      <c r="I80" s="9" t="s">
        <v>6862</v>
      </c>
      <c r="J80" s="9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9" t="s">
        <v>2004</v>
      </c>
      <c r="E81" s="9" t="s">
        <v>8</v>
      </c>
      <c r="F81" s="9"/>
      <c r="H81" s="9"/>
      <c r="I81" s="9" t="s">
        <v>7163</v>
      </c>
      <c r="J81" s="9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9" t="s">
        <v>2004</v>
      </c>
      <c r="E82" s="9" t="s">
        <v>8</v>
      </c>
      <c r="F82" s="9"/>
      <c r="H82" s="9"/>
      <c r="I82" s="9" t="s">
        <v>7157</v>
      </c>
      <c r="J82" s="9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9" t="s">
        <v>2004</v>
      </c>
      <c r="E83" s="9" t="s">
        <v>8</v>
      </c>
      <c r="F83" s="9"/>
      <c r="H83" s="9"/>
      <c r="I83" s="9" t="s">
        <v>7211</v>
      </c>
      <c r="J83" s="9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9" t="s">
        <v>2004</v>
      </c>
      <c r="E84" s="9" t="s">
        <v>8</v>
      </c>
      <c r="F84" s="9"/>
      <c r="H84" s="9"/>
      <c r="I84" s="9" t="s">
        <v>7311</v>
      </c>
      <c r="J84" s="9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9" t="s">
        <v>2004</v>
      </c>
      <c r="E85" s="9" t="s">
        <v>8</v>
      </c>
      <c r="F85" s="9"/>
      <c r="H85" s="9"/>
      <c r="I85" s="9" t="s">
        <v>7314</v>
      </c>
      <c r="J85" s="9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9" t="s">
        <v>4223</v>
      </c>
      <c r="E86" s="9" t="s">
        <v>5480</v>
      </c>
      <c r="F86" s="9" t="s">
        <v>60</v>
      </c>
      <c r="H86" s="9"/>
      <c r="I86" s="9" t="s">
        <v>7679</v>
      </c>
      <c r="J86" s="9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9" t="s">
        <v>2004</v>
      </c>
      <c r="E87" s="9" t="s">
        <v>8</v>
      </c>
      <c r="F87" s="9"/>
      <c r="H87" s="9"/>
      <c r="I87" s="9" t="s">
        <v>7682</v>
      </c>
      <c r="J87" s="9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9" t="s">
        <v>4</v>
      </c>
      <c r="E88" s="9" t="s">
        <v>4193</v>
      </c>
      <c r="F88" s="9"/>
      <c r="H88" s="9" t="s">
        <v>7718</v>
      </c>
      <c r="I88" s="9" t="s">
        <v>7685</v>
      </c>
      <c r="J88" s="9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9" t="s">
        <v>4223</v>
      </c>
      <c r="E89" s="9" t="s">
        <v>5480</v>
      </c>
      <c r="F89" s="9" t="s">
        <v>7713</v>
      </c>
      <c r="H89" s="9"/>
      <c r="I89" s="9" t="s">
        <v>7688</v>
      </c>
      <c r="J89" s="9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9" t="s">
        <v>4223</v>
      </c>
      <c r="E90" s="9" t="s">
        <v>5480</v>
      </c>
      <c r="F90" s="9" t="s">
        <v>7719</v>
      </c>
      <c r="H90" s="9"/>
      <c r="I90" s="9" t="s">
        <v>7691</v>
      </c>
      <c r="J90" s="9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9" t="s">
        <v>4223</v>
      </c>
      <c r="E91" s="9" t="s">
        <v>5480</v>
      </c>
      <c r="F91" s="9" t="s">
        <v>60</v>
      </c>
      <c r="H91" s="9"/>
      <c r="I91" s="9" t="s">
        <v>7792</v>
      </c>
      <c r="J91" s="9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9" t="s">
        <v>4223</v>
      </c>
      <c r="E92" s="9" t="s">
        <v>5480</v>
      </c>
      <c r="F92" s="9" t="s">
        <v>60</v>
      </c>
      <c r="H92" s="9"/>
      <c r="I92" s="9" t="s">
        <v>7795</v>
      </c>
      <c r="J92" s="9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9" t="s">
        <v>4223</v>
      </c>
      <c r="E93" s="9" t="s">
        <v>5480</v>
      </c>
      <c r="F93" s="9" t="s">
        <v>7719</v>
      </c>
      <c r="H93" s="9"/>
      <c r="I93" s="9" t="s">
        <v>7798</v>
      </c>
      <c r="J93" s="9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9" t="s">
        <v>4</v>
      </c>
      <c r="E94" s="9" t="s">
        <v>4193</v>
      </c>
      <c r="F94" s="9"/>
      <c r="H94" s="9" t="s">
        <v>7718</v>
      </c>
      <c r="I94" s="9" t="s">
        <v>7801</v>
      </c>
      <c r="J94" s="9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9" t="s">
        <v>4</v>
      </c>
      <c r="E95" s="9" t="s">
        <v>8</v>
      </c>
      <c r="F95" s="9"/>
      <c r="H95" s="9" t="s">
        <v>2936</v>
      </c>
      <c r="I95" s="9" t="s">
        <v>7804</v>
      </c>
      <c r="J95" s="9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9" t="s">
        <v>4</v>
      </c>
      <c r="E96" s="9" t="s">
        <v>8</v>
      </c>
      <c r="F96" s="9"/>
      <c r="H96" s="9" t="s">
        <v>2936</v>
      </c>
      <c r="I96" s="9" t="s">
        <v>7807</v>
      </c>
      <c r="J96" s="9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9" t="s">
        <v>4223</v>
      </c>
      <c r="E97" s="9" t="s">
        <v>5480</v>
      </c>
      <c r="F97" s="9" t="s">
        <v>7714</v>
      </c>
      <c r="H97" s="9"/>
      <c r="I97" s="9" t="s">
        <v>7810</v>
      </c>
      <c r="J97" s="9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9" t="s">
        <v>4223</v>
      </c>
      <c r="E98" s="9" t="s">
        <v>5480</v>
      </c>
      <c r="F98" s="9" t="s">
        <v>60</v>
      </c>
      <c r="H98" s="9"/>
      <c r="I98" s="9" t="s">
        <v>7813</v>
      </c>
      <c r="J98" s="9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9" t="s">
        <v>4</v>
      </c>
      <c r="E99" s="9" t="s">
        <v>8</v>
      </c>
      <c r="F99" s="9"/>
      <c r="H99" s="9"/>
      <c r="I99" s="9" t="s">
        <v>7816</v>
      </c>
      <c r="J99" s="9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9" t="s">
        <v>4</v>
      </c>
      <c r="E100" s="9" t="s">
        <v>8</v>
      </c>
      <c r="F100" s="9"/>
      <c r="H100" s="9"/>
      <c r="I100" s="9" t="s">
        <v>7983</v>
      </c>
      <c r="J100" s="9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9" t="s">
        <v>4</v>
      </c>
      <c r="E101" s="9" t="s">
        <v>8</v>
      </c>
      <c r="F101" s="9"/>
      <c r="H101" s="9"/>
      <c r="I101" s="9" t="s">
        <v>7986</v>
      </c>
      <c r="J101" s="9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9" t="s">
        <v>4</v>
      </c>
      <c r="E102" s="9" t="s">
        <v>8</v>
      </c>
      <c r="F102" s="9"/>
      <c r="H102" s="9"/>
      <c r="I102" s="9" t="s">
        <v>7989</v>
      </c>
      <c r="J102" s="9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9" t="s">
        <v>533</v>
      </c>
      <c r="E103" s="9" t="s">
        <v>531</v>
      </c>
      <c r="F103" s="9" t="s">
        <v>8361</v>
      </c>
      <c r="H103" s="9"/>
      <c r="I103" s="9" t="s">
        <v>8273</v>
      </c>
      <c r="J103" s="9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9" t="s">
        <v>2004</v>
      </c>
      <c r="E104" s="9" t="s">
        <v>8</v>
      </c>
      <c r="F104" s="9"/>
      <c r="H104" s="9"/>
      <c r="I104" s="9" t="s">
        <v>8276</v>
      </c>
      <c r="J104" s="9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9" t="s">
        <v>2004</v>
      </c>
      <c r="E105" s="9" t="s">
        <v>8</v>
      </c>
      <c r="F105" s="9"/>
      <c r="H105" s="9"/>
      <c r="I105" s="9" t="s">
        <v>8279</v>
      </c>
      <c r="J105" s="9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9" t="s">
        <v>2004</v>
      </c>
      <c r="E106" s="9" t="s">
        <v>8</v>
      </c>
      <c r="F106" s="9"/>
      <c r="H106" s="9"/>
      <c r="I106" s="9" t="s">
        <v>8282</v>
      </c>
      <c r="J106" s="9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9" t="s">
        <v>2004</v>
      </c>
      <c r="E107" s="9" t="s">
        <v>8</v>
      </c>
      <c r="F107" s="9"/>
      <c r="H107" s="9"/>
      <c r="I107" s="9" t="s">
        <v>8465</v>
      </c>
      <c r="J107" s="9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9" t="s">
        <v>2004</v>
      </c>
      <c r="E108" s="9" t="s">
        <v>8</v>
      </c>
      <c r="F108" s="9"/>
      <c r="H108" s="9"/>
      <c r="I108" s="9" t="s">
        <v>8468</v>
      </c>
      <c r="J108" s="9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9" t="s">
        <v>2004</v>
      </c>
      <c r="E109" s="9" t="s">
        <v>8</v>
      </c>
      <c r="F109" s="9"/>
      <c r="H109" s="9"/>
      <c r="I109" s="9" t="s">
        <v>8471</v>
      </c>
      <c r="J109" s="9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9" t="s">
        <v>2004</v>
      </c>
      <c r="E110" s="9" t="s">
        <v>8</v>
      </c>
      <c r="F110" s="9"/>
      <c r="H110" s="9"/>
      <c r="I110" s="9" t="s">
        <v>8778</v>
      </c>
      <c r="J110" s="9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9" t="s">
        <v>2004</v>
      </c>
      <c r="E111" s="9" t="s">
        <v>8</v>
      </c>
      <c r="F111" s="9"/>
      <c r="H111" s="9"/>
      <c r="I111" s="9" t="s">
        <v>8781</v>
      </c>
      <c r="J111" s="9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9" t="s">
        <v>2004</v>
      </c>
      <c r="E112" s="9" t="s">
        <v>8</v>
      </c>
      <c r="F112" s="9"/>
      <c r="H112" s="9"/>
      <c r="I112" s="9" t="s">
        <v>8784</v>
      </c>
      <c r="J112" s="9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9" t="s">
        <v>2004</v>
      </c>
      <c r="E113" s="9" t="s">
        <v>8</v>
      </c>
      <c r="F113" s="9"/>
      <c r="H113" s="9"/>
      <c r="I113" s="9" t="s">
        <v>8787</v>
      </c>
      <c r="J113" s="9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9" t="s">
        <v>2004</v>
      </c>
      <c r="E114" s="9" t="s">
        <v>8</v>
      </c>
      <c r="F114" s="9"/>
      <c r="H114" s="9"/>
      <c r="I114" s="9" t="s">
        <v>8790</v>
      </c>
      <c r="J114" s="9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9" t="s">
        <v>2004</v>
      </c>
      <c r="E115" s="9" t="s">
        <v>8</v>
      </c>
      <c r="F115" s="9"/>
      <c r="H115" s="9"/>
      <c r="I115" s="9" t="s">
        <v>8793</v>
      </c>
      <c r="J115" s="9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9" t="s">
        <v>2004</v>
      </c>
      <c r="E116" s="9" t="s">
        <v>8</v>
      </c>
      <c r="F116" s="9"/>
      <c r="H116" s="9"/>
      <c r="I116" s="9" t="s">
        <v>8796</v>
      </c>
      <c r="J116" s="9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9" t="s">
        <v>4</v>
      </c>
      <c r="E117" s="9" t="s">
        <v>8045</v>
      </c>
      <c r="F117" s="9"/>
      <c r="H117" s="9"/>
      <c r="I117" s="9" t="s">
        <v>9168</v>
      </c>
      <c r="J117" s="9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9" t="s">
        <v>7171</v>
      </c>
      <c r="E118" s="9" t="s">
        <v>5480</v>
      </c>
      <c r="F118" s="9" t="s">
        <v>9202</v>
      </c>
      <c r="H118" s="9"/>
      <c r="I118" s="9" t="s">
        <v>9171</v>
      </c>
      <c r="J118" s="9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9" t="s">
        <v>4</v>
      </c>
      <c r="E119" s="9" t="s">
        <v>8</v>
      </c>
      <c r="F119" s="9"/>
      <c r="H119" s="9"/>
      <c r="I119" s="9" t="s">
        <v>9174</v>
      </c>
      <c r="J119" s="9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9" t="s">
        <v>4</v>
      </c>
      <c r="E120" s="9" t="s">
        <v>9212</v>
      </c>
      <c r="F120" s="9"/>
      <c r="H120" s="9"/>
      <c r="I120" s="9" t="s">
        <v>9177</v>
      </c>
      <c r="J120" s="9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9" t="s">
        <v>4</v>
      </c>
      <c r="E121" s="9" t="s">
        <v>9212</v>
      </c>
      <c r="F121" s="9"/>
      <c r="H121" s="9"/>
      <c r="I121" s="9" t="s">
        <v>9180</v>
      </c>
      <c r="J121" s="9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9" t="s">
        <v>4</v>
      </c>
      <c r="E122" s="9" t="s">
        <v>8</v>
      </c>
      <c r="F122" s="9"/>
      <c r="H122" s="9"/>
      <c r="I122" s="9" t="s">
        <v>9183</v>
      </c>
      <c r="J122" s="9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9" t="s">
        <v>4</v>
      </c>
      <c r="E123" s="9" t="s">
        <v>8045</v>
      </c>
      <c r="F123" s="9"/>
      <c r="H123" s="9"/>
      <c r="I123" s="9" t="s">
        <v>9324</v>
      </c>
      <c r="J123" s="9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9" t="s">
        <v>4</v>
      </c>
      <c r="E124" s="9" t="s">
        <v>8045</v>
      </c>
      <c r="F124" s="9"/>
      <c r="H124" s="9"/>
      <c r="I124" s="9" t="s">
        <v>9327</v>
      </c>
      <c r="J124" s="9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9" t="s">
        <v>4</v>
      </c>
      <c r="E125" s="9" t="s">
        <v>8045</v>
      </c>
      <c r="F125" s="9"/>
      <c r="H125" s="9"/>
      <c r="I125" s="9" t="s">
        <v>9330</v>
      </c>
      <c r="J125" s="9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9" t="s">
        <v>4</v>
      </c>
      <c r="E126" s="9" t="s">
        <v>8</v>
      </c>
      <c r="F126" s="9"/>
      <c r="H126" s="9"/>
      <c r="I126" s="9" t="s">
        <v>9333</v>
      </c>
      <c r="J126" s="9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9" t="s">
        <v>4</v>
      </c>
      <c r="E127" s="9" t="s">
        <v>8</v>
      </c>
      <c r="F127" s="9"/>
      <c r="H127" s="9"/>
      <c r="I127" s="9" t="s">
        <v>9549</v>
      </c>
      <c r="J127" s="9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9" t="s">
        <v>4</v>
      </c>
      <c r="E128" s="9" t="s">
        <v>8</v>
      </c>
      <c r="F128" s="9"/>
      <c r="H128" s="9"/>
      <c r="I128" s="9" t="s">
        <v>9552</v>
      </c>
      <c r="J128" s="9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9" t="s">
        <v>4</v>
      </c>
      <c r="E129" s="9" t="s">
        <v>9212</v>
      </c>
      <c r="F129" s="9"/>
      <c r="H129" s="9"/>
      <c r="I129" s="9" t="s">
        <v>9555</v>
      </c>
      <c r="J129" s="9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9" t="s">
        <v>4</v>
      </c>
      <c r="E130" s="9" t="s">
        <v>9212</v>
      </c>
      <c r="F130" s="9"/>
      <c r="H130" s="9"/>
      <c r="I130" s="9" t="s">
        <v>9558</v>
      </c>
      <c r="J130" s="9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9" t="s">
        <v>4</v>
      </c>
      <c r="E131" s="9" t="s">
        <v>9212</v>
      </c>
      <c r="F131" s="9"/>
      <c r="H131" s="9"/>
      <c r="I131" s="9" t="s">
        <v>9561</v>
      </c>
      <c r="J131" s="9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9" t="s">
        <v>4</v>
      </c>
      <c r="E132" s="9" t="s">
        <v>9212</v>
      </c>
      <c r="F132" s="9"/>
      <c r="H132" s="9"/>
      <c r="I132" s="9" t="s">
        <v>9564</v>
      </c>
      <c r="J132" s="9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9" t="s">
        <v>4</v>
      </c>
      <c r="E133" s="9" t="s">
        <v>8</v>
      </c>
      <c r="F133" s="9"/>
      <c r="H133" s="9"/>
      <c r="I133" s="9" t="s">
        <v>9567</v>
      </c>
      <c r="J133" s="9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9" t="s">
        <v>2004</v>
      </c>
      <c r="E134" s="9" t="s">
        <v>8</v>
      </c>
      <c r="F134" s="9"/>
      <c r="H134" s="9"/>
      <c r="I134" s="9" t="s">
        <v>9677</v>
      </c>
      <c r="J134" s="9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9" t="s">
        <v>2004</v>
      </c>
      <c r="E135" s="9" t="s">
        <v>8</v>
      </c>
      <c r="F135" s="9"/>
      <c r="H135" s="9"/>
      <c r="I135" s="9" t="s">
        <v>9680</v>
      </c>
      <c r="J135" s="9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9" t="s">
        <v>2004</v>
      </c>
      <c r="E136" s="9" t="s">
        <v>8</v>
      </c>
      <c r="F136" s="9"/>
      <c r="H136" s="9"/>
      <c r="I136" s="9" t="s">
        <v>9870</v>
      </c>
      <c r="J136" s="9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9" t="s">
        <v>2004</v>
      </c>
      <c r="E137" s="9" t="s">
        <v>8</v>
      </c>
      <c r="F137" s="9"/>
      <c r="H137" s="9"/>
      <c r="I137" s="9" t="s">
        <v>9873</v>
      </c>
      <c r="J137" s="9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9" t="s">
        <v>2004</v>
      </c>
      <c r="E138" s="9" t="s">
        <v>8</v>
      </c>
      <c r="F138" s="9"/>
      <c r="H138" s="9"/>
      <c r="I138" s="9" t="s">
        <v>10113</v>
      </c>
      <c r="J138" s="9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9" t="s">
        <v>7171</v>
      </c>
      <c r="E139" s="9" t="s">
        <v>5480</v>
      </c>
      <c r="F139" s="9" t="s">
        <v>9202</v>
      </c>
      <c r="H139" s="9"/>
      <c r="I139" s="9" t="s">
        <v>10116</v>
      </c>
      <c r="J139" s="9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9" t="s">
        <v>4</v>
      </c>
      <c r="E140" s="9" t="s">
        <v>8</v>
      </c>
      <c r="F140" s="9"/>
      <c r="H140" s="9"/>
      <c r="I140" s="9" t="s">
        <v>10119</v>
      </c>
      <c r="J140" s="9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9" t="s">
        <v>4</v>
      </c>
      <c r="E141" s="9" t="s">
        <v>8</v>
      </c>
      <c r="F141" s="9"/>
      <c r="H141" s="9"/>
      <c r="I141" s="9" t="s">
        <v>10433</v>
      </c>
      <c r="J141" s="9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9" t="s">
        <v>4</v>
      </c>
      <c r="E142" s="9" t="s">
        <v>8</v>
      </c>
      <c r="F142" s="9"/>
      <c r="H142" s="9" t="s">
        <v>2936</v>
      </c>
      <c r="I142" s="9" t="s">
        <v>10436</v>
      </c>
      <c r="J142" s="9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9" t="s">
        <v>4</v>
      </c>
      <c r="E143" s="9" t="s">
        <v>8</v>
      </c>
      <c r="F143" s="9"/>
      <c r="H143" s="9" t="s">
        <v>2936</v>
      </c>
      <c r="I143" s="9" t="s">
        <v>10439</v>
      </c>
      <c r="J143" s="9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9" t="s">
        <v>2004</v>
      </c>
      <c r="E144" s="9" t="s">
        <v>8</v>
      </c>
      <c r="F144" s="9"/>
      <c r="H144" s="9"/>
      <c r="I144" s="9" t="s">
        <v>10485</v>
      </c>
      <c r="J144" s="9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9" t="s">
        <v>2004</v>
      </c>
      <c r="E145" s="9" t="s">
        <v>8</v>
      </c>
      <c r="F145" s="9"/>
      <c r="H145" s="9"/>
      <c r="I145" s="9" t="s">
        <v>10488</v>
      </c>
      <c r="J145" s="9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9" t="s">
        <v>2004</v>
      </c>
      <c r="E146" s="9" t="s">
        <v>8</v>
      </c>
      <c r="F146" s="9"/>
      <c r="H146" s="9"/>
      <c r="I146" s="9" t="s">
        <v>10624</v>
      </c>
      <c r="J146" s="9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9" t="s">
        <v>2004</v>
      </c>
      <c r="E147" s="9" t="s">
        <v>8</v>
      </c>
      <c r="F147" s="9"/>
      <c r="H147" s="9"/>
      <c r="I147" s="9" t="s">
        <v>10627</v>
      </c>
      <c r="J147" s="9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s="9" t="s">
        <v>2004</v>
      </c>
      <c r="E148" s="9" t="s">
        <v>8</v>
      </c>
      <c r="F148" s="9"/>
      <c r="H148" s="9"/>
      <c r="I148" s="9" t="s">
        <v>10872</v>
      </c>
      <c r="J148" s="9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s="9" t="s">
        <v>2004</v>
      </c>
      <c r="E149" s="9" t="s">
        <v>8</v>
      </c>
      <c r="F149" s="9"/>
      <c r="H149" s="9"/>
      <c r="I149" s="9" t="s">
        <v>10875</v>
      </c>
      <c r="J149" s="9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s="9" t="s">
        <v>2004</v>
      </c>
      <c r="E150" s="9" t="s">
        <v>8</v>
      </c>
      <c r="F150" s="9"/>
      <c r="H150" s="9"/>
      <c r="I150" s="9" t="s">
        <v>11001</v>
      </c>
      <c r="J150" s="9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s="9" t="s">
        <v>2014</v>
      </c>
      <c r="E151" s="9"/>
      <c r="F151" s="9"/>
      <c r="H151" s="9"/>
      <c r="I151" s="9" t="s">
        <v>11055</v>
      </c>
      <c r="J151" s="9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s="9" t="s">
        <v>2004</v>
      </c>
      <c r="E152" s="9" t="s">
        <v>8</v>
      </c>
      <c r="F152" s="9"/>
      <c r="H152" s="9"/>
      <c r="I152" s="9" t="s">
        <v>11058</v>
      </c>
      <c r="J152" s="9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  <row r="153" spans="1:13" x14ac:dyDescent="0.25">
      <c r="A153" s="2" t="s">
        <v>13</v>
      </c>
      <c r="B153" s="4">
        <v>46055</v>
      </c>
      <c r="C153" s="5">
        <v>0.62550925925925926</v>
      </c>
      <c r="D153" s="9" t="s">
        <v>2004</v>
      </c>
      <c r="E153" s="9" t="s">
        <v>8</v>
      </c>
      <c r="F153" s="9"/>
      <c r="H153" s="9"/>
      <c r="I153" s="9" t="s">
        <v>11391</v>
      </c>
      <c r="J153" s="9" t="s">
        <v>2988</v>
      </c>
      <c r="K153" t="s">
        <v>11392</v>
      </c>
      <c r="L153" t="s">
        <v>11393</v>
      </c>
      <c r="M153" s="3" t="str">
        <f>HYPERLINK(склад2въезд131920212223789[[#This Row],[RelativePath]])</f>
        <v>13 Склад хол\K07156189_23_20260202T150044Z.jpg</v>
      </c>
    </row>
    <row r="154" spans="1:13" x14ac:dyDescent="0.25">
      <c r="A154" s="2" t="s">
        <v>14</v>
      </c>
      <c r="B154" s="4">
        <v>46056</v>
      </c>
      <c r="C154" s="5">
        <v>0.50785879629629627</v>
      </c>
      <c r="D154" s="9" t="s">
        <v>4</v>
      </c>
      <c r="E154" s="9" t="s">
        <v>8</v>
      </c>
      <c r="F154" s="9"/>
      <c r="H154" s="9"/>
      <c r="I154" s="9" t="s">
        <v>11394</v>
      </c>
      <c r="J154" s="9" t="s">
        <v>2988</v>
      </c>
      <c r="K154" t="s">
        <v>11395</v>
      </c>
      <c r="L154" t="s">
        <v>11396</v>
      </c>
      <c r="M154" s="3" t="str">
        <f>HYPERLINK(склад2въезд131920212223789[[#This Row],[RelativePath]])</f>
        <v>13 Склад хол\K07156189_23_20260203T121119Z.jpg</v>
      </c>
    </row>
    <row r="155" spans="1:13" x14ac:dyDescent="0.25">
      <c r="A155" s="2" t="s">
        <v>14</v>
      </c>
      <c r="B155" s="4">
        <v>46056</v>
      </c>
      <c r="C155" s="5">
        <v>0.61016203703703709</v>
      </c>
      <c r="D155" s="9" t="s">
        <v>159</v>
      </c>
      <c r="E155" s="9" t="s">
        <v>11424</v>
      </c>
      <c r="F155" s="9"/>
      <c r="H155" s="9"/>
      <c r="I155" s="9" t="s">
        <v>11397</v>
      </c>
      <c r="J155" s="9" t="s">
        <v>2988</v>
      </c>
      <c r="K155" t="s">
        <v>11398</v>
      </c>
      <c r="L155" t="s">
        <v>11399</v>
      </c>
      <c r="M155" s="3" t="str">
        <f>HYPERLINK(склад2въезд131920212223789[[#This Row],[RelativePath]])</f>
        <v>13 Склад хол\K07156189_23_20260203T143838Z.jpg</v>
      </c>
    </row>
    <row r="156" spans="1:13" x14ac:dyDescent="0.25">
      <c r="A156" s="2" t="s">
        <v>14</v>
      </c>
      <c r="B156" s="4">
        <v>46056</v>
      </c>
      <c r="C156" s="5">
        <v>0.6564699074074074</v>
      </c>
      <c r="D156" s="9" t="s">
        <v>4</v>
      </c>
      <c r="E156" s="9" t="s">
        <v>8</v>
      </c>
      <c r="F156" s="9"/>
      <c r="H156" s="9"/>
      <c r="I156" s="9" t="s">
        <v>11400</v>
      </c>
      <c r="J156" s="9" t="s">
        <v>2988</v>
      </c>
      <c r="K156" t="s">
        <v>11401</v>
      </c>
      <c r="L156" t="s">
        <v>11402</v>
      </c>
      <c r="M156" s="3" t="str">
        <f>HYPERLINK(склад2въезд131920212223789[[#This Row],[RelativePath]])</f>
        <v>13 Склад хол\K07156189_23_20260203T154519Z.jpg</v>
      </c>
    </row>
    <row r="157" spans="1:13" x14ac:dyDescent="0.25">
      <c r="A157" s="2" t="s">
        <v>14</v>
      </c>
      <c r="B157" s="4">
        <v>46056</v>
      </c>
      <c r="C157" s="5">
        <v>0.75703703703703706</v>
      </c>
      <c r="D157" s="9" t="s">
        <v>4</v>
      </c>
      <c r="E157" s="9" t="s">
        <v>8</v>
      </c>
      <c r="F157" s="9"/>
      <c r="H157" s="9"/>
      <c r="I157" s="9" t="s">
        <v>11403</v>
      </c>
      <c r="J157" s="9" t="s">
        <v>2988</v>
      </c>
      <c r="K157" t="s">
        <v>11404</v>
      </c>
      <c r="L157" t="s">
        <v>11405</v>
      </c>
      <c r="M157" s="3" t="str">
        <f>HYPERLINK(склад2въезд131920212223789[[#This Row],[RelativePath]])</f>
        <v>13 Склад хол\K07156189_23_20260203T181008Z.jpg</v>
      </c>
    </row>
    <row r="158" spans="1:13" x14ac:dyDescent="0.25">
      <c r="A158" s="2" t="s">
        <v>14</v>
      </c>
      <c r="B158" s="4">
        <v>46056</v>
      </c>
      <c r="C158" s="5">
        <v>0.81178240740740737</v>
      </c>
      <c r="D158" s="9" t="s">
        <v>11425</v>
      </c>
      <c r="E158" s="9"/>
      <c r="F158" s="9"/>
      <c r="H158" s="9"/>
      <c r="I158" s="9" t="s">
        <v>11406</v>
      </c>
      <c r="J158" s="9" t="s">
        <v>2988</v>
      </c>
      <c r="K158" t="s">
        <v>11407</v>
      </c>
      <c r="L158" t="s">
        <v>11408</v>
      </c>
      <c r="M158" s="3" t="str">
        <f>HYPERLINK(склад2въезд131920212223789[[#This Row],[RelativePath]])</f>
        <v>13 Склад хол\K07156189_23_20260203T192858Z.jpg</v>
      </c>
    </row>
    <row r="159" spans="1:13" x14ac:dyDescent="0.25">
      <c r="A159" s="2" t="s">
        <v>14</v>
      </c>
      <c r="B159" s="4">
        <v>46056</v>
      </c>
      <c r="C159" s="5">
        <v>0.82072916666666662</v>
      </c>
      <c r="D159" s="9" t="s">
        <v>4</v>
      </c>
      <c r="E159" s="9" t="s">
        <v>11426</v>
      </c>
      <c r="F159" s="9"/>
      <c r="H159" s="9"/>
      <c r="I159" s="9" t="s">
        <v>11409</v>
      </c>
      <c r="J159" s="9" t="s">
        <v>2988</v>
      </c>
      <c r="K159" t="s">
        <v>11410</v>
      </c>
      <c r="L159" t="s">
        <v>11411</v>
      </c>
      <c r="M159" s="3" t="str">
        <f>HYPERLINK(склад2въезд131920212223789[[#This Row],[RelativePath]])</f>
        <v>13 Склад хол\K07156189_23_20260203T194151Z.jpg</v>
      </c>
    </row>
    <row r="160" spans="1:13" x14ac:dyDescent="0.25">
      <c r="A160" s="2" t="s">
        <v>15</v>
      </c>
      <c r="B160" s="4">
        <v>46057</v>
      </c>
      <c r="C160" s="5">
        <v>0.60127314814814814</v>
      </c>
      <c r="D160" s="9" t="s">
        <v>4</v>
      </c>
      <c r="E160" s="9" t="s">
        <v>11424</v>
      </c>
      <c r="F160" s="9"/>
      <c r="H160" s="9"/>
      <c r="I160" s="9" t="s">
        <v>11562</v>
      </c>
      <c r="J160" s="9" t="s">
        <v>2988</v>
      </c>
      <c r="K160" t="s">
        <v>11563</v>
      </c>
      <c r="L160" t="s">
        <v>11564</v>
      </c>
      <c r="M160" s="3" t="str">
        <f>HYPERLINK(склад2въезд131920212223789[[#This Row],[RelativePath]])</f>
        <v>13 Склад хол\K07156189_23_20260204T142550Z.jpg</v>
      </c>
    </row>
    <row r="161" spans="1:13" x14ac:dyDescent="0.25">
      <c r="A161" s="2" t="s">
        <v>16</v>
      </c>
      <c r="B161" s="4">
        <v>46058</v>
      </c>
      <c r="C161" s="5">
        <v>0.60354166666666664</v>
      </c>
      <c r="D161" s="9" t="s">
        <v>4</v>
      </c>
      <c r="E161" s="9" t="s">
        <v>11659</v>
      </c>
      <c r="F161" s="9"/>
      <c r="H161" s="9"/>
      <c r="I161" s="9" t="s">
        <v>11565</v>
      </c>
      <c r="J161" s="9" t="s">
        <v>2988</v>
      </c>
      <c r="K161" t="s">
        <v>11566</v>
      </c>
      <c r="L161" t="s">
        <v>11567</v>
      </c>
      <c r="M161" s="3" t="str">
        <f>HYPERLINK(склад2въезд131920212223789[[#This Row],[RelativePath]])</f>
        <v>13 Склад хол\K07156189_23_20260205T142906Z.jpg</v>
      </c>
    </row>
    <row r="162" spans="1:13" x14ac:dyDescent="0.25">
      <c r="A162" s="2" t="s">
        <v>17</v>
      </c>
      <c r="B162" s="4">
        <v>46059</v>
      </c>
      <c r="C162" s="5">
        <v>0.46490740740740738</v>
      </c>
      <c r="D162" s="9" t="s">
        <v>11660</v>
      </c>
      <c r="E162" s="9"/>
      <c r="F162" s="9"/>
      <c r="H162" s="9"/>
      <c r="I162" s="9" t="s">
        <v>11568</v>
      </c>
      <c r="J162" s="9" t="s">
        <v>2988</v>
      </c>
      <c r="K162" t="s">
        <v>11569</v>
      </c>
      <c r="L162" t="s">
        <v>11570</v>
      </c>
      <c r="M162" s="3" t="str">
        <f>HYPERLINK(склад2въезд131920212223789[[#This Row],[RelativePath]])</f>
        <v>13 Склад хол\K07156189_23_20260206T110928Z.jpg</v>
      </c>
    </row>
    <row r="163" spans="1:13" x14ac:dyDescent="0.25">
      <c r="A163" s="2" t="s">
        <v>17</v>
      </c>
      <c r="B163" s="4">
        <v>46059</v>
      </c>
      <c r="C163" s="5">
        <v>0.66380787037037037</v>
      </c>
      <c r="D163" s="9" t="s">
        <v>4</v>
      </c>
      <c r="E163" s="9" t="s">
        <v>8</v>
      </c>
      <c r="F163" s="9"/>
      <c r="H163" s="9"/>
      <c r="I163" s="9" t="s">
        <v>11571</v>
      </c>
      <c r="J163" s="9" t="s">
        <v>2988</v>
      </c>
      <c r="K163" t="s">
        <v>11572</v>
      </c>
      <c r="L163" t="s">
        <v>11573</v>
      </c>
      <c r="M163" s="3" t="str">
        <f>HYPERLINK(склад2въезд131920212223789[[#This Row],[RelativePath]])</f>
        <v>13 Склад хол\K07156189_23_20260206T155553Z.jpg</v>
      </c>
    </row>
    <row r="164" spans="1:13" x14ac:dyDescent="0.25">
      <c r="A164" s="2" t="s">
        <v>18</v>
      </c>
      <c r="B164" s="4">
        <v>46060</v>
      </c>
      <c r="C164" s="5">
        <v>0.72972222222222227</v>
      </c>
      <c r="D164" s="9" t="s">
        <v>2004</v>
      </c>
      <c r="E164" s="9" t="s">
        <v>8</v>
      </c>
      <c r="F164" s="9"/>
      <c r="H164" s="9"/>
      <c r="I164" s="9" t="s">
        <v>11766</v>
      </c>
      <c r="J164" s="9" t="s">
        <v>2988</v>
      </c>
      <c r="K164" t="s">
        <v>11767</v>
      </c>
      <c r="L164" t="s">
        <v>11768</v>
      </c>
      <c r="M164" s="3" t="str">
        <f>HYPERLINK(склад2въезд131920212223789[[#This Row],[RelativePath]])</f>
        <v>13 Склад хол\K07156189_23_20260207T173048Z.jpg</v>
      </c>
    </row>
    <row r="165" spans="1:13" x14ac:dyDescent="0.25">
      <c r="A165" s="2" t="s">
        <v>22</v>
      </c>
      <c r="B165" s="4">
        <v>46061</v>
      </c>
      <c r="C165" s="5">
        <v>0.70469907407407406</v>
      </c>
      <c r="D165" s="9" t="s">
        <v>2004</v>
      </c>
      <c r="E165" s="9" t="s">
        <v>8</v>
      </c>
      <c r="F165" s="9"/>
      <c r="H165" s="9"/>
      <c r="I165" s="9" t="s">
        <v>11769</v>
      </c>
      <c r="J165" s="9" t="s">
        <v>2988</v>
      </c>
      <c r="K165" t="s">
        <v>11770</v>
      </c>
      <c r="L165" t="s">
        <v>11771</v>
      </c>
      <c r="M165" s="3" t="str">
        <f>HYPERLINK(склад2въезд131920212223789[[#This Row],[RelativePath]])</f>
        <v>13 Склад хол\K07156189_23_20260208T165446Z.jpg</v>
      </c>
    </row>
    <row r="166" spans="1:13" x14ac:dyDescent="0.25">
      <c r="A166" s="2" t="s">
        <v>13</v>
      </c>
      <c r="B166" s="4">
        <v>46062</v>
      </c>
      <c r="C166" s="5">
        <v>0.46975694444444444</v>
      </c>
      <c r="D166" s="9" t="s">
        <v>4</v>
      </c>
      <c r="E166" s="9" t="s">
        <v>8</v>
      </c>
      <c r="F166" s="9"/>
      <c r="H166" s="9"/>
      <c r="I166" s="9" t="s">
        <v>11847</v>
      </c>
      <c r="J166" s="9" t="s">
        <v>2988</v>
      </c>
      <c r="K166" t="s">
        <v>11848</v>
      </c>
      <c r="L166" t="s">
        <v>11849</v>
      </c>
      <c r="M166" s="3" t="str">
        <f>HYPERLINK(склад2въезд131920212223789[[#This Row],[RelativePath]])</f>
        <v>13 Склад хол\K07156189_23_20260209T111627Z.jpg</v>
      </c>
    </row>
    <row r="167" spans="1:13" x14ac:dyDescent="0.25">
      <c r="A167" s="2" t="s">
        <v>13</v>
      </c>
      <c r="B167" s="4">
        <v>46062</v>
      </c>
      <c r="C167" s="5">
        <v>0.69104166666666667</v>
      </c>
      <c r="D167" s="9" t="s">
        <v>4</v>
      </c>
      <c r="E167" s="9" t="s">
        <v>8</v>
      </c>
      <c r="F167" s="9"/>
      <c r="H167" s="9"/>
      <c r="I167" s="9" t="s">
        <v>11850</v>
      </c>
      <c r="J167" s="9" t="s">
        <v>2988</v>
      </c>
      <c r="K167" t="s">
        <v>11851</v>
      </c>
      <c r="L167" t="s">
        <v>11852</v>
      </c>
      <c r="M167" s="3" t="str">
        <f>HYPERLINK(склад2въезд131920212223789[[#This Row],[RelativePath]])</f>
        <v>13 Склад хол\K07156189_23_20260209T163506Z.jpg</v>
      </c>
    </row>
    <row r="168" spans="1:13" x14ac:dyDescent="0.25">
      <c r="A168" s="2" t="s">
        <v>14</v>
      </c>
      <c r="B168" s="4">
        <v>46063</v>
      </c>
      <c r="C168" s="5">
        <v>0.35633101851851851</v>
      </c>
      <c r="D168" s="9" t="s">
        <v>159</v>
      </c>
      <c r="E168" s="9" t="s">
        <v>11958</v>
      </c>
      <c r="F168" s="9"/>
      <c r="H168" s="9"/>
      <c r="I168" s="9" t="s">
        <v>11853</v>
      </c>
      <c r="J168" s="9" t="s">
        <v>2988</v>
      </c>
      <c r="K168" t="s">
        <v>11854</v>
      </c>
      <c r="L168" t="s">
        <v>11855</v>
      </c>
      <c r="M168" s="3" t="str">
        <f>HYPERLINK(склад2въезд131920212223789[[#This Row],[RelativePath]])</f>
        <v>13 Склад хол\K07156189_23_20260210T083307Z.jpg</v>
      </c>
    </row>
    <row r="169" spans="1:13" x14ac:dyDescent="0.25">
      <c r="A169" s="2" t="s">
        <v>14</v>
      </c>
      <c r="B169" s="4">
        <v>46063</v>
      </c>
      <c r="C169" s="5">
        <v>0.61835648148148148</v>
      </c>
      <c r="D169" s="9" t="s">
        <v>4</v>
      </c>
      <c r="E169" s="9" t="s">
        <v>8</v>
      </c>
      <c r="F169" s="9"/>
      <c r="H169" s="9"/>
      <c r="I169" s="9" t="s">
        <v>11856</v>
      </c>
      <c r="J169" s="9" t="s">
        <v>2988</v>
      </c>
      <c r="K169" t="s">
        <v>11857</v>
      </c>
      <c r="L169" t="s">
        <v>11858</v>
      </c>
      <c r="M169" s="3" t="str">
        <f>HYPERLINK(склад2въезд131920212223789[[#This Row],[RelativePath]])</f>
        <v>13 Склад хол\K07156189_23_20260210T145026Z.jpg</v>
      </c>
    </row>
    <row r="170" spans="1:13" x14ac:dyDescent="0.25">
      <c r="A170" s="2" t="s">
        <v>15</v>
      </c>
      <c r="B170" s="4">
        <v>46064</v>
      </c>
      <c r="C170" s="5">
        <v>0.44594907407407408</v>
      </c>
      <c r="D170" s="9" t="s">
        <v>6171</v>
      </c>
      <c r="E170" s="9" t="s">
        <v>4193</v>
      </c>
      <c r="F170" s="9"/>
      <c r="H170" s="9"/>
      <c r="I170" s="9" t="s">
        <v>11859</v>
      </c>
      <c r="J170" s="9" t="s">
        <v>2988</v>
      </c>
      <c r="K170" t="s">
        <v>11860</v>
      </c>
      <c r="L170" t="s">
        <v>11861</v>
      </c>
      <c r="M170" s="3" t="str">
        <f>HYPERLINK(склад2въезд131920212223789[[#This Row],[RelativePath]])</f>
        <v>13 Склад хол\K07156189_23_20260211T104210Z.jpg</v>
      </c>
    </row>
    <row r="171" spans="1:13" x14ac:dyDescent="0.25">
      <c r="A171" s="2" t="s">
        <v>15</v>
      </c>
      <c r="B171" s="4">
        <v>46064</v>
      </c>
      <c r="C171" s="5">
        <v>0.45931712962962962</v>
      </c>
      <c r="D171" s="9" t="s">
        <v>11957</v>
      </c>
      <c r="E171" s="9" t="s">
        <v>4193</v>
      </c>
      <c r="F171" s="9"/>
      <c r="H171" s="9"/>
      <c r="I171" s="9" t="s">
        <v>11862</v>
      </c>
      <c r="J171" s="9" t="s">
        <v>2988</v>
      </c>
      <c r="K171" t="s">
        <v>11863</v>
      </c>
      <c r="L171" t="s">
        <v>11864</v>
      </c>
      <c r="M171" s="3" t="str">
        <f>HYPERLINK(склад2въезд131920212223789[[#This Row],[RelativePath]])</f>
        <v>13 Склад хол\K07156189_23_20260211T110125Z.jpg</v>
      </c>
    </row>
    <row r="172" spans="1:13" x14ac:dyDescent="0.25">
      <c r="A172" s="2" t="s">
        <v>15</v>
      </c>
      <c r="B172" s="4">
        <v>46064</v>
      </c>
      <c r="C172" s="5">
        <v>0.73821759259259256</v>
      </c>
      <c r="D172" s="9" t="s">
        <v>4</v>
      </c>
      <c r="E172" s="9" t="s">
        <v>8</v>
      </c>
      <c r="F172" s="9"/>
      <c r="H172" s="9"/>
      <c r="I172" s="9" t="s">
        <v>11865</v>
      </c>
      <c r="J172" s="9" t="s">
        <v>2988</v>
      </c>
      <c r="K172" t="s">
        <v>11866</v>
      </c>
      <c r="L172" t="s">
        <v>11867</v>
      </c>
      <c r="M172" s="3" t="str">
        <f>HYPERLINK(склад2въезд131920212223789[[#This Row],[RelativePath]])</f>
        <v>13 Склад хол\K07156189_23_20260211T174302Z.jpg</v>
      </c>
    </row>
    <row r="173" spans="1:13" x14ac:dyDescent="0.25">
      <c r="A173" s="2" t="s">
        <v>16</v>
      </c>
      <c r="B173" s="4">
        <v>46065</v>
      </c>
      <c r="C173" s="5">
        <v>0.4445486111111111</v>
      </c>
      <c r="D173" s="9" t="s">
        <v>651</v>
      </c>
      <c r="E173" s="9" t="s">
        <v>86</v>
      </c>
      <c r="F173" s="9"/>
      <c r="H173" s="9"/>
      <c r="I173" s="9" t="s">
        <v>11868</v>
      </c>
      <c r="J173" s="9" t="s">
        <v>2988</v>
      </c>
      <c r="K173" t="s">
        <v>11869</v>
      </c>
      <c r="L173" t="s">
        <v>11810</v>
      </c>
      <c r="M173" s="3" t="str">
        <f>HYPERLINK(склад2въезд131920212223789[[#This Row],[RelativePath]])</f>
        <v>13 Склад хол\K07156189_23_20260212T104009Z.jpg</v>
      </c>
    </row>
    <row r="174" spans="1:13" x14ac:dyDescent="0.25">
      <c r="A174" s="2" t="s">
        <v>16</v>
      </c>
      <c r="B174" s="4">
        <v>46065</v>
      </c>
      <c r="C174" s="5">
        <v>0.44489583333333332</v>
      </c>
      <c r="D174" s="9" t="s">
        <v>651</v>
      </c>
      <c r="E174" s="9" t="s">
        <v>86</v>
      </c>
      <c r="F174" s="9"/>
      <c r="H174" s="9" t="s">
        <v>2936</v>
      </c>
      <c r="I174" s="9" t="s">
        <v>11870</v>
      </c>
      <c r="J174" s="9" t="s">
        <v>2988</v>
      </c>
      <c r="K174" t="s">
        <v>11871</v>
      </c>
      <c r="L174" t="s">
        <v>11872</v>
      </c>
      <c r="M174" s="3" t="str">
        <f>HYPERLINK(склад2въезд131920212223789[[#This Row],[RelativePath]])</f>
        <v>13 Склад хол\K07156189_23_20260212T104039Z.jpg</v>
      </c>
    </row>
    <row r="175" spans="1:13" x14ac:dyDescent="0.25">
      <c r="A175" s="2" t="s">
        <v>16</v>
      </c>
      <c r="B175" s="4">
        <v>46065</v>
      </c>
      <c r="C175" s="5">
        <v>0.51534722222222218</v>
      </c>
      <c r="D175" s="9" t="s">
        <v>11964</v>
      </c>
      <c r="E175" s="9" t="s">
        <v>86</v>
      </c>
      <c r="F175" s="9"/>
      <c r="H175" s="9"/>
      <c r="I175" s="9" t="s">
        <v>11873</v>
      </c>
      <c r="J175" s="9" t="s">
        <v>2988</v>
      </c>
      <c r="K175" t="s">
        <v>11874</v>
      </c>
      <c r="L175" t="s">
        <v>11875</v>
      </c>
      <c r="M175" s="3" t="str">
        <f>HYPERLINK(склад2въезд131920212223789[[#This Row],[RelativePath]])</f>
        <v>13 Склад хол\K07156189_23_20260212T122206Z.jpg</v>
      </c>
    </row>
  </sheetData>
  <conditionalFormatting sqref="D176:D186 E176:E189 G2:H175 D2:E175">
    <cfRule type="containsText" dxfId="135" priority="14" operator="containsText" text="Выезд с территории">
      <formula>NOT(ISERROR(SEARCH("Выезд с территории",D2)))</formula>
    </cfRule>
  </conditionalFormatting>
  <conditionalFormatting sqref="F2:F175">
    <cfRule type="notContainsText" dxfId="134" priority="13" operator="notContains" text="порожний">
      <formula>ISERROR(SEARCH("порожний",F2))</formula>
    </cfRule>
  </conditionalFormatting>
  <conditionalFormatting sqref="E2:E189">
    <cfRule type="containsText" dxfId="133" priority="11" operator="containsText" text="Газель базы">
      <formula>NOT(ISERROR(SEARCH("Газель базы",E2)))</formula>
    </cfRule>
    <cfRule type="containsText" dxfId="132" priority="12" operator="containsText" text="Погрузчик базы">
      <formula>NOT(ISERROR(SEARCH("Погрузчик базы",E2)))</formula>
    </cfRule>
  </conditionalFormatting>
  <conditionalFormatting sqref="E2:E189">
    <cfRule type="containsText" dxfId="131" priority="10" operator="containsText" text="Трактор базы">
      <formula>NOT(ISERROR(SEARCH("Трактор базы",E2)))</formula>
    </cfRule>
  </conditionalFormatting>
  <conditionalFormatting sqref="A2:C175">
    <cfRule type="expression" dxfId="130" priority="9">
      <formula>$A2="пн"</formula>
    </cfRule>
  </conditionalFormatting>
  <conditionalFormatting sqref="A2:C177">
    <cfRule type="expression" dxfId="129" priority="3">
      <formula>$A2="вс"</formula>
    </cfRule>
    <cfRule type="expression" dxfId="128" priority="4">
      <formula>$A2="сб"</formula>
    </cfRule>
    <cfRule type="expression" dxfId="127" priority="5">
      <formula>$A2="пт"</formula>
    </cfRule>
    <cfRule type="expression" dxfId="126" priority="6">
      <formula>$A2="чт"</formula>
    </cfRule>
    <cfRule type="expression" dxfId="125" priority="7">
      <formula>$A2="ср"</formula>
    </cfRule>
    <cfRule type="expression" dxfId="124" priority="8">
      <formula>$A2="вт"</formula>
    </cfRule>
  </conditionalFormatting>
  <conditionalFormatting sqref="D2:D186">
    <cfRule type="containsText" dxfId="1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6">
    <cfRule type="containsText" dxfId="1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804"/>
  <sheetViews>
    <sheetView tabSelected="1" topLeftCell="A3623" zoomScale="90" zoomScaleNormal="90" workbookViewId="0">
      <selection activeCell="C3806" sqref="C3806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t="s">
        <v>10716</v>
      </c>
      <c r="G3379" t="s">
        <v>1102</v>
      </c>
    </row>
    <row r="3380" spans="1:7" hidden="1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hidden="1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hidden="1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hidden="1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hidden="1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hidden="1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hidden="1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hidden="1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hidden="1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hidden="1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hidden="1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hidden="1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hidden="1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hidden="1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hidden="1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hidden="1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hidden="1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hidden="1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hidden="1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hidden="1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hidden="1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hidden="1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hidden="1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hidden="1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hidden="1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hidden="1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hidden="1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hidden="1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hidden="1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hidden="1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hidden="1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hidden="1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hidden="1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hidden="1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hidden="1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hidden="1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hidden="1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hidden="1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hidden="1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hidden="1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hidden="1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hidden="1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hidden="1" x14ac:dyDescent="0.25">
      <c r="A3502" t="s">
        <v>2004</v>
      </c>
      <c r="F3502" t="s">
        <v>11019</v>
      </c>
      <c r="G3502" t="s">
        <v>1102</v>
      </c>
    </row>
    <row r="3503" spans="1:7" hidden="1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hidden="1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hidden="1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hidden="1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hidden="1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hidden="1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hidden="1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hidden="1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hidden="1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hidden="1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hidden="1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hidden="1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hidden="1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hidden="1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hidden="1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hidden="1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hidden="1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hidden="1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hidden="1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hidden="1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hidden="1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hidden="1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hidden="1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hidden="1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hidden="1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hidden="1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hidden="1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hidden="1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hidden="1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hidden="1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hidden="1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hidden="1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hidden="1" x14ac:dyDescent="0.25">
      <c r="A3535" t="s">
        <v>11138</v>
      </c>
      <c r="F3535" t="s">
        <v>11135</v>
      </c>
      <c r="G3535" t="s">
        <v>1817</v>
      </c>
    </row>
    <row r="3536" spans="1:7" hidden="1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hidden="1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x14ac:dyDescent="0.25">
      <c r="A3538" t="s">
        <v>2014</v>
      </c>
      <c r="F3538" t="s">
        <v>11055</v>
      </c>
      <c r="G3538" t="s">
        <v>1997</v>
      </c>
    </row>
    <row r="3539" spans="1:7" x14ac:dyDescent="0.25">
      <c r="A3539" t="s">
        <v>2004</v>
      </c>
      <c r="B3539" t="s">
        <v>8</v>
      </c>
      <c r="F3539" t="s">
        <v>11058</v>
      </c>
      <c r="G3539" t="s">
        <v>1997</v>
      </c>
    </row>
    <row r="3540" spans="1:7" hidden="1" x14ac:dyDescent="0.25">
      <c r="A3540" t="s">
        <v>2004</v>
      </c>
      <c r="F3540" t="s">
        <v>11145</v>
      </c>
      <c r="G3540" t="s">
        <v>1102</v>
      </c>
    </row>
    <row r="3541" spans="1:7" hidden="1" x14ac:dyDescent="0.25">
      <c r="A3541" t="s">
        <v>91</v>
      </c>
      <c r="B3541" t="s">
        <v>11412</v>
      </c>
      <c r="C3541" t="s">
        <v>60</v>
      </c>
      <c r="F3541" t="s">
        <v>11148</v>
      </c>
      <c r="G3541" t="s">
        <v>1102</v>
      </c>
    </row>
    <row r="3542" spans="1:7" hidden="1" x14ac:dyDescent="0.25">
      <c r="A3542" t="s">
        <v>62</v>
      </c>
      <c r="B3542" t="s">
        <v>11412</v>
      </c>
      <c r="C3542" t="s">
        <v>51</v>
      </c>
      <c r="F3542" t="s">
        <v>11151</v>
      </c>
      <c r="G3542" t="s">
        <v>1102</v>
      </c>
    </row>
    <row r="3543" spans="1:7" hidden="1" x14ac:dyDescent="0.25">
      <c r="A3543" t="s">
        <v>62</v>
      </c>
      <c r="B3543" t="s">
        <v>6190</v>
      </c>
      <c r="C3543" t="s">
        <v>11413</v>
      </c>
      <c r="F3543" t="s">
        <v>11154</v>
      </c>
      <c r="G3543" t="s">
        <v>1102</v>
      </c>
    </row>
    <row r="3544" spans="1:7" hidden="1" x14ac:dyDescent="0.25">
      <c r="A3544" t="s">
        <v>91</v>
      </c>
      <c r="B3544" t="s">
        <v>6190</v>
      </c>
      <c r="F3544" t="s">
        <v>11157</v>
      </c>
      <c r="G3544" t="s">
        <v>1102</v>
      </c>
    </row>
    <row r="3545" spans="1:7" hidden="1" x14ac:dyDescent="0.25">
      <c r="A3545" t="s">
        <v>2004</v>
      </c>
      <c r="B3545" t="s">
        <v>8</v>
      </c>
      <c r="F3545" t="s">
        <v>11139</v>
      </c>
      <c r="G3545" t="s">
        <v>1103</v>
      </c>
    </row>
    <row r="3546" spans="1:7" hidden="1" x14ac:dyDescent="0.25">
      <c r="A3546" t="s">
        <v>4</v>
      </c>
      <c r="B3546" t="s">
        <v>10140</v>
      </c>
      <c r="F3546" t="s">
        <v>11142</v>
      </c>
      <c r="G3546" t="s">
        <v>1103</v>
      </c>
    </row>
    <row r="3547" spans="1:7" hidden="1" x14ac:dyDescent="0.25">
      <c r="A3547" t="s">
        <v>4</v>
      </c>
      <c r="B3547" t="s">
        <v>8803</v>
      </c>
      <c r="F3547" t="s">
        <v>11172</v>
      </c>
      <c r="G3547" t="s">
        <v>91</v>
      </c>
    </row>
    <row r="3548" spans="1:7" hidden="1" x14ac:dyDescent="0.25">
      <c r="A3548" t="s">
        <v>4</v>
      </c>
      <c r="B3548" t="s">
        <v>8803</v>
      </c>
      <c r="F3548" t="s">
        <v>11175</v>
      </c>
      <c r="G3548" t="s">
        <v>91</v>
      </c>
    </row>
    <row r="3549" spans="1:7" hidden="1" x14ac:dyDescent="0.25">
      <c r="A3549" t="s">
        <v>4</v>
      </c>
      <c r="B3549" t="s">
        <v>8803</v>
      </c>
      <c r="F3549" t="s">
        <v>11178</v>
      </c>
      <c r="G3549" t="s">
        <v>91</v>
      </c>
    </row>
    <row r="3550" spans="1:7" hidden="1" x14ac:dyDescent="0.25">
      <c r="A3550" t="s">
        <v>4</v>
      </c>
      <c r="B3550" t="s">
        <v>8803</v>
      </c>
      <c r="F3550" t="s">
        <v>11187</v>
      </c>
      <c r="G3550" t="s">
        <v>1104</v>
      </c>
    </row>
    <row r="3551" spans="1:7" hidden="1" x14ac:dyDescent="0.25">
      <c r="A3551" t="s">
        <v>4</v>
      </c>
      <c r="B3551" t="s">
        <v>9876</v>
      </c>
      <c r="F3551" t="s">
        <v>11160</v>
      </c>
      <c r="G3551" t="s">
        <v>1105</v>
      </c>
    </row>
    <row r="3552" spans="1:7" hidden="1" x14ac:dyDescent="0.25">
      <c r="A3552" t="s">
        <v>4</v>
      </c>
      <c r="B3552" t="s">
        <v>9876</v>
      </c>
      <c r="F3552" t="s">
        <v>11163</v>
      </c>
      <c r="G3552" t="s">
        <v>1105</v>
      </c>
    </row>
    <row r="3553" spans="1:7" hidden="1" x14ac:dyDescent="0.25">
      <c r="A3553" t="s">
        <v>4</v>
      </c>
      <c r="B3553" t="s">
        <v>9876</v>
      </c>
      <c r="F3553" t="s">
        <v>11166</v>
      </c>
      <c r="G3553" t="s">
        <v>1105</v>
      </c>
    </row>
    <row r="3554" spans="1:7" hidden="1" x14ac:dyDescent="0.25">
      <c r="A3554" t="s">
        <v>4</v>
      </c>
      <c r="B3554" t="s">
        <v>9876</v>
      </c>
      <c r="F3554" t="s">
        <v>11169</v>
      </c>
      <c r="G3554" t="s">
        <v>1105</v>
      </c>
    </row>
    <row r="3555" spans="1:7" hidden="1" x14ac:dyDescent="0.25">
      <c r="A3555" t="s">
        <v>2004</v>
      </c>
      <c r="B3555" t="s">
        <v>8</v>
      </c>
      <c r="F3555" t="s">
        <v>11181</v>
      </c>
      <c r="G3555" t="s">
        <v>1106</v>
      </c>
    </row>
    <row r="3556" spans="1:7" hidden="1" x14ac:dyDescent="0.25">
      <c r="A3556" t="s">
        <v>4</v>
      </c>
      <c r="B3556" t="s">
        <v>8045</v>
      </c>
      <c r="F3556" t="s">
        <v>11184</v>
      </c>
      <c r="G3556" t="s">
        <v>1106</v>
      </c>
    </row>
    <row r="3557" spans="1:7" hidden="1" x14ac:dyDescent="0.25">
      <c r="A3557" t="s">
        <v>2004</v>
      </c>
      <c r="B3557" t="s">
        <v>8</v>
      </c>
      <c r="F3557" t="s">
        <v>11414</v>
      </c>
      <c r="G3557" t="s">
        <v>1107</v>
      </c>
    </row>
    <row r="3558" spans="1:7" hidden="1" x14ac:dyDescent="0.25">
      <c r="A3558" t="s">
        <v>2004</v>
      </c>
      <c r="B3558" t="s">
        <v>8</v>
      </c>
      <c r="F3558" t="s">
        <v>11417</v>
      </c>
      <c r="G3558" t="s">
        <v>1107</v>
      </c>
    </row>
    <row r="3559" spans="1:7" hidden="1" x14ac:dyDescent="0.25">
      <c r="A3559" t="s">
        <v>2024</v>
      </c>
      <c r="B3559" t="s">
        <v>796</v>
      </c>
      <c r="F3559" t="s">
        <v>11199</v>
      </c>
      <c r="G3559" t="s">
        <v>796</v>
      </c>
    </row>
    <row r="3560" spans="1:7" hidden="1" x14ac:dyDescent="0.25">
      <c r="A3560" t="s">
        <v>9409</v>
      </c>
      <c r="B3560" t="s">
        <v>1607</v>
      </c>
      <c r="F3560" t="s">
        <v>11202</v>
      </c>
      <c r="G3560" t="s">
        <v>796</v>
      </c>
    </row>
    <row r="3561" spans="1:7" hidden="1" x14ac:dyDescent="0.25">
      <c r="A3561" t="s">
        <v>9409</v>
      </c>
      <c r="B3561" t="s">
        <v>1607</v>
      </c>
      <c r="F3561" t="s">
        <v>11205</v>
      </c>
      <c r="G3561" t="s">
        <v>796</v>
      </c>
    </row>
    <row r="3562" spans="1:7" hidden="1" x14ac:dyDescent="0.25">
      <c r="A3562" t="s">
        <v>9409</v>
      </c>
      <c r="B3562" t="s">
        <v>1607</v>
      </c>
      <c r="F3562" t="s">
        <v>11208</v>
      </c>
      <c r="G3562" t="s">
        <v>796</v>
      </c>
    </row>
    <row r="3563" spans="1:7" hidden="1" x14ac:dyDescent="0.25">
      <c r="A3563" t="s">
        <v>4</v>
      </c>
      <c r="B3563" t="s">
        <v>9</v>
      </c>
      <c r="F3563" t="s">
        <v>11211</v>
      </c>
      <c r="G3563" t="s">
        <v>796</v>
      </c>
    </row>
    <row r="3564" spans="1:7" hidden="1" x14ac:dyDescent="0.25">
      <c r="A3564" t="s">
        <v>9409</v>
      </c>
      <c r="B3564" t="s">
        <v>1607</v>
      </c>
      <c r="F3564" t="s">
        <v>11214</v>
      </c>
      <c r="G3564" t="s">
        <v>796</v>
      </c>
    </row>
    <row r="3565" spans="1:7" hidden="1" x14ac:dyDescent="0.25">
      <c r="A3565" t="s">
        <v>2024</v>
      </c>
      <c r="B3565" t="s">
        <v>796</v>
      </c>
      <c r="F3565" t="s">
        <v>11217</v>
      </c>
      <c r="G3565" t="s">
        <v>796</v>
      </c>
    </row>
    <row r="3566" spans="1:7" hidden="1" x14ac:dyDescent="0.25">
      <c r="A3566" t="s">
        <v>9409</v>
      </c>
      <c r="B3566" t="s">
        <v>1607</v>
      </c>
      <c r="F3566" t="s">
        <v>11220</v>
      </c>
      <c r="G3566" t="s">
        <v>796</v>
      </c>
    </row>
    <row r="3567" spans="1:7" hidden="1" x14ac:dyDescent="0.25">
      <c r="A3567" t="s">
        <v>2024</v>
      </c>
      <c r="B3567" t="s">
        <v>796</v>
      </c>
      <c r="F3567" t="s">
        <v>11223</v>
      </c>
      <c r="G3567" t="s">
        <v>796</v>
      </c>
    </row>
    <row r="3568" spans="1:7" hidden="1" x14ac:dyDescent="0.25">
      <c r="A3568" t="s">
        <v>4</v>
      </c>
      <c r="B3568" t="s">
        <v>9</v>
      </c>
      <c r="F3568" t="s">
        <v>11226</v>
      </c>
      <c r="G3568" t="s">
        <v>1100</v>
      </c>
    </row>
    <row r="3569" spans="1:7" hidden="1" x14ac:dyDescent="0.25">
      <c r="A3569" t="s">
        <v>158</v>
      </c>
      <c r="B3569" t="s">
        <v>5480</v>
      </c>
      <c r="C3569" t="s">
        <v>528</v>
      </c>
      <c r="D3569">
        <v>1</v>
      </c>
      <c r="F3569" t="s">
        <v>11229</v>
      </c>
      <c r="G3569" t="s">
        <v>1100</v>
      </c>
    </row>
    <row r="3570" spans="1:7" hidden="1" x14ac:dyDescent="0.25">
      <c r="A3570" t="s">
        <v>5476</v>
      </c>
      <c r="B3570" t="s">
        <v>5480</v>
      </c>
      <c r="C3570" t="s">
        <v>9203</v>
      </c>
      <c r="D3570">
        <v>1</v>
      </c>
      <c r="F3570" t="s">
        <v>11232</v>
      </c>
      <c r="G3570" t="s">
        <v>1100</v>
      </c>
    </row>
    <row r="3571" spans="1:7" hidden="1" x14ac:dyDescent="0.25">
      <c r="A3571" t="s">
        <v>9200</v>
      </c>
      <c r="B3571" t="s">
        <v>9201</v>
      </c>
      <c r="F3571" t="s">
        <v>11235</v>
      </c>
      <c r="G3571" t="s">
        <v>1100</v>
      </c>
    </row>
    <row r="3572" spans="1:7" hidden="1" x14ac:dyDescent="0.25">
      <c r="A3572" t="s">
        <v>2024</v>
      </c>
      <c r="B3572" t="s">
        <v>1304</v>
      </c>
      <c r="E3572" t="s">
        <v>10889</v>
      </c>
      <c r="F3572" t="s">
        <v>11238</v>
      </c>
      <c r="G3572" t="s">
        <v>1100</v>
      </c>
    </row>
    <row r="3573" spans="1:7" hidden="1" x14ac:dyDescent="0.25">
      <c r="A3573" t="s">
        <v>9200</v>
      </c>
      <c r="B3573" t="s">
        <v>9201</v>
      </c>
      <c r="F3573" t="s">
        <v>11241</v>
      </c>
      <c r="G3573" t="s">
        <v>1100</v>
      </c>
    </row>
    <row r="3574" spans="1:7" hidden="1" x14ac:dyDescent="0.25">
      <c r="A3574" t="s">
        <v>9200</v>
      </c>
      <c r="B3574" t="s">
        <v>9201</v>
      </c>
      <c r="F3574" t="s">
        <v>11244</v>
      </c>
      <c r="G3574" t="s">
        <v>1100</v>
      </c>
    </row>
    <row r="3575" spans="1:7" hidden="1" x14ac:dyDescent="0.25">
      <c r="A3575" t="s">
        <v>9692</v>
      </c>
      <c r="B3575" t="s">
        <v>1607</v>
      </c>
      <c r="F3575" t="s">
        <v>11247</v>
      </c>
      <c r="G3575" t="s">
        <v>1100</v>
      </c>
    </row>
    <row r="3576" spans="1:7" hidden="1" x14ac:dyDescent="0.25">
      <c r="A3576" t="s">
        <v>4</v>
      </c>
      <c r="B3576" t="s">
        <v>7709</v>
      </c>
      <c r="F3576" t="s">
        <v>11250</v>
      </c>
      <c r="G3576" t="s">
        <v>1100</v>
      </c>
    </row>
    <row r="3577" spans="1:7" hidden="1" x14ac:dyDescent="0.25">
      <c r="A3577" t="s">
        <v>533</v>
      </c>
      <c r="B3577" t="s">
        <v>1607</v>
      </c>
      <c r="C3577" t="s">
        <v>2929</v>
      </c>
      <c r="F3577" t="s">
        <v>11253</v>
      </c>
      <c r="G3577" s="1" t="s">
        <v>1603</v>
      </c>
    </row>
    <row r="3578" spans="1:7" hidden="1" x14ac:dyDescent="0.25">
      <c r="A3578" t="s">
        <v>11420</v>
      </c>
      <c r="B3578" t="s">
        <v>86</v>
      </c>
      <c r="F3578" t="s">
        <v>11256</v>
      </c>
      <c r="G3578" s="1" t="s">
        <v>1603</v>
      </c>
    </row>
    <row r="3579" spans="1:7" hidden="1" x14ac:dyDescent="0.25">
      <c r="A3579" t="s">
        <v>11421</v>
      </c>
      <c r="B3579" t="s">
        <v>86</v>
      </c>
      <c r="F3579" t="s">
        <v>11259</v>
      </c>
      <c r="G3579" s="1" t="s">
        <v>1603</v>
      </c>
    </row>
    <row r="3580" spans="1:7" hidden="1" x14ac:dyDescent="0.25">
      <c r="A3580" t="s">
        <v>533</v>
      </c>
      <c r="B3580" t="s">
        <v>1607</v>
      </c>
      <c r="C3580" t="s">
        <v>2929</v>
      </c>
      <c r="F3580" t="s">
        <v>11262</v>
      </c>
      <c r="G3580" s="1" t="s">
        <v>1603</v>
      </c>
    </row>
    <row r="3581" spans="1:7" hidden="1" x14ac:dyDescent="0.25">
      <c r="A3581" t="s">
        <v>533</v>
      </c>
      <c r="B3581" t="s">
        <v>531</v>
      </c>
      <c r="C3581" t="s">
        <v>9202</v>
      </c>
      <c r="F3581" t="s">
        <v>11265</v>
      </c>
      <c r="G3581" s="1" t="s">
        <v>1603</v>
      </c>
    </row>
    <row r="3582" spans="1:7" hidden="1" x14ac:dyDescent="0.25">
      <c r="A3582" t="s">
        <v>1606</v>
      </c>
      <c r="B3582" t="s">
        <v>10140</v>
      </c>
      <c r="F3582" t="s">
        <v>11268</v>
      </c>
      <c r="G3582" s="1" t="s">
        <v>1603</v>
      </c>
    </row>
    <row r="3583" spans="1:7" hidden="1" x14ac:dyDescent="0.25">
      <c r="A3583" t="s">
        <v>11422</v>
      </c>
      <c r="B3583" t="s">
        <v>10140</v>
      </c>
      <c r="F3583" t="s">
        <v>11271</v>
      </c>
      <c r="G3583" s="1" t="s">
        <v>1603</v>
      </c>
    </row>
    <row r="3584" spans="1:7" hidden="1" x14ac:dyDescent="0.25">
      <c r="A3584" t="s">
        <v>11423</v>
      </c>
      <c r="B3584" t="s">
        <v>86</v>
      </c>
      <c r="F3584" t="s">
        <v>11274</v>
      </c>
      <c r="G3584" s="1" t="s">
        <v>1603</v>
      </c>
    </row>
    <row r="3585" spans="1:7" hidden="1" x14ac:dyDescent="0.25">
      <c r="A3585" t="s">
        <v>533</v>
      </c>
      <c r="B3585" t="s">
        <v>1607</v>
      </c>
      <c r="C3585" t="s">
        <v>2929</v>
      </c>
      <c r="F3585" t="s">
        <v>11277</v>
      </c>
      <c r="G3585" s="1" t="s">
        <v>1603</v>
      </c>
    </row>
    <row r="3586" spans="1:7" hidden="1" x14ac:dyDescent="0.25">
      <c r="A3586" t="s">
        <v>650</v>
      </c>
      <c r="B3586" t="s">
        <v>10140</v>
      </c>
      <c r="F3586" t="s">
        <v>11280</v>
      </c>
      <c r="G3586" s="1" t="s">
        <v>1603</v>
      </c>
    </row>
    <row r="3587" spans="1:7" hidden="1" x14ac:dyDescent="0.25">
      <c r="A3587" t="s">
        <v>2004</v>
      </c>
      <c r="B3587" t="s">
        <v>8</v>
      </c>
      <c r="F3587" t="s">
        <v>11283</v>
      </c>
      <c r="G3587" t="s">
        <v>1817</v>
      </c>
    </row>
    <row r="3588" spans="1:7" hidden="1" x14ac:dyDescent="0.25">
      <c r="A3588" t="s">
        <v>290</v>
      </c>
      <c r="B3588" t="s">
        <v>11412</v>
      </c>
      <c r="C3588" t="s">
        <v>60</v>
      </c>
      <c r="F3588" t="s">
        <v>11286</v>
      </c>
      <c r="G3588" t="s">
        <v>1817</v>
      </c>
    </row>
    <row r="3589" spans="1:7" hidden="1" x14ac:dyDescent="0.25">
      <c r="A3589" t="s">
        <v>290</v>
      </c>
      <c r="B3589" t="s">
        <v>11412</v>
      </c>
      <c r="C3589" t="s">
        <v>60</v>
      </c>
      <c r="E3589" t="s">
        <v>2936</v>
      </c>
      <c r="F3589" t="s">
        <v>11289</v>
      </c>
      <c r="G3589" t="s">
        <v>1817</v>
      </c>
    </row>
    <row r="3590" spans="1:7" hidden="1" x14ac:dyDescent="0.25">
      <c r="A3590" t="s">
        <v>290</v>
      </c>
      <c r="B3590" t="s">
        <v>11412</v>
      </c>
      <c r="C3590" t="s">
        <v>60</v>
      </c>
      <c r="E3590" t="s">
        <v>2936</v>
      </c>
      <c r="F3590" t="s">
        <v>11292</v>
      </c>
      <c r="G3590" t="s">
        <v>1817</v>
      </c>
    </row>
    <row r="3591" spans="1:7" hidden="1" x14ac:dyDescent="0.25">
      <c r="A3591" t="s">
        <v>290</v>
      </c>
      <c r="B3591" t="s">
        <v>11412</v>
      </c>
      <c r="C3591" t="s">
        <v>60</v>
      </c>
      <c r="E3591" t="s">
        <v>2936</v>
      </c>
      <c r="F3591" t="s">
        <v>11295</v>
      </c>
      <c r="G3591" t="s">
        <v>1817</v>
      </c>
    </row>
    <row r="3592" spans="1:7" hidden="1" x14ac:dyDescent="0.25">
      <c r="A3592" t="s">
        <v>290</v>
      </c>
      <c r="B3592" t="s">
        <v>11412</v>
      </c>
      <c r="C3592" t="s">
        <v>60</v>
      </c>
      <c r="E3592" t="s">
        <v>2936</v>
      </c>
      <c r="F3592" t="s">
        <v>11298</v>
      </c>
      <c r="G3592" t="s">
        <v>1817</v>
      </c>
    </row>
    <row r="3593" spans="1:7" hidden="1" x14ac:dyDescent="0.25">
      <c r="A3593" t="s">
        <v>290</v>
      </c>
      <c r="B3593" t="s">
        <v>11412</v>
      </c>
      <c r="C3593" t="s">
        <v>60</v>
      </c>
      <c r="E3593" t="s">
        <v>2936</v>
      </c>
      <c r="F3593" t="s">
        <v>11301</v>
      </c>
      <c r="G3593" t="s">
        <v>1817</v>
      </c>
    </row>
    <row r="3594" spans="1:7" hidden="1" x14ac:dyDescent="0.25">
      <c r="A3594" t="s">
        <v>290</v>
      </c>
      <c r="B3594" t="s">
        <v>11412</v>
      </c>
      <c r="C3594" t="s">
        <v>60</v>
      </c>
      <c r="E3594" t="s">
        <v>2936</v>
      </c>
      <c r="F3594" t="s">
        <v>11304</v>
      </c>
      <c r="G3594" t="s">
        <v>1817</v>
      </c>
    </row>
    <row r="3595" spans="1:7" hidden="1" x14ac:dyDescent="0.25">
      <c r="A3595" t="s">
        <v>290</v>
      </c>
      <c r="B3595" t="s">
        <v>11412</v>
      </c>
      <c r="C3595" t="s">
        <v>60</v>
      </c>
      <c r="E3595" t="s">
        <v>2936</v>
      </c>
      <c r="F3595" t="s">
        <v>11307</v>
      </c>
      <c r="G3595" t="s">
        <v>1817</v>
      </c>
    </row>
    <row r="3596" spans="1:7" hidden="1" x14ac:dyDescent="0.25">
      <c r="A3596" t="s">
        <v>290</v>
      </c>
      <c r="B3596" t="s">
        <v>11412</v>
      </c>
      <c r="C3596" t="s">
        <v>60</v>
      </c>
      <c r="E3596" t="s">
        <v>2936</v>
      </c>
      <c r="F3596" t="s">
        <v>11310</v>
      </c>
      <c r="G3596" t="s">
        <v>1817</v>
      </c>
    </row>
    <row r="3597" spans="1:7" hidden="1" x14ac:dyDescent="0.25">
      <c r="A3597" t="s">
        <v>290</v>
      </c>
      <c r="B3597" t="s">
        <v>11412</v>
      </c>
      <c r="C3597" t="s">
        <v>60</v>
      </c>
      <c r="E3597" t="s">
        <v>2936</v>
      </c>
      <c r="F3597" t="s">
        <v>11313</v>
      </c>
      <c r="G3597" t="s">
        <v>1817</v>
      </c>
    </row>
    <row r="3598" spans="1:7" hidden="1" x14ac:dyDescent="0.25">
      <c r="A3598" t="s">
        <v>290</v>
      </c>
      <c r="B3598" t="s">
        <v>11412</v>
      </c>
      <c r="C3598" t="s">
        <v>60</v>
      </c>
      <c r="E3598" t="s">
        <v>2936</v>
      </c>
      <c r="F3598" t="s">
        <v>11316</v>
      </c>
      <c r="G3598" t="s">
        <v>1817</v>
      </c>
    </row>
    <row r="3599" spans="1:7" hidden="1" x14ac:dyDescent="0.25">
      <c r="A3599" t="s">
        <v>290</v>
      </c>
      <c r="B3599" t="s">
        <v>11412</v>
      </c>
      <c r="C3599" t="s">
        <v>60</v>
      </c>
      <c r="E3599" t="s">
        <v>2936</v>
      </c>
      <c r="F3599" t="s">
        <v>11319</v>
      </c>
      <c r="G3599" t="s">
        <v>1817</v>
      </c>
    </row>
    <row r="3600" spans="1:7" hidden="1" x14ac:dyDescent="0.25">
      <c r="A3600" t="s">
        <v>11422</v>
      </c>
      <c r="B3600" t="s">
        <v>11412</v>
      </c>
      <c r="F3600" t="s">
        <v>11322</v>
      </c>
      <c r="G3600" t="s">
        <v>1817</v>
      </c>
    </row>
    <row r="3601" spans="1:7" hidden="1" x14ac:dyDescent="0.25">
      <c r="A3601" t="s">
        <v>290</v>
      </c>
      <c r="B3601" t="s">
        <v>11412</v>
      </c>
      <c r="C3601" t="s">
        <v>60</v>
      </c>
      <c r="F3601" t="s">
        <v>11325</v>
      </c>
      <c r="G3601" t="s">
        <v>1817</v>
      </c>
    </row>
    <row r="3602" spans="1:7" hidden="1" x14ac:dyDescent="0.25">
      <c r="A3602" t="s">
        <v>290</v>
      </c>
      <c r="B3602" t="s">
        <v>11412</v>
      </c>
      <c r="C3602" t="s">
        <v>60</v>
      </c>
      <c r="E3602" t="s">
        <v>2936</v>
      </c>
      <c r="F3602" t="s">
        <v>11328</v>
      </c>
      <c r="G3602" t="s">
        <v>1817</v>
      </c>
    </row>
    <row r="3603" spans="1:7" hidden="1" x14ac:dyDescent="0.25">
      <c r="A3603" t="s">
        <v>290</v>
      </c>
      <c r="B3603" t="s">
        <v>11412</v>
      </c>
      <c r="C3603" t="s">
        <v>60</v>
      </c>
      <c r="E3603" t="s">
        <v>2936</v>
      </c>
      <c r="F3603" t="s">
        <v>11331</v>
      </c>
      <c r="G3603" t="s">
        <v>1817</v>
      </c>
    </row>
    <row r="3604" spans="1:7" hidden="1" x14ac:dyDescent="0.25">
      <c r="A3604" t="s">
        <v>290</v>
      </c>
      <c r="B3604" t="s">
        <v>11412</v>
      </c>
      <c r="C3604" t="s">
        <v>60</v>
      </c>
      <c r="E3604" t="s">
        <v>2936</v>
      </c>
      <c r="F3604" t="s">
        <v>11334</v>
      </c>
      <c r="G3604" t="s">
        <v>1817</v>
      </c>
    </row>
    <row r="3605" spans="1:7" hidden="1" x14ac:dyDescent="0.25">
      <c r="A3605" t="s">
        <v>290</v>
      </c>
      <c r="B3605" t="s">
        <v>11412</v>
      </c>
      <c r="C3605" t="s">
        <v>60</v>
      </c>
      <c r="E3605" t="s">
        <v>2936</v>
      </c>
      <c r="F3605" t="s">
        <v>11337</v>
      </c>
      <c r="G3605" t="s">
        <v>1817</v>
      </c>
    </row>
    <row r="3606" spans="1:7" hidden="1" x14ac:dyDescent="0.25">
      <c r="A3606" t="s">
        <v>290</v>
      </c>
      <c r="B3606" t="s">
        <v>11412</v>
      </c>
      <c r="C3606" t="s">
        <v>60</v>
      </c>
      <c r="E3606" t="s">
        <v>2936</v>
      </c>
      <c r="F3606" t="s">
        <v>11340</v>
      </c>
      <c r="G3606" t="s">
        <v>1817</v>
      </c>
    </row>
    <row r="3607" spans="1:7" hidden="1" x14ac:dyDescent="0.25">
      <c r="A3607" t="s">
        <v>290</v>
      </c>
      <c r="B3607" t="s">
        <v>11412</v>
      </c>
      <c r="C3607" t="s">
        <v>60</v>
      </c>
      <c r="E3607" t="s">
        <v>2936</v>
      </c>
      <c r="F3607" t="s">
        <v>11343</v>
      </c>
      <c r="G3607" t="s">
        <v>1817</v>
      </c>
    </row>
    <row r="3608" spans="1:7" hidden="1" x14ac:dyDescent="0.25">
      <c r="A3608" t="s">
        <v>290</v>
      </c>
      <c r="B3608" t="s">
        <v>11412</v>
      </c>
      <c r="C3608" t="s">
        <v>60</v>
      </c>
      <c r="E3608" t="s">
        <v>2936</v>
      </c>
      <c r="F3608" t="s">
        <v>11346</v>
      </c>
      <c r="G3608" t="s">
        <v>1817</v>
      </c>
    </row>
    <row r="3609" spans="1:7" hidden="1" x14ac:dyDescent="0.25">
      <c r="A3609" t="s">
        <v>290</v>
      </c>
      <c r="B3609" t="s">
        <v>11412</v>
      </c>
      <c r="C3609" t="s">
        <v>60</v>
      </c>
      <c r="E3609" t="s">
        <v>2936</v>
      </c>
      <c r="F3609" t="s">
        <v>11349</v>
      </c>
      <c r="G3609" t="s">
        <v>1817</v>
      </c>
    </row>
    <row r="3610" spans="1:7" hidden="1" x14ac:dyDescent="0.25">
      <c r="A3610" t="s">
        <v>290</v>
      </c>
      <c r="B3610" t="s">
        <v>11412</v>
      </c>
      <c r="C3610" t="s">
        <v>60</v>
      </c>
      <c r="E3610" t="s">
        <v>2936</v>
      </c>
      <c r="F3610" t="s">
        <v>11352</v>
      </c>
      <c r="G3610" t="s">
        <v>1817</v>
      </c>
    </row>
    <row r="3611" spans="1:7" hidden="1" x14ac:dyDescent="0.25">
      <c r="A3611" t="s">
        <v>290</v>
      </c>
      <c r="B3611" t="s">
        <v>11412</v>
      </c>
      <c r="C3611" t="s">
        <v>60</v>
      </c>
      <c r="E3611" t="s">
        <v>2936</v>
      </c>
      <c r="F3611" t="s">
        <v>11355</v>
      </c>
      <c r="G3611" t="s">
        <v>1817</v>
      </c>
    </row>
    <row r="3612" spans="1:7" hidden="1" x14ac:dyDescent="0.25">
      <c r="A3612" t="s">
        <v>5105</v>
      </c>
      <c r="B3612" t="s">
        <v>11412</v>
      </c>
      <c r="F3612" t="s">
        <v>11358</v>
      </c>
      <c r="G3612" t="s">
        <v>1817</v>
      </c>
    </row>
    <row r="3613" spans="1:7" hidden="1" x14ac:dyDescent="0.25">
      <c r="A3613" t="s">
        <v>651</v>
      </c>
      <c r="B3613" t="s">
        <v>5480</v>
      </c>
      <c r="F3613" t="s">
        <v>11361</v>
      </c>
      <c r="G3613" t="s">
        <v>1817</v>
      </c>
    </row>
    <row r="3614" spans="1:7" hidden="1" x14ac:dyDescent="0.25">
      <c r="A3614" t="s">
        <v>651</v>
      </c>
      <c r="B3614" t="s">
        <v>5480</v>
      </c>
      <c r="F3614" t="s">
        <v>11364</v>
      </c>
      <c r="G3614" t="s">
        <v>1817</v>
      </c>
    </row>
    <row r="3615" spans="1:7" hidden="1" x14ac:dyDescent="0.25">
      <c r="A3615" t="s">
        <v>651</v>
      </c>
      <c r="B3615" t="s">
        <v>5480</v>
      </c>
      <c r="F3615" t="s">
        <v>11367</v>
      </c>
      <c r="G3615" t="s">
        <v>1817</v>
      </c>
    </row>
    <row r="3616" spans="1:7" hidden="1" x14ac:dyDescent="0.25">
      <c r="A3616" t="s">
        <v>651</v>
      </c>
      <c r="B3616" t="s">
        <v>5480</v>
      </c>
      <c r="F3616" t="s">
        <v>11370</v>
      </c>
      <c r="G3616" t="s">
        <v>1817</v>
      </c>
    </row>
    <row r="3617" spans="1:7" hidden="1" x14ac:dyDescent="0.25">
      <c r="A3617" t="s">
        <v>651</v>
      </c>
      <c r="B3617" t="s">
        <v>5480</v>
      </c>
      <c r="F3617" t="s">
        <v>11373</v>
      </c>
      <c r="G3617" t="s">
        <v>1817</v>
      </c>
    </row>
    <row r="3618" spans="1:7" hidden="1" x14ac:dyDescent="0.25">
      <c r="A3618" t="s">
        <v>4</v>
      </c>
      <c r="B3618" t="s">
        <v>8</v>
      </c>
      <c r="F3618" t="s">
        <v>11376</v>
      </c>
      <c r="G3618" t="s">
        <v>1817</v>
      </c>
    </row>
    <row r="3619" spans="1:7" hidden="1" x14ac:dyDescent="0.25">
      <c r="A3619" t="s">
        <v>4</v>
      </c>
      <c r="B3619" t="s">
        <v>8</v>
      </c>
      <c r="F3619" t="s">
        <v>11379</v>
      </c>
      <c r="G3619" t="s">
        <v>1934</v>
      </c>
    </row>
    <row r="3620" spans="1:7" hidden="1" x14ac:dyDescent="0.25">
      <c r="A3620" t="s">
        <v>9876</v>
      </c>
      <c r="B3620" t="s">
        <v>5137</v>
      </c>
      <c r="F3620" t="s">
        <v>11382</v>
      </c>
      <c r="G3620" t="s">
        <v>1934</v>
      </c>
    </row>
    <row r="3621" spans="1:7" hidden="1" x14ac:dyDescent="0.25">
      <c r="A3621" t="s">
        <v>9876</v>
      </c>
      <c r="B3621" t="s">
        <v>5137</v>
      </c>
      <c r="F3621" t="s">
        <v>11385</v>
      </c>
      <c r="G3621" t="s">
        <v>1934</v>
      </c>
    </row>
    <row r="3622" spans="1:7" hidden="1" x14ac:dyDescent="0.25">
      <c r="A3622" t="s">
        <v>9876</v>
      </c>
      <c r="B3622" t="s">
        <v>5137</v>
      </c>
      <c r="F3622" t="s">
        <v>11388</v>
      </c>
      <c r="G3622" t="s">
        <v>1934</v>
      </c>
    </row>
    <row r="3623" spans="1:7" x14ac:dyDescent="0.25">
      <c r="A3623" t="s">
        <v>2004</v>
      </c>
      <c r="B3623" t="s">
        <v>8</v>
      </c>
      <c r="F3623" t="s">
        <v>11391</v>
      </c>
      <c r="G3623" t="s">
        <v>1997</v>
      </c>
    </row>
    <row r="3624" spans="1:7" x14ac:dyDescent="0.25">
      <c r="A3624" t="s">
        <v>4</v>
      </c>
      <c r="B3624" t="s">
        <v>8</v>
      </c>
      <c r="F3624" t="s">
        <v>11394</v>
      </c>
      <c r="G3624" t="s">
        <v>1997</v>
      </c>
    </row>
    <row r="3625" spans="1:7" x14ac:dyDescent="0.25">
      <c r="A3625" t="s">
        <v>159</v>
      </c>
      <c r="B3625" t="s">
        <v>11424</v>
      </c>
      <c r="F3625" t="s">
        <v>11397</v>
      </c>
      <c r="G3625" t="s">
        <v>1997</v>
      </c>
    </row>
    <row r="3626" spans="1:7" x14ac:dyDescent="0.25">
      <c r="A3626" t="s">
        <v>4</v>
      </c>
      <c r="B3626" t="s">
        <v>8</v>
      </c>
      <c r="F3626" t="s">
        <v>11400</v>
      </c>
      <c r="G3626" t="s">
        <v>1997</v>
      </c>
    </row>
    <row r="3627" spans="1:7" x14ac:dyDescent="0.25">
      <c r="A3627" t="s">
        <v>4</v>
      </c>
      <c r="B3627" t="s">
        <v>8</v>
      </c>
      <c r="F3627" t="s">
        <v>11403</v>
      </c>
      <c r="G3627" t="s">
        <v>1997</v>
      </c>
    </row>
    <row r="3628" spans="1:7" x14ac:dyDescent="0.25">
      <c r="A3628" t="s">
        <v>11425</v>
      </c>
      <c r="F3628" t="s">
        <v>11406</v>
      </c>
      <c r="G3628" t="s">
        <v>1997</v>
      </c>
    </row>
    <row r="3629" spans="1:7" x14ac:dyDescent="0.25">
      <c r="A3629" t="s">
        <v>4</v>
      </c>
      <c r="B3629" t="s">
        <v>11426</v>
      </c>
      <c r="F3629" t="s">
        <v>11409</v>
      </c>
      <c r="G3629" t="s">
        <v>1997</v>
      </c>
    </row>
    <row r="3630" spans="1:7" hidden="1" x14ac:dyDescent="0.25">
      <c r="A3630" t="s">
        <v>289</v>
      </c>
      <c r="B3630" t="s">
        <v>6190</v>
      </c>
      <c r="C3630" t="s">
        <v>11413</v>
      </c>
      <c r="F3630" t="s">
        <v>11190</v>
      </c>
      <c r="G3630" t="s">
        <v>1104</v>
      </c>
    </row>
    <row r="3631" spans="1:7" hidden="1" x14ac:dyDescent="0.25">
      <c r="A3631" t="s">
        <v>650</v>
      </c>
      <c r="B3631" t="s">
        <v>6190</v>
      </c>
      <c r="C3631" t="s">
        <v>11413</v>
      </c>
      <c r="F3631" t="s">
        <v>11193</v>
      </c>
      <c r="G3631" t="s">
        <v>1104</v>
      </c>
    </row>
    <row r="3632" spans="1:7" hidden="1" x14ac:dyDescent="0.25">
      <c r="A3632" t="s">
        <v>1606</v>
      </c>
      <c r="B3632" t="s">
        <v>6190</v>
      </c>
      <c r="F3632" t="s">
        <v>11196</v>
      </c>
      <c r="G3632" t="s">
        <v>1104</v>
      </c>
    </row>
    <row r="3633" spans="1:7" hidden="1" x14ac:dyDescent="0.25">
      <c r="A3633" t="s">
        <v>2004</v>
      </c>
      <c r="F3633" t="s">
        <v>11448</v>
      </c>
      <c r="G3633" t="s">
        <v>1102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11451</v>
      </c>
      <c r="G3634" t="s">
        <v>1102</v>
      </c>
    </row>
    <row r="3635" spans="1:7" hidden="1" x14ac:dyDescent="0.25">
      <c r="A3635" t="s">
        <v>62</v>
      </c>
      <c r="B3635" t="s">
        <v>70</v>
      </c>
      <c r="C3635" t="s">
        <v>11637</v>
      </c>
      <c r="D3635">
        <v>2</v>
      </c>
      <c r="F3635" t="s">
        <v>11454</v>
      </c>
      <c r="G3635" t="s">
        <v>1102</v>
      </c>
    </row>
    <row r="3636" spans="1:7" hidden="1" x14ac:dyDescent="0.25">
      <c r="A3636" t="s">
        <v>91</v>
      </c>
      <c r="B3636" t="s">
        <v>70</v>
      </c>
      <c r="C3636" t="s">
        <v>11637</v>
      </c>
      <c r="D3636">
        <v>2</v>
      </c>
      <c r="F3636" t="s">
        <v>11457</v>
      </c>
      <c r="G3636" t="s">
        <v>1102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11460</v>
      </c>
      <c r="G3637" t="s">
        <v>1102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11463</v>
      </c>
      <c r="G3638" t="s">
        <v>1102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5140</v>
      </c>
      <c r="F3639" t="s">
        <v>11466</v>
      </c>
      <c r="G3639" t="s">
        <v>1102</v>
      </c>
    </row>
    <row r="3640" spans="1:7" hidden="1" x14ac:dyDescent="0.25">
      <c r="A3640" t="s">
        <v>2004</v>
      </c>
      <c r="F3640" t="s">
        <v>11469</v>
      </c>
      <c r="G3640" t="s">
        <v>1102</v>
      </c>
    </row>
    <row r="3641" spans="1:7" hidden="1" x14ac:dyDescent="0.25">
      <c r="A3641" t="s">
        <v>158</v>
      </c>
      <c r="B3641" t="s">
        <v>86</v>
      </c>
      <c r="C3641" t="s">
        <v>60</v>
      </c>
      <c r="D3641">
        <v>1</v>
      </c>
      <c r="E3641" t="s">
        <v>3075</v>
      </c>
      <c r="F3641" t="s">
        <v>11427</v>
      </c>
      <c r="G3641" t="s">
        <v>1103</v>
      </c>
    </row>
    <row r="3642" spans="1:7" hidden="1" x14ac:dyDescent="0.25">
      <c r="A3642" t="s">
        <v>158</v>
      </c>
      <c r="B3642" t="s">
        <v>86</v>
      </c>
      <c r="C3642" t="s">
        <v>58</v>
      </c>
      <c r="E3642" t="s">
        <v>3075</v>
      </c>
      <c r="F3642" t="s">
        <v>11430</v>
      </c>
      <c r="G3642" t="s">
        <v>1103</v>
      </c>
    </row>
    <row r="3643" spans="1:7" hidden="1" x14ac:dyDescent="0.25">
      <c r="A3643" t="s">
        <v>158</v>
      </c>
      <c r="B3643" t="s">
        <v>86</v>
      </c>
      <c r="C3643" t="s">
        <v>58</v>
      </c>
      <c r="E3643" t="s">
        <v>3075</v>
      </c>
      <c r="F3643" t="s">
        <v>11433</v>
      </c>
      <c r="G3643" t="s">
        <v>1103</v>
      </c>
    </row>
    <row r="3644" spans="1:7" hidden="1" x14ac:dyDescent="0.25">
      <c r="A3644" t="s">
        <v>533</v>
      </c>
      <c r="B3644" t="s">
        <v>531</v>
      </c>
      <c r="C3644" t="s">
        <v>2929</v>
      </c>
      <c r="E3644" t="s">
        <v>10885</v>
      </c>
      <c r="F3644" t="s">
        <v>11436</v>
      </c>
      <c r="G3644" t="s">
        <v>1103</v>
      </c>
    </row>
    <row r="3645" spans="1:7" hidden="1" x14ac:dyDescent="0.25">
      <c r="A3645" t="s">
        <v>533</v>
      </c>
      <c r="B3645" t="s">
        <v>531</v>
      </c>
      <c r="C3645" t="s">
        <v>2929</v>
      </c>
      <c r="E3645" t="s">
        <v>10885</v>
      </c>
      <c r="F3645" t="s">
        <v>11439</v>
      </c>
      <c r="G3645" t="s">
        <v>1103</v>
      </c>
    </row>
    <row r="3646" spans="1:7" hidden="1" x14ac:dyDescent="0.25">
      <c r="A3646" t="s">
        <v>533</v>
      </c>
      <c r="B3646" t="s">
        <v>531</v>
      </c>
      <c r="C3646" t="s">
        <v>2929</v>
      </c>
      <c r="E3646" t="s">
        <v>10885</v>
      </c>
      <c r="F3646" t="s">
        <v>11442</v>
      </c>
      <c r="G3646" t="s">
        <v>1103</v>
      </c>
    </row>
    <row r="3647" spans="1:7" hidden="1" x14ac:dyDescent="0.25">
      <c r="A3647" t="s">
        <v>533</v>
      </c>
      <c r="B3647" t="s">
        <v>531</v>
      </c>
      <c r="C3647" t="s">
        <v>2929</v>
      </c>
      <c r="E3647" t="s">
        <v>10885</v>
      </c>
      <c r="F3647" t="s">
        <v>11445</v>
      </c>
      <c r="G3647" t="s">
        <v>1103</v>
      </c>
    </row>
    <row r="3648" spans="1:7" hidden="1" x14ac:dyDescent="0.25">
      <c r="A3648" t="s">
        <v>4</v>
      </c>
      <c r="B3648" t="s">
        <v>8803</v>
      </c>
      <c r="F3648" t="s">
        <v>11574</v>
      </c>
      <c r="G3648" t="s">
        <v>91</v>
      </c>
    </row>
    <row r="3649" spans="1:7" hidden="1" x14ac:dyDescent="0.25">
      <c r="A3649" t="s">
        <v>289</v>
      </c>
      <c r="B3649" t="s">
        <v>70</v>
      </c>
      <c r="C3649" t="s">
        <v>11637</v>
      </c>
      <c r="D3649">
        <v>2</v>
      </c>
      <c r="F3649" t="s">
        <v>11577</v>
      </c>
      <c r="G3649" t="s">
        <v>91</v>
      </c>
    </row>
    <row r="3650" spans="1:7" hidden="1" x14ac:dyDescent="0.25">
      <c r="A3650" t="s">
        <v>650</v>
      </c>
      <c r="B3650" t="s">
        <v>70</v>
      </c>
      <c r="C3650" t="s">
        <v>11637</v>
      </c>
      <c r="F3650" t="s">
        <v>11580</v>
      </c>
      <c r="G3650" t="s">
        <v>91</v>
      </c>
    </row>
    <row r="3651" spans="1:7" hidden="1" x14ac:dyDescent="0.25">
      <c r="A3651" t="s">
        <v>1606</v>
      </c>
      <c r="B3651" t="s">
        <v>70</v>
      </c>
      <c r="F3651" t="s">
        <v>11583</v>
      </c>
      <c r="G3651" t="s">
        <v>91</v>
      </c>
    </row>
    <row r="3652" spans="1:7" hidden="1" x14ac:dyDescent="0.25">
      <c r="A3652" t="s">
        <v>290</v>
      </c>
      <c r="B3652" t="s">
        <v>70</v>
      </c>
      <c r="C3652" t="s">
        <v>11637</v>
      </c>
      <c r="D3652">
        <v>2</v>
      </c>
      <c r="F3652" t="s">
        <v>11586</v>
      </c>
      <c r="G3652" t="s">
        <v>91</v>
      </c>
    </row>
    <row r="3653" spans="1:7" hidden="1" x14ac:dyDescent="0.25">
      <c r="A3653" t="s">
        <v>650</v>
      </c>
      <c r="B3653" t="s">
        <v>70</v>
      </c>
      <c r="F3653" t="s">
        <v>11589</v>
      </c>
      <c r="G3653" t="s">
        <v>91</v>
      </c>
    </row>
    <row r="3654" spans="1:7" hidden="1" x14ac:dyDescent="0.25">
      <c r="A3654" t="s">
        <v>1606</v>
      </c>
      <c r="B3654" t="s">
        <v>66</v>
      </c>
      <c r="F3654" t="s">
        <v>11592</v>
      </c>
      <c r="G3654" t="s">
        <v>91</v>
      </c>
    </row>
    <row r="3655" spans="1:7" hidden="1" x14ac:dyDescent="0.25">
      <c r="A3655" t="s">
        <v>6171</v>
      </c>
      <c r="B3655" t="s">
        <v>66</v>
      </c>
      <c r="F3655" t="s">
        <v>11595</v>
      </c>
      <c r="G3655" t="s">
        <v>91</v>
      </c>
    </row>
    <row r="3656" spans="1:7" hidden="1" x14ac:dyDescent="0.25">
      <c r="A3656" t="s">
        <v>650</v>
      </c>
      <c r="B3656" t="s">
        <v>66</v>
      </c>
      <c r="F3656" t="s">
        <v>11598</v>
      </c>
      <c r="G3656" t="s">
        <v>91</v>
      </c>
    </row>
    <row r="3657" spans="1:7" hidden="1" x14ac:dyDescent="0.25">
      <c r="A3657" t="s">
        <v>4</v>
      </c>
      <c r="B3657" t="s">
        <v>8803</v>
      </c>
      <c r="F3657" t="s">
        <v>11601</v>
      </c>
      <c r="G3657" t="s">
        <v>91</v>
      </c>
    </row>
    <row r="3658" spans="1:7" hidden="1" x14ac:dyDescent="0.25">
      <c r="A3658" t="s">
        <v>4</v>
      </c>
      <c r="B3658" t="s">
        <v>8803</v>
      </c>
      <c r="F3658" t="s">
        <v>11472</v>
      </c>
      <c r="G3658" t="s">
        <v>1104</v>
      </c>
    </row>
    <row r="3659" spans="1:7" hidden="1" x14ac:dyDescent="0.25">
      <c r="A3659" t="s">
        <v>4</v>
      </c>
      <c r="B3659" t="s">
        <v>8803</v>
      </c>
      <c r="F3659" t="s">
        <v>11475</v>
      </c>
      <c r="G3659" t="s">
        <v>1104</v>
      </c>
    </row>
    <row r="3660" spans="1:7" hidden="1" x14ac:dyDescent="0.25">
      <c r="A3660" t="s">
        <v>4</v>
      </c>
      <c r="B3660" t="s">
        <v>8803</v>
      </c>
      <c r="F3660" t="s">
        <v>11478</v>
      </c>
      <c r="G3660" t="s">
        <v>1104</v>
      </c>
    </row>
    <row r="3661" spans="1:7" hidden="1" x14ac:dyDescent="0.25">
      <c r="A3661" t="s">
        <v>4</v>
      </c>
      <c r="B3661" t="s">
        <v>8</v>
      </c>
      <c r="F3661" t="s">
        <v>11604</v>
      </c>
      <c r="G3661" t="s">
        <v>1105</v>
      </c>
    </row>
    <row r="3662" spans="1:7" hidden="1" x14ac:dyDescent="0.25">
      <c r="A3662" t="s">
        <v>4</v>
      </c>
      <c r="B3662" t="s">
        <v>11638</v>
      </c>
      <c r="F3662" t="s">
        <v>11607</v>
      </c>
      <c r="G3662" t="s">
        <v>1105</v>
      </c>
    </row>
    <row r="3663" spans="1:7" hidden="1" x14ac:dyDescent="0.25">
      <c r="A3663" t="s">
        <v>4</v>
      </c>
      <c r="B3663" t="s">
        <v>8</v>
      </c>
      <c r="F3663" t="s">
        <v>11610</v>
      </c>
      <c r="G3663" t="s">
        <v>1105</v>
      </c>
    </row>
    <row r="3664" spans="1:7" hidden="1" x14ac:dyDescent="0.25">
      <c r="A3664" t="s">
        <v>4</v>
      </c>
      <c r="B3664" t="s">
        <v>8805</v>
      </c>
      <c r="F3664" t="s">
        <v>11639</v>
      </c>
      <c r="G3664" t="s">
        <v>1106</v>
      </c>
    </row>
    <row r="3665" spans="1:7" hidden="1" x14ac:dyDescent="0.25">
      <c r="A3665" t="s">
        <v>2004</v>
      </c>
      <c r="B3665" t="s">
        <v>8</v>
      </c>
      <c r="F3665" t="s">
        <v>11613</v>
      </c>
      <c r="G3665" t="s">
        <v>1106</v>
      </c>
    </row>
    <row r="3666" spans="1:7" hidden="1" x14ac:dyDescent="0.25">
      <c r="A3666" t="s">
        <v>2004</v>
      </c>
      <c r="B3666" t="s">
        <v>8</v>
      </c>
      <c r="F3666" t="s">
        <v>11616</v>
      </c>
      <c r="G3666" t="s">
        <v>1106</v>
      </c>
    </row>
    <row r="3667" spans="1:7" hidden="1" x14ac:dyDescent="0.25">
      <c r="A3667" t="s">
        <v>2004</v>
      </c>
      <c r="B3667" t="s">
        <v>8</v>
      </c>
      <c r="F3667" t="s">
        <v>11642</v>
      </c>
      <c r="G3667" t="s">
        <v>1107</v>
      </c>
    </row>
    <row r="3668" spans="1:7" hidden="1" x14ac:dyDescent="0.25">
      <c r="A3668" t="s">
        <v>2004</v>
      </c>
      <c r="B3668" t="s">
        <v>8</v>
      </c>
      <c r="F3668" t="s">
        <v>11645</v>
      </c>
      <c r="G3668" t="s">
        <v>1107</v>
      </c>
    </row>
    <row r="3669" spans="1:7" hidden="1" x14ac:dyDescent="0.25">
      <c r="A3669" t="s">
        <v>2004</v>
      </c>
      <c r="B3669" t="s">
        <v>8</v>
      </c>
      <c r="F3669" t="s">
        <v>11648</v>
      </c>
      <c r="G3669" t="s">
        <v>1107</v>
      </c>
    </row>
    <row r="3670" spans="1:7" hidden="1" x14ac:dyDescent="0.25">
      <c r="A3670" t="s">
        <v>9409</v>
      </c>
      <c r="B3670" t="s">
        <v>1607</v>
      </c>
      <c r="F3670" t="s">
        <v>11619</v>
      </c>
      <c r="G3670" t="s">
        <v>796</v>
      </c>
    </row>
    <row r="3671" spans="1:7" hidden="1" x14ac:dyDescent="0.25">
      <c r="A3671" t="s">
        <v>2024</v>
      </c>
      <c r="B3671" t="s">
        <v>796</v>
      </c>
      <c r="F3671" t="s">
        <v>11622</v>
      </c>
      <c r="G3671" t="s">
        <v>796</v>
      </c>
    </row>
    <row r="3672" spans="1:7" hidden="1" x14ac:dyDescent="0.25">
      <c r="A3672" t="s">
        <v>9409</v>
      </c>
      <c r="B3672" t="s">
        <v>1607</v>
      </c>
      <c r="F3672" t="s">
        <v>11625</v>
      </c>
      <c r="G3672" t="s">
        <v>796</v>
      </c>
    </row>
    <row r="3673" spans="1:7" hidden="1" x14ac:dyDescent="0.25">
      <c r="A3673" t="s">
        <v>2024</v>
      </c>
      <c r="B3673" t="s">
        <v>796</v>
      </c>
      <c r="F3673" t="s">
        <v>11628</v>
      </c>
      <c r="G3673" t="s">
        <v>796</v>
      </c>
    </row>
    <row r="3674" spans="1:7" hidden="1" x14ac:dyDescent="0.25">
      <c r="A3674" t="s">
        <v>2024</v>
      </c>
      <c r="B3674" t="s">
        <v>796</v>
      </c>
      <c r="F3674" t="s">
        <v>11631</v>
      </c>
      <c r="G3674" t="s">
        <v>796</v>
      </c>
    </row>
    <row r="3675" spans="1:7" hidden="1" x14ac:dyDescent="0.25">
      <c r="A3675" t="s">
        <v>4</v>
      </c>
      <c r="B3675" t="s">
        <v>9</v>
      </c>
      <c r="F3675" t="s">
        <v>11634</v>
      </c>
      <c r="G3675" t="s">
        <v>796</v>
      </c>
    </row>
    <row r="3676" spans="1:7" hidden="1" x14ac:dyDescent="0.25">
      <c r="A3676" t="s">
        <v>9200</v>
      </c>
      <c r="B3676" t="s">
        <v>9201</v>
      </c>
      <c r="F3676" t="s">
        <v>11481</v>
      </c>
      <c r="G3676" t="s">
        <v>1100</v>
      </c>
    </row>
    <row r="3677" spans="1:7" hidden="1" x14ac:dyDescent="0.25">
      <c r="A3677" t="s">
        <v>9200</v>
      </c>
      <c r="B3677" t="s">
        <v>9201</v>
      </c>
      <c r="F3677" t="s">
        <v>11484</v>
      </c>
      <c r="G3677" t="s">
        <v>1100</v>
      </c>
    </row>
    <row r="3678" spans="1:7" hidden="1" x14ac:dyDescent="0.25">
      <c r="A3678" t="s">
        <v>9692</v>
      </c>
      <c r="B3678" t="s">
        <v>1607</v>
      </c>
      <c r="F3678" t="s">
        <v>11487</v>
      </c>
      <c r="G3678" t="s">
        <v>1100</v>
      </c>
    </row>
    <row r="3679" spans="1:7" hidden="1" x14ac:dyDescent="0.25">
      <c r="A3679" t="s">
        <v>11651</v>
      </c>
      <c r="B3679" t="s">
        <v>1607</v>
      </c>
      <c r="F3679" t="s">
        <v>11490</v>
      </c>
      <c r="G3679" t="s">
        <v>1100</v>
      </c>
    </row>
    <row r="3680" spans="1:7" hidden="1" x14ac:dyDescent="0.25">
      <c r="A3680" t="s">
        <v>9200</v>
      </c>
      <c r="B3680" t="s">
        <v>9201</v>
      </c>
      <c r="F3680" t="s">
        <v>11493</v>
      </c>
      <c r="G3680" t="s">
        <v>1100</v>
      </c>
    </row>
    <row r="3681" spans="1:7" hidden="1" x14ac:dyDescent="0.25">
      <c r="A3681" t="s">
        <v>2024</v>
      </c>
      <c r="B3681" t="s">
        <v>1304</v>
      </c>
      <c r="F3681" t="s">
        <v>11496</v>
      </c>
      <c r="G3681" t="s">
        <v>1100</v>
      </c>
    </row>
    <row r="3682" spans="1:7" hidden="1" x14ac:dyDescent="0.25">
      <c r="A3682" t="s">
        <v>4</v>
      </c>
      <c r="B3682" t="s">
        <v>9</v>
      </c>
      <c r="F3682" t="s">
        <v>11499</v>
      </c>
      <c r="G3682" t="s">
        <v>1100</v>
      </c>
    </row>
    <row r="3683" spans="1:7" hidden="1" x14ac:dyDescent="0.25">
      <c r="A3683" t="s">
        <v>4</v>
      </c>
      <c r="B3683" t="s">
        <v>9</v>
      </c>
      <c r="F3683" t="s">
        <v>11502</v>
      </c>
      <c r="G3683" t="s">
        <v>1100</v>
      </c>
    </row>
    <row r="3684" spans="1:7" hidden="1" x14ac:dyDescent="0.25">
      <c r="A3684" t="s">
        <v>9200</v>
      </c>
      <c r="B3684" t="s">
        <v>9201</v>
      </c>
      <c r="F3684" t="s">
        <v>11505</v>
      </c>
      <c r="G3684" t="s">
        <v>1100</v>
      </c>
    </row>
    <row r="3685" spans="1:7" hidden="1" x14ac:dyDescent="0.25">
      <c r="A3685" t="s">
        <v>4</v>
      </c>
      <c r="B3685" t="s">
        <v>11652</v>
      </c>
      <c r="F3685" t="s">
        <v>11508</v>
      </c>
      <c r="G3685" t="s">
        <v>1100</v>
      </c>
    </row>
    <row r="3686" spans="1:7" hidden="1" x14ac:dyDescent="0.25">
      <c r="A3686" t="s">
        <v>9692</v>
      </c>
      <c r="B3686" t="s">
        <v>1607</v>
      </c>
      <c r="E3686" t="s">
        <v>11653</v>
      </c>
      <c r="F3686" t="s">
        <v>11511</v>
      </c>
      <c r="G3686" t="s">
        <v>1100</v>
      </c>
    </row>
    <row r="3687" spans="1:7" hidden="1" x14ac:dyDescent="0.25">
      <c r="A3687" t="s">
        <v>9200</v>
      </c>
      <c r="B3687" t="s">
        <v>9201</v>
      </c>
      <c r="F3687" t="s">
        <v>11514</v>
      </c>
      <c r="G3687" t="s">
        <v>1100</v>
      </c>
    </row>
    <row r="3688" spans="1:7" hidden="1" x14ac:dyDescent="0.25">
      <c r="A3688" t="s">
        <v>4223</v>
      </c>
      <c r="B3688" t="s">
        <v>86</v>
      </c>
      <c r="C3688" t="s">
        <v>11654</v>
      </c>
      <c r="F3688" t="s">
        <v>11517</v>
      </c>
      <c r="G3688" t="s">
        <v>1817</v>
      </c>
    </row>
    <row r="3689" spans="1:7" hidden="1" x14ac:dyDescent="0.25">
      <c r="A3689" t="s">
        <v>158</v>
      </c>
      <c r="B3689" t="s">
        <v>86</v>
      </c>
      <c r="C3689" t="s">
        <v>58</v>
      </c>
      <c r="E3689" t="s">
        <v>11655</v>
      </c>
      <c r="F3689" t="s">
        <v>11520</v>
      </c>
      <c r="G3689" t="s">
        <v>1817</v>
      </c>
    </row>
    <row r="3690" spans="1:7" hidden="1" x14ac:dyDescent="0.25">
      <c r="A3690" t="s">
        <v>11656</v>
      </c>
      <c r="B3690" t="s">
        <v>1607</v>
      </c>
      <c r="F3690" t="s">
        <v>11523</v>
      </c>
      <c r="G3690" t="s">
        <v>1817</v>
      </c>
    </row>
    <row r="3691" spans="1:7" hidden="1" x14ac:dyDescent="0.25">
      <c r="A3691" t="s">
        <v>11657</v>
      </c>
      <c r="B3691" t="s">
        <v>1607</v>
      </c>
      <c r="F3691" t="s">
        <v>11526</v>
      </c>
      <c r="G3691" t="s">
        <v>1817</v>
      </c>
    </row>
    <row r="3692" spans="1:7" hidden="1" x14ac:dyDescent="0.25">
      <c r="A3692" t="s">
        <v>11658</v>
      </c>
      <c r="B3692" t="s">
        <v>1607</v>
      </c>
      <c r="F3692" t="s">
        <v>11529</v>
      </c>
      <c r="G3692" t="s">
        <v>1817</v>
      </c>
    </row>
    <row r="3693" spans="1:7" hidden="1" x14ac:dyDescent="0.25">
      <c r="A3693" t="s">
        <v>11658</v>
      </c>
      <c r="B3693" t="s">
        <v>1607</v>
      </c>
      <c r="F3693" t="s">
        <v>11532</v>
      </c>
      <c r="G3693" t="s">
        <v>1817</v>
      </c>
    </row>
    <row r="3694" spans="1:7" hidden="1" x14ac:dyDescent="0.25">
      <c r="A3694" t="s">
        <v>11658</v>
      </c>
      <c r="B3694" t="s">
        <v>1607</v>
      </c>
      <c r="F3694" t="s">
        <v>11535</v>
      </c>
      <c r="G3694" t="s">
        <v>1817</v>
      </c>
    </row>
    <row r="3695" spans="1:7" hidden="1" x14ac:dyDescent="0.25">
      <c r="A3695" t="s">
        <v>4</v>
      </c>
      <c r="B3695" t="s">
        <v>8045</v>
      </c>
      <c r="F3695" t="s">
        <v>11538</v>
      </c>
      <c r="G3695" t="s">
        <v>1817</v>
      </c>
    </row>
    <row r="3696" spans="1:7" hidden="1" x14ac:dyDescent="0.25">
      <c r="A3696" t="s">
        <v>2004</v>
      </c>
      <c r="B3696" t="s">
        <v>8</v>
      </c>
      <c r="F3696" t="s">
        <v>11541</v>
      </c>
      <c r="G3696" t="s">
        <v>1817</v>
      </c>
    </row>
    <row r="3697" spans="1:7" hidden="1" x14ac:dyDescent="0.25">
      <c r="A3697" t="s">
        <v>4</v>
      </c>
      <c r="B3697" t="s">
        <v>8045</v>
      </c>
      <c r="F3697" t="s">
        <v>11544</v>
      </c>
      <c r="G3697" t="s">
        <v>1817</v>
      </c>
    </row>
    <row r="3698" spans="1:7" hidden="1" x14ac:dyDescent="0.25">
      <c r="A3698" t="s">
        <v>9914</v>
      </c>
      <c r="B3698" t="s">
        <v>4247</v>
      </c>
      <c r="F3698" t="s">
        <v>11547</v>
      </c>
      <c r="G3698" t="s">
        <v>1934</v>
      </c>
    </row>
    <row r="3699" spans="1:7" hidden="1" x14ac:dyDescent="0.25">
      <c r="A3699" t="s">
        <v>2004</v>
      </c>
      <c r="B3699" t="s">
        <v>8</v>
      </c>
      <c r="F3699" t="s">
        <v>11550</v>
      </c>
      <c r="G3699" t="s">
        <v>1934</v>
      </c>
    </row>
    <row r="3700" spans="1:7" hidden="1" x14ac:dyDescent="0.25">
      <c r="A3700" t="s">
        <v>4</v>
      </c>
      <c r="B3700" t="s">
        <v>8</v>
      </c>
      <c r="F3700" t="s">
        <v>11553</v>
      </c>
      <c r="G3700" t="s">
        <v>1934</v>
      </c>
    </row>
    <row r="3701" spans="1:7" hidden="1" x14ac:dyDescent="0.25">
      <c r="A3701" t="s">
        <v>9876</v>
      </c>
      <c r="B3701" t="s">
        <v>5137</v>
      </c>
      <c r="F3701" t="s">
        <v>11556</v>
      </c>
      <c r="G3701" t="s">
        <v>1934</v>
      </c>
    </row>
    <row r="3702" spans="1:7" hidden="1" x14ac:dyDescent="0.25">
      <c r="A3702" t="s">
        <v>4</v>
      </c>
      <c r="B3702" t="s">
        <v>8</v>
      </c>
      <c r="F3702" t="s">
        <v>11559</v>
      </c>
      <c r="G3702" t="s">
        <v>1934</v>
      </c>
    </row>
    <row r="3703" spans="1:7" x14ac:dyDescent="0.25">
      <c r="A3703" t="s">
        <v>4</v>
      </c>
      <c r="B3703" t="s">
        <v>11424</v>
      </c>
      <c r="F3703" t="s">
        <v>11562</v>
      </c>
      <c r="G3703" t="s">
        <v>1997</v>
      </c>
    </row>
    <row r="3704" spans="1:7" x14ac:dyDescent="0.25">
      <c r="A3704" t="s">
        <v>4</v>
      </c>
      <c r="B3704" t="s">
        <v>11659</v>
      </c>
      <c r="F3704" t="s">
        <v>11565</v>
      </c>
      <c r="G3704" t="s">
        <v>1997</v>
      </c>
    </row>
    <row r="3705" spans="1:7" x14ac:dyDescent="0.25">
      <c r="A3705" t="s">
        <v>11660</v>
      </c>
      <c r="F3705" t="s">
        <v>11568</v>
      </c>
      <c r="G3705" t="s">
        <v>1997</v>
      </c>
    </row>
    <row r="3706" spans="1:7" x14ac:dyDescent="0.25">
      <c r="A3706" t="s">
        <v>4</v>
      </c>
      <c r="B3706" t="s">
        <v>8</v>
      </c>
      <c r="F3706" t="s">
        <v>11571</v>
      </c>
      <c r="G3706" t="s">
        <v>1997</v>
      </c>
    </row>
    <row r="3707" spans="1:7" hidden="1" x14ac:dyDescent="0.25">
      <c r="A3707" t="s">
        <v>91</v>
      </c>
      <c r="B3707" t="s">
        <v>11772</v>
      </c>
      <c r="F3707" t="s">
        <v>11682</v>
      </c>
      <c r="G3707" t="s">
        <v>1102</v>
      </c>
    </row>
    <row r="3708" spans="1:7" hidden="1" x14ac:dyDescent="0.25">
      <c r="A3708" t="s">
        <v>62</v>
      </c>
      <c r="B3708" t="s">
        <v>11772</v>
      </c>
      <c r="F3708" t="s">
        <v>11685</v>
      </c>
      <c r="G3708" t="s">
        <v>1102</v>
      </c>
    </row>
    <row r="3709" spans="1:7" hidden="1" x14ac:dyDescent="0.25">
      <c r="A3709" t="s">
        <v>2004</v>
      </c>
      <c r="F3709" t="s">
        <v>11688</v>
      </c>
      <c r="G3709" t="s">
        <v>1102</v>
      </c>
    </row>
    <row r="3710" spans="1:7" hidden="1" x14ac:dyDescent="0.25">
      <c r="A3710" t="s">
        <v>2004</v>
      </c>
      <c r="B3710" t="s">
        <v>8</v>
      </c>
      <c r="F3710" t="s">
        <v>11661</v>
      </c>
      <c r="G3710" t="s">
        <v>1103</v>
      </c>
    </row>
    <row r="3711" spans="1:7" hidden="1" x14ac:dyDescent="0.25">
      <c r="A3711" t="s">
        <v>2004</v>
      </c>
      <c r="B3711" t="s">
        <v>8</v>
      </c>
      <c r="F3711" t="s">
        <v>11773</v>
      </c>
      <c r="G3711" t="s">
        <v>1103</v>
      </c>
    </row>
    <row r="3712" spans="1:7" hidden="1" x14ac:dyDescent="0.25">
      <c r="A3712" t="s">
        <v>6171</v>
      </c>
      <c r="B3712" t="s">
        <v>11782</v>
      </c>
      <c r="F3712" t="s">
        <v>11664</v>
      </c>
      <c r="G3712" t="s">
        <v>91</v>
      </c>
    </row>
    <row r="3713" spans="1:7" hidden="1" x14ac:dyDescent="0.25">
      <c r="A3713" t="s">
        <v>2004</v>
      </c>
      <c r="B3713" t="s">
        <v>8</v>
      </c>
      <c r="F3713" t="s">
        <v>11667</v>
      </c>
      <c r="G3713" t="s">
        <v>91</v>
      </c>
    </row>
    <row r="3714" spans="1:7" hidden="1" x14ac:dyDescent="0.25">
      <c r="A3714" t="s">
        <v>4</v>
      </c>
      <c r="B3714" t="s">
        <v>8</v>
      </c>
      <c r="F3714" t="s">
        <v>11670</v>
      </c>
      <c r="G3714" t="s">
        <v>1104</v>
      </c>
    </row>
    <row r="3715" spans="1:7" hidden="1" x14ac:dyDescent="0.25">
      <c r="A3715" t="s">
        <v>2004</v>
      </c>
      <c r="B3715" t="s">
        <v>8</v>
      </c>
      <c r="F3715" t="s">
        <v>11673</v>
      </c>
      <c r="G3715" t="s">
        <v>1104</v>
      </c>
    </row>
    <row r="3716" spans="1:7" hidden="1" x14ac:dyDescent="0.25">
      <c r="A3716" t="s">
        <v>2004</v>
      </c>
      <c r="B3716" t="s">
        <v>8</v>
      </c>
      <c r="F3716" t="s">
        <v>11676</v>
      </c>
      <c r="G3716" t="s">
        <v>1105</v>
      </c>
    </row>
    <row r="3717" spans="1:7" hidden="1" x14ac:dyDescent="0.25">
      <c r="A3717" t="s">
        <v>4</v>
      </c>
      <c r="B3717" t="s">
        <v>2932</v>
      </c>
      <c r="F3717" t="s">
        <v>11679</v>
      </c>
      <c r="G3717" t="s">
        <v>1105</v>
      </c>
    </row>
    <row r="3718" spans="1:7" hidden="1" x14ac:dyDescent="0.25">
      <c r="A3718" t="s">
        <v>2004</v>
      </c>
      <c r="B3718" t="s">
        <v>8</v>
      </c>
      <c r="F3718" t="s">
        <v>11691</v>
      </c>
      <c r="G3718" t="s">
        <v>1106</v>
      </c>
    </row>
    <row r="3719" spans="1:7" hidden="1" x14ac:dyDescent="0.25">
      <c r="A3719" t="s">
        <v>2004</v>
      </c>
      <c r="B3719" t="s">
        <v>8</v>
      </c>
      <c r="F3719" t="s">
        <v>11694</v>
      </c>
      <c r="G3719" t="s">
        <v>1106</v>
      </c>
    </row>
    <row r="3720" spans="1:7" hidden="1" x14ac:dyDescent="0.25">
      <c r="A3720" t="s">
        <v>2004</v>
      </c>
      <c r="B3720" t="s">
        <v>8</v>
      </c>
      <c r="F3720" t="s">
        <v>11776</v>
      </c>
      <c r="G3720" t="s">
        <v>1107</v>
      </c>
    </row>
    <row r="3721" spans="1:7" hidden="1" x14ac:dyDescent="0.25">
      <c r="A3721" t="s">
        <v>2004</v>
      </c>
      <c r="B3721" t="s">
        <v>8</v>
      </c>
      <c r="F3721" t="s">
        <v>11779</v>
      </c>
      <c r="G3721" t="s">
        <v>1107</v>
      </c>
    </row>
    <row r="3722" spans="1:7" hidden="1" x14ac:dyDescent="0.25">
      <c r="A3722" t="s">
        <v>4</v>
      </c>
      <c r="B3722" t="s">
        <v>9</v>
      </c>
      <c r="F3722" t="s">
        <v>11697</v>
      </c>
      <c r="G3722" t="s">
        <v>796</v>
      </c>
    </row>
    <row r="3723" spans="1:7" hidden="1" x14ac:dyDescent="0.25">
      <c r="A3723" t="s">
        <v>2024</v>
      </c>
      <c r="B3723" t="s">
        <v>796</v>
      </c>
      <c r="F3723" t="s">
        <v>11700</v>
      </c>
      <c r="G3723" t="s">
        <v>796</v>
      </c>
    </row>
    <row r="3724" spans="1:7" hidden="1" x14ac:dyDescent="0.25">
      <c r="A3724" t="s">
        <v>2024</v>
      </c>
      <c r="B3724" t="s">
        <v>796</v>
      </c>
      <c r="F3724" t="s">
        <v>11703</v>
      </c>
      <c r="G3724" t="s">
        <v>796</v>
      </c>
    </row>
    <row r="3725" spans="1:7" hidden="1" x14ac:dyDescent="0.25">
      <c r="A3725" t="s">
        <v>2024</v>
      </c>
      <c r="B3725" t="s">
        <v>796</v>
      </c>
      <c r="F3725" t="s">
        <v>11706</v>
      </c>
      <c r="G3725" t="s">
        <v>796</v>
      </c>
    </row>
    <row r="3726" spans="1:7" hidden="1" x14ac:dyDescent="0.25">
      <c r="A3726" t="s">
        <v>4</v>
      </c>
      <c r="B3726" t="s">
        <v>7709</v>
      </c>
      <c r="F3726" t="s">
        <v>11709</v>
      </c>
      <c r="G3726" t="s">
        <v>1100</v>
      </c>
    </row>
    <row r="3727" spans="1:7" hidden="1" x14ac:dyDescent="0.25">
      <c r="A3727" t="s">
        <v>2024</v>
      </c>
      <c r="B3727" t="s">
        <v>1304</v>
      </c>
      <c r="F3727" t="s">
        <v>11712</v>
      </c>
      <c r="G3727" t="s">
        <v>1100</v>
      </c>
    </row>
    <row r="3728" spans="1:7" hidden="1" x14ac:dyDescent="0.25">
      <c r="A3728" t="s">
        <v>9200</v>
      </c>
      <c r="B3728" t="s">
        <v>9201</v>
      </c>
      <c r="F3728" t="s">
        <v>11715</v>
      </c>
      <c r="G3728" t="s">
        <v>1100</v>
      </c>
    </row>
    <row r="3729" spans="1:7" hidden="1" x14ac:dyDescent="0.25">
      <c r="A3729" t="s">
        <v>9692</v>
      </c>
      <c r="B3729" t="s">
        <v>1607</v>
      </c>
      <c r="F3729" t="s">
        <v>11718</v>
      </c>
      <c r="G3729" t="s">
        <v>1100</v>
      </c>
    </row>
    <row r="3730" spans="1:7" hidden="1" x14ac:dyDescent="0.25">
      <c r="A3730" t="s">
        <v>9692</v>
      </c>
      <c r="B3730" t="s">
        <v>1607</v>
      </c>
      <c r="F3730" t="s">
        <v>11721</v>
      </c>
      <c r="G3730" t="s">
        <v>1100</v>
      </c>
    </row>
    <row r="3731" spans="1:7" hidden="1" x14ac:dyDescent="0.25">
      <c r="A3731" t="s">
        <v>9200</v>
      </c>
      <c r="B3731" t="s">
        <v>9201</v>
      </c>
      <c r="F3731" t="s">
        <v>11724</v>
      </c>
      <c r="G3731" t="s">
        <v>1100</v>
      </c>
    </row>
    <row r="3732" spans="1:7" hidden="1" x14ac:dyDescent="0.25">
      <c r="A3732" t="s">
        <v>9200</v>
      </c>
      <c r="B3732" t="s">
        <v>9201</v>
      </c>
      <c r="F3732" t="s">
        <v>11727</v>
      </c>
      <c r="G3732" t="s">
        <v>1100</v>
      </c>
    </row>
    <row r="3733" spans="1:7" hidden="1" x14ac:dyDescent="0.25">
      <c r="A3733" t="s">
        <v>4</v>
      </c>
      <c r="B3733" t="s">
        <v>9</v>
      </c>
      <c r="F3733" t="s">
        <v>11730</v>
      </c>
      <c r="G3733" t="s">
        <v>1100</v>
      </c>
    </row>
    <row r="3734" spans="1:7" hidden="1" x14ac:dyDescent="0.25">
      <c r="A3734" t="s">
        <v>4</v>
      </c>
      <c r="B3734" t="s">
        <v>9</v>
      </c>
      <c r="E3734" t="s">
        <v>2936</v>
      </c>
      <c r="F3734" t="s">
        <v>11733</v>
      </c>
      <c r="G3734" t="s">
        <v>1100</v>
      </c>
    </row>
    <row r="3735" spans="1:7" hidden="1" x14ac:dyDescent="0.25">
      <c r="A3735" t="s">
        <v>4</v>
      </c>
      <c r="B3735" t="s">
        <v>11783</v>
      </c>
      <c r="F3735" t="s">
        <v>11736</v>
      </c>
      <c r="G3735" t="s">
        <v>1100</v>
      </c>
    </row>
    <row r="3736" spans="1:7" hidden="1" x14ac:dyDescent="0.25">
      <c r="A3736" t="s">
        <v>2004</v>
      </c>
      <c r="B3736" t="s">
        <v>8</v>
      </c>
      <c r="F3736" t="s">
        <v>11739</v>
      </c>
      <c r="G3736" s="1" t="s">
        <v>1603</v>
      </c>
    </row>
    <row r="3737" spans="1:7" hidden="1" x14ac:dyDescent="0.25">
      <c r="A3737" t="s">
        <v>533</v>
      </c>
      <c r="B3737" t="s">
        <v>1607</v>
      </c>
      <c r="C3737" t="s">
        <v>58</v>
      </c>
      <c r="F3737" t="s">
        <v>11742</v>
      </c>
      <c r="G3737" s="1" t="s">
        <v>1603</v>
      </c>
    </row>
    <row r="3738" spans="1:7" hidden="1" x14ac:dyDescent="0.25">
      <c r="A3738" t="s">
        <v>533</v>
      </c>
      <c r="B3738" t="s">
        <v>1607</v>
      </c>
      <c r="C3738" t="s">
        <v>58</v>
      </c>
      <c r="F3738" t="s">
        <v>11745</v>
      </c>
      <c r="G3738" s="1" t="s">
        <v>1603</v>
      </c>
    </row>
    <row r="3739" spans="1:7" hidden="1" x14ac:dyDescent="0.25">
      <c r="A3739" t="s">
        <v>2004</v>
      </c>
      <c r="B3739" t="s">
        <v>8</v>
      </c>
      <c r="F3739" t="s">
        <v>11748</v>
      </c>
      <c r="G3739" t="s">
        <v>1817</v>
      </c>
    </row>
    <row r="3740" spans="1:7" hidden="1" x14ac:dyDescent="0.25">
      <c r="A3740" t="s">
        <v>2004</v>
      </c>
      <c r="B3740" t="s">
        <v>8</v>
      </c>
      <c r="F3740" t="s">
        <v>11751</v>
      </c>
      <c r="G3740" t="s">
        <v>1817</v>
      </c>
    </row>
    <row r="3741" spans="1:7" hidden="1" x14ac:dyDescent="0.25">
      <c r="A3741" t="s">
        <v>2004</v>
      </c>
      <c r="B3741" t="s">
        <v>8</v>
      </c>
      <c r="F3741" t="s">
        <v>11754</v>
      </c>
      <c r="G3741" t="s">
        <v>1934</v>
      </c>
    </row>
    <row r="3742" spans="1:7" hidden="1" x14ac:dyDescent="0.25">
      <c r="A3742" t="s">
        <v>9876</v>
      </c>
      <c r="B3742" t="s">
        <v>5137</v>
      </c>
      <c r="F3742" t="s">
        <v>11757</v>
      </c>
      <c r="G3742" t="s">
        <v>1934</v>
      </c>
    </row>
    <row r="3743" spans="1:7" hidden="1" x14ac:dyDescent="0.25">
      <c r="A3743" t="s">
        <v>9876</v>
      </c>
      <c r="B3743" t="s">
        <v>5137</v>
      </c>
      <c r="F3743" t="s">
        <v>11760</v>
      </c>
      <c r="G3743" t="s">
        <v>1934</v>
      </c>
    </row>
    <row r="3744" spans="1:7" hidden="1" x14ac:dyDescent="0.25">
      <c r="A3744" t="s">
        <v>4</v>
      </c>
      <c r="B3744" t="s">
        <v>8</v>
      </c>
      <c r="F3744" t="s">
        <v>11763</v>
      </c>
      <c r="G3744" t="s">
        <v>1934</v>
      </c>
    </row>
    <row r="3745" spans="1:7" x14ac:dyDescent="0.25">
      <c r="A3745" t="s">
        <v>2004</v>
      </c>
      <c r="B3745" t="s">
        <v>8</v>
      </c>
      <c r="F3745" t="s">
        <v>11766</v>
      </c>
      <c r="G3745" t="s">
        <v>1997</v>
      </c>
    </row>
    <row r="3746" spans="1:7" x14ac:dyDescent="0.25">
      <c r="A3746" t="s">
        <v>2004</v>
      </c>
      <c r="B3746" t="s">
        <v>8</v>
      </c>
      <c r="F3746" t="s">
        <v>11769</v>
      </c>
      <c r="G3746" t="s">
        <v>1997</v>
      </c>
    </row>
    <row r="3747" spans="1:7" hidden="1" x14ac:dyDescent="0.25">
      <c r="A3747" t="s">
        <v>4</v>
      </c>
      <c r="B3747" t="s">
        <v>8803</v>
      </c>
      <c r="F3747" s="9" t="s">
        <v>11876</v>
      </c>
      <c r="G3747" t="s">
        <v>1104</v>
      </c>
    </row>
    <row r="3748" spans="1:7" hidden="1" x14ac:dyDescent="0.25">
      <c r="A3748" t="s">
        <v>11957</v>
      </c>
      <c r="B3748" t="s">
        <v>11958</v>
      </c>
      <c r="C3748" t="s">
        <v>5076</v>
      </c>
      <c r="F3748" s="9" t="s">
        <v>11879</v>
      </c>
      <c r="G3748" t="s">
        <v>1104</v>
      </c>
    </row>
    <row r="3749" spans="1:7" hidden="1" x14ac:dyDescent="0.25">
      <c r="A3749" t="s">
        <v>62</v>
      </c>
      <c r="B3749" t="s">
        <v>11958</v>
      </c>
      <c r="C3749" t="s">
        <v>5076</v>
      </c>
      <c r="F3749" s="9" t="s">
        <v>11882</v>
      </c>
      <c r="G3749" t="s">
        <v>1104</v>
      </c>
    </row>
    <row r="3750" spans="1:7" hidden="1" x14ac:dyDescent="0.25">
      <c r="A3750" t="s">
        <v>11957</v>
      </c>
      <c r="B3750" t="s">
        <v>4193</v>
      </c>
      <c r="C3750" t="s">
        <v>5076</v>
      </c>
      <c r="F3750" s="9" t="s">
        <v>11885</v>
      </c>
      <c r="G3750" t="s">
        <v>1104</v>
      </c>
    </row>
    <row r="3751" spans="1:7" hidden="1" x14ac:dyDescent="0.25">
      <c r="A3751" t="s">
        <v>62</v>
      </c>
      <c r="B3751" t="s">
        <v>4193</v>
      </c>
      <c r="C3751" t="s">
        <v>5076</v>
      </c>
      <c r="F3751" s="9" t="s">
        <v>11888</v>
      </c>
      <c r="G3751" t="s">
        <v>1104</v>
      </c>
    </row>
    <row r="3752" spans="1:7" hidden="1" x14ac:dyDescent="0.25">
      <c r="A3752" t="s">
        <v>1606</v>
      </c>
      <c r="B3752" t="s">
        <v>70</v>
      </c>
      <c r="C3752" t="s">
        <v>5076</v>
      </c>
      <c r="F3752" s="9" t="s">
        <v>11891</v>
      </c>
      <c r="G3752" t="s">
        <v>1104</v>
      </c>
    </row>
    <row r="3753" spans="1:7" hidden="1" x14ac:dyDescent="0.25">
      <c r="A3753" t="s">
        <v>11957</v>
      </c>
      <c r="B3753" t="s">
        <v>70</v>
      </c>
      <c r="F3753" s="9" t="s">
        <v>11894</v>
      </c>
      <c r="G3753" t="s">
        <v>1104</v>
      </c>
    </row>
    <row r="3754" spans="1:7" hidden="1" x14ac:dyDescent="0.25">
      <c r="A3754" t="s">
        <v>11959</v>
      </c>
      <c r="B3754" t="s">
        <v>70</v>
      </c>
      <c r="C3754" t="s">
        <v>9339</v>
      </c>
      <c r="F3754" s="9" t="s">
        <v>11897</v>
      </c>
      <c r="G3754" t="s">
        <v>1104</v>
      </c>
    </row>
    <row r="3755" spans="1:7" hidden="1" x14ac:dyDescent="0.25">
      <c r="A3755" t="s">
        <v>650</v>
      </c>
      <c r="B3755" t="s">
        <v>70</v>
      </c>
      <c r="C3755" t="s">
        <v>9339</v>
      </c>
      <c r="F3755" s="9" t="s">
        <v>11900</v>
      </c>
      <c r="G3755" t="s">
        <v>1104</v>
      </c>
    </row>
    <row r="3756" spans="1:7" hidden="1" x14ac:dyDescent="0.25">
      <c r="A3756" t="s">
        <v>4</v>
      </c>
      <c r="B3756" t="s">
        <v>2932</v>
      </c>
      <c r="F3756" s="9" t="s">
        <v>11903</v>
      </c>
      <c r="G3756" t="s">
        <v>1105</v>
      </c>
    </row>
    <row r="3757" spans="1:7" hidden="1" x14ac:dyDescent="0.25">
      <c r="A3757" t="s">
        <v>6171</v>
      </c>
      <c r="B3757" t="s">
        <v>11958</v>
      </c>
      <c r="F3757" s="9" t="s">
        <v>11906</v>
      </c>
      <c r="G3757" t="s">
        <v>1105</v>
      </c>
    </row>
    <row r="3758" spans="1:7" hidden="1" x14ac:dyDescent="0.25">
      <c r="A3758" t="s">
        <v>159</v>
      </c>
      <c r="B3758" t="s">
        <v>11958</v>
      </c>
      <c r="F3758" s="9" t="s">
        <v>11909</v>
      </c>
      <c r="G3758" t="s">
        <v>1105</v>
      </c>
    </row>
    <row r="3759" spans="1:7" hidden="1" x14ac:dyDescent="0.25">
      <c r="A3759" t="s">
        <v>201</v>
      </c>
      <c r="B3759" t="s">
        <v>11958</v>
      </c>
      <c r="F3759" s="9" t="s">
        <v>11912</v>
      </c>
      <c r="G3759" t="s">
        <v>1105</v>
      </c>
    </row>
    <row r="3760" spans="1:7" hidden="1" x14ac:dyDescent="0.25">
      <c r="A3760" t="s">
        <v>4</v>
      </c>
      <c r="B3760" t="s">
        <v>8</v>
      </c>
      <c r="F3760" s="9" t="s">
        <v>11915</v>
      </c>
      <c r="G3760" t="s">
        <v>1105</v>
      </c>
    </row>
    <row r="3761" spans="1:7" hidden="1" x14ac:dyDescent="0.25">
      <c r="A3761" t="s">
        <v>159</v>
      </c>
      <c r="B3761" s="9" t="s">
        <v>4193</v>
      </c>
      <c r="F3761" s="9" t="s">
        <v>11918</v>
      </c>
      <c r="G3761" t="s">
        <v>1105</v>
      </c>
    </row>
    <row r="3762" spans="1:7" hidden="1" x14ac:dyDescent="0.25">
      <c r="A3762" t="s">
        <v>201</v>
      </c>
      <c r="B3762" s="9" t="s">
        <v>4193</v>
      </c>
      <c r="F3762" s="9" t="s">
        <v>11921</v>
      </c>
      <c r="G3762" t="s">
        <v>1105</v>
      </c>
    </row>
    <row r="3763" spans="1:7" hidden="1" x14ac:dyDescent="0.25">
      <c r="A3763" t="s">
        <v>4</v>
      </c>
      <c r="B3763" t="s">
        <v>8</v>
      </c>
      <c r="F3763" s="9" t="s">
        <v>11924</v>
      </c>
      <c r="G3763" t="s">
        <v>1105</v>
      </c>
    </row>
    <row r="3764" spans="1:7" hidden="1" x14ac:dyDescent="0.25">
      <c r="A3764" t="s">
        <v>159</v>
      </c>
      <c r="B3764" t="s">
        <v>70</v>
      </c>
      <c r="F3764" s="9" t="s">
        <v>11927</v>
      </c>
      <c r="G3764" t="s">
        <v>1105</v>
      </c>
    </row>
    <row r="3765" spans="1:7" hidden="1" x14ac:dyDescent="0.25">
      <c r="A3765" t="s">
        <v>4</v>
      </c>
      <c r="B3765" t="s">
        <v>8</v>
      </c>
      <c r="F3765" s="9" t="s">
        <v>11930</v>
      </c>
      <c r="G3765" t="s">
        <v>1105</v>
      </c>
    </row>
    <row r="3766" spans="1:7" hidden="1" x14ac:dyDescent="0.25">
      <c r="A3766" t="s">
        <v>2004</v>
      </c>
      <c r="B3766" t="s">
        <v>8</v>
      </c>
      <c r="F3766" s="9" t="s">
        <v>11933</v>
      </c>
      <c r="G3766" t="s">
        <v>1106</v>
      </c>
    </row>
    <row r="3767" spans="1:7" hidden="1" x14ac:dyDescent="0.25">
      <c r="A3767" t="s">
        <v>11960</v>
      </c>
      <c r="F3767" s="9" t="s">
        <v>11936</v>
      </c>
      <c r="G3767" t="s">
        <v>1106</v>
      </c>
    </row>
    <row r="3768" spans="1:7" hidden="1" x14ac:dyDescent="0.25">
      <c r="A3768" t="s">
        <v>11961</v>
      </c>
      <c r="F3768" s="9" t="s">
        <v>11939</v>
      </c>
      <c r="G3768" t="s">
        <v>1106</v>
      </c>
    </row>
    <row r="3769" spans="1:7" hidden="1" x14ac:dyDescent="0.25">
      <c r="A3769" t="s">
        <v>2004</v>
      </c>
      <c r="B3769" t="s">
        <v>8</v>
      </c>
      <c r="F3769" s="9" t="s">
        <v>11942</v>
      </c>
      <c r="G3769" t="s">
        <v>1106</v>
      </c>
    </row>
    <row r="3770" spans="1:7" hidden="1" x14ac:dyDescent="0.25">
      <c r="A3770" t="s">
        <v>4</v>
      </c>
      <c r="B3770" t="s">
        <v>8045</v>
      </c>
      <c r="F3770" s="9" t="s">
        <v>11945</v>
      </c>
      <c r="G3770" t="s">
        <v>1106</v>
      </c>
    </row>
    <row r="3771" spans="1:7" hidden="1" x14ac:dyDescent="0.25">
      <c r="A3771" t="s">
        <v>4</v>
      </c>
      <c r="B3771" t="s">
        <v>8</v>
      </c>
      <c r="F3771" s="9" t="s">
        <v>11948</v>
      </c>
      <c r="G3771" t="s">
        <v>1106</v>
      </c>
    </row>
    <row r="3772" spans="1:7" hidden="1" x14ac:dyDescent="0.25">
      <c r="A3772" t="s">
        <v>4</v>
      </c>
      <c r="B3772" t="s">
        <v>8045</v>
      </c>
      <c r="F3772" s="9" t="s">
        <v>11951</v>
      </c>
      <c r="G3772" t="s">
        <v>1106</v>
      </c>
    </row>
    <row r="3773" spans="1:7" hidden="1" x14ac:dyDescent="0.25">
      <c r="A3773" t="s">
        <v>4</v>
      </c>
      <c r="B3773" t="s">
        <v>8045</v>
      </c>
      <c r="F3773" s="9" t="s">
        <v>11954</v>
      </c>
      <c r="G3773" t="s">
        <v>1106</v>
      </c>
    </row>
    <row r="3774" spans="1:7" hidden="1" x14ac:dyDescent="0.25">
      <c r="A3774" t="s">
        <v>4</v>
      </c>
      <c r="B3774" t="s">
        <v>9913</v>
      </c>
      <c r="F3774" s="9" t="s">
        <v>11784</v>
      </c>
      <c r="G3774" t="s">
        <v>1107</v>
      </c>
    </row>
    <row r="3775" spans="1:7" hidden="1" x14ac:dyDescent="0.25">
      <c r="A3775" t="s">
        <v>4</v>
      </c>
      <c r="B3775" t="s">
        <v>8</v>
      </c>
      <c r="F3775" s="9" t="s">
        <v>11787</v>
      </c>
      <c r="G3775" t="s">
        <v>1107</v>
      </c>
    </row>
    <row r="3776" spans="1:7" hidden="1" x14ac:dyDescent="0.25">
      <c r="A3776" t="s">
        <v>4</v>
      </c>
      <c r="B3776" t="s">
        <v>9913</v>
      </c>
      <c r="F3776" s="9" t="s">
        <v>11790</v>
      </c>
      <c r="G3776" t="s">
        <v>1107</v>
      </c>
    </row>
    <row r="3777" spans="1:7" hidden="1" x14ac:dyDescent="0.25">
      <c r="A3777" t="s">
        <v>4</v>
      </c>
      <c r="B3777" t="s">
        <v>9913</v>
      </c>
      <c r="F3777" s="9" t="s">
        <v>11793</v>
      </c>
      <c r="G3777" t="s">
        <v>1107</v>
      </c>
    </row>
    <row r="3778" spans="1:7" hidden="1" x14ac:dyDescent="0.25">
      <c r="A3778" s="9" t="s">
        <v>11961</v>
      </c>
      <c r="F3778" s="9" t="s">
        <v>11796</v>
      </c>
      <c r="G3778" t="s">
        <v>1107</v>
      </c>
    </row>
    <row r="3779" spans="1:7" hidden="1" x14ac:dyDescent="0.25">
      <c r="A3779" t="s">
        <v>4</v>
      </c>
      <c r="B3779" t="s">
        <v>8</v>
      </c>
      <c r="F3779" s="9" t="s">
        <v>11799</v>
      </c>
      <c r="G3779" t="s">
        <v>1107</v>
      </c>
    </row>
    <row r="3780" spans="1:7" hidden="1" x14ac:dyDescent="0.25">
      <c r="A3780" t="s">
        <v>4</v>
      </c>
      <c r="B3780" t="s">
        <v>8</v>
      </c>
      <c r="F3780" s="9" t="s">
        <v>11802</v>
      </c>
      <c r="G3780" t="s">
        <v>1107</v>
      </c>
    </row>
    <row r="3781" spans="1:7" hidden="1" x14ac:dyDescent="0.25">
      <c r="A3781" t="s">
        <v>4</v>
      </c>
      <c r="B3781" t="s">
        <v>8</v>
      </c>
      <c r="F3781" s="9" t="s">
        <v>11805</v>
      </c>
      <c r="G3781" t="s">
        <v>1107</v>
      </c>
    </row>
    <row r="3782" spans="1:7" hidden="1" x14ac:dyDescent="0.25">
      <c r="A3782" t="s">
        <v>4</v>
      </c>
      <c r="B3782" t="s">
        <v>8</v>
      </c>
      <c r="F3782" s="9" t="s">
        <v>11808</v>
      </c>
      <c r="G3782" t="s">
        <v>1107</v>
      </c>
    </row>
    <row r="3783" spans="1:7" hidden="1" x14ac:dyDescent="0.25">
      <c r="A3783" t="s">
        <v>11962</v>
      </c>
      <c r="B3783" t="s">
        <v>2932</v>
      </c>
      <c r="F3783" s="9" t="s">
        <v>11811</v>
      </c>
      <c r="G3783" t="s">
        <v>1107</v>
      </c>
    </row>
    <row r="3784" spans="1:7" hidden="1" x14ac:dyDescent="0.25">
      <c r="A3784" t="s">
        <v>4</v>
      </c>
      <c r="B3784" t="s">
        <v>9913</v>
      </c>
      <c r="F3784" s="9" t="s">
        <v>11814</v>
      </c>
      <c r="G3784" t="s">
        <v>1107</v>
      </c>
    </row>
    <row r="3785" spans="1:7" hidden="1" x14ac:dyDescent="0.25">
      <c r="A3785" t="s">
        <v>4</v>
      </c>
      <c r="B3785" t="s">
        <v>8</v>
      </c>
      <c r="F3785" s="9" t="s">
        <v>11817</v>
      </c>
      <c r="G3785" t="s">
        <v>1107</v>
      </c>
    </row>
    <row r="3786" spans="1:7" hidden="1" x14ac:dyDescent="0.25">
      <c r="A3786" t="s">
        <v>4</v>
      </c>
      <c r="B3786" t="s">
        <v>8</v>
      </c>
      <c r="F3786" s="9" t="s">
        <v>11820</v>
      </c>
      <c r="G3786" t="s">
        <v>1934</v>
      </c>
    </row>
    <row r="3787" spans="1:7" hidden="1" x14ac:dyDescent="0.25">
      <c r="A3787" t="s">
        <v>4</v>
      </c>
      <c r="B3787" t="s">
        <v>8</v>
      </c>
      <c r="E3787" t="s">
        <v>2936</v>
      </c>
      <c r="F3787" s="9" t="s">
        <v>11823</v>
      </c>
      <c r="G3787" t="s">
        <v>1934</v>
      </c>
    </row>
    <row r="3788" spans="1:7" hidden="1" x14ac:dyDescent="0.25">
      <c r="A3788" t="s">
        <v>4</v>
      </c>
      <c r="B3788" t="s">
        <v>2932</v>
      </c>
      <c r="F3788" s="9" t="s">
        <v>11826</v>
      </c>
      <c r="G3788" t="s">
        <v>1934</v>
      </c>
    </row>
    <row r="3789" spans="1:7" hidden="1" x14ac:dyDescent="0.25">
      <c r="A3789" t="s">
        <v>4</v>
      </c>
      <c r="B3789" t="s">
        <v>2932</v>
      </c>
      <c r="F3789" s="9" t="s">
        <v>11829</v>
      </c>
      <c r="G3789" t="s">
        <v>1934</v>
      </c>
    </row>
    <row r="3790" spans="1:7" hidden="1" x14ac:dyDescent="0.25">
      <c r="A3790" s="9" t="s">
        <v>11961</v>
      </c>
      <c r="F3790" s="9" t="s">
        <v>11832</v>
      </c>
      <c r="G3790" t="s">
        <v>1934</v>
      </c>
    </row>
    <row r="3791" spans="1:7" hidden="1" x14ac:dyDescent="0.25">
      <c r="A3791" t="s">
        <v>4</v>
      </c>
      <c r="B3791" t="s">
        <v>8</v>
      </c>
      <c r="F3791" s="9" t="s">
        <v>11835</v>
      </c>
      <c r="G3791" t="s">
        <v>1934</v>
      </c>
    </row>
    <row r="3792" spans="1:7" hidden="1" x14ac:dyDescent="0.25">
      <c r="A3792" t="s">
        <v>2004</v>
      </c>
      <c r="B3792" t="s">
        <v>8</v>
      </c>
      <c r="F3792" s="9" t="s">
        <v>11838</v>
      </c>
      <c r="G3792" t="s">
        <v>1934</v>
      </c>
    </row>
    <row r="3793" spans="1:7" hidden="1" x14ac:dyDescent="0.25">
      <c r="A3793" t="s">
        <v>4</v>
      </c>
      <c r="B3793" t="s">
        <v>11963</v>
      </c>
      <c r="F3793" s="9" t="s">
        <v>11841</v>
      </c>
      <c r="G3793" t="s">
        <v>1934</v>
      </c>
    </row>
    <row r="3794" spans="1:7" hidden="1" x14ac:dyDescent="0.25">
      <c r="A3794" t="s">
        <v>4</v>
      </c>
      <c r="B3794" t="s">
        <v>11963</v>
      </c>
      <c r="E3794" t="s">
        <v>2936</v>
      </c>
      <c r="F3794" s="9" t="s">
        <v>11844</v>
      </c>
      <c r="G3794" t="s">
        <v>1934</v>
      </c>
    </row>
    <row r="3795" spans="1:7" x14ac:dyDescent="0.25">
      <c r="A3795" t="s">
        <v>4</v>
      </c>
      <c r="B3795" t="s">
        <v>8</v>
      </c>
      <c r="F3795" s="9" t="s">
        <v>11847</v>
      </c>
      <c r="G3795" t="s">
        <v>1997</v>
      </c>
    </row>
    <row r="3796" spans="1:7" x14ac:dyDescent="0.25">
      <c r="A3796" t="s">
        <v>4</v>
      </c>
      <c r="B3796" t="s">
        <v>8</v>
      </c>
      <c r="F3796" s="9" t="s">
        <v>11850</v>
      </c>
      <c r="G3796" t="s">
        <v>1997</v>
      </c>
    </row>
    <row r="3797" spans="1:7" x14ac:dyDescent="0.25">
      <c r="A3797" t="s">
        <v>159</v>
      </c>
      <c r="B3797" s="9" t="s">
        <v>11958</v>
      </c>
      <c r="F3797" s="9" t="s">
        <v>11853</v>
      </c>
      <c r="G3797" t="s">
        <v>1997</v>
      </c>
    </row>
    <row r="3798" spans="1:7" x14ac:dyDescent="0.25">
      <c r="A3798" t="s">
        <v>4</v>
      </c>
      <c r="B3798" t="s">
        <v>8</v>
      </c>
      <c r="F3798" s="9" t="s">
        <v>11856</v>
      </c>
      <c r="G3798" t="s">
        <v>1997</v>
      </c>
    </row>
    <row r="3799" spans="1:7" x14ac:dyDescent="0.25">
      <c r="A3799" t="s">
        <v>6171</v>
      </c>
      <c r="B3799" s="9" t="s">
        <v>4193</v>
      </c>
      <c r="F3799" s="9" t="s">
        <v>11859</v>
      </c>
      <c r="G3799" t="s">
        <v>1997</v>
      </c>
    </row>
    <row r="3800" spans="1:7" x14ac:dyDescent="0.25">
      <c r="A3800" t="s">
        <v>11957</v>
      </c>
      <c r="B3800" s="9" t="s">
        <v>4193</v>
      </c>
      <c r="F3800" s="9" t="s">
        <v>11862</v>
      </c>
      <c r="G3800" t="s">
        <v>1997</v>
      </c>
    </row>
    <row r="3801" spans="1:7" x14ac:dyDescent="0.25">
      <c r="A3801" t="s">
        <v>4</v>
      </c>
      <c r="B3801" t="s">
        <v>8</v>
      </c>
      <c r="F3801" s="9" t="s">
        <v>11865</v>
      </c>
      <c r="G3801" t="s">
        <v>1997</v>
      </c>
    </row>
    <row r="3802" spans="1:7" x14ac:dyDescent="0.25">
      <c r="A3802" t="s">
        <v>651</v>
      </c>
      <c r="B3802" t="s">
        <v>86</v>
      </c>
      <c r="F3802" s="9" t="s">
        <v>11868</v>
      </c>
      <c r="G3802" t="s">
        <v>1997</v>
      </c>
    </row>
    <row r="3803" spans="1:7" x14ac:dyDescent="0.25">
      <c r="A3803" t="s">
        <v>651</v>
      </c>
      <c r="B3803" t="s">
        <v>86</v>
      </c>
      <c r="E3803" t="s">
        <v>2936</v>
      </c>
      <c r="F3803" s="9" t="s">
        <v>11870</v>
      </c>
      <c r="G3803" t="s">
        <v>1997</v>
      </c>
    </row>
    <row r="3804" spans="1:7" x14ac:dyDescent="0.25">
      <c r="A3804" t="s">
        <v>11964</v>
      </c>
      <c r="B3804" t="s">
        <v>86</v>
      </c>
      <c r="F3804" s="9" t="s">
        <v>11873</v>
      </c>
      <c r="G3804" t="s">
        <v>1997</v>
      </c>
    </row>
  </sheetData>
  <phoneticPr fontId="2" type="noConversion"/>
  <conditionalFormatting sqref="C2:C11 C14 C16:C18 C23:C24">
    <cfRule type="notContainsText" dxfId="654" priority="553" operator="notContains" text="порожний">
      <formula>ISERROR(SEARCH("порожний",C2))</formula>
    </cfRule>
  </conditionalFormatting>
  <conditionalFormatting sqref="B11 A695 A697:A701 A825 B932 A3437:B3437 B3588:B3600">
    <cfRule type="containsText" dxfId="653" priority="552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52" priority="551" operator="notContains" text="порожний">
      <formula>ISERROR(SEARCH("порожний",C12))</formula>
    </cfRule>
  </conditionalFormatting>
  <conditionalFormatting sqref="B12:B14">
    <cfRule type="containsText" dxfId="651" priority="550" operator="containsText" text="Выезд с территории">
      <formula>NOT(ISERROR(SEARCH("Выезд с территории",B12)))</formula>
    </cfRule>
  </conditionalFormatting>
  <conditionalFormatting sqref="C15">
    <cfRule type="notContainsText" dxfId="650" priority="549" operator="notContains" text="порожний">
      <formula>ISERROR(SEARCH("порожний",C15))</formula>
    </cfRule>
  </conditionalFormatting>
  <conditionalFormatting sqref="C19:C22">
    <cfRule type="notContainsText" dxfId="649" priority="548" operator="notContains" text="порожний">
      <formula>ISERROR(SEARCH("порожний",C19))</formula>
    </cfRule>
  </conditionalFormatting>
  <conditionalFormatting sqref="C25">
    <cfRule type="notContainsText" dxfId="648" priority="547" operator="notContains" text="порожний">
      <formula>ISERROR(SEARCH("порожний",C25))</formula>
    </cfRule>
  </conditionalFormatting>
  <conditionalFormatting sqref="C26:C27">
    <cfRule type="notContainsText" dxfId="647" priority="546" operator="notContains" text="порожний">
      <formula>ISERROR(SEARCH("порожний",C26))</formula>
    </cfRule>
  </conditionalFormatting>
  <conditionalFormatting sqref="C29">
    <cfRule type="notContainsText" dxfId="646" priority="545" operator="notContains" text="порожний">
      <formula>ISERROR(SEARCH("порожний",C29))</formula>
    </cfRule>
  </conditionalFormatting>
  <conditionalFormatting sqref="C39">
    <cfRule type="notContainsText" dxfId="645" priority="540" operator="notContains" text="порожний">
      <formula>ISERROR(SEARCH("порожний",C39))</formula>
    </cfRule>
  </conditionalFormatting>
  <conditionalFormatting sqref="C32">
    <cfRule type="notContainsText" dxfId="644" priority="544" operator="notContains" text="порожний">
      <formula>ISERROR(SEARCH("порожний",C32))</formula>
    </cfRule>
  </conditionalFormatting>
  <conditionalFormatting sqref="C34">
    <cfRule type="notContainsText" dxfId="643" priority="543" operator="notContains" text="порожний">
      <formula>ISERROR(SEARCH("порожний",C34))</formula>
    </cfRule>
  </conditionalFormatting>
  <conditionalFormatting sqref="C36">
    <cfRule type="notContainsText" dxfId="642" priority="542" operator="notContains" text="порожний">
      <formula>ISERROR(SEARCH("порожний",C36))</formula>
    </cfRule>
  </conditionalFormatting>
  <conditionalFormatting sqref="C38">
    <cfRule type="notContainsText" dxfId="641" priority="541" operator="notContains" text="порожний">
      <formula>ISERROR(SEARCH("порожний",C38))</formula>
    </cfRule>
  </conditionalFormatting>
  <conditionalFormatting sqref="E147">
    <cfRule type="containsText" dxfId="640" priority="539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39" priority="538" operator="notContains" text="порожний">
      <formula>ISERROR(SEARCH("порожний",C581))</formula>
    </cfRule>
  </conditionalFormatting>
  <conditionalFormatting sqref="C586">
    <cfRule type="notContainsText" dxfId="638" priority="537" operator="notContains" text="порожний">
      <formula>ISERROR(SEARCH("порожний",C586))</formula>
    </cfRule>
  </conditionalFormatting>
  <conditionalFormatting sqref="B609">
    <cfRule type="containsText" dxfId="637" priority="536" operator="containsText" text="Выезд с территории">
      <formula>NOT(ISERROR(SEARCH("Выезд с территории",B609)))</formula>
    </cfRule>
  </conditionalFormatting>
  <conditionalFormatting sqref="B609 B932 B3437 B3588:B3600">
    <cfRule type="containsText" dxfId="636" priority="534" operator="containsText" text="Газель базы">
      <formula>NOT(ISERROR(SEARCH("Газель базы",B609)))</formula>
    </cfRule>
    <cfRule type="containsText" dxfId="635" priority="535" operator="containsText" text="Погрузчик базы">
      <formula>NOT(ISERROR(SEARCH("Погрузчик базы",B609)))</formula>
    </cfRule>
  </conditionalFormatting>
  <conditionalFormatting sqref="B609 B932 B3437 B3588:B3600">
    <cfRule type="containsText" dxfId="634" priority="533" operator="containsText" text="Трактор базы">
      <formula>NOT(ISERROR(SEARCH("Трактор базы",B609)))</formula>
    </cfRule>
  </conditionalFormatting>
  <conditionalFormatting sqref="B614">
    <cfRule type="containsText" dxfId="633" priority="529" operator="containsText" text="Трактор базы">
      <formula>NOT(ISERROR(SEARCH("Трактор базы",B614)))</formula>
    </cfRule>
  </conditionalFormatting>
  <conditionalFormatting sqref="B614">
    <cfRule type="containsText" dxfId="632" priority="532" operator="containsText" text="Выезд с территории">
      <formula>NOT(ISERROR(SEARCH("Выезд с территории",B614)))</formula>
    </cfRule>
  </conditionalFormatting>
  <conditionalFormatting sqref="B614">
    <cfRule type="containsText" dxfId="631" priority="530" operator="containsText" text="Газель базы">
      <formula>NOT(ISERROR(SEARCH("Газель базы",B614)))</formula>
    </cfRule>
    <cfRule type="containsText" dxfId="630" priority="531" operator="containsText" text="Погрузчик базы">
      <formula>NOT(ISERROR(SEARCH("Погрузчик базы",B614)))</formula>
    </cfRule>
  </conditionalFormatting>
  <conditionalFormatting sqref="C649">
    <cfRule type="notContainsText" dxfId="629" priority="528" operator="notContains" text="порожний">
      <formula>ISERROR(SEARCH("порожний",C649))</formula>
    </cfRule>
  </conditionalFormatting>
  <conditionalFormatting sqref="C655">
    <cfRule type="notContainsText" dxfId="628" priority="525" operator="notContains" text="порожний">
      <formula>ISERROR(SEARCH("порожний",C655))</formula>
    </cfRule>
  </conditionalFormatting>
  <conditionalFormatting sqref="C650">
    <cfRule type="notContainsText" dxfId="627" priority="527" operator="notContains" text="порожний">
      <formula>ISERROR(SEARCH("порожний",C650))</formula>
    </cfRule>
  </conditionalFormatting>
  <conditionalFormatting sqref="C654">
    <cfRule type="notContainsText" dxfId="626" priority="526" operator="notContains" text="порожний">
      <formula>ISERROR(SEARCH("порожний",C654))</formula>
    </cfRule>
  </conditionalFormatting>
  <conditionalFormatting sqref="A663:A666 A668:A670 A695 A697:A701 A825 A3437">
    <cfRule type="containsText" dxfId="625" priority="522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24" priority="524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23" priority="523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22" priority="519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21" priority="521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20" priority="520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19" priority="509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18" priority="518" operator="containsText" text="Выезд с территории">
      <formula>NOT(ISERROR(SEARCH("Выезд с территории",A681)))</formula>
    </cfRule>
  </conditionalFormatting>
  <conditionalFormatting sqref="A681">
    <cfRule type="containsText" dxfId="617" priority="517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16" priority="516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15" priority="512" operator="containsText" text="Трактор базы">
      <formula>NOT(ISERROR(SEARCH("Трактор базы",B682)))</formula>
    </cfRule>
  </conditionalFormatting>
  <conditionalFormatting sqref="B682">
    <cfRule type="containsText" dxfId="614" priority="515" operator="containsText" text="Выезд с территории">
      <formula>NOT(ISERROR(SEARCH("Выезд с территории",B682)))</formula>
    </cfRule>
  </conditionalFormatting>
  <conditionalFormatting sqref="B682">
    <cfRule type="containsText" dxfId="613" priority="513" operator="containsText" text="Газель базы">
      <formula>NOT(ISERROR(SEARCH("Газель базы",B682)))</formula>
    </cfRule>
    <cfRule type="containsText" dxfId="612" priority="514" operator="containsText" text="Погрузчик базы">
      <formula>NOT(ISERROR(SEARCH("Погрузчик базы",B682)))</formula>
    </cfRule>
  </conditionalFormatting>
  <conditionalFormatting sqref="A684:A687">
    <cfRule type="containsText" dxfId="611" priority="511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10" priority="510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09" priority="500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08" priority="502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07" priority="501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06" priority="497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05" priority="499" operator="containsText" text="Выезд с территории">
      <formula>NOT(ISERROR(SEARCH("Выезд с территории",A824)))</formula>
    </cfRule>
  </conditionalFormatting>
  <conditionalFormatting sqref="A824">
    <cfRule type="containsText" dxfId="604" priority="498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03" priority="493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02" priority="491" operator="containsText" text="Газель базы">
      <formula>NOT(ISERROR(SEARCH("Газель базы",B846)))</formula>
    </cfRule>
    <cfRule type="containsText" dxfId="601" priority="492" operator="containsText" text="Погрузчик базы">
      <formula>NOT(ISERROR(SEARCH("Погрузчик базы",B846)))</formula>
    </cfRule>
  </conditionalFormatting>
  <conditionalFormatting sqref="B846:B850">
    <cfRule type="containsText" dxfId="600" priority="490" operator="containsText" text="Трактор базы">
      <formula>NOT(ISERROR(SEARCH("Трактор базы",B846)))</formula>
    </cfRule>
  </conditionalFormatting>
  <conditionalFormatting sqref="A916:A917">
    <cfRule type="containsText" dxfId="599" priority="484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98" priority="489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97" priority="487" operator="containsText" text="Газель базы">
      <formula>NOT(ISERROR(SEARCH("Газель базы",B916)))</formula>
    </cfRule>
    <cfRule type="containsText" dxfId="596" priority="488" operator="containsText" text="Погрузчик базы">
      <formula>NOT(ISERROR(SEARCH("Погрузчик базы",B916)))</formula>
    </cfRule>
  </conditionalFormatting>
  <conditionalFormatting sqref="B916:B917">
    <cfRule type="containsText" dxfId="595" priority="486" operator="containsText" text="Трактор базы">
      <formula>NOT(ISERROR(SEARCH("Трактор базы",B916)))</formula>
    </cfRule>
  </conditionalFormatting>
  <conditionalFormatting sqref="A916:A917">
    <cfRule type="containsText" dxfId="594" priority="485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93" priority="483" operator="containsText" text="Выезд с территории">
      <formula>NOT(ISERROR(SEARCH("Выезд с территории",E916)))</formula>
    </cfRule>
  </conditionalFormatting>
  <conditionalFormatting sqref="A932">
    <cfRule type="containsText" dxfId="592" priority="460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91" priority="482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90" priority="480" operator="containsText" text="Газель базы">
      <formula>NOT(ISERROR(SEARCH("Газель базы",B918)))</formula>
    </cfRule>
    <cfRule type="containsText" dxfId="589" priority="481" operator="containsText" text="Погрузчик базы">
      <formula>NOT(ISERROR(SEARCH("Погрузчик базы",B918)))</formula>
    </cfRule>
  </conditionalFormatting>
  <conditionalFormatting sqref="B918:B924">
    <cfRule type="containsText" dxfId="588" priority="479" operator="containsText" text="Трактор базы">
      <formula>NOT(ISERROR(SEARCH("Трактор базы",B918)))</formula>
    </cfRule>
  </conditionalFormatting>
  <conditionalFormatting sqref="A918">
    <cfRule type="containsText" dxfId="587" priority="478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86" priority="477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85" priority="471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84" priority="476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83" priority="474" operator="containsText" text="Газель базы">
      <formula>NOT(ISERROR(SEARCH("Газель базы",B926)))</formula>
    </cfRule>
    <cfRule type="containsText" dxfId="582" priority="475" operator="containsText" text="Погрузчик базы">
      <formula>NOT(ISERROR(SEARCH("Погрузчик базы",B926)))</formula>
    </cfRule>
  </conditionalFormatting>
  <conditionalFormatting sqref="B926:B928">
    <cfRule type="containsText" dxfId="581" priority="473" operator="containsText" text="Трактор базы">
      <formula>NOT(ISERROR(SEARCH("Трактор базы",B926)))</formula>
    </cfRule>
  </conditionalFormatting>
  <conditionalFormatting sqref="A926:A928">
    <cfRule type="containsText" dxfId="580" priority="472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79" priority="470" operator="containsText" text="Выезд с территории">
      <formula>NOT(ISERROR(SEARCH("Выезд с территории",E926)))</formula>
    </cfRule>
  </conditionalFormatting>
  <conditionalFormatting sqref="A930">
    <cfRule type="containsText" dxfId="578" priority="464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77" priority="469" operator="containsText" text="Выезд с территории">
      <formula>NOT(ISERROR(SEARCH("Выезд с территории",A930)))</formula>
    </cfRule>
  </conditionalFormatting>
  <conditionalFormatting sqref="B930">
    <cfRule type="containsText" dxfId="576" priority="467" operator="containsText" text="Газель базы">
      <formula>NOT(ISERROR(SEARCH("Газель базы",B930)))</formula>
    </cfRule>
    <cfRule type="containsText" dxfId="575" priority="468" operator="containsText" text="Погрузчик базы">
      <formula>NOT(ISERROR(SEARCH("Погрузчик базы",B930)))</formula>
    </cfRule>
  </conditionalFormatting>
  <conditionalFormatting sqref="B930">
    <cfRule type="containsText" dxfId="574" priority="466" operator="containsText" text="Трактор базы">
      <formula>NOT(ISERROR(SEARCH("Трактор базы",B930)))</formula>
    </cfRule>
  </conditionalFormatting>
  <conditionalFormatting sqref="A930">
    <cfRule type="containsText" dxfId="573" priority="465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72" priority="463" operator="containsText" text="Выезд с территории">
      <formula>NOT(ISERROR(SEARCH("Выезд с территории",E930)))</formula>
    </cfRule>
  </conditionalFormatting>
  <conditionalFormatting sqref="A932">
    <cfRule type="containsText" dxfId="571" priority="462" operator="containsText" text="Выезд с территории">
      <formula>NOT(ISERROR(SEARCH("Выезд с территории",A932)))</formula>
    </cfRule>
  </conditionalFormatting>
  <conditionalFormatting sqref="A932">
    <cfRule type="containsText" dxfId="570" priority="461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69" priority="457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68" priority="459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67" priority="458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66" priority="456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65" priority="455" operator="notContains" text="порожний">
      <formula>ISERROR(SEARCH("порожний",C954))</formula>
    </cfRule>
  </conditionalFormatting>
  <conditionalFormatting sqref="B954:B956">
    <cfRule type="containsText" dxfId="564" priority="453" operator="containsText" text="Газель базы">
      <formula>NOT(ISERROR(SEARCH("Газель базы",B954)))</formula>
    </cfRule>
    <cfRule type="containsText" dxfId="563" priority="454" operator="containsText" text="Погрузчик базы">
      <formula>NOT(ISERROR(SEARCH("Погрузчик базы",B954)))</formula>
    </cfRule>
  </conditionalFormatting>
  <conditionalFormatting sqref="B954:B956">
    <cfRule type="containsText" dxfId="562" priority="452" operator="containsText" text="Трактор базы">
      <formula>NOT(ISERROR(SEARCH("Трактор базы",B954)))</formula>
    </cfRule>
  </conditionalFormatting>
  <conditionalFormatting sqref="A954:A956">
    <cfRule type="containsText" dxfId="561" priority="451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60" priority="450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59" priority="448" operator="notContains" text="порожний">
      <formula>ISERROR(SEARCH("порожний",C995))</formula>
    </cfRule>
  </conditionalFormatting>
  <conditionalFormatting sqref="C987">
    <cfRule type="notContainsText" dxfId="558" priority="449" operator="notContains" text="порожний">
      <formula>ISERROR(SEARCH("порожний",C987))</formula>
    </cfRule>
  </conditionalFormatting>
  <conditionalFormatting sqref="B999">
    <cfRule type="containsText" dxfId="557" priority="447" operator="containsText" text="Выезд с территории">
      <formula>NOT(ISERROR(SEARCH("Выезд с территории",B999)))</formula>
    </cfRule>
  </conditionalFormatting>
  <conditionalFormatting sqref="B999">
    <cfRule type="containsText" dxfId="556" priority="445" operator="containsText" text="Газель базы">
      <formula>NOT(ISERROR(SEARCH("Газель базы",B999)))</formula>
    </cfRule>
    <cfRule type="containsText" dxfId="555" priority="446" operator="containsText" text="Погрузчик базы">
      <formula>NOT(ISERROR(SEARCH("Погрузчик базы",B999)))</formula>
    </cfRule>
  </conditionalFormatting>
  <conditionalFormatting sqref="B999">
    <cfRule type="containsText" dxfId="554" priority="444" operator="containsText" text="Трактор базы">
      <formula>NOT(ISERROR(SEARCH("Трактор базы",B999)))</formula>
    </cfRule>
  </conditionalFormatting>
  <conditionalFormatting sqref="B1019:B1022">
    <cfRule type="containsText" dxfId="553" priority="440" operator="containsText" text="Трактор базы">
      <formula>NOT(ISERROR(SEARCH("Трактор базы",B1019)))</formula>
    </cfRule>
  </conditionalFormatting>
  <conditionalFormatting sqref="B1019:B1022">
    <cfRule type="containsText" dxfId="552" priority="443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51" priority="441" operator="containsText" text="Газель базы">
      <formula>NOT(ISERROR(SEARCH("Газель базы",B1019)))</formula>
    </cfRule>
    <cfRule type="containsText" dxfId="550" priority="442" operator="containsText" text="Погрузчик базы">
      <formula>NOT(ISERROR(SEARCH("Погрузчик базы",B1019)))</formula>
    </cfRule>
  </conditionalFormatting>
  <conditionalFormatting sqref="C966">
    <cfRule type="notContainsText" dxfId="549" priority="439" operator="notContains" text="порожний">
      <formula>ISERROR(SEARCH("порожний",C966))</formula>
    </cfRule>
  </conditionalFormatting>
  <conditionalFormatting sqref="A1029">
    <cfRule type="containsText" dxfId="548" priority="436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47" priority="438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46" priority="437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45" priority="435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44" priority="433" operator="containsText" text="Газель базы">
      <formula>NOT(ISERROR(SEARCH("Газель базы",B1030)))</formula>
    </cfRule>
    <cfRule type="containsText" dxfId="543" priority="434" operator="containsText" text="Погрузчик базы">
      <formula>NOT(ISERROR(SEARCH("Погрузчик базы",B1030)))</formula>
    </cfRule>
  </conditionalFormatting>
  <conditionalFormatting sqref="B1030">
    <cfRule type="containsText" dxfId="542" priority="432" operator="containsText" text="Трактор базы">
      <formula>NOT(ISERROR(SEARCH("Трактор базы",B1030)))</formula>
    </cfRule>
  </conditionalFormatting>
  <conditionalFormatting sqref="A1035">
    <cfRule type="containsText" dxfId="541" priority="426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40" priority="429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39" priority="431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38" priority="430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37" priority="428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36" priority="427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35" priority="425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34" priority="423" operator="containsText" text="Газель базы">
      <formula>NOT(ISERROR(SEARCH("Газель базы",B1138)))</formula>
    </cfRule>
    <cfRule type="containsText" dxfId="533" priority="424" operator="containsText" text="Погрузчик базы">
      <formula>NOT(ISERROR(SEARCH("Погрузчик базы",B1138)))</formula>
    </cfRule>
  </conditionalFormatting>
  <conditionalFormatting sqref="B1138:B1161">
    <cfRule type="containsText" dxfId="532" priority="422" operator="containsText" text="Трактор базы">
      <formula>NOT(ISERROR(SEARCH("Трактор базы",B1138)))</formula>
    </cfRule>
  </conditionalFormatting>
  <conditionalFormatting sqref="B1258:B1262">
    <cfRule type="containsText" dxfId="531" priority="406" operator="containsText" text="Трактор базы">
      <formula>NOT(ISERROR(SEARCH("Трактор базы",B1258)))</formula>
    </cfRule>
  </conditionalFormatting>
  <conditionalFormatting sqref="B1244:B1252">
    <cfRule type="containsText" dxfId="530" priority="421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29" priority="419" operator="containsText" text="Газель базы">
      <formula>NOT(ISERROR(SEARCH("Газель базы",B1244)))</formula>
    </cfRule>
    <cfRule type="containsText" dxfId="528" priority="420" operator="containsText" text="Погрузчик базы">
      <formula>NOT(ISERROR(SEARCH("Погрузчик базы",B1244)))</formula>
    </cfRule>
  </conditionalFormatting>
  <conditionalFormatting sqref="B1244:B1252">
    <cfRule type="containsText" dxfId="527" priority="418" operator="containsText" text="Трактор базы">
      <formula>NOT(ISERROR(SEARCH("Трактор базы",B1244)))</formula>
    </cfRule>
  </conditionalFormatting>
  <conditionalFormatting sqref="B1253:B1256">
    <cfRule type="containsText" dxfId="526" priority="417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25" priority="415" operator="containsText" text="Газель базы">
      <formula>NOT(ISERROR(SEARCH("Газель базы",B1253)))</formula>
    </cfRule>
    <cfRule type="containsText" dxfId="524" priority="416" operator="containsText" text="Погрузчик базы">
      <formula>NOT(ISERROR(SEARCH("Погрузчик базы",B1253)))</formula>
    </cfRule>
  </conditionalFormatting>
  <conditionalFormatting sqref="B1253:B1256">
    <cfRule type="containsText" dxfId="523" priority="414" operator="containsText" text="Трактор базы">
      <formula>NOT(ISERROR(SEARCH("Трактор базы",B1253)))</formula>
    </cfRule>
  </conditionalFormatting>
  <conditionalFormatting sqref="B1257">
    <cfRule type="containsText" dxfId="522" priority="413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21" priority="411" operator="containsText" text="Газель базы">
      <formula>NOT(ISERROR(SEARCH("Газель базы",B1257)))</formula>
    </cfRule>
    <cfRule type="containsText" dxfId="520" priority="412" operator="containsText" text="Погрузчик базы">
      <formula>NOT(ISERROR(SEARCH("Погрузчик базы",B1257)))</formula>
    </cfRule>
  </conditionalFormatting>
  <conditionalFormatting sqref="B1257">
    <cfRule type="containsText" dxfId="519" priority="410" operator="containsText" text="Трактор базы">
      <formula>NOT(ISERROR(SEARCH("Трактор базы",B1257)))</formula>
    </cfRule>
  </conditionalFormatting>
  <conditionalFormatting sqref="B1258:B1262">
    <cfRule type="containsText" dxfId="518" priority="409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17" priority="407" operator="containsText" text="Газель базы">
      <formula>NOT(ISERROR(SEARCH("Газель базы",B1258)))</formula>
    </cfRule>
    <cfRule type="containsText" dxfId="516" priority="408" operator="containsText" text="Погрузчик базы">
      <formula>NOT(ISERROR(SEARCH("Погрузчик базы",B1258)))</formula>
    </cfRule>
  </conditionalFormatting>
  <conditionalFormatting sqref="B1281:B1287">
    <cfRule type="containsText" dxfId="515" priority="405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14" priority="403" operator="containsText" text="Газель базы">
      <formula>NOT(ISERROR(SEARCH("Газель базы",B1281)))</formula>
    </cfRule>
    <cfRule type="containsText" dxfId="513" priority="404" operator="containsText" text="Погрузчик базы">
      <formula>NOT(ISERROR(SEARCH("Погрузчик базы",B1281)))</formula>
    </cfRule>
  </conditionalFormatting>
  <conditionalFormatting sqref="B1281:B1287">
    <cfRule type="containsText" dxfId="512" priority="402" operator="containsText" text="Трактор базы">
      <formula>NOT(ISERROR(SEARCH("Трактор базы",B1281)))</formula>
    </cfRule>
  </conditionalFormatting>
  <conditionalFormatting sqref="B1296">
    <cfRule type="containsText" dxfId="511" priority="398" operator="containsText" text="Трактор базы">
      <formula>NOT(ISERROR(SEARCH("Трактор базы",B1296)))</formula>
    </cfRule>
  </conditionalFormatting>
  <conditionalFormatting sqref="B1296">
    <cfRule type="containsText" dxfId="510" priority="401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09" priority="399" operator="containsText" text="Газель базы">
      <formula>NOT(ISERROR(SEARCH("Газель базы",B1296)))</formula>
    </cfRule>
    <cfRule type="containsText" dxfId="508" priority="400" operator="containsText" text="Погрузчик базы">
      <formula>NOT(ISERROR(SEARCH("Погрузчик базы",B1296)))</formula>
    </cfRule>
  </conditionalFormatting>
  <conditionalFormatting sqref="C1320:C1321">
    <cfRule type="notContainsText" dxfId="507" priority="396" operator="notContains" text="порожний">
      <formula>ISERROR(SEARCH("порожний",C1320))</formula>
    </cfRule>
  </conditionalFormatting>
  <conditionalFormatting sqref="A1323">
    <cfRule type="containsText" dxfId="506" priority="390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05" priority="393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04" priority="395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03" priority="394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02" priority="392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01" priority="391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00" priority="389" operator="notContains" text="порожний">
      <formula>ISERROR(SEARCH("порожний",C1336))</formula>
    </cfRule>
  </conditionalFormatting>
  <conditionalFormatting sqref="C1346">
    <cfRule type="notContainsText" dxfId="499" priority="388" operator="notContains" text="порожний">
      <formula>ISERROR(SEARCH("порожний",C1346))</formula>
    </cfRule>
  </conditionalFormatting>
  <conditionalFormatting sqref="A1391">
    <cfRule type="containsText" dxfId="498" priority="382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97" priority="384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96" priority="383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95" priority="379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94" priority="381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93" priority="380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92" priority="378" operator="notContains" text="порожний">
      <formula>ISERROR(SEARCH("порожний",C1606))</formula>
    </cfRule>
  </conditionalFormatting>
  <conditionalFormatting sqref="B1633:B1636">
    <cfRule type="containsText" dxfId="491" priority="377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90" priority="375" operator="containsText" text="Газель базы">
      <formula>NOT(ISERROR(SEARCH("Газель базы",B1633)))</formula>
    </cfRule>
    <cfRule type="containsText" dxfId="489" priority="376" operator="containsText" text="Погрузчик базы">
      <formula>NOT(ISERROR(SEARCH("Погрузчик базы",B1633)))</formula>
    </cfRule>
  </conditionalFormatting>
  <conditionalFormatting sqref="B1633:B1636">
    <cfRule type="containsText" dxfId="488" priority="374" operator="containsText" text="Трактор базы">
      <formula>NOT(ISERROR(SEARCH("Трактор базы",B1633)))</formula>
    </cfRule>
  </conditionalFormatting>
  <conditionalFormatting sqref="B1637:B1642">
    <cfRule type="containsText" dxfId="487" priority="373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86" priority="371" operator="containsText" text="Газель базы">
      <formula>NOT(ISERROR(SEARCH("Газель базы",B1637)))</formula>
    </cfRule>
    <cfRule type="containsText" dxfId="485" priority="372" operator="containsText" text="Погрузчик базы">
      <formula>NOT(ISERROR(SEARCH("Погрузчик базы",B1637)))</formula>
    </cfRule>
  </conditionalFormatting>
  <conditionalFormatting sqref="B1637:B1642">
    <cfRule type="containsText" dxfId="484" priority="370" operator="containsText" text="Трактор базы">
      <formula>NOT(ISERROR(SEARCH("Трактор базы",B1637)))</formula>
    </cfRule>
  </conditionalFormatting>
  <conditionalFormatting sqref="B1671:B1672">
    <cfRule type="containsText" dxfId="483" priority="366" operator="containsText" text="Трактор базы">
      <formula>NOT(ISERROR(SEARCH("Трактор базы",B1671)))</formula>
    </cfRule>
  </conditionalFormatting>
  <conditionalFormatting sqref="B1671:B1672">
    <cfRule type="containsText" dxfId="482" priority="369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81" priority="367" operator="containsText" text="Газель базы">
      <formula>NOT(ISERROR(SEARCH("Газель базы",B1671)))</formula>
    </cfRule>
    <cfRule type="containsText" dxfId="480" priority="368" operator="containsText" text="Погрузчик базы">
      <formula>NOT(ISERROR(SEARCH("Погрузчик базы",B1671)))</formula>
    </cfRule>
  </conditionalFormatting>
  <conditionalFormatting sqref="B1675">
    <cfRule type="containsText" dxfId="479" priority="362" operator="containsText" text="Трактор базы">
      <formula>NOT(ISERROR(SEARCH("Трактор базы",B1675)))</formula>
    </cfRule>
  </conditionalFormatting>
  <conditionalFormatting sqref="B1675">
    <cfRule type="containsText" dxfId="478" priority="365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77" priority="363" operator="containsText" text="Газель базы">
      <formula>NOT(ISERROR(SEARCH("Газель базы",B1675)))</formula>
    </cfRule>
    <cfRule type="containsText" dxfId="476" priority="364" operator="containsText" text="Погрузчик базы">
      <formula>NOT(ISERROR(SEARCH("Погрузчик базы",B1675)))</formula>
    </cfRule>
  </conditionalFormatting>
  <conditionalFormatting sqref="A1678">
    <cfRule type="containsText" dxfId="475" priority="359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74" priority="361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73" priority="360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72" priority="358" operator="notContains" text="порожний">
      <formula>ISERROR(SEARCH("порожний",C1723))</formula>
    </cfRule>
  </conditionalFormatting>
  <conditionalFormatting sqref="C1725:C1726">
    <cfRule type="notContainsText" dxfId="471" priority="357" operator="notContains" text="порожний">
      <formula>ISERROR(SEARCH("порожний",C1725))</formula>
    </cfRule>
  </conditionalFormatting>
  <conditionalFormatting sqref="C1727">
    <cfRule type="notContainsText" dxfId="470" priority="356" operator="notContains" text="порожний">
      <formula>ISERROR(SEARCH("порожний",C1727))</formula>
    </cfRule>
  </conditionalFormatting>
  <conditionalFormatting sqref="C1728">
    <cfRule type="notContainsText" dxfId="469" priority="355" operator="notContains" text="порожний">
      <formula>ISERROR(SEARCH("порожний",C1728))</formula>
    </cfRule>
  </conditionalFormatting>
  <conditionalFormatting sqref="B1732:B1733">
    <cfRule type="containsText" dxfId="468" priority="354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67" priority="352" operator="containsText" text="Газель базы">
      <formula>NOT(ISERROR(SEARCH("Газель базы",B1732)))</formula>
    </cfRule>
    <cfRule type="containsText" dxfId="466" priority="353" operator="containsText" text="Погрузчик базы">
      <formula>NOT(ISERROR(SEARCH("Погрузчик базы",B1732)))</formula>
    </cfRule>
  </conditionalFormatting>
  <conditionalFormatting sqref="B1732:B1733">
    <cfRule type="containsText" dxfId="465" priority="351" operator="containsText" text="Трактор базы">
      <formula>NOT(ISERROR(SEARCH("Трактор базы",B1732)))</formula>
    </cfRule>
  </conditionalFormatting>
  <conditionalFormatting sqref="B1734:B1735">
    <cfRule type="containsText" dxfId="464" priority="350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63" priority="348" operator="containsText" text="Газель базы">
      <formula>NOT(ISERROR(SEARCH("Газель базы",B1734)))</formula>
    </cfRule>
    <cfRule type="containsText" dxfId="462" priority="349" operator="containsText" text="Погрузчик базы">
      <formula>NOT(ISERROR(SEARCH("Погрузчик базы",B1734)))</formula>
    </cfRule>
  </conditionalFormatting>
  <conditionalFormatting sqref="B1734:B1735">
    <cfRule type="containsText" dxfId="461" priority="347" operator="containsText" text="Трактор базы">
      <formula>NOT(ISERROR(SEARCH("Трактор базы",B1734)))</formula>
    </cfRule>
  </conditionalFormatting>
  <conditionalFormatting sqref="B1762:B1764">
    <cfRule type="containsText" dxfId="460" priority="333" operator="containsText" text="Трактор базы">
      <formula>NOT(ISERROR(SEARCH("Трактор базы",B1762)))</formula>
    </cfRule>
  </conditionalFormatting>
  <conditionalFormatting sqref="B1740:B1741">
    <cfRule type="containsText" dxfId="459" priority="346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58" priority="344" operator="containsText" text="Газель базы">
      <formula>NOT(ISERROR(SEARCH("Газель базы",B1740)))</formula>
    </cfRule>
    <cfRule type="containsText" dxfId="457" priority="345" operator="containsText" text="Погрузчик базы">
      <formula>NOT(ISERROR(SEARCH("Погрузчик базы",B1740)))</formula>
    </cfRule>
  </conditionalFormatting>
  <conditionalFormatting sqref="B1740:B1741">
    <cfRule type="containsText" dxfId="456" priority="343" operator="containsText" text="Трактор базы">
      <formula>NOT(ISERROR(SEARCH("Трактор базы",B1740)))</formula>
    </cfRule>
  </conditionalFormatting>
  <conditionalFormatting sqref="A1755">
    <cfRule type="containsText" dxfId="455" priority="340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54" priority="342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53" priority="341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52" priority="337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51" priority="339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50" priority="338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49" priority="324" operator="containsText" text="Трактор базы">
      <formula>NOT(ISERROR(SEARCH("Трактор базы",B1773)))</formula>
    </cfRule>
  </conditionalFormatting>
  <conditionalFormatting sqref="B1762:B1764">
    <cfRule type="containsText" dxfId="448" priority="336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47" priority="334" operator="containsText" text="Газель базы">
      <formula>NOT(ISERROR(SEARCH("Газель базы",B1762)))</formula>
    </cfRule>
    <cfRule type="containsText" dxfId="446" priority="335" operator="containsText" text="Погрузчик базы">
      <formula>NOT(ISERROR(SEARCH("Погрузчик базы",B1762)))</formula>
    </cfRule>
  </conditionalFormatting>
  <conditionalFormatting sqref="B1776:B1777">
    <cfRule type="containsText" dxfId="445" priority="315" operator="containsText" text="Трактор базы">
      <formula>NOT(ISERROR(SEARCH("Трактор базы",B1776)))</formula>
    </cfRule>
  </conditionalFormatting>
  <conditionalFormatting sqref="B1770:B1771">
    <cfRule type="containsText" dxfId="444" priority="332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43" priority="330" operator="containsText" text="Газель базы">
      <formula>NOT(ISERROR(SEARCH("Газель базы",B1770)))</formula>
    </cfRule>
    <cfRule type="containsText" dxfId="442" priority="331" operator="containsText" text="Погрузчик базы">
      <formula>NOT(ISERROR(SEARCH("Погрузчик базы",B1770)))</formula>
    </cfRule>
  </conditionalFormatting>
  <conditionalFormatting sqref="B1770:B1771">
    <cfRule type="containsText" dxfId="441" priority="329" operator="containsText" text="Трактор базы">
      <formula>NOT(ISERROR(SEARCH("Трактор базы",B1770)))</formula>
    </cfRule>
  </conditionalFormatting>
  <conditionalFormatting sqref="B1773">
    <cfRule type="containsText" dxfId="440" priority="328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39" priority="327" operator="notContains" text="порожний">
      <formula>ISERROR(SEARCH("порожний",C1773))</formula>
    </cfRule>
  </conditionalFormatting>
  <conditionalFormatting sqref="B1773">
    <cfRule type="containsText" dxfId="438" priority="325" operator="containsText" text="Газель базы">
      <formula>NOT(ISERROR(SEARCH("Газель базы",B1773)))</formula>
    </cfRule>
    <cfRule type="containsText" dxfId="437" priority="326" operator="containsText" text="Погрузчик базы">
      <formula>NOT(ISERROR(SEARCH("Погрузчик базы",B1773)))</formula>
    </cfRule>
  </conditionalFormatting>
  <conditionalFormatting sqref="B1775">
    <cfRule type="containsText" dxfId="436" priority="319" operator="containsText" text="Трактор базы">
      <formula>NOT(ISERROR(SEARCH("Трактор базы",B1775)))</formula>
    </cfRule>
  </conditionalFormatting>
  <conditionalFormatting sqref="B1775">
    <cfRule type="containsText" dxfId="435" priority="323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34" priority="322" operator="notContains" text="порожний">
      <formula>ISERROR(SEARCH("порожний",C1775))</formula>
    </cfRule>
  </conditionalFormatting>
  <conditionalFormatting sqref="B1775">
    <cfRule type="containsText" dxfId="433" priority="320" operator="containsText" text="Газель базы">
      <formula>NOT(ISERROR(SEARCH("Газель базы",B1775)))</formula>
    </cfRule>
    <cfRule type="containsText" dxfId="432" priority="321" operator="containsText" text="Погрузчик базы">
      <formula>NOT(ISERROR(SEARCH("Погрузчик базы",B1775)))</formula>
    </cfRule>
  </conditionalFormatting>
  <conditionalFormatting sqref="B1776:B1777">
    <cfRule type="containsText" dxfId="431" priority="318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30" priority="316" operator="containsText" text="Газель базы">
      <formula>NOT(ISERROR(SEARCH("Газель базы",B1776)))</formula>
    </cfRule>
    <cfRule type="containsText" dxfId="429" priority="317" operator="containsText" text="Погрузчик базы">
      <formula>NOT(ISERROR(SEARCH("Погрузчик базы",B1776)))</formula>
    </cfRule>
  </conditionalFormatting>
  <conditionalFormatting sqref="B1891">
    <cfRule type="containsText" dxfId="428" priority="307" operator="containsText" text="Трактор базы">
      <formula>NOT(ISERROR(SEARCH("Трактор базы",B1891)))</formula>
    </cfRule>
  </conditionalFormatting>
  <conditionalFormatting sqref="B1889">
    <cfRule type="containsText" dxfId="427" priority="314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26" priority="312" operator="containsText" text="Газель базы">
      <formula>NOT(ISERROR(SEARCH("Газель базы",B1889)))</formula>
    </cfRule>
    <cfRule type="containsText" dxfId="425" priority="313" operator="containsText" text="Погрузчик базы">
      <formula>NOT(ISERROR(SEARCH("Погрузчик базы",B1889)))</formula>
    </cfRule>
  </conditionalFormatting>
  <conditionalFormatting sqref="B1889">
    <cfRule type="containsText" dxfId="424" priority="311" operator="containsText" text="Трактор базы">
      <formula>NOT(ISERROR(SEARCH("Трактор базы",B1889)))</formula>
    </cfRule>
  </conditionalFormatting>
  <conditionalFormatting sqref="B1891">
    <cfRule type="containsText" dxfId="423" priority="310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22" priority="308" operator="containsText" text="Газель базы">
      <formula>NOT(ISERROR(SEARCH("Газель базы",B1891)))</formula>
    </cfRule>
    <cfRule type="containsText" dxfId="421" priority="309" operator="containsText" text="Погрузчик базы">
      <formula>NOT(ISERROR(SEARCH("Погрузчик базы",B1891)))</formula>
    </cfRule>
  </conditionalFormatting>
  <conditionalFormatting sqref="B1920">
    <cfRule type="containsText" dxfId="420" priority="295" operator="containsText" text="Трактор базы">
      <formula>NOT(ISERROR(SEARCH("Трактор базы",B1920)))</formula>
    </cfRule>
  </conditionalFormatting>
  <conditionalFormatting sqref="B1904:B1914">
    <cfRule type="containsText" dxfId="419" priority="306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18" priority="304" operator="containsText" text="Газель базы">
      <formula>NOT(ISERROR(SEARCH("Газель базы",B1904)))</formula>
    </cfRule>
    <cfRule type="containsText" dxfId="417" priority="305" operator="containsText" text="Погрузчик базы">
      <formula>NOT(ISERROR(SEARCH("Погрузчик базы",B1904)))</formula>
    </cfRule>
  </conditionalFormatting>
  <conditionalFormatting sqref="B1904:B1914">
    <cfRule type="containsText" dxfId="416" priority="303" operator="containsText" text="Трактор базы">
      <formula>NOT(ISERROR(SEARCH("Трактор базы",B1904)))</formula>
    </cfRule>
  </conditionalFormatting>
  <conditionalFormatting sqref="B1915:B1919">
    <cfRule type="containsText" dxfId="415" priority="302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14" priority="300" operator="containsText" text="Газель базы">
      <formula>NOT(ISERROR(SEARCH("Газель базы",B1915)))</formula>
    </cfRule>
    <cfRule type="containsText" dxfId="413" priority="301" operator="containsText" text="Погрузчик базы">
      <formula>NOT(ISERROR(SEARCH("Погрузчик базы",B1915)))</formula>
    </cfRule>
  </conditionalFormatting>
  <conditionalFormatting sqref="B1915:B1919">
    <cfRule type="containsText" dxfId="412" priority="299" operator="containsText" text="Трактор базы">
      <formula>NOT(ISERROR(SEARCH("Трактор базы",B1915)))</formula>
    </cfRule>
  </conditionalFormatting>
  <conditionalFormatting sqref="B1920">
    <cfRule type="containsText" dxfId="411" priority="298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10" priority="296" operator="containsText" text="Газель базы">
      <formula>NOT(ISERROR(SEARCH("Газель базы",B1920)))</formula>
    </cfRule>
    <cfRule type="containsText" dxfId="409" priority="297" operator="containsText" text="Погрузчик базы">
      <formula>NOT(ISERROR(SEARCH("Погрузчик базы",B1920)))</formula>
    </cfRule>
  </conditionalFormatting>
  <conditionalFormatting sqref="B1939">
    <cfRule type="containsText" dxfId="408" priority="291" operator="containsText" text="Трактор базы">
      <formula>NOT(ISERROR(SEARCH("Трактор базы",B1939)))</formula>
    </cfRule>
  </conditionalFormatting>
  <conditionalFormatting sqref="B1939">
    <cfRule type="containsText" dxfId="407" priority="294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06" priority="292" operator="containsText" text="Газель базы">
      <formula>NOT(ISERROR(SEARCH("Газель базы",B1939)))</formula>
    </cfRule>
    <cfRule type="containsText" dxfId="405" priority="293" operator="containsText" text="Погрузчик базы">
      <formula>NOT(ISERROR(SEARCH("Погрузчик базы",B1939)))</formula>
    </cfRule>
  </conditionalFormatting>
  <conditionalFormatting sqref="A1943">
    <cfRule type="containsText" dxfId="404" priority="288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03" priority="290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02" priority="289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01" priority="272" operator="containsText" text="Трактор базы">
      <formula>NOT(ISERROR(SEARCH("Трактор базы",B1977)))</formula>
    </cfRule>
  </conditionalFormatting>
  <conditionalFormatting sqref="B1974">
    <cfRule type="containsText" dxfId="400" priority="287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99" priority="285" operator="containsText" text="Газель базы">
      <formula>NOT(ISERROR(SEARCH("Газель базы",B1974)))</formula>
    </cfRule>
    <cfRule type="containsText" dxfId="398" priority="286" operator="containsText" text="Погрузчик базы">
      <formula>NOT(ISERROR(SEARCH("Погрузчик базы",B1974)))</formula>
    </cfRule>
  </conditionalFormatting>
  <conditionalFormatting sqref="B1974">
    <cfRule type="containsText" dxfId="397" priority="284" operator="containsText" text="Трактор базы">
      <formula>NOT(ISERROR(SEARCH("Трактор базы",B1974)))</formula>
    </cfRule>
  </conditionalFormatting>
  <conditionalFormatting sqref="B1975">
    <cfRule type="containsText" dxfId="396" priority="283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95" priority="281" operator="containsText" text="Газель базы">
      <formula>NOT(ISERROR(SEARCH("Газель базы",B1975)))</formula>
    </cfRule>
    <cfRule type="containsText" dxfId="394" priority="282" operator="containsText" text="Погрузчик базы">
      <formula>NOT(ISERROR(SEARCH("Погрузчик базы",B1975)))</formula>
    </cfRule>
  </conditionalFormatting>
  <conditionalFormatting sqref="B1975">
    <cfRule type="containsText" dxfId="393" priority="280" operator="containsText" text="Трактор базы">
      <formula>NOT(ISERROR(SEARCH("Трактор базы",B1975)))</formula>
    </cfRule>
  </conditionalFormatting>
  <conditionalFormatting sqref="B1976">
    <cfRule type="containsText" dxfId="392" priority="279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91" priority="277" operator="containsText" text="Газель базы">
      <formula>NOT(ISERROR(SEARCH("Газель базы",B1976)))</formula>
    </cfRule>
    <cfRule type="containsText" dxfId="390" priority="278" operator="containsText" text="Погрузчик базы">
      <formula>NOT(ISERROR(SEARCH("Погрузчик базы",B1976)))</formula>
    </cfRule>
  </conditionalFormatting>
  <conditionalFormatting sqref="B1976">
    <cfRule type="containsText" dxfId="389" priority="276" operator="containsText" text="Трактор базы">
      <formula>NOT(ISERROR(SEARCH("Трактор базы",B1976)))</formula>
    </cfRule>
  </conditionalFormatting>
  <conditionalFormatting sqref="B1977">
    <cfRule type="containsText" dxfId="388" priority="275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87" priority="273" operator="containsText" text="Газель базы">
      <formula>NOT(ISERROR(SEARCH("Газель базы",B1977)))</formula>
    </cfRule>
    <cfRule type="containsText" dxfId="386" priority="274" operator="containsText" text="Погрузчик базы">
      <formula>NOT(ISERROR(SEARCH("Погрузчик базы",B1977)))</formula>
    </cfRule>
  </conditionalFormatting>
  <conditionalFormatting sqref="C1965">
    <cfRule type="notContainsText" dxfId="385" priority="271" operator="notContains" text="порожний">
      <formula>ISERROR(SEARCH("порожний",C1965))</formula>
    </cfRule>
  </conditionalFormatting>
  <conditionalFormatting sqref="B2042">
    <cfRule type="containsText" dxfId="384" priority="267" operator="containsText" text="Трактор базы">
      <formula>NOT(ISERROR(SEARCH("Трактор базы",B2042)))</formula>
    </cfRule>
  </conditionalFormatting>
  <conditionalFormatting sqref="B2042">
    <cfRule type="containsText" dxfId="383" priority="270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82" priority="268" operator="containsText" text="Газель базы">
      <formula>NOT(ISERROR(SEARCH("Газель базы",B2042)))</formula>
    </cfRule>
    <cfRule type="containsText" dxfId="381" priority="269" operator="containsText" text="Погрузчик базы">
      <formula>NOT(ISERROR(SEARCH("Погрузчик базы",B2042)))</formula>
    </cfRule>
  </conditionalFormatting>
  <conditionalFormatting sqref="C2050">
    <cfRule type="notContainsText" dxfId="380" priority="266" operator="notContains" text="порожний">
      <formula>ISERROR(SEARCH("порожний",C2050))</formula>
    </cfRule>
  </conditionalFormatting>
  <conditionalFormatting sqref="B2054">
    <cfRule type="containsText" dxfId="379" priority="265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78" priority="263" operator="containsText" text="Газель базы">
      <formula>NOT(ISERROR(SEARCH("Газель базы",B2054)))</formula>
    </cfRule>
    <cfRule type="containsText" dxfId="377" priority="264" operator="containsText" text="Погрузчик базы">
      <formula>NOT(ISERROR(SEARCH("Погрузчик базы",B2054)))</formula>
    </cfRule>
  </conditionalFormatting>
  <conditionalFormatting sqref="B2054">
    <cfRule type="containsText" dxfId="376" priority="262" operator="containsText" text="Трактор базы">
      <formula>NOT(ISERROR(SEARCH("Трактор базы",B2054)))</formula>
    </cfRule>
  </conditionalFormatting>
  <conditionalFormatting sqref="B2055">
    <cfRule type="containsText" dxfId="375" priority="258" operator="containsText" text="Трактор базы">
      <formula>NOT(ISERROR(SEARCH("Трактор базы",B2055)))</formula>
    </cfRule>
  </conditionalFormatting>
  <conditionalFormatting sqref="B2055">
    <cfRule type="containsText" dxfId="374" priority="261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73" priority="259" operator="containsText" text="Газель базы">
      <formula>NOT(ISERROR(SEARCH("Газель базы",B2055)))</formula>
    </cfRule>
    <cfRule type="containsText" dxfId="372" priority="260" operator="containsText" text="Погрузчик базы">
      <formula>NOT(ISERROR(SEARCH("Погрузчик базы",B2055)))</formula>
    </cfRule>
  </conditionalFormatting>
  <conditionalFormatting sqref="A2087:A2089">
    <cfRule type="containsText" dxfId="371" priority="251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70" priority="257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69" priority="256" operator="notContains" text="порожний">
      <formula>ISERROR(SEARCH("порожний",C2087))</formula>
    </cfRule>
  </conditionalFormatting>
  <conditionalFormatting sqref="B2087:B2089">
    <cfRule type="containsText" dxfId="368" priority="254" operator="containsText" text="Газель базы">
      <formula>NOT(ISERROR(SEARCH("Газель базы",B2087)))</formula>
    </cfRule>
    <cfRule type="containsText" dxfId="367" priority="255" operator="containsText" text="Погрузчик базы">
      <formula>NOT(ISERROR(SEARCH("Погрузчик базы",B2087)))</formula>
    </cfRule>
  </conditionalFormatting>
  <conditionalFormatting sqref="B2087:B2089">
    <cfRule type="containsText" dxfId="366" priority="253" operator="containsText" text="Трактор базы">
      <formula>NOT(ISERROR(SEARCH("Трактор базы",B2087)))</formula>
    </cfRule>
  </conditionalFormatting>
  <conditionalFormatting sqref="A2087:A2089">
    <cfRule type="containsText" dxfId="365" priority="252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64" priority="250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63" priority="248" operator="containsText" text="Газель базы">
      <formula>NOT(ISERROR(SEARCH("Газель базы",B2101)))</formula>
    </cfRule>
    <cfRule type="containsText" dxfId="362" priority="249" operator="containsText" text="Погрузчик базы">
      <formula>NOT(ISERROR(SEARCH("Погрузчик базы",B2101)))</formula>
    </cfRule>
  </conditionalFormatting>
  <conditionalFormatting sqref="B2101">
    <cfRule type="containsText" dxfId="361" priority="247" operator="containsText" text="Трактор базы">
      <formula>NOT(ISERROR(SEARCH("Трактор базы",B2101)))</formula>
    </cfRule>
  </conditionalFormatting>
  <conditionalFormatting sqref="B2102">
    <cfRule type="containsText" dxfId="360" priority="246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59" priority="244" operator="containsText" text="Газель базы">
      <formula>NOT(ISERROR(SEARCH("Газель базы",B2102)))</formula>
    </cfRule>
    <cfRule type="containsText" dxfId="358" priority="245" operator="containsText" text="Погрузчик базы">
      <formula>NOT(ISERROR(SEARCH("Погрузчик базы",B2102)))</formula>
    </cfRule>
  </conditionalFormatting>
  <conditionalFormatting sqref="B2102">
    <cfRule type="containsText" dxfId="357" priority="243" operator="containsText" text="Трактор базы">
      <formula>NOT(ISERROR(SEARCH("Трактор базы",B2102)))</formula>
    </cfRule>
  </conditionalFormatting>
  <conditionalFormatting sqref="B2103">
    <cfRule type="containsText" dxfId="356" priority="239" operator="containsText" text="Трактор базы">
      <formula>NOT(ISERROR(SEARCH("Трактор базы",B2103)))</formula>
    </cfRule>
  </conditionalFormatting>
  <conditionalFormatting sqref="B2103">
    <cfRule type="containsText" dxfId="355" priority="242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54" priority="240" operator="containsText" text="Газель базы">
      <formula>NOT(ISERROR(SEARCH("Газель базы",B2103)))</formula>
    </cfRule>
    <cfRule type="containsText" dxfId="353" priority="241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52" priority="236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51" priority="238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50" priority="237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49" priority="235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48" priority="233" operator="containsText" text="Газель базы">
      <formula>NOT(ISERROR(SEARCH("Газель базы",B2276)))</formula>
    </cfRule>
    <cfRule type="containsText" dxfId="347" priority="234" operator="containsText" text="Погрузчик базы">
      <formula>NOT(ISERROR(SEARCH("Погрузчик базы",B2276)))</formula>
    </cfRule>
  </conditionalFormatting>
  <conditionalFormatting sqref="B2276">
    <cfRule type="containsText" dxfId="346" priority="232" operator="containsText" text="Трактор базы">
      <formula>NOT(ISERROR(SEARCH("Трактор базы",B2276)))</formula>
    </cfRule>
  </conditionalFormatting>
  <conditionalFormatting sqref="B2277">
    <cfRule type="containsText" dxfId="345" priority="228" operator="containsText" text="Трактор базы">
      <formula>NOT(ISERROR(SEARCH("Трактор базы",B2277)))</formula>
    </cfRule>
  </conditionalFormatting>
  <conditionalFormatting sqref="B2277">
    <cfRule type="containsText" dxfId="344" priority="231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43" priority="229" operator="containsText" text="Газель базы">
      <formula>NOT(ISERROR(SEARCH("Газель базы",B2277)))</formula>
    </cfRule>
    <cfRule type="containsText" dxfId="342" priority="230" operator="containsText" text="Погрузчик базы">
      <formula>NOT(ISERROR(SEARCH("Погрузчик базы",B2277)))</formula>
    </cfRule>
  </conditionalFormatting>
  <conditionalFormatting sqref="A2279">
    <cfRule type="containsText" dxfId="341" priority="225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40" priority="227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39" priority="226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38" priority="222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37" priority="224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36" priority="223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35" priority="203" operator="containsText" text="Трактор базы">
      <formula>NOT(ISERROR(SEARCH("Трактор базы",B2382)))</formula>
    </cfRule>
  </conditionalFormatting>
  <conditionalFormatting sqref="B2348:B2349">
    <cfRule type="containsText" dxfId="334" priority="221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33" priority="219" operator="containsText" text="Газель базы">
      <formula>NOT(ISERROR(SEARCH("Газель базы",B2348)))</formula>
    </cfRule>
    <cfRule type="containsText" dxfId="332" priority="220" operator="containsText" text="Погрузчик базы">
      <formula>NOT(ISERROR(SEARCH("Погрузчик базы",B2348)))</formula>
    </cfRule>
  </conditionalFormatting>
  <conditionalFormatting sqref="B2348:B2349">
    <cfRule type="containsText" dxfId="331" priority="218" operator="containsText" text="Трактор базы">
      <formula>NOT(ISERROR(SEARCH("Трактор базы",B2348)))</formula>
    </cfRule>
  </conditionalFormatting>
  <conditionalFormatting sqref="A2350">
    <cfRule type="containsText" dxfId="330" priority="215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29" priority="217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28" priority="216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27" priority="214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26" priority="212" operator="containsText" text="Газель базы">
      <formula>NOT(ISERROR(SEARCH("Газель базы",B2352)))</formula>
    </cfRule>
    <cfRule type="containsText" dxfId="325" priority="213" operator="containsText" text="Погрузчик базы">
      <formula>NOT(ISERROR(SEARCH("Погрузчик базы",B2352)))</formula>
    </cfRule>
  </conditionalFormatting>
  <conditionalFormatting sqref="B2352:B2354">
    <cfRule type="containsText" dxfId="324" priority="211" operator="containsText" text="Трактор базы">
      <formula>NOT(ISERROR(SEARCH("Трактор базы",B2352)))</formula>
    </cfRule>
  </conditionalFormatting>
  <conditionalFormatting sqref="B2358">
    <cfRule type="containsText" dxfId="323" priority="210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22" priority="208" operator="containsText" text="Газель базы">
      <formula>NOT(ISERROR(SEARCH("Газель базы",B2358)))</formula>
    </cfRule>
    <cfRule type="containsText" dxfId="321" priority="209" operator="containsText" text="Погрузчик базы">
      <formula>NOT(ISERROR(SEARCH("Погрузчик базы",B2358)))</formula>
    </cfRule>
  </conditionalFormatting>
  <conditionalFormatting sqref="B2358">
    <cfRule type="containsText" dxfId="320" priority="207" operator="containsText" text="Трактор базы">
      <formula>NOT(ISERROR(SEARCH("Трактор базы",B2358)))</formula>
    </cfRule>
  </conditionalFormatting>
  <conditionalFormatting sqref="B2382">
    <cfRule type="containsText" dxfId="319" priority="206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18" priority="204" operator="containsText" text="Газель базы">
      <formula>NOT(ISERROR(SEARCH("Газель базы",B2382)))</formula>
    </cfRule>
    <cfRule type="containsText" dxfId="317" priority="205" operator="containsText" text="Погрузчик базы">
      <formula>NOT(ISERROR(SEARCH("Погрузчик базы",B2382)))</formula>
    </cfRule>
  </conditionalFormatting>
  <conditionalFormatting sqref="B2423:B2424">
    <cfRule type="containsText" dxfId="316" priority="202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15" priority="200" operator="containsText" text="Газель базы">
      <formula>NOT(ISERROR(SEARCH("Газель базы",B2423)))</formula>
    </cfRule>
    <cfRule type="containsText" dxfId="314" priority="201" operator="containsText" text="Погрузчик базы">
      <formula>NOT(ISERROR(SEARCH("Погрузчик базы",B2423)))</formula>
    </cfRule>
  </conditionalFormatting>
  <conditionalFormatting sqref="B2423:B2424">
    <cfRule type="containsText" dxfId="313" priority="199" operator="containsText" text="Трактор базы">
      <formula>NOT(ISERROR(SEARCH("Трактор базы",B2423)))</formula>
    </cfRule>
  </conditionalFormatting>
  <conditionalFormatting sqref="B2431">
    <cfRule type="containsText" dxfId="312" priority="198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11" priority="196" operator="containsText" text="Газель базы">
      <formula>NOT(ISERROR(SEARCH("Газель базы",B2431)))</formula>
    </cfRule>
    <cfRule type="containsText" dxfId="310" priority="197" operator="containsText" text="Погрузчик базы">
      <formula>NOT(ISERROR(SEARCH("Погрузчик базы",B2431)))</formula>
    </cfRule>
  </conditionalFormatting>
  <conditionalFormatting sqref="B2431">
    <cfRule type="containsText" dxfId="309" priority="195" operator="containsText" text="Трактор базы">
      <formula>NOT(ISERROR(SEARCH("Трактор базы",B2431)))</formula>
    </cfRule>
  </conditionalFormatting>
  <conditionalFormatting sqref="B2478">
    <cfRule type="containsText" dxfId="308" priority="183" operator="containsText" text="Трактор базы">
      <formula>NOT(ISERROR(SEARCH("Трактор базы",B2478)))</formula>
    </cfRule>
  </conditionalFormatting>
  <conditionalFormatting sqref="B2462:B2463">
    <cfRule type="containsText" dxfId="307" priority="194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06" priority="192" operator="containsText" text="Газель базы">
      <formula>NOT(ISERROR(SEARCH("Газель базы",B2462)))</formula>
    </cfRule>
    <cfRule type="containsText" dxfId="305" priority="193" operator="containsText" text="Погрузчик базы">
      <formula>NOT(ISERROR(SEARCH("Погрузчик базы",B2462)))</formula>
    </cfRule>
  </conditionalFormatting>
  <conditionalFormatting sqref="B2462:B2463">
    <cfRule type="containsText" dxfId="304" priority="191" operator="containsText" text="Трактор базы">
      <formula>NOT(ISERROR(SEARCH("Трактор базы",B2462)))</formula>
    </cfRule>
  </conditionalFormatting>
  <conditionalFormatting sqref="B2467">
    <cfRule type="containsText" dxfId="303" priority="190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02" priority="188" operator="containsText" text="Газель базы">
      <formula>NOT(ISERROR(SEARCH("Газель базы",B2467)))</formula>
    </cfRule>
    <cfRule type="containsText" dxfId="301" priority="189" operator="containsText" text="Погрузчик базы">
      <formula>NOT(ISERROR(SEARCH("Погрузчик базы",B2467)))</formula>
    </cfRule>
  </conditionalFormatting>
  <conditionalFormatting sqref="B2467">
    <cfRule type="containsText" dxfId="300" priority="187" operator="containsText" text="Трактор базы">
      <formula>NOT(ISERROR(SEARCH("Трактор базы",B2467)))</formula>
    </cfRule>
  </conditionalFormatting>
  <conditionalFormatting sqref="B2478">
    <cfRule type="containsText" dxfId="299" priority="186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98" priority="184" operator="containsText" text="Газель базы">
      <formula>NOT(ISERROR(SEARCH("Газель базы",B2478)))</formula>
    </cfRule>
    <cfRule type="containsText" dxfId="297" priority="185" operator="containsText" text="Погрузчик базы">
      <formula>NOT(ISERROR(SEARCH("Погрузчик базы",B2478)))</formula>
    </cfRule>
  </conditionalFormatting>
  <conditionalFormatting sqref="B2499">
    <cfRule type="containsText" dxfId="296" priority="171" operator="containsText" text="Трактор базы">
      <formula>NOT(ISERROR(SEARCH("Трактор базы",B2499)))</formula>
    </cfRule>
  </conditionalFormatting>
  <conditionalFormatting sqref="B2497">
    <cfRule type="containsText" dxfId="295" priority="182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94" priority="180" operator="containsText" text="Газель базы">
      <formula>NOT(ISERROR(SEARCH("Газель базы",B2497)))</formula>
    </cfRule>
    <cfRule type="containsText" dxfId="293" priority="181" operator="containsText" text="Погрузчик базы">
      <formula>NOT(ISERROR(SEARCH("Погрузчик базы",B2497)))</formula>
    </cfRule>
  </conditionalFormatting>
  <conditionalFormatting sqref="B2497">
    <cfRule type="containsText" dxfId="292" priority="179" operator="containsText" text="Трактор базы">
      <formula>NOT(ISERROR(SEARCH("Трактор базы",B2497)))</formula>
    </cfRule>
  </conditionalFormatting>
  <conditionalFormatting sqref="B2498">
    <cfRule type="containsText" dxfId="291" priority="178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90" priority="176" operator="containsText" text="Газель базы">
      <formula>NOT(ISERROR(SEARCH("Газель базы",B2498)))</formula>
    </cfRule>
    <cfRule type="containsText" dxfId="289" priority="177" operator="containsText" text="Погрузчик базы">
      <formula>NOT(ISERROR(SEARCH("Погрузчик базы",B2498)))</formula>
    </cfRule>
  </conditionalFormatting>
  <conditionalFormatting sqref="B2498">
    <cfRule type="containsText" dxfId="288" priority="175" operator="containsText" text="Трактор базы">
      <formula>NOT(ISERROR(SEARCH("Трактор базы",B2498)))</formula>
    </cfRule>
  </conditionalFormatting>
  <conditionalFormatting sqref="B2499">
    <cfRule type="containsText" dxfId="287" priority="174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86" priority="172" operator="containsText" text="Газель базы">
      <formula>NOT(ISERROR(SEARCH("Газель базы",B2499)))</formula>
    </cfRule>
    <cfRule type="containsText" dxfId="285" priority="173" operator="containsText" text="Погрузчик базы">
      <formula>NOT(ISERROR(SEARCH("Погрузчик базы",B2499)))</formula>
    </cfRule>
  </conditionalFormatting>
  <conditionalFormatting sqref="B2512:B2513">
    <cfRule type="containsText" dxfId="284" priority="145" operator="containsText" text="Трактор базы">
      <formula>NOT(ISERROR(SEARCH("Трактор базы",B2512)))</formula>
    </cfRule>
  </conditionalFormatting>
  <conditionalFormatting sqref="B2500">
    <cfRule type="containsText" dxfId="283" priority="170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82" priority="168" operator="containsText" text="Газель базы">
      <formula>NOT(ISERROR(SEARCH("Газель базы",B2500)))</formula>
    </cfRule>
    <cfRule type="containsText" dxfId="281" priority="169" operator="containsText" text="Погрузчик базы">
      <formula>NOT(ISERROR(SEARCH("Погрузчик базы",B2500)))</formula>
    </cfRule>
  </conditionalFormatting>
  <conditionalFormatting sqref="B2500">
    <cfRule type="containsText" dxfId="280" priority="167" operator="containsText" text="Трактор базы">
      <formula>NOT(ISERROR(SEARCH("Трактор базы",B2500)))</formula>
    </cfRule>
  </conditionalFormatting>
  <conditionalFormatting sqref="B2501">
    <cfRule type="containsText" dxfId="279" priority="166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78" priority="164" operator="containsText" text="Газель базы">
      <formula>NOT(ISERROR(SEARCH("Газель базы",B2501)))</formula>
    </cfRule>
    <cfRule type="containsText" dxfId="277" priority="165" operator="containsText" text="Погрузчик базы">
      <formula>NOT(ISERROR(SEARCH("Погрузчик базы",B2501)))</formula>
    </cfRule>
  </conditionalFormatting>
  <conditionalFormatting sqref="B2501">
    <cfRule type="containsText" dxfId="276" priority="163" operator="containsText" text="Трактор базы">
      <formula>NOT(ISERROR(SEARCH("Трактор базы",B2501)))</formula>
    </cfRule>
  </conditionalFormatting>
  <conditionalFormatting sqref="B2502">
    <cfRule type="containsText" dxfId="275" priority="159" operator="containsText" text="Трактор базы">
      <formula>NOT(ISERROR(SEARCH("Трактор базы",B2502)))</formula>
    </cfRule>
  </conditionalFormatting>
  <conditionalFormatting sqref="B2502">
    <cfRule type="containsText" dxfId="274" priority="162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73" priority="160" operator="containsText" text="Газель базы">
      <formula>NOT(ISERROR(SEARCH("Газель базы",B2502)))</formula>
    </cfRule>
    <cfRule type="containsText" dxfId="272" priority="161" operator="containsText" text="Погрузчик базы">
      <formula>NOT(ISERROR(SEARCH("Погрузчик базы",B2502)))</formula>
    </cfRule>
  </conditionalFormatting>
  <conditionalFormatting sqref="A2503:A2504">
    <cfRule type="containsText" dxfId="271" priority="156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70" priority="158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69" priority="157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68" priority="153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67" priority="155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66" priority="154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65" priority="152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64" priority="150" operator="containsText" text="Газель базы">
      <formula>NOT(ISERROR(SEARCH("Газель базы",B2509)))</formula>
    </cfRule>
    <cfRule type="containsText" dxfId="263" priority="151" operator="containsText" text="Погрузчик базы">
      <formula>NOT(ISERROR(SEARCH("Погрузчик базы",B2509)))</formula>
    </cfRule>
  </conditionalFormatting>
  <conditionalFormatting sqref="B2509">
    <cfRule type="containsText" dxfId="262" priority="149" operator="containsText" text="Трактор базы">
      <formula>NOT(ISERROR(SEARCH("Трактор базы",B2509)))</formula>
    </cfRule>
  </conditionalFormatting>
  <conditionalFormatting sqref="B2512:B2513">
    <cfRule type="containsText" dxfId="261" priority="148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60" priority="146" operator="containsText" text="Газель базы">
      <formula>NOT(ISERROR(SEARCH("Газель базы",B2512)))</formula>
    </cfRule>
    <cfRule type="containsText" dxfId="259" priority="147" operator="containsText" text="Погрузчик базы">
      <formula>NOT(ISERROR(SEARCH("Погрузчик базы",B2512)))</formula>
    </cfRule>
  </conditionalFormatting>
  <conditionalFormatting sqref="E2586">
    <cfRule type="containsText" dxfId="258" priority="144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57" priority="141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56" priority="143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55" priority="142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54" priority="140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53" priority="138" operator="containsText" text="Газель базы">
      <formula>NOT(ISERROR(SEARCH("Газель базы",B2810)))</formula>
    </cfRule>
    <cfRule type="containsText" dxfId="252" priority="139" operator="containsText" text="Погрузчик базы">
      <formula>NOT(ISERROR(SEARCH("Погрузчик базы",B2810)))</formula>
    </cfRule>
  </conditionalFormatting>
  <conditionalFormatting sqref="B2810:B2811">
    <cfRule type="containsText" dxfId="251" priority="137" operator="containsText" text="Трактор базы">
      <formula>NOT(ISERROR(SEARCH("Трактор базы",B2810)))</formula>
    </cfRule>
  </conditionalFormatting>
  <conditionalFormatting sqref="B2923:B2927">
    <cfRule type="containsText" dxfId="250" priority="133" operator="containsText" text="Трактор базы">
      <formula>NOT(ISERROR(SEARCH("Трактор базы",B2923)))</formula>
    </cfRule>
  </conditionalFormatting>
  <conditionalFormatting sqref="B2923:B2927">
    <cfRule type="containsText" dxfId="249" priority="136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48" priority="134" operator="containsText" text="Газель базы">
      <formula>NOT(ISERROR(SEARCH("Газель базы",B2923)))</formula>
    </cfRule>
    <cfRule type="containsText" dxfId="247" priority="135" operator="containsText" text="Погрузчик базы">
      <formula>NOT(ISERROR(SEARCH("Погрузчик базы",B2923)))</formula>
    </cfRule>
  </conditionalFormatting>
  <conditionalFormatting sqref="A2991">
    <cfRule type="containsText" dxfId="246" priority="132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45" priority="131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44" priority="130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43" priority="129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42" priority="127" operator="containsText" text="Газель базы">
      <formula>NOT(ISERROR(SEARCH("Газель базы",B2993)))</formula>
    </cfRule>
    <cfRule type="containsText" dxfId="241" priority="128" operator="containsText" text="Погрузчик базы">
      <formula>NOT(ISERROR(SEARCH("Погрузчик базы",B2993)))</formula>
    </cfRule>
  </conditionalFormatting>
  <conditionalFormatting sqref="B2993">
    <cfRule type="containsText" dxfId="240" priority="126" operator="containsText" text="Трактор базы">
      <formula>NOT(ISERROR(SEARCH("Трактор базы",B2993)))</formula>
    </cfRule>
  </conditionalFormatting>
  <conditionalFormatting sqref="B2995">
    <cfRule type="containsText" dxfId="239" priority="122" operator="containsText" text="Трактор базы">
      <formula>NOT(ISERROR(SEARCH("Трактор базы",B2995)))</formula>
    </cfRule>
  </conditionalFormatting>
  <conditionalFormatting sqref="B2995">
    <cfRule type="containsText" dxfId="238" priority="125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37" priority="123" operator="containsText" text="Газель базы">
      <formula>NOT(ISERROR(SEARCH("Газель базы",B2995)))</formula>
    </cfRule>
    <cfRule type="containsText" dxfId="236" priority="124" operator="containsText" text="Погрузчик базы">
      <formula>NOT(ISERROR(SEARCH("Погрузчик базы",B2995)))</formula>
    </cfRule>
  </conditionalFormatting>
  <conditionalFormatting sqref="A3008">
    <cfRule type="containsText" dxfId="235" priority="119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34" priority="121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33" priority="120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32" priority="116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31" priority="118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30" priority="117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29" priority="113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28" priority="115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27" priority="114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26" priority="109" operator="containsText" text="Трактор базы">
      <formula>NOT(ISERROR(SEARCH("Трактор базы",B3150)))</formula>
    </cfRule>
  </conditionalFormatting>
  <conditionalFormatting sqref="B3203">
    <cfRule type="containsText" dxfId="225" priority="101" operator="containsText" text="Трактор базы">
      <formula>NOT(ISERROR(SEARCH("Трактор базы",B3203)))</formula>
    </cfRule>
  </conditionalFormatting>
  <conditionalFormatting sqref="B3150:B3151">
    <cfRule type="containsText" dxfId="224" priority="112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23" priority="110" operator="containsText" text="Газель базы">
      <formula>NOT(ISERROR(SEARCH("Газель базы",B3150)))</formula>
    </cfRule>
    <cfRule type="containsText" dxfId="222" priority="111" operator="containsText" text="Погрузчик базы">
      <formula>NOT(ISERROR(SEARCH("Погрузчик базы",B3150)))</formula>
    </cfRule>
  </conditionalFormatting>
  <conditionalFormatting sqref="B3201">
    <cfRule type="containsText" dxfId="221" priority="105" operator="containsText" text="Трактор базы">
      <formula>NOT(ISERROR(SEARCH("Трактор базы",B3201)))</formula>
    </cfRule>
  </conditionalFormatting>
  <conditionalFormatting sqref="B3201">
    <cfRule type="containsText" dxfId="220" priority="108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19" priority="106" operator="containsText" text="Газель базы">
      <formula>NOT(ISERROR(SEARCH("Газель базы",B3201)))</formula>
    </cfRule>
    <cfRule type="containsText" dxfId="218" priority="107" operator="containsText" text="Погрузчик базы">
      <formula>NOT(ISERROR(SEARCH("Погрузчик базы",B3201)))</formula>
    </cfRule>
  </conditionalFormatting>
  <conditionalFormatting sqref="B3203">
    <cfRule type="containsText" dxfId="217" priority="104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16" priority="102" operator="containsText" text="Газель базы">
      <formula>NOT(ISERROR(SEARCH("Газель базы",B3203)))</formula>
    </cfRule>
    <cfRule type="containsText" dxfId="215" priority="103" operator="containsText" text="Погрузчик базы">
      <formula>NOT(ISERROR(SEARCH("Погрузчик базы",B3203)))</formula>
    </cfRule>
  </conditionalFormatting>
  <conditionalFormatting sqref="B3227:B3229">
    <cfRule type="containsText" dxfId="214" priority="100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13" priority="98" operator="containsText" text="Газель базы">
      <formula>NOT(ISERROR(SEARCH("Газель базы",B3227)))</formula>
    </cfRule>
    <cfRule type="containsText" dxfId="212" priority="99" operator="containsText" text="Погрузчик базы">
      <formula>NOT(ISERROR(SEARCH("Погрузчик базы",B3227)))</formula>
    </cfRule>
  </conditionalFormatting>
  <conditionalFormatting sqref="B3227:B3229">
    <cfRule type="containsText" dxfId="211" priority="97" operator="containsText" text="Трактор базы">
      <formula>NOT(ISERROR(SEARCH("Трактор базы",B3227)))</formula>
    </cfRule>
  </conditionalFormatting>
  <conditionalFormatting sqref="B3259:B3261">
    <cfRule type="containsText" dxfId="210" priority="96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09" priority="94" operator="containsText" text="Газель базы">
      <formula>NOT(ISERROR(SEARCH("Газель базы",B3259)))</formula>
    </cfRule>
    <cfRule type="containsText" dxfId="208" priority="95" operator="containsText" text="Погрузчик базы">
      <formula>NOT(ISERROR(SEARCH("Погрузчик базы",B3259)))</formula>
    </cfRule>
  </conditionalFormatting>
  <conditionalFormatting sqref="B3259:B3261">
    <cfRule type="containsText" dxfId="207" priority="93" operator="containsText" text="Трактор базы">
      <formula>NOT(ISERROR(SEARCH("Трактор базы",B3259)))</formula>
    </cfRule>
  </conditionalFormatting>
  <conditionalFormatting sqref="A3335:A3336 A3373:A3374">
    <cfRule type="containsText" dxfId="206" priority="87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05" priority="89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04" priority="88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03" priority="84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02" priority="86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01" priority="85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00" priority="83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99" priority="81" operator="containsText" text="Газель базы">
      <formula>NOT(ISERROR(SEARCH("Газель базы",B3364)))</formula>
    </cfRule>
    <cfRule type="containsText" dxfId="198" priority="82" operator="containsText" text="Погрузчик базы">
      <formula>NOT(ISERROR(SEARCH("Погрузчик базы",B3364)))</formula>
    </cfRule>
  </conditionalFormatting>
  <conditionalFormatting sqref="B3364:B3365">
    <cfRule type="containsText" dxfId="197" priority="80" operator="containsText" text="Трактор базы">
      <formula>NOT(ISERROR(SEARCH("Трактор базы",B3364)))</formula>
    </cfRule>
  </conditionalFormatting>
  <conditionalFormatting sqref="A3364">
    <cfRule type="containsText" dxfId="196" priority="79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95" priority="78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94" priority="77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93" priority="75" operator="containsText" text="Газель базы">
      <formula>NOT(ISERROR(SEARCH("Газель базы",B3366)))</formula>
    </cfRule>
    <cfRule type="containsText" dxfId="192" priority="76" operator="containsText" text="Погрузчик базы">
      <formula>NOT(ISERROR(SEARCH("Погрузчик базы",B3366)))</formula>
    </cfRule>
  </conditionalFormatting>
  <conditionalFormatting sqref="B3366">
    <cfRule type="containsText" dxfId="191" priority="74" operator="containsText" text="Трактор базы">
      <formula>NOT(ISERROR(SEARCH("Трактор базы",B3366)))</formula>
    </cfRule>
  </conditionalFormatting>
  <conditionalFormatting sqref="A3366">
    <cfRule type="containsText" dxfId="190" priority="73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89" priority="72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88" priority="71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87" priority="69" operator="containsText" text="Газель базы">
      <formula>NOT(ISERROR(SEARCH("Газель базы",B3367)))</formula>
    </cfRule>
    <cfRule type="containsText" dxfId="186" priority="70" operator="containsText" text="Погрузчик базы">
      <formula>NOT(ISERROR(SEARCH("Погрузчик базы",B3367)))</formula>
    </cfRule>
  </conditionalFormatting>
  <conditionalFormatting sqref="B3367">
    <cfRule type="containsText" dxfId="185" priority="68" operator="containsText" text="Трактор базы">
      <formula>NOT(ISERROR(SEARCH("Трактор базы",B3367)))</formula>
    </cfRule>
  </conditionalFormatting>
  <conditionalFormatting sqref="A3430:B3430">
    <cfRule type="containsText" dxfId="184" priority="67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83" priority="65" operator="containsText" text="Газель базы">
      <formula>NOT(ISERROR(SEARCH("Газель базы",B3430)))</formula>
    </cfRule>
    <cfRule type="containsText" dxfId="182" priority="66" operator="containsText" text="Погрузчик базы">
      <formula>NOT(ISERROR(SEARCH("Погрузчик базы",B3430)))</formula>
    </cfRule>
  </conditionalFormatting>
  <conditionalFormatting sqref="B3430">
    <cfRule type="containsText" dxfId="181" priority="64" operator="containsText" text="Трактор базы">
      <formula>NOT(ISERROR(SEARCH("Трактор базы",B3430)))</formula>
    </cfRule>
  </conditionalFormatting>
  <conditionalFormatting sqref="A3430">
    <cfRule type="containsText" dxfId="180" priority="63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79" priority="62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78" priority="53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77" priority="55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76" priority="54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75" priority="52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74" priority="50" operator="containsText" text="Газель базы">
      <formula>NOT(ISERROR(SEARCH("Газель базы",B3480)))</formula>
    </cfRule>
    <cfRule type="containsText" dxfId="173" priority="51" operator="containsText" text="Погрузчик базы">
      <formula>NOT(ISERROR(SEARCH("Погрузчик базы",B3480)))</formula>
    </cfRule>
  </conditionalFormatting>
  <conditionalFormatting sqref="B3480">
    <cfRule type="containsText" dxfId="172" priority="49" operator="containsText" text="Трактор базы">
      <formula>NOT(ISERROR(SEARCH("Трактор базы",B3480)))</formula>
    </cfRule>
  </conditionalFormatting>
  <conditionalFormatting sqref="A3480">
    <cfRule type="containsText" dxfId="171" priority="47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70" priority="48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69" priority="44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68" priority="46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67" priority="45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66" priority="41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65" priority="43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64" priority="42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63" priority="33" operator="containsText" text="Трактор базы">
      <formula>NOT(ISERROR(SEARCH("Трактор базы",B3601)))</formula>
    </cfRule>
  </conditionalFormatting>
  <conditionalFormatting sqref="B3601:B3612">
    <cfRule type="containsText" dxfId="162" priority="36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61" priority="34" operator="containsText" text="Газель базы">
      <formula>NOT(ISERROR(SEARCH("Газель базы",B3601)))</formula>
    </cfRule>
    <cfRule type="containsText" dxfId="160" priority="35" operator="containsText" text="Погрузчик базы">
      <formula>NOT(ISERROR(SEARCH("Погрузчик базы",B3601)))</formula>
    </cfRule>
  </conditionalFormatting>
  <conditionalFormatting sqref="A3696">
    <cfRule type="containsText" dxfId="159" priority="30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58" priority="32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57" priority="31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56" priority="27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55" priority="24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54" priority="29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53" priority="28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52" priority="26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51" priority="25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50" priority="23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49" priority="21" operator="containsText" text="Газель базы">
      <formula>NOT(ISERROR(SEARCH("Газель базы",B3750)))</formula>
    </cfRule>
    <cfRule type="containsText" dxfId="148" priority="22" operator="containsText" text="Погрузчик базы">
      <formula>NOT(ISERROR(SEARCH("Погрузчик базы",B3750)))</formula>
    </cfRule>
  </conditionalFormatting>
  <conditionalFormatting sqref="B3750:B3751">
    <cfRule type="containsText" dxfId="147" priority="20" operator="containsText" text="Трактор базы">
      <formula>NOT(ISERROR(SEARCH("Трактор базы",B3750)))</formula>
    </cfRule>
  </conditionalFormatting>
  <conditionalFormatting sqref="B3761:B3762">
    <cfRule type="containsText" dxfId="146" priority="19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45" priority="17" operator="containsText" text="Газель базы">
      <formula>NOT(ISERROR(SEARCH("Газель базы",B3761)))</formula>
    </cfRule>
    <cfRule type="containsText" dxfId="144" priority="18" operator="containsText" text="Погрузчик базы">
      <formula>NOT(ISERROR(SEARCH("Погрузчик базы",B3761)))</formula>
    </cfRule>
  </conditionalFormatting>
  <conditionalFormatting sqref="B3761:B3762">
    <cfRule type="containsText" dxfId="143" priority="16" operator="containsText" text="Трактор базы">
      <formula>NOT(ISERROR(SEARCH("Трактор базы",B3761)))</formula>
    </cfRule>
  </conditionalFormatting>
  <conditionalFormatting sqref="A3778">
    <cfRule type="containsText" dxfId="142" priority="15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41" priority="14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40" priority="13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39" priority="9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38" priority="12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37" priority="11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36" priority="10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05" priority="8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04" priority="6" operator="containsText" text="Газель базы">
      <formula>NOT(ISERROR(SEARCH("Газель базы",B3797)))</formula>
    </cfRule>
    <cfRule type="containsText" dxfId="103" priority="7" operator="containsText" text="Погрузчик базы">
      <formula>NOT(ISERROR(SEARCH("Погрузчик базы",B3797)))</formula>
    </cfRule>
  </conditionalFormatting>
  <conditionalFormatting sqref="B3797">
    <cfRule type="containsText" dxfId="102" priority="5" operator="containsText" text="Трактор базы">
      <formula>NOT(ISERROR(SEARCH("Трактор базы",B3797)))</formula>
    </cfRule>
  </conditionalFormatting>
  <conditionalFormatting sqref="B3799:B3800">
    <cfRule type="containsText" dxfId="101" priority="4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00" priority="2" operator="containsText" text="Газель базы">
      <formula>NOT(ISERROR(SEARCH("Газель базы",B3799)))</formula>
    </cfRule>
    <cfRule type="containsText" dxfId="99" priority="3" operator="containsText" text="Погрузчик базы">
      <formula>NOT(ISERROR(SEARCH("Погрузчик базы",B3799)))</formula>
    </cfRule>
  </conditionalFormatting>
  <conditionalFormatting sqref="B3799:B3800">
    <cfRule type="containsText" dxfId="98" priority="1" operator="containsText" text="Трактор базы">
      <formula>NOT(ISERROR(SEARCH("Трактор базы",B3799)))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33"/>
  <sheetViews>
    <sheetView topLeftCell="A219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6464</v>
      </c>
      <c r="J178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6467</v>
      </c>
      <c r="J179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t="s">
        <v>6479</v>
      </c>
      <c r="J180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6440</v>
      </c>
      <c r="J181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6410</v>
      </c>
      <c r="J182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6413</v>
      </c>
      <c r="J183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6416</v>
      </c>
      <c r="J184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t="s">
        <v>6310</v>
      </c>
      <c r="J185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t="s">
        <v>6404</v>
      </c>
      <c r="J186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6407</v>
      </c>
      <c r="J187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6419</v>
      </c>
      <c r="J188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6431</v>
      </c>
      <c r="J189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6434</v>
      </c>
      <c r="J190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6437</v>
      </c>
      <c r="J191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6422</v>
      </c>
      <c r="J192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6425</v>
      </c>
      <c r="J193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6428</v>
      </c>
      <c r="J194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t="s">
        <v>6548</v>
      </c>
      <c r="J195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t="s">
        <v>7502</v>
      </c>
      <c r="J196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t="s">
        <v>7505</v>
      </c>
      <c r="J197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t="s">
        <v>7508</v>
      </c>
      <c r="J19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t="s">
        <v>7511</v>
      </c>
      <c r="J199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t="s">
        <v>7514</v>
      </c>
      <c r="J200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t="s">
        <v>7819</v>
      </c>
      <c r="J201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t="s">
        <v>7822</v>
      </c>
      <c r="J202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t="s">
        <v>7825</v>
      </c>
      <c r="J203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t="s">
        <v>8228</v>
      </c>
      <c r="J204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t="s">
        <v>8982</v>
      </c>
      <c r="J205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t="s">
        <v>8979</v>
      </c>
      <c r="J206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t="s">
        <v>9507</v>
      </c>
      <c r="J207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t="s">
        <v>10394</v>
      </c>
      <c r="J208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t="s">
        <v>10377</v>
      </c>
      <c r="J20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t="s">
        <v>10380</v>
      </c>
      <c r="J210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t="s">
        <v>10653</v>
      </c>
      <c r="J211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t="s">
        <v>10656</v>
      </c>
      <c r="J212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t="s">
        <v>10659</v>
      </c>
      <c r="J213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t="s">
        <v>10662</v>
      </c>
      <c r="J214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4">
        <v>46052</v>
      </c>
      <c r="C215" s="6">
        <v>0.38785879629629627</v>
      </c>
      <c r="D215" s="2" t="s">
        <v>289</v>
      </c>
      <c r="E215" t="s">
        <v>70</v>
      </c>
      <c r="F215" t="s">
        <v>5093</v>
      </c>
      <c r="I215" t="s">
        <v>10911</v>
      </c>
      <c r="J215" t="s">
        <v>2991</v>
      </c>
      <c r="K215" t="s">
        <v>10912</v>
      </c>
      <c r="L215" t="s">
        <v>10913</v>
      </c>
      <c r="M215" s="3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4">
        <v>46052</v>
      </c>
      <c r="C216" s="6">
        <v>0.38319444444444445</v>
      </c>
      <c r="D216" s="2" t="s">
        <v>289</v>
      </c>
      <c r="E216" t="s">
        <v>70</v>
      </c>
      <c r="F216" t="s">
        <v>11007</v>
      </c>
      <c r="I216" t="s">
        <v>10959</v>
      </c>
      <c r="J216" t="s">
        <v>2985</v>
      </c>
      <c r="K216" t="s">
        <v>10960</v>
      </c>
      <c r="L216" t="s">
        <v>10961</v>
      </c>
      <c r="M216" s="3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t="s">
        <v>10962</v>
      </c>
      <c r="J217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0.38341435185185185</v>
      </c>
      <c r="D218" s="2" t="s">
        <v>289</v>
      </c>
      <c r="E218" t="s">
        <v>70</v>
      </c>
      <c r="F218" t="s">
        <v>11007</v>
      </c>
      <c r="H218" t="s">
        <v>2936</v>
      </c>
      <c r="I218" t="s">
        <v>10965</v>
      </c>
      <c r="J218" t="s">
        <v>2985</v>
      </c>
      <c r="K218" t="s">
        <v>10966</v>
      </c>
      <c r="L218" t="s">
        <v>10967</v>
      </c>
      <c r="M218" s="3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4">
        <v>46052</v>
      </c>
      <c r="C219" s="6">
        <v>0.38377314814814817</v>
      </c>
      <c r="D219" s="2" t="s">
        <v>289</v>
      </c>
      <c r="E219" t="s">
        <v>70</v>
      </c>
      <c r="F219" t="s">
        <v>11007</v>
      </c>
      <c r="H219" t="s">
        <v>2936</v>
      </c>
      <c r="I219" t="s">
        <v>10968</v>
      </c>
      <c r="J219" t="s">
        <v>2985</v>
      </c>
      <c r="K219" t="s">
        <v>10969</v>
      </c>
      <c r="L219" t="s">
        <v>10970</v>
      </c>
      <c r="M219" s="3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4">
        <v>46053</v>
      </c>
      <c r="C220" s="6">
        <v>0.49326388888888889</v>
      </c>
      <c r="D220" s="2" t="s">
        <v>289</v>
      </c>
      <c r="E220" t="s">
        <v>11124</v>
      </c>
      <c r="F220" t="s">
        <v>7167</v>
      </c>
      <c r="G220">
        <v>1</v>
      </c>
      <c r="I220" t="s">
        <v>11076</v>
      </c>
      <c r="J220" t="s">
        <v>2985</v>
      </c>
      <c r="K220" t="s">
        <v>11077</v>
      </c>
      <c r="L220" t="s">
        <v>11078</v>
      </c>
      <c r="M220" s="3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4">
        <v>46053</v>
      </c>
      <c r="C221" s="6">
        <v>0.49449074074074073</v>
      </c>
      <c r="D221" s="2" t="s">
        <v>289</v>
      </c>
      <c r="E221" t="s">
        <v>11124</v>
      </c>
      <c r="F221" t="s">
        <v>7167</v>
      </c>
      <c r="G221">
        <v>1</v>
      </c>
      <c r="I221" t="s">
        <v>11079</v>
      </c>
      <c r="J221" t="s">
        <v>2985</v>
      </c>
      <c r="K221" t="s">
        <v>11080</v>
      </c>
      <c r="L221" t="s">
        <v>11081</v>
      </c>
      <c r="M221" s="3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4">
        <v>46053</v>
      </c>
      <c r="C222" s="6">
        <v>0.49556712962962962</v>
      </c>
      <c r="D222" s="2" t="s">
        <v>289</v>
      </c>
      <c r="E222" t="s">
        <v>11124</v>
      </c>
      <c r="F222" t="s">
        <v>7167</v>
      </c>
      <c r="G222">
        <v>1</v>
      </c>
      <c r="I222" t="s">
        <v>11082</v>
      </c>
      <c r="J222" t="s">
        <v>2985</v>
      </c>
      <c r="K222" t="s">
        <v>11083</v>
      </c>
      <c r="L222" t="s">
        <v>11084</v>
      </c>
      <c r="M222" s="3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4">
        <v>46053</v>
      </c>
      <c r="C223" s="6">
        <v>0.49659722222222225</v>
      </c>
      <c r="D223" s="2" t="s">
        <v>289</v>
      </c>
      <c r="E223" t="s">
        <v>11124</v>
      </c>
      <c r="F223" t="s">
        <v>7167</v>
      </c>
      <c r="G223">
        <v>1</v>
      </c>
      <c r="I223" t="s">
        <v>11085</v>
      </c>
      <c r="J223" t="s">
        <v>2985</v>
      </c>
      <c r="K223" t="s">
        <v>11086</v>
      </c>
      <c r="L223" t="s">
        <v>11087</v>
      </c>
      <c r="M223" s="3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4">
        <v>46053</v>
      </c>
      <c r="C224" s="6">
        <v>0.49760416666666668</v>
      </c>
      <c r="D224" s="2" t="s">
        <v>289</v>
      </c>
      <c r="E224" t="s">
        <v>11124</v>
      </c>
      <c r="F224" t="s">
        <v>7167</v>
      </c>
      <c r="G224">
        <v>1</v>
      </c>
      <c r="I224" t="s">
        <v>11088</v>
      </c>
      <c r="J224" t="s">
        <v>2985</v>
      </c>
      <c r="K224" t="s">
        <v>11089</v>
      </c>
      <c r="L224" t="s">
        <v>11090</v>
      </c>
      <c r="M224" s="3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t="s">
        <v>11091</v>
      </c>
      <c r="J225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0.49983796296296296</v>
      </c>
      <c r="D226" s="2" t="s">
        <v>289</v>
      </c>
      <c r="E226" t="s">
        <v>11124</v>
      </c>
      <c r="F226" t="s">
        <v>7167</v>
      </c>
      <c r="G226">
        <v>1</v>
      </c>
      <c r="I226" t="s">
        <v>11094</v>
      </c>
      <c r="J226" t="s">
        <v>2985</v>
      </c>
      <c r="K226" t="s">
        <v>11095</v>
      </c>
      <c r="L226" t="s">
        <v>11096</v>
      </c>
      <c r="M226" s="3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4">
        <v>46053</v>
      </c>
      <c r="C227" s="6">
        <v>0.50087962962962962</v>
      </c>
      <c r="D227" s="2" t="s">
        <v>289</v>
      </c>
      <c r="E227" t="s">
        <v>11124</v>
      </c>
      <c r="F227" t="s">
        <v>7167</v>
      </c>
      <c r="G227">
        <v>1</v>
      </c>
      <c r="I227" t="s">
        <v>11097</v>
      </c>
      <c r="J227" t="s">
        <v>2985</v>
      </c>
      <c r="K227" t="s">
        <v>11098</v>
      </c>
      <c r="L227" t="s">
        <v>11099</v>
      </c>
      <c r="M227" s="3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4">
        <v>46053</v>
      </c>
      <c r="C228" s="6">
        <v>0.50236111111111115</v>
      </c>
      <c r="D228" s="2" t="s">
        <v>289</v>
      </c>
      <c r="E228" t="s">
        <v>11124</v>
      </c>
      <c r="F228" t="s">
        <v>7167</v>
      </c>
      <c r="G228">
        <v>1</v>
      </c>
      <c r="I228" t="s">
        <v>11100</v>
      </c>
      <c r="J228" t="s">
        <v>2985</v>
      </c>
      <c r="K228" t="s">
        <v>11101</v>
      </c>
      <c r="L228" t="s">
        <v>11102</v>
      </c>
      <c r="M228" s="3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4">
        <v>46053</v>
      </c>
      <c r="C229" s="6">
        <v>0.50332175925925926</v>
      </c>
      <c r="D229" s="2" t="s">
        <v>289</v>
      </c>
      <c r="E229" t="s">
        <v>11124</v>
      </c>
      <c r="F229" t="s">
        <v>7167</v>
      </c>
      <c r="G229">
        <v>1</v>
      </c>
      <c r="I229" t="s">
        <v>11103</v>
      </c>
      <c r="J229" t="s">
        <v>2985</v>
      </c>
      <c r="K229" t="s">
        <v>11104</v>
      </c>
      <c r="L229" t="s">
        <v>11105</v>
      </c>
      <c r="M229" s="3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4">
        <v>46053</v>
      </c>
      <c r="C230" s="6">
        <v>0.50494212962962959</v>
      </c>
      <c r="D230" s="2" t="s">
        <v>289</v>
      </c>
      <c r="E230" t="s">
        <v>11124</v>
      </c>
      <c r="F230" t="s">
        <v>7167</v>
      </c>
      <c r="G230">
        <v>1</v>
      </c>
      <c r="I230" t="s">
        <v>11106</v>
      </c>
      <c r="J230" t="s">
        <v>2985</v>
      </c>
      <c r="K230" t="s">
        <v>11107</v>
      </c>
      <c r="L230" t="s">
        <v>11108</v>
      </c>
      <c r="M230" s="3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4">
        <v>46056</v>
      </c>
      <c r="C231" s="6">
        <v>0.79167824074074078</v>
      </c>
      <c r="D231" s="2" t="s">
        <v>289</v>
      </c>
      <c r="E231" t="s">
        <v>6190</v>
      </c>
      <c r="F231" t="s">
        <v>11413</v>
      </c>
      <c r="I231" t="s">
        <v>11190</v>
      </c>
      <c r="J231" t="s">
        <v>2991</v>
      </c>
      <c r="K231" t="s">
        <v>11191</v>
      </c>
      <c r="L231" t="s">
        <v>11192</v>
      </c>
      <c r="M231" s="3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4">
        <v>46056</v>
      </c>
      <c r="C232" s="6">
        <v>0.79401620370370374</v>
      </c>
      <c r="D232" s="2" t="s">
        <v>289</v>
      </c>
      <c r="E232" t="s">
        <v>6190</v>
      </c>
      <c r="F232" t="s">
        <v>11413</v>
      </c>
      <c r="I232" t="s">
        <v>11193</v>
      </c>
      <c r="J232" t="s">
        <v>2991</v>
      </c>
      <c r="K232" t="s">
        <v>11194</v>
      </c>
      <c r="L232" t="s">
        <v>11195</v>
      </c>
      <c r="M232" s="3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4">
        <v>46058</v>
      </c>
      <c r="C233" s="6">
        <v>0.54972222222222222</v>
      </c>
      <c r="D233" s="2" t="s">
        <v>289</v>
      </c>
      <c r="E233" t="s">
        <v>70</v>
      </c>
      <c r="F233" t="s">
        <v>11637</v>
      </c>
      <c r="G233">
        <v>2</v>
      </c>
      <c r="I233" t="s">
        <v>11577</v>
      </c>
      <c r="J233" t="s">
        <v>2990</v>
      </c>
      <c r="K233" t="s">
        <v>11578</v>
      </c>
      <c r="L233" t="s">
        <v>11579</v>
      </c>
      <c r="M233" s="3" t="str">
        <f>HYPERLINK(Таблица3[[#This Row],[RelativePath]])</f>
        <v>3 Въезд на базу\E33149364_8_20260205T131136Z.jpg</v>
      </c>
    </row>
  </sheetData>
  <phoneticPr fontId="2" type="noConversion"/>
  <conditionalFormatting sqref="E234:E255 D2:E233">
    <cfRule type="containsText" dxfId="121" priority="7" operator="containsText" text="Выезд с территории">
      <formula>NOT(ISERROR(SEARCH("Выезд с территории",D2)))</formula>
    </cfRule>
  </conditionalFormatting>
  <conditionalFormatting sqref="D2:D233">
    <cfRule type="containsText" dxfId="120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3">
    <cfRule type="containsText" dxfId="119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5">
    <cfRule type="containsText" dxfId="118" priority="2" operator="containsText" text="Газель базы">
      <formula>NOT(ISERROR(SEARCH("Газель базы",E2)))</formula>
    </cfRule>
    <cfRule type="containsText" dxfId="117" priority="3" operator="containsText" text="Погрузчик базы">
      <formula>NOT(ISERROR(SEARCH("Погрузчик базы",E2)))</formula>
    </cfRule>
  </conditionalFormatting>
  <conditionalFormatting sqref="E2:E255">
    <cfRule type="containsText" dxfId="11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44"/>
  <sheetViews>
    <sheetView topLeftCell="A115" zoomScale="80" zoomScaleNormal="80" workbookViewId="0">
      <selection activeCell="E131" sqref="E131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s="9" t="s">
        <v>28</v>
      </c>
      <c r="J3" s="9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s="9" t="s">
        <v>27</v>
      </c>
      <c r="J4" s="9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s="9" t="s">
        <v>415</v>
      </c>
      <c r="J5" s="9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s="9" t="s">
        <v>36</v>
      </c>
      <c r="J6" s="9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s="9" t="s">
        <v>37</v>
      </c>
      <c r="J7" s="9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s="9" t="s">
        <v>38</v>
      </c>
      <c r="J8" s="9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s="9" t="s">
        <v>33</v>
      </c>
      <c r="J9" s="9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s="9" t="s">
        <v>34</v>
      </c>
      <c r="J10" s="9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s="9" t="s">
        <v>35</v>
      </c>
      <c r="J11" s="9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s="9" t="s">
        <v>42</v>
      </c>
      <c r="J12" s="9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s="9" t="s">
        <v>41</v>
      </c>
      <c r="J13" s="9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s="9" t="s">
        <v>81</v>
      </c>
      <c r="J14" s="9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s="9" t="s">
        <v>83</v>
      </c>
      <c r="J16" s="9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s="9" t="s">
        <v>77</v>
      </c>
      <c r="J18" s="9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s="9" t="s">
        <v>79</v>
      </c>
      <c r="J20" s="9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s="9" t="s">
        <v>1112</v>
      </c>
      <c r="J22" s="9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s="9" t="s">
        <v>1114</v>
      </c>
      <c r="J23" s="9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s="9" t="s">
        <v>2003</v>
      </c>
      <c r="J24" s="9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s="9" t="s">
        <v>1108</v>
      </c>
      <c r="J25" s="9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s="9" t="s">
        <v>1110</v>
      </c>
      <c r="J26" s="9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s="9" t="s">
        <v>1111</v>
      </c>
      <c r="J27" s="9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s="9" t="s">
        <v>2054</v>
      </c>
      <c r="J28" s="9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s="9" t="s">
        <v>2053</v>
      </c>
      <c r="J29" s="9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s="9" t="s">
        <v>2052</v>
      </c>
      <c r="J30" s="9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s="9" t="s">
        <v>2058</v>
      </c>
      <c r="J31" s="9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s="9" t="s">
        <v>2057</v>
      </c>
      <c r="J32" s="9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s="9" t="s">
        <v>3231</v>
      </c>
      <c r="J33" s="9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s="9" t="s">
        <v>3234</v>
      </c>
      <c r="J34" s="9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s="9" t="s">
        <v>3225</v>
      </c>
      <c r="J35" s="9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s="9" t="s">
        <v>3228</v>
      </c>
      <c r="J36" s="9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s="9" t="s">
        <v>3240</v>
      </c>
      <c r="J37" s="9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s="9" t="s">
        <v>3237</v>
      </c>
      <c r="J38" s="9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s="9" t="s">
        <v>3246</v>
      </c>
      <c r="J39" s="9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s="9" t="s">
        <v>3243</v>
      </c>
      <c r="J40" s="9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s="9" t="s">
        <v>3255</v>
      </c>
      <c r="J41" s="9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s="9" t="s">
        <v>3258</v>
      </c>
      <c r="J42" s="9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s="9" t="s">
        <v>3249</v>
      </c>
      <c r="J43" s="9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s="9" t="s">
        <v>3252</v>
      </c>
      <c r="J44" s="9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s="9" t="s">
        <v>4405</v>
      </c>
      <c r="J45" s="9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s="9" t="s">
        <v>4402</v>
      </c>
      <c r="J46" s="9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s="9" t="s">
        <v>5146</v>
      </c>
      <c r="J47" s="9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s="9" t="s">
        <v>5144</v>
      </c>
      <c r="J48" s="9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s="9" t="s">
        <v>5274</v>
      </c>
      <c r="J49" s="9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s="9" t="s">
        <v>5272</v>
      </c>
      <c r="J50" s="9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s="9" t="s">
        <v>5490</v>
      </c>
      <c r="J51" s="9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s="9" t="s">
        <v>5493</v>
      </c>
      <c r="J52" s="9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s="9" t="s">
        <v>5496</v>
      </c>
      <c r="J53" s="9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s="9" t="s">
        <v>5481</v>
      </c>
      <c r="J54" s="9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s="9" t="s">
        <v>5484</v>
      </c>
      <c r="J55" s="9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s="9" t="s">
        <v>5487</v>
      </c>
      <c r="J56" s="9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s="9" t="s">
        <v>5502</v>
      </c>
      <c r="J57" s="9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s="9" t="s">
        <v>5499</v>
      </c>
      <c r="J58" s="9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s="9" t="s">
        <v>6035</v>
      </c>
      <c r="J59" s="9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s="9" t="s">
        <v>6038</v>
      </c>
      <c r="J60" s="9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s="9" t="s">
        <v>6041</v>
      </c>
      <c r="J61" s="9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s="9" t="s">
        <v>6032</v>
      </c>
      <c r="J62" s="9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s="9" t="s">
        <v>6023</v>
      </c>
      <c r="J63" s="9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s="9" t="s">
        <v>6026</v>
      </c>
      <c r="J64" s="9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s="9" t="s">
        <v>6029</v>
      </c>
      <c r="J65" s="9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s="9" t="s">
        <v>6269</v>
      </c>
      <c r="J66" s="9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s="9" t="s">
        <v>6278</v>
      </c>
      <c r="J67" s="9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s="9" t="s">
        <v>6266</v>
      </c>
      <c r="J68" s="9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s="9" t="s">
        <v>6263</v>
      </c>
      <c r="J69" s="9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s="9" t="s">
        <v>6343</v>
      </c>
      <c r="J70" s="9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s="9" t="s">
        <v>6539</v>
      </c>
      <c r="J71" s="9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s="9" t="s">
        <v>6542</v>
      </c>
      <c r="J72" s="9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s="9" t="s">
        <v>6533</v>
      </c>
      <c r="J73" s="9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s="9" t="s">
        <v>6536</v>
      </c>
      <c r="J74" s="9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s="9" t="s">
        <v>6679</v>
      </c>
      <c r="J75" s="9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s="9" t="s">
        <v>6667</v>
      </c>
      <c r="J76" s="9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s="9" t="s">
        <v>7245</v>
      </c>
      <c r="J77" s="9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s="9" t="s">
        <v>7242</v>
      </c>
      <c r="J78" s="9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s="9" t="s">
        <v>7251</v>
      </c>
      <c r="J79" s="9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s="9" t="s">
        <v>7248</v>
      </c>
      <c r="J80" s="9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s="9" t="s">
        <v>7421</v>
      </c>
      <c r="J81" s="9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s="9" t="s">
        <v>7436</v>
      </c>
      <c r="J82" s="9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s="9" t="s">
        <v>7430</v>
      </c>
      <c r="J83" s="9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s="9" t="s">
        <v>7424</v>
      </c>
      <c r="J84" s="9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s="9" t="s">
        <v>7726</v>
      </c>
      <c r="J85" s="9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s="9" t="s">
        <v>7723</v>
      </c>
      <c r="J86" s="9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s="9" t="s">
        <v>7896</v>
      </c>
      <c r="J87" s="9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s="9" t="s">
        <v>7899</v>
      </c>
      <c r="J88" s="9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s="9" t="s">
        <v>7890</v>
      </c>
      <c r="J89" s="9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s="9" t="s">
        <v>7893</v>
      </c>
      <c r="J90" s="9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s="9" t="s">
        <v>7917</v>
      </c>
      <c r="J91" s="9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s="9" t="s">
        <v>7920</v>
      </c>
      <c r="J92" s="9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s="9" t="s">
        <v>7923</v>
      </c>
      <c r="J93" s="9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s="9" t="s">
        <v>7902</v>
      </c>
      <c r="J94" s="9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s="9" t="s">
        <v>7905</v>
      </c>
      <c r="J95" s="9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s="9" t="s">
        <v>7911</v>
      </c>
      <c r="J96" s="9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s="9" t="s">
        <v>8378</v>
      </c>
      <c r="J97" s="9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s="9" t="s">
        <v>8375</v>
      </c>
      <c r="J98" s="9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s="9" t="s">
        <v>8511</v>
      </c>
      <c r="J99" s="9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s="9" t="s">
        <v>8508</v>
      </c>
      <c r="J100" s="9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s="9" t="s">
        <v>8520</v>
      </c>
      <c r="J101" s="9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s="9" t="s">
        <v>8517</v>
      </c>
      <c r="J102" s="9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s="9" t="s">
        <v>8526</v>
      </c>
      <c r="J103" s="9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s="9" t="s">
        <v>8523</v>
      </c>
      <c r="J104" s="9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s="9" t="s">
        <v>8538</v>
      </c>
      <c r="J105" s="9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s="9" t="s">
        <v>8541</v>
      </c>
      <c r="J106" s="9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s="9" t="s">
        <v>8544</v>
      </c>
      <c r="J107" s="9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s="9" t="s">
        <v>8529</v>
      </c>
      <c r="J108" s="9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s="9" t="s">
        <v>8532</v>
      </c>
      <c r="J109" s="9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s="9" t="s">
        <v>8535</v>
      </c>
      <c r="J110" s="9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s="9" t="s">
        <v>8553</v>
      </c>
      <c r="J111" s="9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s="9" t="s">
        <v>8550</v>
      </c>
      <c r="J112" s="9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s="9" t="s">
        <v>8858</v>
      </c>
      <c r="J113" s="9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s="9" t="s">
        <v>8855</v>
      </c>
      <c r="J114" s="9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s="9" t="s">
        <v>9246</v>
      </c>
      <c r="J115" s="9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s="9" t="s">
        <v>9243</v>
      </c>
      <c r="J116" s="9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s="9" t="s">
        <v>9252</v>
      </c>
      <c r="J117" s="9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s="9" t="s">
        <v>9600</v>
      </c>
      <c r="J118" s="9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s="9" t="s">
        <v>9603</v>
      </c>
      <c r="J119" s="9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s="9" t="s">
        <v>9606</v>
      </c>
      <c r="J120" s="9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s="9" t="s">
        <v>9591</v>
      </c>
      <c r="J121" s="9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s="9" t="s">
        <v>9594</v>
      </c>
      <c r="J122" s="9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s="9" t="s">
        <v>9597</v>
      </c>
      <c r="J123" s="9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s="9" t="s">
        <v>10158</v>
      </c>
      <c r="J124" s="9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s="9" t="s">
        <v>9933</v>
      </c>
      <c r="J125" s="9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s="9" t="s">
        <v>9930</v>
      </c>
      <c r="J126" s="9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s="9" t="s">
        <v>10149</v>
      </c>
      <c r="J127" s="9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s="9" t="s">
        <v>10152</v>
      </c>
      <c r="J128" s="9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s="9" t="s">
        <v>10155</v>
      </c>
      <c r="J129" s="9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s="9" t="s">
        <v>10161</v>
      </c>
      <c r="J130" s="9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s="9" t="s">
        <v>10143</v>
      </c>
      <c r="J131" s="9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s="9" t="s">
        <v>10146</v>
      </c>
      <c r="J132" s="9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s="9" t="s">
        <v>10719</v>
      </c>
      <c r="J133" s="9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s="9" t="s">
        <v>11016</v>
      </c>
      <c r="J134" s="9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s="9" t="s">
        <v>11013</v>
      </c>
      <c r="J135" s="9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s="9" t="s">
        <v>11010</v>
      </c>
      <c r="J136" s="9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  <row r="137" spans="1:13" x14ac:dyDescent="0.25">
      <c r="A137" t="s">
        <v>14</v>
      </c>
      <c r="B137" s="4">
        <v>46056</v>
      </c>
      <c r="C137" s="6">
        <v>0.56745370370370374</v>
      </c>
      <c r="D137" s="7" t="s">
        <v>62</v>
      </c>
      <c r="E137" t="s">
        <v>11412</v>
      </c>
      <c r="F137" t="s">
        <v>51</v>
      </c>
      <c r="I137" s="9" t="s">
        <v>11151</v>
      </c>
      <c r="J137" s="9" t="s">
        <v>2981</v>
      </c>
      <c r="K137" t="s">
        <v>11152</v>
      </c>
      <c r="L137" t="s">
        <v>11153</v>
      </c>
      <c r="M137" s="3" t="str">
        <f>HYPERLINK(СторонТрансп[[#This Row],[RelativePath]])</f>
        <v>1 Ангар Склад 2 въезд\E33149364_6_20260203T133708Z.jpg</v>
      </c>
    </row>
    <row r="138" spans="1:13" x14ac:dyDescent="0.25">
      <c r="A138" t="s">
        <v>14</v>
      </c>
      <c r="B138" s="4">
        <v>46056</v>
      </c>
      <c r="C138" s="6">
        <v>0.44545138888888891</v>
      </c>
      <c r="D138" s="7" t="s">
        <v>91</v>
      </c>
      <c r="E138" t="s">
        <v>11412</v>
      </c>
      <c r="F138" t="s">
        <v>60</v>
      </c>
      <c r="I138" s="9" t="s">
        <v>11148</v>
      </c>
      <c r="J138" s="9" t="s">
        <v>2981</v>
      </c>
      <c r="K138" t="s">
        <v>11149</v>
      </c>
      <c r="L138" t="s">
        <v>11150</v>
      </c>
      <c r="M138" s="3" t="str">
        <f>HYPERLINK(СторонТрансп[[#This Row],[RelativePath]])</f>
        <v>1 Ангар Склад 2 въезд\E33149364_6_20260203T104127Z.jpg</v>
      </c>
    </row>
    <row r="139" spans="1:13" x14ac:dyDescent="0.25">
      <c r="A139" t="s">
        <v>16</v>
      </c>
      <c r="B139" s="4">
        <v>46058</v>
      </c>
      <c r="C139" s="6">
        <v>0.69685185185185183</v>
      </c>
      <c r="D139" s="7" t="s">
        <v>62</v>
      </c>
      <c r="E139" t="s">
        <v>66</v>
      </c>
      <c r="F139" t="s">
        <v>51</v>
      </c>
      <c r="H139" t="s">
        <v>5140</v>
      </c>
      <c r="I139" s="9" t="s">
        <v>11466</v>
      </c>
      <c r="J139" s="9" t="s">
        <v>2981</v>
      </c>
      <c r="K139" t="s">
        <v>11467</v>
      </c>
      <c r="L139" t="s">
        <v>11468</v>
      </c>
      <c r="M139" s="3" t="str">
        <f>HYPERLINK(СторонТрансп[[#This Row],[RelativePath]])</f>
        <v>1 Ангар Склад 2 въезд\E33149364_6_20260205T164328Z.jpg</v>
      </c>
    </row>
    <row r="140" spans="1:13" x14ac:dyDescent="0.25">
      <c r="A140" t="s">
        <v>16</v>
      </c>
      <c r="B140" s="4">
        <v>46058</v>
      </c>
      <c r="C140" s="6">
        <v>0.69364583333333329</v>
      </c>
      <c r="D140" s="7" t="s">
        <v>91</v>
      </c>
      <c r="E140" t="s">
        <v>66</v>
      </c>
      <c r="F140" t="s">
        <v>51</v>
      </c>
      <c r="I140" s="9" t="s">
        <v>11463</v>
      </c>
      <c r="J140" s="9" t="s">
        <v>2981</v>
      </c>
      <c r="K140" t="s">
        <v>11464</v>
      </c>
      <c r="L140" t="s">
        <v>11465</v>
      </c>
      <c r="M140" s="3" t="str">
        <f>HYPERLINK(СторонТрансп[[#This Row],[RelativePath]])</f>
        <v>1 Ангар Склад 2 въезд\E33149364_6_20260205T163851Z.jpg</v>
      </c>
    </row>
    <row r="141" spans="1:13" x14ac:dyDescent="0.25">
      <c r="A141" t="s">
        <v>18</v>
      </c>
      <c r="B141" s="4">
        <v>46060</v>
      </c>
      <c r="C141" s="6">
        <v>0.69887731481481485</v>
      </c>
      <c r="D141" s="7" t="s">
        <v>62</v>
      </c>
      <c r="E141" t="s">
        <v>11772</v>
      </c>
      <c r="I141" s="9" t="s">
        <v>11685</v>
      </c>
      <c r="J141" s="9" t="s">
        <v>2981</v>
      </c>
      <c r="K141" t="s">
        <v>11686</v>
      </c>
      <c r="L141" t="s">
        <v>11687</v>
      </c>
      <c r="M141" s="3" t="str">
        <f>HYPERLINK(СторонТрансп[[#This Row],[RelativePath]])</f>
        <v>1 Ангар Склад 2 въезд\E33149364_6_20260207T164623Z.jpg</v>
      </c>
    </row>
    <row r="142" spans="1:13" x14ac:dyDescent="0.25">
      <c r="A142" t="s">
        <v>18</v>
      </c>
      <c r="B142" s="4">
        <v>46060</v>
      </c>
      <c r="C142" s="6">
        <v>0.66508101851851853</v>
      </c>
      <c r="D142" s="7" t="s">
        <v>91</v>
      </c>
      <c r="E142" t="s">
        <v>11772</v>
      </c>
      <c r="I142" s="9" t="s">
        <v>11682</v>
      </c>
      <c r="J142" s="9" t="s">
        <v>2981</v>
      </c>
      <c r="K142" t="s">
        <v>11683</v>
      </c>
      <c r="L142" t="s">
        <v>11684</v>
      </c>
      <c r="M142" s="3" t="str">
        <f>HYPERLINK(СторонТрансп[[#This Row],[RelativePath]])</f>
        <v>1 Ангар Склад 2 въезд\E33149364_6_20260207T155743Z.jpg</v>
      </c>
    </row>
    <row r="143" spans="1:13" x14ac:dyDescent="0.25">
      <c r="A143" t="s">
        <v>14</v>
      </c>
      <c r="B143" s="4">
        <v>46063</v>
      </c>
      <c r="C143" s="6">
        <v>0.37222222222222223</v>
      </c>
      <c r="D143" s="7" t="s">
        <v>62</v>
      </c>
      <c r="E143" t="s">
        <v>11958</v>
      </c>
      <c r="F143" t="s">
        <v>5076</v>
      </c>
      <c r="I143" s="9" t="s">
        <v>11882</v>
      </c>
      <c r="J143" s="9" t="s">
        <v>2991</v>
      </c>
      <c r="K143" t="s">
        <v>11883</v>
      </c>
      <c r="L143" t="s">
        <v>11884</v>
      </c>
      <c r="M143" s="3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4">
        <v>46064</v>
      </c>
      <c r="C144" s="6">
        <v>0.58076388888888886</v>
      </c>
      <c r="D144" s="7" t="s">
        <v>62</v>
      </c>
      <c r="E144" t="s">
        <v>4193</v>
      </c>
      <c r="F144" t="s">
        <v>5076</v>
      </c>
      <c r="I144" s="9" t="s">
        <v>11888</v>
      </c>
      <c r="J144" s="9" t="s">
        <v>2991</v>
      </c>
      <c r="K144" t="s">
        <v>11889</v>
      </c>
      <c r="L144" t="s">
        <v>11890</v>
      </c>
      <c r="M144" s="3" t="str">
        <f>HYPERLINK(СторонТрансп[[#This Row],[RelativePath]])</f>
        <v>4 Крыльцо офиса\K07156189_21_20260211T135618Z.jpg</v>
      </c>
    </row>
  </sheetData>
  <conditionalFormatting sqref="E145:E166 D2:E144">
    <cfRule type="containsText" dxfId="115" priority="6" operator="containsText" text="Выезд с территории">
      <formula>NOT(ISERROR(SEARCH("Выезд с территории",D2)))</formula>
    </cfRule>
  </conditionalFormatting>
  <conditionalFormatting sqref="D2:D144">
    <cfRule type="containsText" dxfId="11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113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66">
    <cfRule type="containsText" dxfId="112" priority="2" operator="containsText" text="Газель базы">
      <formula>NOT(ISERROR(SEARCH("Газель базы",E2)))</formula>
    </cfRule>
    <cfRule type="containsText" dxfId="111" priority="3" operator="containsText" text="Погрузчик базы">
      <formula>NOT(ISERROR(SEARCH("Погрузчик базы",E2)))</formula>
    </cfRule>
  </conditionalFormatting>
  <conditionalFormatting sqref="E2:E166">
    <cfRule type="containsText" dxfId="11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2026-02-13T02:23:29Z</dcterms:modified>
</cp:coreProperties>
</file>