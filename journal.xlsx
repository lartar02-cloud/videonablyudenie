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FEA1806-04C0-4AE5-86D3-2806EAE1191C}" xr6:coauthVersionLast="47" xr6:coauthVersionMax="47" xr10:uidLastSave="{00000000-0000-0000-0000-000000000000}"/>
  <bookViews>
    <workbookView xWindow="-120" yWindow="-120" windowWidth="20730" windowHeight="11040" firstSheet="13" activeTab="15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базу'!$A$1:$L$259</definedName>
    <definedName name="ExternalData_1" localSheetId="9" hidden="1">'10 Въезд ангар'!$A$1:$L$633</definedName>
    <definedName name="ExternalData_1" localSheetId="10" hidden="1">'11 Навес пилмат'!$A$1:$L$310</definedName>
    <definedName name="ExternalData_1" localSheetId="11" hidden="1">'12 Площадка 3 кран'!$A$1:$L$245</definedName>
    <definedName name="ExternalData_1" localSheetId="12" hidden="1">'13 Склад хол'!$A$1:$L$207</definedName>
    <definedName name="ExternalData_1" localSheetId="13" hidden="1">'14 На гаражи'!$A$1:$L$36</definedName>
    <definedName name="ExternalData_1" localSheetId="14" hidden="1">'15 Вход столярка'!$A$1:$L$5</definedName>
    <definedName name="ExternalData_1" localSheetId="15" hidden="1">'16 Столярка'!$A$1:$L$6</definedName>
    <definedName name="ExternalData_1" localSheetId="16" hidden="1">'17 Площадка с навесом'!$A$1:$L$8</definedName>
    <definedName name="ExternalData_1" localSheetId="18" hidden="1">'19 Хронометраж'!$A$1:$L$39</definedName>
    <definedName name="ExternalData_1" localSheetId="1" hidden="1">'2 Поката пилорама'!$A$1:$L$281</definedName>
    <definedName name="ExternalData_1" localSheetId="2" hidden="1">'3 Парковка офиса'!$A$1:$L$163</definedName>
    <definedName name="ExternalData_1" localSheetId="3" hidden="1">'4 Крыльцо офиса'!$A$1:$L$261</definedName>
    <definedName name="ExternalData_1" localSheetId="4" hidden="1">'5 Крыльцо общага'!$A$1:$L$358</definedName>
    <definedName name="ExternalData_1" localSheetId="5" hidden="1">'6 Площадка 1 общага'!$A$1:$L$204</definedName>
    <definedName name="ExternalData_1" localSheetId="6" hidden="1">'7 Площадка 2 бетонщики'!$A$1:$L$323</definedName>
    <definedName name="ExternalData_1" localSheetId="7" hidden="1">'8 Ангар вход'!$A$1:$L$299</definedName>
    <definedName name="ExternalData_1" localSheetId="8" hidden="1">'9 Ангар рейсмус'!$A$1:$L$612</definedName>
    <definedName name="ExternalData_1" localSheetId="19" hidden="1">Загрузка!$A$1:$L$258</definedName>
    <definedName name="ExternalData_1" localSheetId="20" hidden="1">'Стороний транспорт'!$A$1:$L$165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4"/>
  <c r="M3" i="44"/>
  <c r="M4" i="44"/>
  <c r="M5" i="44"/>
  <c r="M6" i="44"/>
  <c r="M7" i="44"/>
  <c r="M8" i="44"/>
  <c r="M2" i="43"/>
  <c r="M3" i="43"/>
  <c r="M4" i="43"/>
  <c r="M5" i="43"/>
  <c r="M6" i="43"/>
  <c r="M2" i="42"/>
  <c r="M3" i="42"/>
  <c r="M4" i="42"/>
  <c r="M5" i="42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<sst xmlns="http://schemas.openxmlformats.org/spreadsheetml/2006/main" count="55363" uniqueCount="13492">
  <si>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</si>
  <si>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</si>
  <si>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</si>
  <si>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</si>
  <si>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</si>
  <si>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</si>
  <si>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</si>
  <si>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</si>
  <si>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</si>
  <si>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</si>
  <si>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</si>
  <si>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</si>
  <si>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</si>
  <si>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</si>
  <si>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</si>
  <si>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</si>
  <si>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</si>
  <si>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</si>
  <si>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</si>
  <si>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</si>
  <si>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</si>
  <si>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</si>
  <si>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</si>
  <si>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</si>
  <si>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</si>
  <si>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</si>
  <si>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</si>
  <si>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</si>
  <si>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</si>
  <si>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</si>
  <si>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</si>
  <si>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</si>
  <si>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</si>
  <si>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</si>
  <si>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</si>
  <si>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</si>
  <si>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</si>
  <si>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</si>
  <si>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</si>
  <si>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</si>
  <si>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</si>
  <si>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</si>
  <si>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</si>
  <si>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</si>
  <si>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</si>
  <si>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</si>
  <si>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</si>
  <si>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</si>
  <si>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</si>
  <si>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</si>
  <si>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</si>
  <si>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</si>
  <si>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</si>
  <si>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</si>
  <si>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</si>
  <si>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</si>
  <si>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</si>
  <si>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</si>
  <si>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</si>
  <si>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</si>
  <si>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</si>
  <si>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</si>
  <si>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</si>
  <si>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</si>
  <si>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</si>
  <si>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</si>
  <si>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</si>
  <si>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</si>
  <si>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</si>
  <si>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</si>
  <si>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</si>
  <si>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</si>
  <si>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</si>
  <si>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</si>
  <si>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</si>
  <si>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</si>
  <si>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</si>
  <si>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</si>
  <si>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</si>
  <si>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</si>
  <si>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</si>
  <si>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</si>
  <si>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</si>
  <si>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</si>
  <si>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</si>
  <si>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</si>
  <si>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</si>
  <si>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</si>
  <si>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</si>
  <si>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</si>
  <si>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</si>
  <si>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</si>
  <si>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</si>
  <si>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</si>
  <si>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</si>
  <si>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</si>
  <si>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</si>
  <si>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</si>
  <si>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</si>
  <si>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</si>
  <si>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</si>
  <si>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</si>
  <si>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</si>
  <si>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</si>
  <si>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</si>
  <si>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</si>
  <si>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</si>
  <si>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</si>
  <si>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</si>
  <si>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</si>
  <si>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</si>
  <si>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</si>
  <si>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</si>
  <si>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</si>
  <si>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</si>
  <si>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</si>
  <si>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</si>
  <si>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</si>
  <si>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</si>
  <si>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</si>
  <si>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</si>
  <si>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</si>
  <si>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</si>
  <si>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</si>
  <si>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</si>
  <si>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</si>
  <si>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</si>
  <si>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</si>
  <si>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</si>
  <si>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</si>
  <si>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</si>
  <si>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</si>
  <si>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</si>
  <si>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</si>
  <si>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</si>
  <si>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</si>
  <si>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</si>
  <si>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</si>
  <si>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</si>
  <si>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</si>
  <si>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</si>
  <si>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</si>
  <si>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</si>
  <si>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</si>
  <si>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</si>
  <si>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</si>
  <si>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</si>
  <si>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</si>
  <si>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</si>
  <si>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</si>
  <si>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</si>
  <si>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</si>
  <si>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</si>
  <si>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</si>
  <si>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</si>
  <si>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</si>
  <si>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</si>
  <si>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</si>
  <si>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</si>
  <si>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</si>
  <si>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</si>
  <si>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</si>
  <si>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</si>
  <si>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</si>
  <si>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</si>
  <si>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</si>
  <si>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</si>
  <si>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</si>
  <si>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</si>
  <si>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</si>
  <si>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</si>
  <si>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</si>
  <si>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</si>
  <si>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</si>
  <si>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</si>
  <si>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</si>
  <si>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</si>
  <si>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</si>
  <si>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</si>
  <si>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</si>
  <si>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</si>
  <si>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</si>
  <si>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</si>
  <si>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</si>
  <si>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</si>
  <si>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</si>
  <si>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</si>
  <si>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</si>
  <si>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</si>
  <si>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</si>
  <si>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</si>
  <si>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</si>
  <si>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</si>
  <si>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</si>
  <si>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</si>
  <si>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</si>
  <si>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</si>
  <si>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</si>
  <si>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</si>
  <si>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</si>
  <si>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</si>
  <si>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</si>
  <si>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</si>
  <si>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</si>
  <si>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</si>
  <si>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</si>
  <si>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</si>
  <si>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</si>
  <si>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</si>
  <si>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</si>
  <si>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</si>
  <si>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</si>
  <si>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</si>
  <si>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</si>
  <si>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</si>
  <si>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</si>
  <si>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</si>
  <si>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</si>
  <si>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</si>
  <si>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</si>
  <si>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</si>
  <si>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</si>
  <si>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</si>
  <si>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</si>
  <si>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</si>
  <si>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</si>
  <si>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</si>
  <si>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</si>
  <si>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</si>
  <si>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</si>
  <si>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</si>
  <si>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</si>
  <si>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</si>
  <si>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</si>
  <si>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</si>
  <si>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</si>
  <si>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</si>
  <si>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</si>
  <si>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</si>
  <si>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</si>
  <si>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</si>
  <si>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</si>
  <si>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</si>
  <si>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</si>
  <si>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</si>
  <si>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</si>
  <si>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</si>
  <si>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</si>
  <si>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</si>
  <si>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</si>
  <si>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</si>
  <si>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</si>
  <si>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</si>
  <si>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</si>
  <si>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</si>
  <si>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</si>
  <si>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</si>
  <si>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</si>
  <si>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</si>
  <si>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</si>
  <si>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</si>
  <si>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</si>
  <si>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</si>
  <si>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</si>
  <si>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</si>
  <si>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</si>
  <si>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</si>
  <si>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</si>
  <si>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</si>
  <si>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</si>
  <si>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</si>
  <si>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</si>
  <si>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</si>
  <si>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</si>
  <si>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</si>
  <si>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</si>
  <si>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</si>
  <si>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</si>
  <si>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</si>
  <si>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</si>
  <si>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</si>
  <si>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</si>
  <si>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</si>
  <si>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</si>
  <si>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</si>
  <si>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</si>
  <si>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</si>
  <si>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</si>
  <si>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</si>
  <si>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</si>
  <si>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</si>
  <si>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</si>
  <si>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</si>
  <si>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</si>
  <si>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</si>
  <si>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</si>
  <si>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</si>
  <si>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</si>
  <si>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</si>
  <si>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</si>
  <si>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</si>
  <si>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</si>
  <si>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</si>
  <si>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</si>
  <si>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</si>
  <si>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</si>
  <si>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</si>
  <si>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</si>
  <si>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</si>
  <si>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</si>
  <si>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</si>
  <si>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</si>
  <si>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</si>
  <si>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</si>
  <si>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</si>
  <si>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</si>
  <si>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</si>
  <si>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</si>
  <si>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</si>
  <si>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</si>
  <si>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</si>
  <si>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</si>
  <si>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</si>
  <si>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</si>
  <si>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</si>
  <si>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</si>
  <si>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</si>
  <si>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</si>
  <si>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</si>
  <si>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</si>
  <si>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</si>
  <si>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</si>
  <si>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</si>
  <si>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</si>
  <si>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</si>
  <si>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</si>
  <si>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</si>
  <si>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</si>
  <si>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</si>
  <si>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</si>
  <si>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</si>
  <si>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</si>
  <si>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</si>
  <si>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</si>
  <si>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</si>
  <si>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</si>
  <si>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</si>
  <si>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</si>
  <si>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</si>
  <si>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</si>
  <si>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</si>
  <si>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</si>
  <si>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</si>
  <si>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</si>
  <si>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</si>
  <si>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</si>
  <si>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</si>
  <si>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</si>
  <si>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</si>
  <si>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</si>
  <si>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</si>
  <si>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</si>
  <si>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</si>
  <si>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</si>
  <si>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</si>
  <si>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</si>
  <si>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</si>
  <si>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</si>
  <si>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</si>
  <si>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</si>
  <si>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</si>
  <si>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</si>
  <si>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</si>
  <si>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</si>
  <si>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</si>
  <si>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</si>
  <si>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</si>
  <si>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</si>
  <si>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</si>
  <si>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</si>
  <si>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</si>
  <si>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</si>
  <si>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</si>
  <si>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</si>
  <si>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</si>
  <si>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</si>
  <si>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</si>
  <si>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</si>
  <si>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</si>
  <si>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</si>
  <si>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</si>
  <si>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</si>
  <si>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</si>
  <si>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</si>
  <si>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</si>
  <si>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</si>
  <si>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</si>
  <si>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</si>
  <si>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</si>
  <si>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</si>
  <si>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</si>
  <si>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</si>
  <si>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</si>
  <si>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</si>
  <si>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</si>
  <si>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</si>
  <si>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</si>
  <si>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</si>
  <si>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</si>
  <si>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</si>
  <si>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</si>
  <si>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</si>
  <si>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</si>
  <si>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</si>
  <si>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</si>
  <si>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</si>
  <si>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</si>
  <si>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</si>
  <si>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</si>
  <si>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</si>
  <si>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</si>
  <si>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</si>
  <si>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</si>
  <si>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</si>
  <si>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</si>
  <si>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</si>
  <si>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</si>
  <si>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</si>
  <si>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</si>
  <si>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</si>
  <si>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</si>
  <si>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</si>
  <si>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</si>
  <si>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</si>
  <si>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</si>
  <si>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</si>
  <si>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</si>
  <si>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</si>
  <si>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</si>
  <si>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</si>
  <si>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</si>
  <si>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</si>
  <si>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</si>
  <si>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</si>
  <si>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</si>
  <si>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</si>
  <si>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</si>
  <si>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</si>
  <si>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</si>
  <si>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</si>
  <si>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</si>
  <si>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</si>
  <si>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</si>
  <si>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</si>
  <si>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</si>
  <si>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</si>
  <si>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</si>
  <si>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</si>
  <si>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</si>
  <si>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</si>
  <si>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</si>
  <si>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</si>
  <si>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</si>
  <si>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</si>
  <si>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</si>
  <si>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</si>
  <si>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</si>
  <si>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</si>
  <si>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</si>
  <si>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</si>
  <si>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</si>
  <si>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</si>
  <si>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</si>
  <si>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</si>
  <si>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</si>
  <si>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</si>
  <si>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</si>
  <si>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</si>
  <si>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</si>
  <si>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</si>
  <si>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</si>
  <si>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</si>
  <si>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</si>
  <si>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</si>
  <si>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</si>
  <si>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</si>
  <si>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</si>
  <si>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</si>
  <si>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</si>
  <si>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</si>
  <si>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</si>
  <si>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</si>
  <si>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</si>
  <si>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</si>
  <si>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</si>
  <si>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</si>
  <si>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</si>
  <si>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</si>
  <si>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</si>
  <si>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</si>
  <si>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</si>
  <si>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</si>
  <si>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</si>
  <si>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</si>
  <si>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</si>
  <si>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</si>
  <si>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</si>
  <si>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</si>
  <si>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</si>
  <si>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</si>
  <si>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</si>
  <si>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</si>
  <si>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</si>
  <si>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</si>
  <si>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</si>
  <si>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</si>
  <si>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</si>
  <si>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</si>
  <si>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</si>
  <si>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</si>
  <si>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</si>
  <si>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</si>
  <si>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</si>
  <si>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</si>
  <si>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</si>
  <si>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</si>
  <si>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</si>
  <si>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</si>
  <si>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</si>
  <si>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</si>
  <si>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</si>
  <si>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</si>
  <si>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</si>
  <si>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</si>
  <si>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</si>
  <si>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</si>
  <si>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</si>
  <si>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</si>
  <si>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</si>
  <si>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</si>
  <si>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</si>
  <si>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</si>
  <si>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</si>
  <si>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</si>
  <si>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</si>
  <si>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</si>
  <si>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</si>
  <si>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</si>
  <si>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</si>
  <si>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</si>
  <si>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</si>
  <si>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</si>
  <si>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</si>
  <si>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</si>
  <si>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</si>
  <si>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</si>
  <si>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</si>
  <si>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</si>
  <si>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</si>
  <si>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</si>
  <si>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</si>
  <si>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</si>
  <si>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</si>
  <si>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</si>
  <si>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</si>
  <si>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</si>
  <si>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</si>
  <si>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</si>
  <si>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</si>
  <si>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</si>
  <si>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</si>
  <si>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</si>
  <si>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</si>
  <si>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</si>
  <si>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</si>
  <si>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</si>
  <si>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</si>
  <si>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</si>
  <si>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</si>
  <si>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</si>
  <si>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</si>
  <si>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</si>
  <si>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</si>
  <si>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</si>
  <si>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</si>
  <si>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</si>
  <si>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</si>
  <si>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</si>
  <si>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</si>
  <si>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</si>
  <si>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</si>
  <si>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</si>
  <si>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</si>
  <si>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</si>
  <si>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</si>
  <si>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</si>
  <si>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</si>
  <si>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</si>
  <si>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</si>
  <si>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</si>
  <si>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</si>
  <si>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</si>
  <si>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</si>
  <si>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</si>
  <si>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</si>
  <si>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</si>
  <si>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</si>
  <si>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</si>
  <si>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</si>
  <si>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</si>
  <si>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</si>
  <si>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</si>
  <si>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</si>
  <si>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</si>
  <si>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</si>
  <si>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</si>
  <si>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</si>
  <si>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</si>
  <si>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</si>
  <si>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</si>
  <si>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</si>
  <si>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</si>
  <si>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</si>
  <si>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</si>
  <si>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</si>
  <si>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</si>
  <si>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</si>
  <si>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</si>
  <si>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</si>
  <si>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</si>
  <si>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</si>
  <si>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</si>
  <si>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</si>
  <si>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</si>
  <si>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</si>
  <si>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</si>
  <si>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</si>
  <si>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</si>
  <si>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</si>
  <si>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</si>
  <si>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</si>
  <si>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</si>
  <si>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</si>
  <si>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</si>
  <si>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</si>
  <si>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</si>
  <si>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</si>
  <si>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</si>
  <si>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</si>
  <si>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</si>
  <si>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</si>
  <si>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</si>
  <si>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</si>
  <si>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</si>
  <si>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</si>
  <si>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</si>
  <si>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</si>
  <si>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</si>
  <si>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</si>
  <si>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</si>
  <si>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</si>
  <si>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</si>
  <si>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</si>
  <si>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</si>
  <si>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</si>
  <si>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</si>
  <si>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</si>
  <si>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</si>
  <si>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</si>
  <si>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</si>
  <si>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</si>
  <si>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</si>
  <si>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</si>
  <si>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</si>
  <si>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</si>
  <si>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</si>
  <si>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</si>
  <si>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</si>
  <si>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</si>
  <si>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</si>
  <si>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</si>
  <si>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</si>
  <si>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</si>
  <si>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</si>
  <si>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</si>
  <si>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</si>
  <si>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</si>
  <si>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</si>
  <si>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</si>
  <si>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</si>
  <si>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</si>
  <si>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</si>
  <si>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</si>
  <si>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</si>
  <si>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</si>
  <si>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</si>
  <si>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</si>
  <si>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</si>
  <si>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</si>
  <si>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</si>
  <si>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</si>
  <si>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</si>
  <si>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</si>
  <si>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</si>
  <si>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</si>
  <si>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</si>
  <si>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</si>
  <si>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</si>
  <si>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</si>
  <si>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</si>
  <si>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</si>
  <si>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</si>
  <si>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</si>
  <si>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</si>
  <si>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</si>
  <si>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</si>
  <si>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</si>
  <si>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</si>
  <si>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</si>
  <si>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</si>
  <si>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</si>
  <si>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</si>
  <si>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</si>
  <si>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</si>
  <si>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</si>
  <si>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</si>
  <si>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</si>
  <si>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</si>
  <si>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</si>
  <si>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</si>
  <si>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</si>
  <si>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</si>
  <si>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</si>
  <si>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</si>
  <si>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</si>
  <si>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</si>
  <si>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</si>
  <si>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</si>
  <si>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</si>
  <si>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</si>
  <si>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</si>
  <si>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</si>
  <si>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</si>
  <si>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</si>
  <si>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</si>
  <si>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</si>
  <si>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</si>
  <si>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</si>
  <si>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</si>
  <si>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</si>
  <si>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</si>
  <si>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</si>
  <si>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</si>
  <si>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</si>
  <si>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</si>
  <si>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</si>
  <si>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</si>
  <si>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</si>
  <si>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</si>
  <si>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</si>
  <si>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</si>
  <si>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</si>
  <si>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</si>
  <si>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</si>
  <si>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</si>
  <si>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</si>
  <si>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</si>
  <si>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</si>
  <si>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</si>
  <si>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</si>
  <si>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</si>
  <si>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</si>
  <si>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</si>
  <si>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</si>
  <si>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</si>
  <si>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</si>
  <si>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</si>
  <si>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</si>
  <si>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</si>
  <si>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</si>
  <si>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</si>
  <si>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</si>
  <si>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</si>
  <si>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</si>
  <si>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</si>
  <si>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</si>
  <si>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</si>
  <si>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</si>
  <si>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</si>
  <si>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</si>
  <si>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</si>
  <si>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</si>
  <si>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</si>
  <si>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</si>
  <si>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</si>
  <si>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</si>
  <si>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</si>
  <si>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</si>
  <si>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</si>
  <si>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</si>
  <si>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</si>
  <si>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</si>
  <si>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</si>
  <si>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</si>
  <si>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</si>
  <si>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</si>
  <si>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</si>
  <si>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</si>
  <si>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</si>
  <si>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</si>
  <si>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</si>
  <si>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</si>
  <si>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</si>
  <si>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</si>
  <si>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</si>
  <si>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</si>
  <si>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</si>
  <si>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</si>
  <si>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</si>
  <si>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</si>
  <si>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</si>
  <si>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</si>
  <si>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</si>
  <si>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</si>
  <si>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</si>
  <si>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</si>
  <si>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</si>
  <si>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</si>
  <si>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</si>
  <si>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</si>
  <si>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</si>
  <si>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</si>
  <si>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</si>
  <si>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</si>
  <si>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</si>
  <si>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</si>
  <si>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</si>
  <si>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</si>
  <si>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</si>
  <si>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</si>
  <si>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</si>
  <si>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</si>
  <si>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</si>
  <si>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</si>
  <si>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</si>
  <si>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</si>
  <si>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</si>
  <si>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</si>
  <si>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</si>
  <si>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</si>
  <si>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</si>
  <si>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</si>
  <si>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</si>
  <si>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</si>
  <si>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</si>
  <si>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</si>
  <si>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</si>
  <si>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</si>
  <si>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</si>
  <si>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</si>
  <si>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</si>
  <si>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</si>
  <si>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</si>
  <si>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</si>
  <si>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</si>
  <si>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</si>
  <si>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</si>
  <si>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</si>
  <si>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</si>
  <si>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</si>
  <si>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</si>
  <si>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</si>
  <si>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</si>
  <si>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</si>
  <si>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</si>
  <si>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</si>
  <si>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</si>
  <si>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</si>
  <si>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</si>
  <si>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</si>
  <si>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</si>
  <si>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</si>
  <si>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</si>
  <si>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</si>
  <si>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</si>
  <si>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</si>
  <si>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</si>
  <si>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</si>
  <si>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</si>
  <si>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</si>
  <si>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</si>
  <si>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</si>
  <si>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</si>
  <si>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</si>
  <si>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</si>
  <si>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</si>
  <si>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</si>
  <si>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</si>
  <si>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</si>
  <si>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</si>
  <si>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</si>
  <si>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</si>
  <si>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</si>
  <si>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</si>
  <si>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</si>
  <si>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</si>
  <si>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</si>
  <si>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</si>
  <si>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</si>
  <si>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</si>
  <si>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</si>
  <si>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</si>
  <si>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</si>
  <si>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</si>
  <si>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</si>
  <si>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</si>
  <si>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</si>
  <si>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</si>
  <si>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</si>
  <si>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</si>
  <si>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</si>
  <si>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</si>
  <si>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</si>
  <si>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</si>
  <si>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</si>
  <si>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</si>
  <si>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</si>
  <si>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</si>
  <si>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</si>
  <si>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</si>
  <si>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</si>
  <si>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</si>
  <si>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</si>
  <si>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</si>
  <si>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</si>
  <si>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</si>
  <si>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</si>
  <si>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</si>
  <si>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</si>
  <si>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</si>
  <si>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</si>
  <si>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</si>
  <si>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</si>
  <si>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</si>
  <si>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</si>
  <si>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</si>
  <si>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</si>
  <si>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</si>
  <si>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</si>
  <si>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</si>
  <si>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</si>
  <si>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</si>
  <si>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</si>
  <si>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</si>
  <si>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</si>
  <si>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</si>
  <si>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</si>
  <si>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</si>
  <si>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</si>
  <si>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</si>
  <si>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</si>
  <si>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</si>
  <si>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</si>
  <si>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</si>
  <si>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</si>
  <si>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</si>
  <si>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</si>
  <si>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</si>
  <si>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</si>
  <si>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</si>
  <si>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</si>
  <si>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</si>
  <si>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</si>
  <si>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</si>
  <si>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</si>
  <si>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</si>
  <si>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</si>
  <si>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</si>
  <si>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</si>
  <si>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</si>
  <si>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</si>
  <si>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</si>
  <si>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</si>
  <si>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</si>
  <si>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</si>
  <si>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</si>
  <si>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</si>
  <si>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</si>
  <si>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</si>
  <si>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</si>
  <si>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</si>
  <si>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</si>
  <si>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</si>
  <si>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</si>
  <si>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</si>
  <si>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</si>
  <si>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</si>
  <si>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</si>
  <si>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</si>
  <si>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</si>
  <si>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</si>
  <si>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</si>
  <si>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</si>
  <si>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</si>
  <si>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</si>
  <si>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</si>
  <si>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</si>
  <si>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</si>
  <si>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</si>
  <si>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</si>
  <si>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</si>
  <si>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</si>
  <si>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</si>
  <si>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</si>
  <si>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</si>
  <si>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</si>
  <si>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</si>
  <si>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</si>
  <si>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</si>
  <si>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</si>
  <si>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</si>
  <si>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</si>
  <si>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</si>
  <si>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</si>
  <si>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</si>
  <si>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</si>
  <si>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</si>
  <si>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</si>
  <si>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</si>
  <si>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</si>
  <si>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</si>
  <si>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</si>
  <si>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</si>
  <si>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</si>
  <si>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</si>
  <si>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</si>
  <si>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</si>
  <si>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</si>
  <si>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</si>
  <si>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</si>
  <si>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</si>
  <si>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</si>
  <si>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</si>
  <si>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</si>
  <si>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</si>
  <si>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</si>
  <si>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</si>
  <si>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</si>
  <si>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</si>
  <si>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</si>
  <si>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</si>
  <si>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</si>
  <si>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</si>
  <si>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</si>
  <si>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</si>
  <si>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</si>
  <si>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</si>
  <si>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</si>
  <si>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</si>
  <si>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</si>
  <si>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</si>
  <si>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</si>
  <si>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</si>
  <si>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</si>
  <si>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</si>
  <si>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</si>
  <si>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</si>
  <si>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</si>
  <si>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</si>
  <si>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</si>
  <si>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</si>
  <si>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</si>
  <si>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</si>
  <si>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</si>
  <si>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</si>
  <si>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</si>
  <si>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</si>
  <si>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</si>
  <si>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</si>
  <si>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</si>
  <si>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</si>
  <si>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</si>
  <si>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</si>
  <si>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</si>
  <si>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</si>
  <si>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</si>
  <si>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</si>
  <si>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</si>
  <si>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</si>
  <si>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</si>
  <si>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</si>
  <si>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</si>
  <si>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</si>
  <si>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</si>
  <si>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</si>
  <si>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</si>
  <si>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</si>
  <si>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</si>
  <si>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</si>
  <si>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</si>
  <si>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</si>
  <si>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</si>
  <si>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</si>
  <si>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</si>
  <si>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</si>
  <si>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</si>
  <si>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</si>
  <si>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</si>
  <si>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</si>
  <si>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</si>
  <si>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</si>
  <si>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</si>
  <si>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</si>
  <si>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</si>
  <si>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</si>
  <si>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</si>
  <si>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</si>
  <si>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</si>
  <si>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</si>
  <si>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</si>
  <si>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</si>
  <si>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</si>
  <si>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</si>
  <si>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</si>
  <si>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</si>
  <si>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</si>
  <si>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</si>
  <si>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</si>
  <si>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</si>
  <si>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</si>
  <si>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</si>
  <si>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</si>
  <si>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</si>
  <si>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</si>
  <si>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</si>
  <si>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</si>
  <si>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</si>
  <si>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</si>
  <si>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</si>
  <si>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</si>
  <si>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</si>
  <si>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</si>
  <si>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</si>
  <si>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</si>
  <si>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</si>
  <si>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</si>
  <si>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</si>
  <si>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</si>
  <si>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</si>
  <si>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</si>
  <si>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</si>
  <si>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</si>
  <si>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</si>
  <si>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</si>
  <si>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</si>
  <si>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</si>
  <si>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</si>
  <si>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</si>
  <si>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</si>
  <si>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</si>
  <si>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</si>
  <si>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</si>
  <si>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</si>
  <si>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</si>
  <si>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</si>
  <si>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</si>
  <si>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</si>
  <si>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</si>
  <si>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</si>
  <si>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</si>
  <si>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</si>
  <si>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</si>
  <si>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</si>
  <si>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</si>
  <si>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</si>
  <si>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</si>
  <si>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</si>
  <si>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</si>
  <si>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</si>
  <si>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</si>
  <si>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</si>
  <si>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</si>
  <si>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</si>
  <si>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</si>
  <si>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</si>
  <si>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</si>
  <si>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</si>
  <si>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</si>
  <si>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</si>
  <si>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</si>
  <si>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</si>
  <si>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</si>
  <si>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</si>
  <si>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</si>
  <si>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</si>
  <si>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</si>
  <si>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</si>
  <si>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</si>
  <si>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</si>
  <si>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</si>
  <si>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</si>
  <si>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</si>
  <si>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</si>
  <si>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</si>
  <si>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</si>
  <si>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</si>
  <si>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</si>
  <si>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</si>
  <si>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</si>
  <si>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</si>
  <si>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</si>
  <si>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</si>
  <si>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</si>
  <si>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</si>
  <si>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</si>
  <si>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</si>
  <si>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</si>
  <si>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</si>
  <si>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</si>
  <si>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</si>
  <si>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</si>
  <si>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</si>
  <si>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</si>
  <si>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</si>
  <si>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</si>
  <si>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</si>
  <si>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</si>
  <si>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</si>
  <si>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</si>
  <si>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</si>
  <si>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</si>
  <si>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</si>
  <si>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</si>
  <si>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</si>
  <si>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</si>
  <si>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</si>
  <si>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</si>
  <si>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</si>
  <si>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</si>
  <si>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</si>
  <si>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</si>
  <si>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</si>
  <si>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</si>
  <si>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</si>
  <si>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</si>
  <si>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</si>
  <si>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</si>
  <si>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</si>
  <si>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</si>
  <si>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</si>
  <si>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</si>
  <si>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</si>
  <si>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</si>
  <si>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</si>
  <si>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</si>
  <si>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</si>
  <si>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</si>
  <si>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</si>
  <si>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</si>
  <si>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</si>
  <si>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</si>
  <si>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</si>
  <si>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</si>
  <si>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</si>
  <si>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</si>
  <si>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</si>
  <si>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</si>
  <si>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</si>
  <si>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</si>
  <si>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</si>
  <si>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</si>
  <si>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</si>
  <si>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</si>
  <si>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</si>
  <si>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</si>
  <si>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</si>
  <si>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</si>
  <si>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</si>
  <si>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</si>
  <si>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</si>
  <si>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</si>
  <si>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</si>
  <si>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</si>
  <si>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</si>
  <si>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</si>
  <si>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</si>
  <si>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</si>
  <si>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</si>
  <si>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</si>
  <si>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</si>
  <si>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</si>
  <si>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</si>
  <si>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</si>
  <si>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</si>
  <si>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</si>
  <si>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</si>
  <si>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</si>
  <si>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</si>
  <si>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</si>
  <si>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</si>
  <si>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</si>
  <si>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</si>
  <si>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</si>
  <si>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</si>
  <si>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</si>
  <si>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</si>
  <si>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</si>
  <si>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</si>
  <si>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</si>
  <si>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</si>
  <si>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</si>
  <si>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</si>
  <si>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</si>
  <si>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</si>
  <si>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</si>
  <si>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</si>
  <si>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</si>
  <si>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</si>
  <si>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</si>
  <si>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</si>
  <si>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</si>
  <si>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</si>
  <si>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</si>
  <si>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</si>
  <si>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</si>
  <si>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</si>
  <si>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</si>
  <si>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</si>
  <si>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</si>
  <si>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</si>
  <si>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</si>
  <si>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</si>
  <si>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</si>
  <si>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</si>
  <si>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</si>
  <si>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</si>
  <si>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</si>
  <si>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</si>
  <si>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</si>
  <si>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</si>
  <si>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</si>
  <si>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</si>
  <si>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</si>
  <si>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</si>
  <si>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</si>
  <si>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</si>
  <si>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</si>
  <si>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</si>
  <si>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</si>
  <si>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</si>
  <si>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</si>
  <si>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</si>
  <si>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</si>
  <si>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</si>
  <si>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</si>
  <si>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</si>
  <si>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</si>
  <si>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</si>
  <si>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</si>
  <si>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</si>
  <si>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</si>
  <si>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</si>
  <si>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</si>
  <si>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</si>
  <si>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</si>
  <si>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</si>
  <si>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</si>
  <si>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</si>
  <si>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</si>
  <si>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</si>
  <si>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</si>
  <si>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</si>
  <si>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</si>
  <si>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</si>
  <si>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</si>
  <si>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</si>
  <si>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</si>
  <si>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</si>
  <si>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</si>
  <si>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</si>
  <si>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</si>
  <si>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</si>
  <si>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</si>
  <si>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</si>
  <si>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</si>
  <si>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</si>
  <si>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</si>
  <si>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</si>
  <si>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</si>
  <si>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</si>
  <si>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</si>
  <si>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</si>
  <si>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</si>
  <si>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</si>
  <si>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</si>
  <si>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</si>
  <si>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</si>
  <si>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</si>
  <si>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</si>
  <si>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</si>
  <si>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</si>
  <si>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</si>
  <si>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</si>
  <si>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</si>
  <si>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</si>
  <si>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</si>
  <si>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</si>
  <si>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</si>
  <si>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</si>
  <si>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</si>
  <si>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</si>
  <si>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</si>
  <si>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</si>
  <si>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</si>
  <si>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</si>
  <si>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</si>
  <si>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</si>
  <si>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</si>
  <si>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</si>
  <si>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</si>
  <si>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</si>
  <si>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</si>
  <si>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</si>
  <si>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</si>
  <si>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</si>
  <si>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</si>
  <si>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</si>
  <si>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</si>
  <si>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</si>
  <si>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</si>
  <si>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</si>
  <si>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</si>
  <si>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</si>
  <si>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</si>
  <si>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</si>
  <si>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</si>
  <si>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</si>
  <si>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</si>
  <si>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</si>
  <si>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</si>
  <si>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</si>
  <si>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</si>
  <si>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</si>
  <si>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</si>
  <si>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</si>
  <si>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</si>
  <si>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</si>
  <si>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</si>
  <si>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</si>
  <si>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</si>
  <si>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</si>
  <si>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</si>
  <si>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</si>
  <si>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</si>
  <si>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</si>
  <si>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</si>
  <si>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</si>
  <si>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</si>
  <si>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</si>
  <si>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</si>
  <si>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</si>
  <si>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</si>
  <si>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</si>
  <si>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</si>
  <si>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</si>
  <si>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</si>
  <si>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</si>
  <si>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</si>
  <si>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</si>
  <si>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</si>
  <si>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</si>
  <si>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</si>
  <si>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</si>
  <si>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</si>
  <si>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</si>
  <si>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</si>
  <si>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</si>
  <si>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</si>
  <si>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</si>
  <si>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</si>
  <si>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</si>
  <si>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</si>
  <si>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</si>
  <si>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</si>
  <si>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</si>
  <si>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</si>
  <si>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</si>
  <si>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</si>
  <si>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</si>
  <si>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</si>
  <si>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</si>
  <si>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</si>
  <si>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</si>
  <si>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</si>
  <si>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</si>
  <si>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</si>
  <si>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</si>
  <si>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</si>
  <si>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</si>
  <si>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</si>
  <si>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</si>
  <si>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</si>
  <si>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</si>
  <si>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</si>
  <si>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</si>
  <si>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</si>
  <si>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</si>
  <si>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</si>
  <si>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</si>
  <si>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</si>
  <si>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</si>
  <si>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</si>
  <si>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</si>
  <si>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</si>
  <si>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</si>
  <si>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</si>
  <si>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</si>
  <si>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</si>
  <si>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</si>
  <si>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</si>
  <si>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</si>
  <si>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</si>
  <si>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</si>
  <si>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</si>
  <si>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</si>
  <si>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</si>
  <si>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</si>
  <si>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</si>
  <si>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</si>
  <si>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</si>
  <si>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</si>
  <si>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</si>
  <si>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</si>
  <si>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</si>
  <si>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</si>
  <si>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</si>
  <si>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</si>
  <si>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</si>
  <si>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</si>
  <si>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</si>
  <si>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</si>
  <si>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</si>
  <si>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</si>
  <si>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</si>
  <si>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</si>
  <si>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</si>
  <si>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</si>
  <si>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</si>
  <si>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</si>
  <si>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</si>
  <si>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</si>
  <si>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</si>
  <si>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</si>
  <si>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</si>
  <si>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</si>
  <si>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</si>
  <si>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</si>
  <si>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</si>
  <si>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</si>
  <si>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</si>
  <si>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</si>
  <si>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</si>
  <si>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</si>
  <si>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</si>
  <si>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</si>
  <si>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</si>
  <si>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</si>
  <si>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</si>
  <si>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</si>
  <si>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</si>
  <si>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</si>
  <si>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</si>
  <si>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</si>
  <si>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</si>
  <si>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</si>
  <si>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</si>
  <si>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</si>
  <si>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</si>
  <si>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</si>
  <si>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</si>
  <si>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</si>
  <si>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</si>
  <si>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</si>
  <si>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</si>
  <si>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</si>
  <si>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</si>
  <si>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</si>
  <si>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</si>
  <si>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</si>
  <si>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</si>
  <si>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</si>
  <si>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</si>
  <si>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</si>
  <si>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</si>
  <si>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</si>
  <si>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</si>
  <si>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</si>
  <si>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</si>
  <si>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</si>
  <si>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</si>
  <si>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</si>
  <si>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</si>
  <si>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</si>
  <si>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</si>
  <si>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</si>
  <si>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</si>
  <si>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</si>
  <si>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</si>
  <si>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</si>
  <si>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</si>
  <si>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</si>
  <si>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</si>
  <si>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</si>
  <si>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</si>
  <si>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</si>
  <si>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</si>
  <si>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</si>
  <si>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</si>
  <si>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</si>
  <si>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</si>
  <si>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</si>
  <si>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</si>
  <si>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</si>
  <si>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</si>
  <si>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</si>
  <si>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</si>
  <si>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</si>
  <si>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</si>
  <si>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</si>
  <si>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</si>
  <si>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</si>
  <si>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</si>
  <si>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</si>
  <si>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</si>
  <si>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</si>
  <si>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</si>
  <si>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</si>
  <si>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</si>
  <si>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</si>
  <si>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</si>
  <si>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</si>
  <si>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</si>
  <si>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</si>
  <si>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</si>
  <si>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</si>
  <si>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</si>
  <si>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</si>
  <si>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</si>
  <si>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</si>
  <si>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</si>
  <si>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</si>
  <si>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</si>
  <si>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</si>
  <si>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</si>
  <si>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</si>
  <si>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</si>
  <si>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</si>
  <si>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</si>
  <si>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</si>
  <si>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</si>
  <si>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</si>
  <si>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</si>
  <si>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</si>
  <si>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</si>
  <si>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</si>
  <si>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</si>
  <si>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</si>
  <si>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</si>
  <si>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</si>
  <si>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</si>
  <si>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</si>
  <si>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</si>
  <si>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</si>
  <si>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</si>
  <si>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</si>
  <si>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</si>
  <si>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</si>
  <si>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</si>
  <si>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</si>
  <si>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</si>
  <si>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</si>
  <si>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</si>
  <si>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</si>
  <si>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</si>
  <si>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</si>
  <si>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</si>
  <si>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</si>
  <si>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</si>
  <si>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</si>
  <si>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</si>
  <si>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</si>
  <si>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</si>
  <si>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</si>
  <si>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</si>
  <si>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</si>
  <si>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</si>
  <si>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</si>
  <si>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</si>
  <si>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</si>
  <si>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</si>
  <si>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</si>
  <si>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</si>
  <si>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</si>
  <si>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</si>
  <si>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</si>
  <si>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</si>
  <si>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</si>
  <si>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</si>
  <si>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</si>
  <si>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</si>
  <si>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</si>
  <si>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</si>
  <si>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</si>
  <si>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</si>
  <si>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</si>
  <si>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</si>
  <si>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</si>
  <si>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</si>
  <si>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</si>
  <si>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</si>
  <si>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</si>
  <si>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</si>
  <si>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</si>
  <si>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</si>
  <si>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</si>
  <si>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</si>
  <si>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</si>
  <si>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</si>
  <si>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</si>
  <si>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</si>
  <si>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</si>
  <si>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</si>
  <si>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</si>
  <si>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</si>
  <si>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</si>
  <si>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</si>
  <si>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</si>
  <si>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</si>
  <si>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</si>
  <si>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</si>
  <si>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</si>
  <si>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</si>
  <si>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</si>
  <si>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</si>
  <si>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</si>
  <si>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</si>
  <si>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</si>
  <si>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</si>
  <si>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</si>
  <si>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</si>
  <si>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</si>
  <si>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</si>
  <si>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</si>
  <si>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</si>
  <si>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</si>
  <si>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</si>
  <si>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</si>
  <si>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</si>
  <si>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</si>
  <si>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</si>
  <si>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</si>
  <si>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</si>
  <si>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</si>
  <si>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</si>
  <si>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</si>
  <si>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</si>
  <si>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</si>
  <si>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</si>
  <si>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</si>
  <si>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</si>
  <si>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</si>
  <si>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</si>
  <si>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</si>
  <si>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</si>
  <si>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</si>
  <si>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</si>
  <si>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</si>
  <si>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</si>
  <si>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</si>
  <si>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</si>
  <si>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</si>
  <si>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</si>
  <si>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</si>
  <si>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</si>
  <si>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</si>
  <si>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</si>
  <si>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</si>
  <si>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</si>
  <si>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</si>
  <si>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</si>
  <si>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</si>
  <si>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</si>
  <si>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</si>
  <si>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</si>
  <si>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</si>
  <si>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</si>
  <si>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</si>
  <si>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</si>
  <si>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</si>
  <si>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</si>
  <si>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</si>
  <si>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</si>
  <si>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</si>
  <si>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</si>
  <si>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</si>
  <si>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</si>
  <si>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</si>
  <si>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</si>
  <si>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</si>
  <si>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</si>
  <si>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</si>
  <si>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</si>
  <si>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</si>
  <si>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</si>
  <si>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</si>
  <si>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</si>
  <si>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</si>
  <si>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</si>
  <si>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</si>
  <si>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</si>
  <si>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</si>
  <si>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</si>
  <si>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</si>
  <si>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</si>
  <si>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</si>
  <si>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</si>
  <si>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</si>
  <si>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</si>
  <si>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</si>
  <si>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</si>
  <si>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</si>
  <si>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</si>
  <si>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</si>
  <si>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</si>
  <si>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</si>
  <si>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</si>
  <si>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</si>
  <si>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</si>
  <si>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</si>
  <si>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</si>
  <si>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</si>
  <si>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</si>
  <si>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</si>
  <si>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</si>
  <si>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</si>
  <si>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</si>
  <si>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</si>
  <si>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</si>
  <si>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</si>
  <si>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</si>
  <si>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</si>
  <si>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</si>
  <si>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</si>
  <si>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</si>
  <si>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</si>
  <si>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</si>
  <si>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</si>
  <si>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</si>
  <si>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</si>
  <si>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</si>
  <si>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</si>
  <si>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</si>
  <si>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</si>
  <si>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</si>
  <si>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</si>
  <si>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</si>
  <si>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</si>
  <si>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</si>
  <si>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</si>
  <si>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</si>
  <si>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</si>
  <si>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</si>
  <si>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</si>
  <si>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</si>
  <si>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</si>
  <si>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</si>
  <si>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</si>
  <si>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</si>
  <si>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</si>
  <si>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</si>
  <si>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</si>
  <si>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</si>
  <si>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</si>
  <si>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</si>
  <si>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</si>
  <si>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</si>
  <si>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</si>
  <si>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</si>
  <si>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</si>
  <si>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</si>
  <si>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</si>
  <si>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</si>
  <si>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</si>
  <si>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</si>
  <si>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</si>
  <si>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</si>
  <si>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</si>
  <si>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</si>
  <si>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</si>
  <si>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</si>
  <si>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</si>
  <si>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</si>
  <si>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</si>
  <si>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</si>
  <si>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</si>
  <si>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</si>
  <si>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</si>
  <si>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</si>
  <si>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</si>
  <si>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</si>
  <si>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</si>
  <si>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</si>
  <si>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</si>
  <si>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</si>
  <si>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</si>
  <si>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</si>
  <si>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</si>
  <si>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</si>
  <si>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</si>
  <si>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</si>
  <si>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</si>
  <si>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</si>
  <si>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</si>
  <si>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</si>
  <si>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</si>
  <si>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</si>
  <si>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</si>
  <si>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</si>
  <si>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</si>
  <si>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</si>
  <si>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</si>
  <si>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</si>
  <si>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</si>
  <si>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</si>
  <si>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</si>
  <si>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</si>
  <si>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</si>
  <si>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</si>
  <si>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</si>
  <si>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</si>
  <si>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</si>
  <si>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</si>
  <si>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</si>
  <si>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</si>
  <si>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</si>
  <si>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</si>
  <si>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</si>
  <si>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</si>
  <si>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</si>
  <si>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</si>
  <si>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</si>
  <si>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</si>
  <si>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</si>
  <si>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</si>
  <si>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</si>
  <si>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</si>
  <si>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</si>
  <si>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</si>
  <si>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</si>
  <si>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</si>
  <si>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</si>
  <si>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</si>
  <si>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</si>
  <si>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</si>
  <si>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</si>
  <si>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</si>
  <si>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</si>
  <si>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</si>
  <si>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</si>
  <si>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</si>
  <si>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</si>
  <si>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</si>
  <si>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</si>
  <si>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</si>
  <si>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</si>
  <si>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</si>
  <si>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</si>
  <si>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</si>
  <si>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</si>
  <si>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</si>
  <si>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</si>
  <si>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</si>
  <si>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</si>
  <si>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</si>
  <si>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</si>
  <si>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</si>
  <si>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</si>
  <si>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</si>
  <si>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</si>
  <si>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</si>
  <si>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</si>
  <si>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</si>
  <si>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</si>
  <si>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</si>
  <si>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</si>
  <si>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</si>
  <si>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</si>
  <si>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</si>
  <si>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</si>
  <si>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</si>
  <si>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</si>
  <si>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</si>
  <si>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</si>
  <si>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</si>
  <si>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</si>
  <si>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</si>
  <si>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</si>
  <si>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</si>
  <si>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</si>
  <si>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</si>
  <si>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</si>
  <si>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</si>
  <si>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</si>
  <si>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</si>
  <si>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</si>
  <si>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</si>
  <si>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</si>
  <si>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</si>
  <si>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</si>
  <si>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</si>
  <si>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</si>
  <si>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</si>
  <si>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</si>
  <si>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</si>
  <si>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</si>
  <si>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</si>
  <si>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</si>
  <si>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</si>
  <si>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</si>
  <si>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</si>
  <si>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</si>
  <si>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</si>
  <si>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</si>
  <si>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</si>
  <si>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</si>
  <si>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</si>
  <si>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</si>
  <si>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</si>
  <si>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</si>
  <si>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</si>
  <si>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</si>
  <si>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</si>
  <si>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</si>
  <si>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</si>
  <si>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</si>
  <si>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</si>
  <si>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</si>
  <si>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</si>
  <si>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</si>
  <si>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</si>
  <si>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</si>
  <si>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</si>
  <si>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</si>
  <si>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</si>
  <si>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</si>
  <si>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</si>
  <si>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</si>
  <si>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</si>
  <si>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</si>
  <si>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</si>
  <si>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</si>
  <si>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</si>
  <si>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</si>
  <si>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</si>
  <si>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</si>
  <si>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</si>
  <si>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</si>
  <si>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</si>
  <si>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</si>
  <si>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</si>
  <si>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</si>
  <si>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</si>
  <si>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</si>
  <si>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</si>
  <si>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</si>
  <si>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</si>
  <si>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</si>
  <si>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</si>
  <si>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</si>
  <si>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</si>
  <si>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</si>
  <si>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</si>
  <si>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</si>
  <si>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</si>
  <si>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</si>
  <si>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</si>
  <si>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</si>
  <si>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</si>
  <si>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</si>
  <si>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</si>
  <si>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</si>
  <si>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</si>
  <si>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</si>
  <si>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</si>
  <si>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</si>
  <si>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</si>
  <si>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</si>
  <si>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</si>
  <si>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</si>
  <si>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</si>
  <si>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</si>
  <si>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</si>
  <si>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</si>
  <si>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</si>
  <si>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</si>
  <si>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</si>
  <si>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</si>
  <si>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</si>
  <si>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</si>
  <si>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</si>
  <si>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</si>
  <si>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</si>
  <si>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</si>
  <si>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</si>
  <si>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</si>
  <si>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</si>
  <si>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</si>
  <si>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</si>
  <si>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</si>
  <si>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</si>
  <si>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</si>
  <si>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</si>
  <si>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</si>
  <si>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</si>
  <si>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</si>
  <si>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</si>
  <si>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</si>
  <si>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</si>
  <si>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</si>
  <si>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</si>
  <si>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</si>
  <si>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</si>
  <si>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</si>
  <si>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</si>
  <si>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</si>
  <si>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</si>
  <si>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</si>
  <si>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</si>
  <si>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</si>
  <si>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</si>
  <si>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</si>
  <si>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</si>
  <si>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</si>
  <si>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</si>
  <si>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</si>
  <si>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</si>
  <si>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</si>
  <si>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</si>
  <si>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</si>
  <si>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</si>
  <si>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</si>
  <si>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</si>
  <si>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</si>
  <si>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</si>
  <si>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</si>
  <si>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</si>
  <si>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</si>
  <si>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</si>
  <si>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</si>
  <si>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</si>
  <si>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</si>
  <si>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</si>
  <si>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</si>
  <si>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</si>
  <si>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</si>
  <si>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</si>
  <si>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</si>
  <si>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</si>
  <si>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</si>
  <si>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</si>
  <si>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</si>
  <si>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</si>
  <si>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</si>
  <si>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</si>
  <si>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</si>
  <si>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</si>
  <si>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</si>
  <si>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</si>
  <si>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</si>
  <si>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</si>
  <si>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</si>
  <si>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</si>
  <si>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</si>
  <si>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</si>
  <si>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</si>
  <si>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</si>
  <si>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</si>
  <si>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</si>
  <si>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</si>
  <si>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</si>
  <si>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</si>
  <si>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</si>
  <si>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</si>
  <si>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</si>
  <si>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</si>
  <si>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</si>
  <si>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</si>
  <si>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</si>
  <si>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</si>
  <si>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</si>
  <si>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</si>
  <si>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</si>
  <si>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</si>
  <si>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</si>
  <si>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</si>
  <si>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</si>
  <si>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</si>
  <si>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</si>
  <si>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</si>
  <si>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</si>
  <si>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</si>
  <si>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</si>
  <si>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</si>
  <si>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</si>
  <si>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</si>
  <si>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</si>
  <si>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</si>
  <si>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</si>
  <si>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</si>
  <si>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</si>
  <si>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</si>
  <si>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</si>
  <si>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</si>
  <si>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</si>
  <si>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</si>
  <si>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</si>
  <si>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</si>
  <si>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</si>
  <si>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</si>
  <si>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</si>
  <si>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</si>
  <si>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</si>
  <si>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</si>
  <si>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</si>
  <si>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</si>
  <si>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</si>
  <si>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</si>
  <si>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</si>
  <si>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</si>
  <si>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</si>
  <si>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</si>
  <si>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</si>
  <si>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</si>
  <si>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</si>
  <si>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</si>
  <si>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</si>
  <si>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</si>
  <si>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</si>
  <si>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</si>
  <si>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</si>
  <si>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</si>
  <si>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</si>
  <si>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</si>
  <si>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</si>
  <si>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</si>
  <si>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</si>
  <si>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</si>
  <si>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</si>
  <si>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</si>
  <si>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</si>
  <si>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</si>
  <si>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</si>
  <si>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</si>
  <si>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</si>
  <si>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</si>
  <si>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</si>
  <si>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</si>
  <si>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</si>
  <si>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</si>
  <si>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</si>
  <si>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</si>
  <si>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</si>
  <si>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</si>
  <si>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</si>
  <si>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</si>
  <si>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</si>
  <si>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</si>
  <si>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</si>
  <si>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</si>
  <si>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</si>
  <si>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</si>
  <si>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</si>
  <si>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</si>
  <si>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</si>
  <si>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</si>
  <si>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</si>
  <si>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</si>
  <si>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</si>
  <si>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</si>
  <si>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</si>
  <si>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</si>
  <si>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</si>
  <si>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</si>
  <si>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</si>
  <si>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</si>
  <si>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</si>
  <si>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</si>
  <si>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</si>
  <si>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</si>
  <si>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</si>
  <si>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</si>
  <si>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</si>
  <si>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</si>
  <si>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</si>
  <si>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</si>
  <si>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</si>
  <si>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</si>
  <si>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</si>
  <si>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</si>
  <si>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</si>
  <si>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</si>
  <si>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</si>
  <si>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</si>
  <si>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</si>
  <si>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</si>
  <si>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</si>
  <si>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</si>
  <si>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</si>
  <si>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</si>
  <si>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</si>
  <si>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</si>
  <si>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</si>
  <si>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</si>
  <si>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</si>
  <si>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</si>
  <si>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</si>
  <si>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</si>
  <si>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</si>
  <si>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</si>
  <si>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</si>
  <si>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</si>
  <si>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</si>
  <si>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</si>
  <si>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</si>
  <si>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</si>
  <si>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</si>
  <si>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</si>
  <si>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</si>
  <si>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</si>
  <si>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</si>
  <si>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</si>
  <si>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</si>
  <si>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</si>
  <si>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</si>
  <si>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</si>
  <si>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</si>
  <si>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</si>
  <si>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</si>
  <si>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</si>
  <si>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</si>
  <si>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</si>
  <si>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</si>
  <si>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</si>
  <si>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</si>
  <si>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</si>
  <si>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</si>
  <si>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</si>
  <si>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</si>
  <si>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</si>
  <si>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</si>
  <si>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</si>
  <si>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</si>
  <si>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</si>
  <si>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</si>
  <si>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</si>
  <si>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</si>
  <si>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</si>
  <si>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</si>
  <si>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</si>
  <si>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</si>
  <si>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</si>
  <si>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</si>
  <si>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</si>
  <si>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</si>
  <si>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</si>
  <si>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</si>
  <si>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</si>
  <si>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</si>
  <si>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</si>
  <si>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</si>
  <si>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</si>
  <si>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</si>
  <si>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</si>
  <si>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</si>
  <si>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</si>
  <si>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</si>
  <si>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</si>
  <si>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</si>
  <si>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</si>
  <si>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</si>
  <si>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</si>
  <si>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</si>
  <si>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</si>
  <si>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</si>
  <si>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</si>
  <si>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</si>
  <si>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</si>
  <si>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</si>
  <si>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</si>
  <si>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</si>
  <si>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</si>
  <si>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</si>
  <si>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</si>
  <si>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</si>
  <si>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</si>
  <si>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</si>
  <si>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</si>
  <si>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</si>
  <si>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</si>
  <si>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</si>
  <si>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</si>
  <si>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</si>
  <si>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</si>
  <si>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</si>
  <si>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</si>
  <si>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</si>
  <si>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</si>
  <si>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</si>
  <si>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</si>
  <si>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</si>
  <si>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</si>
  <si>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</si>
  <si>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</si>
  <si>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</si>
  <si>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</si>
  <si>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</si>
  <si>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</si>
  <si>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</si>
  <si>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</si>
  <si>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</si>
  <si>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</si>
  <si>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</si>
  <si>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</si>
  <si>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</si>
  <si>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</si>
  <si>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</si>
  <si>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</si>
  <si>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</si>
  <si>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</si>
  <si>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</si>
  <si>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</si>
  <si>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</si>
  <si>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</si>
  <si>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</si>
  <si>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</si>
  <si>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</si>
  <si>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</si>
  <si>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</si>
  <si>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</si>
  <si>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</si>
  <si>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</si>
  <si>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</si>
  <si>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</si>
  <si>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</si>
  <si>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</si>
  <si>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</si>
  <si>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</si>
  <si>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</si>
  <si>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</si>
  <si>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</si>
  <si>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</si>
  <si>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</si>
  <si>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</si>
  <si>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</si>
  <si>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</si>
  <si>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</si>
  <si>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</si>
  <si>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</si>
  <si>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</si>
  <si>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</si>
  <si>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</si>
  <si>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</si>
  <si>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</si>
  <si>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</si>
  <si>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</si>
  <si>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</si>
  <si>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</si>
  <si>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</si>
  <si>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</si>
  <si>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</si>
  <si>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</si>
  <si>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</si>
  <si>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</si>
  <si>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</si>
  <si>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</si>
  <si>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</si>
  <si>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</si>
  <si>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</si>
  <si>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</si>
  <si>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</si>
  <si>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</si>
  <si>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</si>
  <si>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</si>
  <si>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</si>
  <si>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</si>
  <si>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</si>
  <si>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</si>
  <si>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</si>
  <si>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</si>
  <si>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</si>
  <si>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</si>
  <si>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</si>
  <si>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</si>
  <si>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</si>
  <si>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</si>
  <si>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</si>
  <si>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</si>
  <si>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</si>
  <si>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</si>
  <si>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</si>
  <si>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</si>
  <si>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</si>
  <si>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</si>
  <si>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</si>
  <si>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</si>
  <si>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</si>
  <si>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</si>
  <si>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</si>
  <si>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</si>
  <si>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</si>
  <si>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</si>
  <si>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</si>
  <si>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</si>
  <si>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</si>
  <si>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</si>
  <si>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</si>
  <si>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</si>
  <si>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</si>
  <si>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</si>
  <si>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</si>
  <si>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</si>
  <si>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</si>
  <si>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</si>
  <si>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</si>
  <si>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</si>
  <si>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</si>
  <si>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</si>
  <si>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</si>
  <si>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</si>
  <si>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</si>
  <si>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</si>
  <si>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</si>
  <si>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</si>
  <si>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</si>
  <si>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</si>
  <si>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</si>
  <si>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</si>
  <si>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</si>
  <si>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</si>
  <si>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</si>
  <si>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</si>
  <si>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</si>
  <si>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</si>
  <si>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</si>
  <si>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</si>
  <si>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</si>
  <si>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</si>
  <si>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</si>
  <si>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</si>
  <si>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</si>
  <si>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</si>
  <si>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</si>
  <si>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</si>
  <si>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</si>
  <si>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</si>
  <si>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</si>
  <si>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</si>
  <si>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</si>
  <si>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</si>
  <si>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</si>
  <si>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</si>
  <si>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</si>
  <si>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</si>
  <si>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</si>
  <si>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</si>
  <si>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</si>
  <si>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</si>
  <si>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</si>
  <si>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</si>
  <si>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</si>
  <si>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</si>
  <si>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</si>
  <si>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</si>
  <si>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</si>
  <si>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</si>
  <si>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</si>
  <si>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</si>
  <si>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</si>
  <si>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</si>
  <si>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</si>
  <si>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</si>
  <si>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</si>
  <si>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</si>
  <si>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</si>
  <si>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</si>
  <si>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</si>
  <si>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</si>
  <si>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</si>
  <si>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</si>
  <si>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</si>
  <si>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</si>
  <si>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</si>
  <si>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</si>
  <si>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</si>
  <si>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</si>
  <si>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</si>
  <si>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</si>
  <si>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</si>
  <si>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</si>
  <si>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</si>
  <si>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</si>
  <si>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</si>
  <si>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</si>
  <si>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</si>
  <si>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</si>
  <si>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</si>
  <si>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</si>
  <si>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</si>
  <si>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</si>
  <si>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</si>
  <si>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</si>
  <si>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</si>
  <si>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</si>
  <si>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</si>
  <si>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</si>
  <si>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</si>
  <si>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</si>
  <si>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</si>
  <si>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</si>
  <si>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</si>
  <si>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</si>
  <si>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</si>
  <si>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</si>
  <si>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</si>
  <si>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</si>
  <si>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</si>
  <si>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</si>
  <si>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</si>
  <si>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</si>
  <si>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</si>
  <si>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</si>
  <si>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</si>
  <si>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</si>
  <si>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</si>
  <si>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</si>
  <si>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</si>
  <si>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</si>
  <si>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</si>
  <si>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</si>
  <si>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</si>
  <si>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</si>
  <si>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</si>
  <si>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</si>
  <si>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</si>
  <si>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</si>
  <si>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</si>
  <si>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</si>
  <si>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</si>
  <si>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</si>
  <si>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</si>
  <si>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</si>
  <si>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</si>
  <si>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</si>
  <si>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</si>
  <si>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</si>
  <si>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</si>
  <si>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</si>
  <si>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</si>
  <si>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</si>
  <si>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</si>
  <si>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</si>
  <si>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</si>
  <si>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</si>
  <si>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</si>
  <si>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</si>
  <si>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</si>
  <si>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</si>
  <si>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</si>
  <si>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</si>
  <si>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</si>
  <si>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</si>
  <si>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</si>
  <si>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</si>
  <si>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</si>
  <si>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</si>
  <si>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</si>
  <si>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</si>
  <si>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</si>
  <si>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</si>
  <si>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</si>
  <si>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</si>
  <si>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</si>
  <si>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</si>
  <si>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</si>
  <si>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</si>
  <si>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</si>
  <si>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</si>
  <si>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</si>
  <si>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</si>
  <si>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</si>
  <si>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</si>
  <si>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</si>
  <si>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</si>
  <si>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</si>
  <si>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</si>
  <si>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</si>
  <si>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</si>
  <si>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</si>
  <si>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</si>
  <si>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</si>
  <si>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</si>
  <si>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</si>
  <si>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</si>
  <si>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</si>
  <si>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</si>
  <si>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</si>
  <si>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</si>
  <si>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</si>
  <si>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</si>
  <si>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</si>
  <si>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</si>
  <si>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</si>
  <si>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</si>
  <si>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</si>
  <si>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</si>
  <si>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</si>
  <si>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</si>
  <si>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</si>
  <si>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</si>
  <si>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</si>
  <si>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</si>
  <si>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</si>
  <si>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</si>
  <si>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</si>
  <si>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</si>
  <si>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</si>
  <si>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</si>
  <si>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</si>
  <si>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</si>
  <si>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</si>
  <si>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</si>
  <si>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</si>
  <si>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</si>
  <si>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</si>
  <si>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</si>
  <si>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</si>
  <si>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</si>
  <si>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</si>
  <si>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</si>
  <si>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</si>
  <si>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</si>
  <si>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</si>
  <si>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</si>
  <si>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</si>
  <si>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</si>
  <si>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</si>
  <si>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</si>
  <si>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</si>
  <si>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</si>
  <si>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</si>
  <si>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</si>
  <si>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</si>
  <si>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</si>
  <si>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</si>
  <si>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</si>
  <si>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</si>
  <si>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</si>
  <si>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</si>
  <si>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</si>
  <si>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</si>
  <si>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</si>
  <si>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</si>
  <si>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</si>
  <si>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</si>
  <si>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</si>
  <si>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</si>
  <si>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</si>
  <si>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</si>
  <si>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</si>
  <si>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</si>
  <si>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</si>
  <si>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</si>
  <si>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</si>
  <si>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</si>
  <si>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</si>
  <si>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</si>
  <si>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</si>
  <si>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</si>
  <si>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</si>
  <si>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</si>
  <si>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</si>
  <si>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</si>
  <si>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</si>
  <si>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</si>
  <si>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</si>
  <si>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</si>
  <si>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</si>
  <si>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</si>
  <si>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</si>
  <si>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</si>
  <si>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</si>
  <si>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</si>
  <si>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</si>
  <si>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</si>
  <si>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</si>
  <si>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</si>
  <si>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</si>
  <si>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</si>
  <si>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</si>
  <si>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</si>
  <si>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</si>
  <si>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</si>
  <si>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</si>
  <si>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</si>
  <si>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</si>
  <si>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</si>
  <si>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</si>
  <si>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</si>
  <si>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</si>
  <si>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</si>
  <si>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</si>
  <si>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</si>
  <si>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</si>
  <si>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</si>
  <si>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</si>
  <si>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</si>
  <si>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</si>
  <si>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</si>
  <si>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</si>
  <si>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</si>
  <si>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</si>
  <si>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</si>
  <si>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</si>
  <si>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</si>
  <si>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</si>
  <si>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</si>
  <si>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</si>
  <si>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</si>
  <si>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</si>
  <si>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</si>
  <si>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</si>
  <si>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</si>
  <si>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</si>
  <si>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</si>
  <si>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</si>
  <si>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</si>
  <si>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</si>
  <si>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</si>
  <si>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</si>
  <si>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</si>
  <si>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</si>
  <si>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</si>
  <si>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</si>
  <si>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</si>
  <si>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</si>
  <si>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</si>
  <si>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</si>
  <si>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</si>
  <si>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</si>
  <si>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</si>
  <si>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</si>
  <si>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</si>
  <si>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</si>
  <si>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</si>
  <si>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</si>
  <si>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</si>
  <si>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</si>
  <si>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</si>
  <si>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</si>
  <si>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</si>
  <si>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</si>
  <si>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</si>
  <si>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</si>
  <si>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</si>
  <si>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</si>
  <si>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</si>
  <si>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</si>
  <si>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</si>
  <si>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</si>
  <si>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</si>
  <si>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</si>
  <si>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</si>
  <si>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</si>
  <si>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</si>
  <si>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</si>
  <si>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</si>
  <si>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</si>
  <si>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</si>
  <si>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</si>
  <si>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</si>
  <si>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</si>
  <si>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</si>
  <si>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</si>
  <si>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</si>
  <si>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</si>
  <si>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</si>
  <si>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</si>
  <si>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</si>
  <si>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</si>
  <si>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</si>
  <si>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</si>
  <si>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</si>
  <si>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</si>
  <si>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</si>
  <si>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</si>
  <si>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</si>
  <si>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</si>
  <si>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</si>
  <si>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</si>
  <si>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</si>
  <si>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</si>
  <si>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</si>
  <si>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</si>
  <si>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</si>
  <si>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</si>
  <si>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</si>
  <si>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</si>
  <si>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</si>
  <si>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</si>
  <si>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</si>
  <si>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</si>
  <si>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</si>
  <si>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</si>
  <si>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</si>
  <si>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</si>
  <si>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</si>
  <si>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</si>
  <si>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</si>
  <si>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</si>
  <si>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</si>
  <si>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</si>
  <si>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</si>
  <si>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</si>
  <si>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</si>
  <si>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</si>
  <si>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</si>
  <si>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</si>
  <si>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</si>
  <si>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</si>
  <si>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</si>
  <si>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</si>
  <si>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</si>
  <si>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</si>
  <si>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</si>
  <si>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</si>
  <si>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</si>
  <si>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</si>
  <si>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</si>
  <si>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</si>
  <si>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</si>
  <si>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</si>
  <si>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</si>
  <si>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</si>
  <si>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</si>
  <si>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</si>
  <si>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</si>
  <si>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</si>
  <si>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</si>
  <si>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</si>
  <si>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</si>
  <si>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</si>
  <si>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</si>
  <si>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</si>
  <si>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</si>
  <si>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</si>
  <si>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</si>
  <si>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</si>
  <si>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</si>
  <si>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</si>
  <si>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</si>
  <si>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</si>
  <si>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</si>
  <si>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</si>
  <si>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</si>
  <si>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</si>
  <si>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</si>
  <si>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</si>
  <si>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</si>
  <si>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</si>
  <si>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</si>
  <si>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</si>
  <si>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</si>
  <si>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</si>
  <si>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</si>
  <si>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</si>
  <si>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</si>
  <si>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</si>
  <si>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</si>
  <si>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</si>
  <si>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</si>
  <si>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</si>
  <si>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</si>
  <si>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</si>
  <si>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</si>
  <si>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</si>
  <si>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</si>
  <si>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</si>
  <si>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</si>
  <si>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</si>
  <si>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</si>
  <si>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</si>
  <si>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</si>
  <si>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</si>
  <si>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</si>
  <si>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</si>
  <si>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</si>
  <si>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</si>
  <si>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</si>
  <si>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</si>
  <si>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</si>
  <si>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</si>
  <si>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</si>
  <si>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</si>
  <si>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</si>
  <si>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</si>
  <si>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</si>
  <si>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</si>
  <si>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</si>
  <si>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</si>
  <si>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</si>
  <si>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</si>
  <si>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</si>
  <si>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</si>
  <si>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</si>
  <si>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</si>
  <si>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</si>
  <si>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</si>
  <si>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</si>
  <si>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</si>
  <si>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</si>
  <si>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</si>
  <si>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</si>
  <si>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</si>
  <si>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</si>
  <si>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</si>
  <si>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</si>
  <si>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</si>
  <si>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</si>
  <si>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</si>
  <si>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</si>
  <si>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</si>
  <si>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</si>
  <si>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</si>
  <si>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</si>
  <si>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</si>
  <si>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</si>
  <si>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</si>
  <si>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</si>
  <si>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</si>
  <si>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</si>
  <si>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</si>
  <si>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</si>
  <si>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</si>
  <si>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</si>
  <si>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</si>
  <si>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</si>
  <si>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</si>
  <si>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</si>
  <si>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</si>
  <si>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</si>
  <si>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</si>
  <si>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</si>
  <si>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</si>
  <si>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</si>
  <si>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</si>
  <si>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</si>
  <si>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</si>
  <si>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</si>
  <si>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</si>
  <si>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</si>
  <si>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</si>
  <si>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</si>
  <si>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</si>
  <si>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</si>
  <si>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</si>
  <si>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</si>
  <si>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</si>
  <si>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</si>
  <si>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</si>
  <si>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</si>
  <si>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</si>
  <si>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</si>
  <si>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</si>
  <si>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</si>
  <si>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</si>
  <si>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</si>
  <si>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</si>
  <si>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</si>
  <si>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</si>
  <si>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</si>
  <si>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</si>
  <si>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</si>
  <si>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</si>
  <si>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</si>
  <si>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</si>
  <si>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</si>
  <si>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</si>
  <si>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</si>
  <si>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</si>
  <si>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</si>
  <si>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</si>
  <si>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</si>
  <si>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</si>
  <si>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</si>
  <si>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</si>
  <si>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</si>
  <si>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</si>
  <si>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</si>
  <si>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</si>
  <si>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</si>
  <si>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</si>
  <si>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</si>
  <si>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</si>
  <si>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</si>
  <si>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</si>
  <si>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</si>
  <si>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</si>
  <si>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</si>
  <si>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</si>
  <si>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</si>
  <si>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</si>
  <si>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</si>
  <si>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</si>
  <si>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</si>
  <si>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</si>
  <si>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</si>
  <si>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</si>
  <si>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</si>
  <si>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</si>
  <si>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</si>
  <si>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</si>
  <si>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</si>
  <si>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</si>
  <si>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</si>
  <si>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</si>
  <si>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</si>
  <si>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</si>
  <si>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</si>
  <si>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</si>
  <si>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</si>
  <si>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</si>
  <si>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</si>
  <si>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</si>
  <si>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</si>
  <si>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</si>
  <si>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</si>
  <si>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</si>
  <si>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</si>
  <si>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</si>
  <si>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</si>
  <si>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</si>
  <si>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</si>
  <si>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</si>
  <si>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</si>
  <si>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</si>
  <si>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</si>
  <si>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</si>
  <si>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</si>
  <si>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</si>
  <si>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</si>
  <si>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</si>
  <si>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</si>
  <si>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</si>
  <si>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</si>
  <si>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</si>
  <si>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</si>
  <si>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</si>
  <si>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</si>
  <si>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</si>
  <si>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</si>
  <si>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</si>
  <si>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</si>
  <si>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</si>
  <si>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</si>
  <si>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</si>
  <si>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</si>
  <si>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</si>
  <si>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</si>
  <si>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</si>
  <si>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</si>
  <si>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</si>
  <si>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</si>
  <si>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</si>
  <si>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</si>
  <si>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</si>
  <si>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</si>
  <si>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</si>
  <si>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</si>
  <si>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</si>
  <si>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</si>
  <si>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</si>
  <si>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</si>
  <si>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</si>
  <si>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</si>
  <si>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</si>
  <si>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</si>
  <si>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</si>
  <si>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</si>
  <si>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</si>
  <si>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</si>
  <si>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</si>
  <si>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</si>
  <si>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</si>
  <si>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</si>
  <si>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</si>
  <si>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</si>
  <si>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</si>
  <si>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</si>
  <si>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</si>
  <si>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</si>
  <si>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</si>
  <si>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</si>
  <si>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</si>
  <si>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</si>
  <si>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</si>
  <si>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</si>
  <si>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</si>
  <si>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</si>
  <si>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</si>
  <si>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</si>
  <si>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</si>
  <si>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</si>
  <si>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</si>
  <si>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</si>
  <si>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</si>
  <si>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</si>
  <si>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</si>
  <si>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</si>
  <si>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</si>
  <si>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</si>
  <si>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</si>
  <si>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</si>
  <si>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</si>
  <si>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</si>
  <si>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</si>
  <si>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</si>
  <si>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</si>
  <si>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</si>
  <si>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</si>
  <si>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</si>
  <si>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</si>
  <si>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</si>
  <si>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</si>
  <si>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</si>
  <si>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</si>
  <si>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</si>
  <si>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</si>
  <si>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</si>
  <si>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</si>
  <si>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</si>
  <si>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</si>
  <si>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</si>
  <si>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</si>
  <si>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</si>
  <si>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</si>
  <si>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</si>
  <si>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</si>
  <si>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</si>
  <si>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</si>
  <si>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</si>
  <si>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</si>
  <si>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</si>
  <si>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</si>
  <si>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</si>
  <si>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</si>
  <si>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</si>
  <si>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</si>
  <si>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</si>
  <si>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</si>
  <si>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</si>
  <si>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</si>
  <si>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</si>
  <si>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</si>
  <si>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</si>
  <si>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</si>
  <si>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</si>
  <si>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</si>
  <si>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</si>
  <si>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</si>
  <si>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</si>
  <si>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</si>
  <si>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</si>
  <si>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</si>
  <si>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</si>
  <si>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</si>
  <si>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</si>
  <si>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</si>
  <si>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</si>
  <si>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</si>
  <si>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</si>
  <si>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</si>
  <si>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</si>
  <si>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</si>
  <si>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</si>
  <si>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</si>
  <si>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</si>
  <si>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</si>
  <si>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</si>
  <si>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</si>
  <si>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</si>
  <si>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</si>
  <si>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</si>
  <si>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</si>
  <si>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</si>
  <si>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</si>
  <si>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</si>
  <si>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</si>
  <si>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</si>
  <si>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</si>
  <si>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</si>
  <si>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</si>
  <si>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</si>
  <si>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</si>
  <si>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</si>
  <si>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</si>
  <si>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</si>
  <si>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</si>
  <si>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</si>
  <si>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</si>
  <si>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</si>
  <si>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</si>
  <si>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</si>
  <si>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</si>
  <si>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</si>
  <si>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</si>
  <si>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</si>
  <si>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</si>
  <si>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</si>
  <si>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</si>
  <si>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</si>
  <si>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</si>
  <si>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</si>
  <si>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</si>
  <si>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</si>
  <si>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</si>
  <si>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</si>
  <si>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</si>
  <si>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</si>
  <si>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</si>
  <si>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</si>
  <si>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</si>
  <si>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</si>
  <si>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</si>
  <si>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</si>
  <si>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</si>
  <si>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</si>
  <si>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</si>
  <si>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</si>
  <si>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</si>
  <si>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</si>
  <si>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</si>
  <si>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</si>
  <si>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</si>
  <si>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</si>
  <si>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</si>
  <si>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</si>
  <si>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</si>
  <si>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</si>
  <si>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</si>
  <si>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</si>
  <si>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</si>
  <si>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</si>
  <si>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</si>
  <si>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</si>
  <si>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</si>
  <si>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</si>
  <si>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</si>
  <si>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</si>
  <si>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</si>
  <si>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</si>
  <si>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</si>
  <si>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</si>
  <si>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</si>
  <si>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</si>
  <si>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</si>
  <si>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</si>
  <si>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</si>
  <si>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</si>
  <si>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</si>
  <si>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</si>
  <si>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</si>
  <si>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</si>
  <si>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</si>
  <si>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</si>
  <si>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</si>
  <si>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</si>
  <si>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</si>
  <si>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</si>
  <si>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</si>
  <si>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</si>
  <si>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</si>
  <si>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</si>
  <si>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</si>
  <si>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</si>
  <si>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</si>
  <si>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</si>
  <si>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</si>
  <si>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</si>
  <si>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</si>
  <si>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</si>
  <si>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</si>
  <si>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</si>
  <si>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</si>
  <si>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</si>
  <si>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</si>
  <si>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</si>
  <si>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</si>
  <si>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</si>
  <si>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</si>
  <si>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</si>
  <si>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</si>
  <si>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</si>
  <si>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</si>
  <si>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</si>
  <si>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</si>
  <si>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</si>
  <si>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</si>
  <si>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</si>
  <si>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</si>
  <si>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</si>
  <si>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</si>
  <si>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</si>
  <si>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</si>
  <si>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</si>
  <si>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</si>
  <si>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</si>
  <si>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</si>
  <si>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</si>
  <si>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</si>
  <si>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</si>
  <si>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</si>
  <si>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</si>
  <si>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</si>
  <si>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</si>
  <si>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</si>
  <si>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</si>
  <si>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</si>
  <si>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</si>
  <si>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</si>
  <si>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</si>
  <si>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</si>
  <si>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</si>
  <si>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</si>
  <si>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</si>
  <si>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</si>
  <si>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</si>
  <si>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</si>
  <si>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</si>
  <si>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</si>
  <si>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</si>
  <si>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</si>
  <si>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</si>
  <si>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</si>
  <si>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</si>
  <si>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</si>
  <si>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</si>
  <si>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</si>
  <si>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</si>
  <si>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</si>
  <si>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</si>
  <si>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</si>
  <si>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</si>
  <si>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</si>
  <si>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</si>
  <si>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</si>
  <si>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</si>
  <si>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</si>
  <si>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</si>
  <si>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</si>
  <si>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</si>
  <si>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</si>
  <si>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</si>
  <si>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</si>
  <si>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</si>
  <si>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</si>
  <si>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</si>
  <si>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</si>
  <si>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</si>
  <si>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</si>
  <si>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</si>
  <si>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</si>
  <si>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</si>
  <si>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</si>
  <si>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</si>
  <si>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</si>
  <si>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</si>
  <si>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</si>
  <si>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</si>
  <si>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</si>
  <si>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</si>
  <si>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</si>
  <si>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</si>
  <si>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</si>
  <si>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</si>
  <si>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</si>
  <si>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</si>
  <si>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</si>
  <si>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</si>
  <si>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</si>
  <si>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</si>
  <si>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</si>
  <si>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</si>
  <si>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</si>
  <si>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</si>
  <si>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</si>
  <si>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</si>
  <si>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</si>
  <si>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</si>
  <si>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</si>
  <si>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</si>
  <si>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</si>
  <si>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</si>
  <si>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</si>
  <si>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</si>
  <si>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</si>
  <si>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</si>
  <si>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</si>
  <si>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</si>
  <si>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</si>
  <si>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</si>
  <si>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</si>
  <si>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</si>
  <si>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</si>
  <si>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</si>
  <si>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</si>
  <si>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</si>
  <si>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</si>
  <si>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</si>
  <si>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</si>
  <si>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</si>
  <si>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</si>
  <si>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</si>
  <si>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</si>
  <si>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</si>
  <si>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</si>
  <si>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</si>
  <si>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</si>
  <si>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</si>
  <si>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</si>
  <si>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</si>
  <si>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</si>
  <si>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</si>
  <si>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</si>
  <si>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</si>
  <si>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</si>
  <si>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</si>
  <si>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</si>
  <si>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</si>
  <si>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</si>
  <si>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</si>
  <si>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</si>
  <si>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</si>
  <si>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</si>
  <si>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</si>
  <si>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</si>
  <si>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</si>
  <si>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</si>
  <si>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</si>
  <si>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</si>
  <si>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</si>
  <si>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</si>
  <si>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</si>
  <si>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</si>
  <si>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</si>
  <si>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</si>
  <si>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</si>
  <si>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</si>
  <si>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</si>
  <si>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</si>
  <si>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</si>
  <si>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</si>
  <si>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</si>
  <si>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</si>
  <si>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</si>
  <si>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</si>
  <si>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</si>
  <si>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</si>
  <si>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</si>
  <si>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</si>
  <si>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</si>
  <si>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</si>
  <si>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</si>
  <si>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</si>
  <si>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</si>
  <si>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</si>
  <si>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</si>
  <si>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</si>
  <si>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</si>
  <si>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</si>
  <si>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</si>
  <si>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</si>
  <si>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</si>
  <si>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</si>
  <si>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</si>
  <si>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</si>
  <si>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</si>
  <si>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</si>
  <si>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</si>
  <si>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</si>
  <si>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</si>
  <si>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</si>
  <si>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</si>
  <si>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</si>
  <si>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</si>
  <si>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</si>
  <si>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</si>
  <si>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</si>
  <si>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</si>
  <si>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</si>
  <si>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</si>
  <si>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</si>
  <si>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</si>
  <si>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</si>
  <si>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</si>
  <si>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</si>
  <si>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</si>
  <si>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</si>
  <si>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</si>
  <si>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</si>
  <si>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</si>
  <si>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</si>
  <si>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</si>
  <si>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</si>
  <si>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</si>
  <si>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</si>
  <si>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</si>
  <si>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</si>
  <si>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</si>
  <si>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</si>
  <si>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</si>
  <si>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</si>
  <si>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</si>
  <si>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</si>
  <si>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</si>
  <si>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</si>
  <si>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</si>
  <si>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</si>
  <si>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</si>
  <si>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</si>
  <si>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</si>
  <si>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</si>
  <si>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</si>
  <si>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</si>
  <si>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</si>
  <si>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</si>
  <si>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</si>
  <si>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</si>
  <si>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</si>
  <si>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</si>
  <si>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</si>
  <si>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</si>
  <si>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</si>
  <si>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</si>
  <si>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</si>
  <si>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</si>
  <si>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</si>
  <si>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</si>
  <si>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</si>
  <si>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</si>
  <si>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</si>
  <si>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</si>
  <si>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</si>
  <si>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</si>
  <si>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</si>
  <si>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</si>
  <si>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</si>
  <si>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</si>
  <si>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</si>
  <si>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</si>
  <si>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</si>
  <si>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</si>
  <si>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</si>
  <si>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</si>
  <si>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</si>
  <si>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</si>
  <si>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</si>
  <si>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</si>
  <si>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</si>
  <si>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</si>
  <si>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</si>
  <si>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</si>
  <si>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</si>
  <si>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</si>
  <si>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</si>
  <si>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</si>
  <si>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</si>
  <si>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</si>
  <si>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</si>
  <si>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</si>
  <si>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</si>
  <si>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</si>
  <si>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</si>
  <si>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</si>
  <si>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</si>
  <si>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</si>
  <si>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</si>
  <si>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</si>
  <si>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</si>
  <si>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</si>
  <si>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</si>
  <si>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</si>
  <si>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</si>
  <si>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</si>
  <si>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</si>
  <si>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</si>
  <si>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</si>
  <si>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</si>
  <si>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</si>
  <si>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</si>
  <si>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</si>
  <si>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</si>
  <si>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</si>
  <si>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</si>
  <si>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</si>
  <si>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</si>
  <si>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</si>
  <si>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</si>
  <si>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</si>
  <si>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</si>
  <si>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</si>
  <si>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</si>
  <si>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</si>
  <si>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</si>
  <si>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</si>
  <si>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</si>
  <si>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</si>
  <si>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</si>
  <si>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</si>
  <si>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</si>
  <si>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</si>
  <si>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</si>
  <si>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</si>
  <si>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</si>
  <si>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</si>
  <si>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</si>
  <si>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</si>
  <si>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</si>
  <si>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</si>
  <si>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</si>
  <si>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</si>
  <si>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</si>
  <si>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</si>
  <si>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</si>
  <si>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</si>
  <si>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</si>
  <si>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</si>
  <si>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</si>
  <si>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</si>
  <si>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</si>
  <si>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</si>
  <si>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</si>
  <si>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</si>
  <si>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</si>
  <si>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</si>
  <si>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</si>
  <si>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</si>
  <si>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</si>
  <si>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</si>
  <si>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</si>
  <si>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</si>
  <si>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</si>
  <si>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</si>
  <si>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</si>
  <si>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</si>
  <si>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</si>
  <si>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</si>
  <si>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</si>
  <si>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</si>
  <si>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</si>
  <si>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</si>
  <si>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</si>
  <si>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</si>
  <si>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</si>
  <si>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</si>
  <si>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</si>
  <si>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</si>
  <si>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</si>
  <si>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</si>
  <si>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</si>
  <si>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</si>
  <si>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</si>
  <si>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</si>
  <si>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</si>
  <si>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</si>
  <si>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</si>
  <si>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</si>
  <si>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</si>
  <si>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</si>
  <si>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</si>
  <si>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</si>
  <si>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</si>
  <si>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</si>
  <si>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</si>
  <si>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</si>
  <si>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</si>
  <si>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</si>
  <si>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</si>
  <si>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</si>
  <si>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</si>
  <si>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</si>
  <si>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</si>
  <si>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</si>
  <si>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</si>
  <si>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</si>
  <si>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</si>
  <si>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</si>
  <si>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</si>
  <si>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</si>
  <si>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</si>
  <si>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</si>
  <si>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</si>
  <si>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</si>
  <si>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</si>
  <si>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</si>
  <si>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</si>
  <si>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</si>
  <si>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</si>
  <si>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</si>
  <si>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</si>
  <si>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</si>
  <si>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</si>
  <si>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</si>
  <si>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</si>
  <si>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</si>
  <si>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</si>
  <si>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</si>
  <si>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</si>
  <si>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</si>
  <si>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</si>
  <si>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</si>
  <si>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</si>
  <si>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</si>
  <si>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</si>
  <si>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</si>
  <si>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</si>
  <si>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</si>
  <si>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</si>
  <si>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</si>
  <si>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</si>
  <si>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</si>
  <si>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</si>
  <si>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</si>
  <si>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</si>
  <si>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</si>
  <si>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</si>
  <si>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</si>
  <si>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</si>
  <si>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</si>
  <si>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</si>
  <si>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</si>
  <si>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</si>
  <si>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</si>
  <si>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</si>
  <si>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</si>
  <si>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</si>
  <si>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</si>
  <si>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</si>
  <si>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</si>
  <si>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</si>
  <si>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</si>
  <si>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</si>
  <si>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</si>
  <si>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</si>
  <si>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</si>
  <si>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</si>
  <si>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</si>
  <si>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</si>
  <si>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</si>
  <si>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</si>
  <si>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</si>
  <si>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</si>
  <si>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</si>
  <si>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</si>
  <si>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</si>
  <si>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</si>
  <si>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</si>
  <si>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</si>
  <si>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</si>
  <si>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</si>
  <si>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</si>
  <si>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</si>
  <si>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</si>
  <si>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</si>
  <si>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</si>
  <si>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</si>
  <si>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</si>
  <si>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</si>
  <si>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</si>
  <si>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</si>
  <si>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</si>
  <si>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</si>
  <si>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</si>
  <si>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</si>
  <si>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</si>
  <si>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</si>
  <si>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</si>
  <si>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</si>
  <si>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</si>
  <si>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</si>
  <si>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</si>
  <si>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</si>
  <si>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</si>
  <si>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</si>
  <si>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</si>
  <si>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</si>
  <si>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</si>
  <si>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</si>
  <si>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</si>
  <si>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</si>
  <si>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</si>
  <si>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</si>
  <si>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</si>
  <si>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</si>
  <si>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</si>
  <si>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</si>
  <si>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</si>
  <si>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</si>
  <si>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</si>
  <si>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</si>
  <si>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</si>
  <si>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</si>
  <si>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</si>
  <si>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</si>
  <si>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</si>
  <si>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</si>
  <si>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</si>
  <si>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</si>
  <si>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</si>
  <si>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</si>
  <si>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</si>
  <si>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</si>
  <si>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</si>
  <si>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</si>
  <si>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</si>
  <si>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</si>
  <si>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</si>
  <si>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</si>
  <si>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</si>
  <si>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</si>
  <si>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</si>
  <si>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</si>
  <si>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</si>
  <si>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</si>
  <si>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</si>
  <si>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</si>
  <si>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</si>
  <si>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</si>
  <si>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</si>
  <si>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</si>
  <si>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</si>
  <si>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</si>
  <si>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</si>
  <si>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</si>
  <si>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</si>
  <si>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</si>
  <si>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</si>
  <si>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</si>
  <si>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</si>
  <si>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</si>
  <si>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</si>
  <si>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</si>
  <si>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</si>
  <si>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</si>
  <si>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</si>
  <si>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</si>
  <si>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</si>
  <si>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</si>
  <si>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</si>
  <si>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</si>
  <si>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</si>
  <si>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</si>
  <si>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</si>
  <si>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</si>
  <si>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</si>
  <si>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</si>
  <si>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</si>
  <si>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</si>
  <si>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</si>
  <si>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</si>
  <si>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</si>
  <si>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</si>
  <si>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</si>
  <si>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</si>
  <si>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</si>
  <si>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</si>
  <si>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</si>
  <si>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</si>
  <si>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</si>
  <si>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</si>
  <si>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</si>
  <si>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</si>
  <si>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</si>
  <si>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</si>
  <si>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</si>
  <si>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</si>
  <si>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</si>
  <si>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</si>
  <si>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</si>
  <si>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</si>
  <si>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</si>
  <si>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</si>
  <si>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</si>
  <si>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</si>
  <si>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</si>
  <si>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</si>
  <si>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</si>
  <si>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</si>
  <si>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</si>
  <si>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</si>
  <si>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</si>
  <si>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</si>
  <si>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</si>
  <si>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</si>
  <si>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</si>
  <si>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</si>
  <si>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</si>
  <si>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</si>
  <si>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</si>
  <si>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</si>
  <si>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</si>
  <si>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</si>
  <si>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</si>
  <si>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</si>
  <si>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</si>
  <si>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</si>
  <si>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</si>
  <si>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</si>
  <si>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</si>
  <si>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</si>
  <si>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</si>
  <si>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</si>
  <si>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</si>
  <si>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</si>
  <si>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</si>
  <si>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</si>
  <si>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</si>
  <si>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</si>
  <si>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</si>
  <si>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</si>
  <si>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</si>
  <si>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</si>
  <si>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</si>
  <si>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</si>
  <si>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</si>
  <si>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</si>
  <si>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</si>
  <si>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</si>
  <si>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</si>
  <si>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</si>
  <si>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</si>
  <si>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</si>
  <si>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</si>
  <si>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</si>
  <si>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</si>
  <si>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</si>
  <si>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</si>
  <si>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</si>
  <si>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</si>
  <si>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</si>
  <si>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</si>
  <si>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</si>
  <si>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</si>
  <si>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</si>
  <si>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</si>
  <si>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</si>
  <si>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</si>
  <si>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</si>
  <si>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</si>
  <si>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</si>
  <si>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</si>
  <si>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</si>
  <si>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</si>
  <si>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</si>
  <si>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</si>
  <si>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</si>
  <si>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</si>
  <si>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</si>
  <si>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</si>
  <si>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</si>
  <si>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</si>
  <si>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</si>
  <si>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</si>
  <si>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</si>
  <si>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</si>
  <si>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</si>
  <si>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</si>
  <si>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</si>
  <si>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</si>
  <si>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</si>
  <si>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</si>
  <si>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</si>
  <si>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</si>
  <si>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</si>
  <si>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</si>
  <si>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</si>
  <si>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</si>
  <si>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</si>
  <si>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</si>
  <si>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</si>
  <si>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</si>
  <si>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</si>
  <si>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</si>
  <si>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</si>
  <si>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</si>
  <si>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</si>
  <si>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</si>
  <si>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</si>
  <si>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</si>
  <si>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</si>
  <si>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</si>
  <si>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</si>
  <si>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</si>
  <si>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</si>
  <si>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</si>
  <si>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</si>
  <si>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</si>
  <si>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</si>
  <si>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</si>
  <si>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</si>
  <si>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</si>
  <si>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</si>
  <si>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</si>
  <si>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</si>
  <si>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</si>
  <si>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</si>
  <si>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</si>
  <si>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</si>
  <si>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</si>
  <si>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</si>
  <si>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</si>
  <si>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</si>
  <si>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</si>
  <si>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</si>
  <si>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</si>
  <si>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</si>
  <si>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</si>
  <si>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</si>
  <si>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</si>
  <si>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</si>
  <si>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</si>
  <si>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</si>
  <si>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</si>
  <si>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</si>
  <si>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</si>
  <si>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</si>
  <si>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</si>
  <si>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</si>
  <si>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</si>
  <si>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</si>
  <si>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</si>
  <si>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</si>
  <si>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</si>
  <si>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</si>
  <si>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</si>
  <si>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</si>
  <si>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</si>
  <si>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</si>
  <si>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</si>
  <si>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</si>
  <si>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</si>
  <si>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</si>
  <si>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</si>
  <si>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</si>
  <si>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</si>
  <si>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</si>
  <si>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</si>
  <si>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</si>
  <si>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</si>
  <si>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</si>
  <si>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</si>
  <si>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</si>
  <si>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</si>
  <si>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</si>
  <si>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</si>
  <si>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</si>
  <si>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</si>
  <si>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</si>
  <si>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</si>
  <si>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</si>
  <si>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</si>
  <si>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</si>
  <si>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</si>
  <si>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</si>
  <si>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</si>
  <si>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</si>
  <si>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</si>
  <si>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</si>
  <si>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</si>
  <si>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</si>
  <si>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</si>
  <si>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</si>
  <si>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</si>
  <si>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</si>
  <si>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</si>
  <si>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</si>
  <si>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</si>
  <si>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</si>
  <si>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</si>
  <si>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</si>
  <si>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</si>
  <si>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</si>
  <si>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</si>
  <si>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</si>
  <si>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</si>
  <si>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</si>
  <si>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</si>
  <si>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</si>
  <si>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</si>
  <si>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</si>
  <si>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</si>
  <si>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</si>
  <si>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</si>
  <si>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</si>
  <si>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</si>
  <si>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</si>
  <si>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</si>
  <si>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</si>
  <si>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</si>
  <si>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</si>
  <si>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</si>
  <si>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</si>
  <si>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</si>
  <si>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</si>
  <si>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</si>
  <si>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</si>
  <si>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</si>
  <si>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</si>
  <si>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</si>
  <si>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</si>
  <si>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</si>
  <si>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</si>
  <si>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</si>
  <si>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</si>
  <si>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</si>
  <si>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</si>
  <si>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</si>
  <si>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</si>
  <si>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</si>
  <si>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</si>
  <si>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</si>
  <si>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</si>
  <si>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</si>
  <si>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</si>
  <si>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</si>
  <si>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</si>
  <si>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</si>
  <si>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</si>
  <si>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</si>
  <si>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</si>
  <si>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</si>
  <si>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</si>
  <si>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</si>
  <si>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</si>
  <si>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</si>
  <si>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</si>
  <si>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</si>
  <si>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</si>
  <si>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</si>
  <si>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</si>
  <si>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</si>
  <si>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</si>
  <si>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</si>
  <si>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</si>
  <si>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</si>
  <si>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</si>
  <si>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</si>
  <si>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</si>
  <si>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</si>
  <si>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</si>
  <si>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</si>
  <si>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</si>
  <si>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</si>
  <si>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</si>
  <si>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</si>
  <si>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</si>
  <si>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</si>
  <si>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</si>
  <si>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</si>
  <si>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</si>
  <si>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</si>
  <si>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</si>
  <si>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</si>
  <si>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</si>
  <si>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</si>
  <si>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</si>
  <si>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</si>
  <si>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</si>
  <si>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</si>
  <si>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</si>
  <si>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</si>
  <si>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</si>
  <si>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</si>
  <si>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</si>
  <si>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</si>
  <si>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</si>
  <si>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</si>
  <si>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</si>
  <si>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</si>
  <si>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</si>
  <si>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</si>
  <si>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</si>
  <si>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</si>
  <si>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</si>
  <si>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</si>
  <si>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</si>
  <si>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</si>
  <si>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</si>
  <si>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</si>
  <si>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</si>
  <si>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</si>
  <si>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</si>
  <si>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</si>
  <si>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</si>
  <si>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</si>
  <si>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</si>
  <si>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</si>
  <si>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</si>
  <si>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</si>
  <si>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</si>
  <si>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</si>
  <si>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</si>
  <si>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</si>
  <si>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</si>
  <si>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</si>
  <si>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</si>
  <si>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</si>
  <si>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</si>
  <si>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</si>
  <si>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</si>
  <si>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</si>
  <si>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</si>
  <si>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</si>
  <si>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</si>
  <si>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</si>
  <si>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</si>
  <si>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</si>
  <si>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</si>
  <si>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</si>
  <si>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</si>
  <si>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</si>
  <si>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</si>
  <si>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</si>
  <si>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</si>
  <si>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</si>
  <si>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</si>
  <si>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</si>
  <si>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</si>
  <si>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</si>
  <si>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</si>
  <si>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</si>
  <si>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</si>
  <si>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</si>
  <si>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</si>
  <si>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</si>
  <si>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</si>
  <si>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</si>
  <si>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</si>
  <si>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</si>
  <si>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</si>
  <si>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</si>
  <si>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</si>
  <si>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</si>
  <si>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</si>
  <si>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</si>
  <si>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</si>
  <si>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</si>
  <si>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</si>
  <si>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</si>
  <si>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</si>
  <si>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</si>
  <si>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</si>
  <si>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</si>
  <si>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</si>
  <si>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</si>
  <si>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</si>
  <si>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</si>
  <si>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</si>
  <si>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</si>
  <si>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</si>
  <si>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</si>
  <si>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</si>
  <si>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</si>
  <si>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</si>
  <si>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</si>
  <si>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</si>
  <si>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</si>
  <si>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</si>
  <si>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</si>
  <si>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</si>
  <si>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</si>
  <si>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</si>
  <si>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</si>
  <si>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</si>
  <si>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</si>
  <si>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</si>
  <si>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</si>
  <si>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</si>
  <si>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</si>
  <si>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</si>
  <si>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</si>
  <si>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</si>
  <si>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</si>
  <si>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</si>
  <si>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</si>
  <si>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</si>
  <si>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</si>
  <si>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</si>
  <si>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</si>
  <si>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</si>
  <si>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</si>
  <si>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</si>
  <si>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</si>
  <si>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</si>
  <si>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</si>
  <si>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</si>
  <si>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</si>
  <si>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</si>
  <si>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</si>
  <si>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</si>
  <si>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</si>
  <si>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</si>
  <si>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</si>
  <si>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</si>
  <si>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</si>
  <si>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</si>
  <si>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</si>
  <si>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</si>
  <si>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</si>
  <si>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</si>
  <si>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</si>
  <si>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</si>
  <si>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</si>
  <si>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</si>
  <si>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</si>
  <si>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</si>
  <si>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</si>
  <si>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</si>
  <si>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</si>
  <si>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</si>
  <si>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</si>
  <si>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</si>
  <si>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</si>
  <si>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</si>
  <si>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</si>
  <si>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</si>
  <si>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</si>
  <si>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</si>
  <si>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</si>
  <si>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</si>
  <si>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</si>
  <si>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</si>
  <si>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</si>
  <si>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</si>
  <si>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</si>
  <si>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</si>
  <si>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</si>
  <si>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</si>
  <si>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</si>
  <si>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</si>
  <si>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</si>
  <si>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</si>
  <si>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</si>
  <si>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</si>
  <si>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</si>
  <si>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</si>
  <si>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</si>
  <si>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</si>
  <si>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</si>
  <si>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</si>
  <si>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</si>
  <si>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</si>
  <si>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</si>
  <si>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</si>
  <si>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</si>
  <si>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</si>
  <si>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</si>
  <si>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</si>
  <si>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</si>
  <si>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</si>
  <si>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</si>
  <si>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</si>
  <si>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</si>
  <si>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</si>
  <si>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</si>
  <si>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</si>
  <si>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</si>
  <si>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</si>
  <si>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</si>
  <si>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</si>
  <si>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</si>
  <si>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</si>
  <si>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</si>
  <si>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</si>
  <si>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</si>
  <si>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</si>
  <si>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</si>
  <si>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</si>
  <si>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</si>
  <si>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</si>
  <si>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</si>
  <si>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</si>
  <si>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</si>
  <si>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</si>
  <si>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</si>
  <si>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</si>
  <si>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</si>
  <si>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</si>
  <si>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</si>
  <si>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</si>
  <si>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</si>
  <si>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</si>
  <si>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</si>
  <si>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</si>
  <si>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</si>
  <si>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</si>
  <si>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</si>
  <si>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</si>
  <si>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</si>
  <si>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</si>
  <si>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</si>
  <si>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</si>
  <si>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</si>
  <si>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</si>
  <si>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</si>
  <si>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</si>
  <si>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</si>
  <si>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</si>
  <si>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</si>
  <si>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</si>
  <si>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</si>
  <si>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</si>
  <si>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</si>
  <si>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</si>
  <si>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</si>
  <si>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</si>
  <si>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</si>
  <si>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</si>
  <si>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</si>
  <si>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</si>
  <si>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</si>
  <si>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</si>
  <si>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</si>
  <si>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</si>
  <si>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</si>
  <si>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</si>
  <si>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</si>
  <si>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</si>
  <si>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</si>
  <si>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</si>
  <si>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</si>
  <si>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</si>
  <si>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</si>
  <si>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</si>
  <si>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</si>
  <si>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</si>
  <si>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</si>
  <si>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</si>
  <si>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</si>
  <si>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</si>
  <si>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</si>
  <si>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</si>
  <si>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</si>
  <si>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</si>
  <si>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</si>
  <si>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</si>
  <si>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</si>
  <si>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</si>
  <si>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</si>
  <si>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</si>
  <si>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</si>
  <si>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</si>
  <si>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</si>
  <si>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</si>
  <si>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</si>
  <si>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</si>
  <si>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</si>
  <si>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</si>
  <si>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</si>
  <si>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</si>
  <si>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</si>
  <si>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</si>
  <si>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</si>
  <si>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</si>
  <si>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</si>
  <si>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</si>
  <si>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</si>
  <si>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</si>
  <si>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</si>
  <si>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</si>
  <si>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</si>
  <si>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</si>
  <si>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</si>
  <si>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</si>
  <si>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</si>
  <si>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</si>
  <si>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</si>
  <si>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</si>
  <si>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</si>
  <si>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</si>
  <si>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</si>
  <si>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</si>
  <si>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</si>
  <si>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</si>
  <si>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</si>
  <si>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</si>
  <si>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</si>
  <si>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</si>
  <si>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</si>
  <si>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</si>
  <si>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</si>
  <si>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</si>
  <si>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</si>
  <si>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</si>
  <si>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</si>
  <si>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</si>
  <si>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</si>
  <si>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</si>
  <si>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</si>
  <si>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</si>
  <si>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</si>
  <si>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</si>
  <si>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</si>
  <si>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</si>
  <si>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</si>
  <si>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</si>
  <si>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</si>
  <si>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</si>
  <si>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</si>
  <si>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</si>
  <si>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</si>
  <si>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</si>
  <si>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</si>
  <si>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</si>
  <si>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</si>
  <si>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</si>
  <si>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</si>
  <si>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</si>
  <si>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</si>
  <si>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</si>
  <si>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</si>
  <si>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</si>
  <si>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</si>
  <si>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</si>
  <si>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</si>
  <si>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</si>
  <si>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</si>
  <si>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</si>
  <si>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</si>
  <si>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</si>
  <si>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</si>
  <si>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</si>
  <si>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</si>
  <si>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</si>
  <si>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</si>
  <si>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</si>
  <si>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</si>
  <si>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</si>
  <si>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</si>
  <si>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</si>
  <si>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</si>
  <si>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</si>
  <si>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</si>
  <si>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</si>
  <si>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</si>
  <si>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</si>
  <si>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</si>
  <si>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</si>
  <si>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</si>
  <si>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</si>
  <si>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</si>
  <si>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</si>
  <si>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</si>
  <si>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</si>
  <si>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</si>
  <si>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</si>
  <si>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</si>
  <si>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</si>
  <si>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</si>
  <si>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</si>
  <si>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</si>
  <si>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</si>
  <si>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</si>
  <si>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</si>
  <si>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</si>
  <si>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</si>
  <si>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</si>
  <si>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</si>
  <si>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</si>
  <si>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</si>
  <si>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</si>
  <si>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</si>
  <si>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</si>
  <si>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</si>
  <si>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</si>
  <si>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</si>
  <si>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</si>
  <si>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</si>
  <si>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</si>
  <si>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</si>
  <si>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</si>
  <si>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</si>
  <si>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</si>
  <si>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</si>
  <si>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</si>
  <si>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</si>
  <si>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</si>
  <si>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</si>
  <si>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</si>
  <si>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</si>
  <si>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</si>
  <si>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</si>
  <si>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</si>
  <si>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</si>
  <si>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</si>
  <si>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</si>
  <si>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</si>
  <si>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</si>
  <si>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</si>
  <si>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</si>
  <si>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</si>
  <si>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</si>
  <si>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</si>
  <si>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</si>
  <si>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</si>
  <si>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</si>
  <si>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</si>
  <si>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</si>
  <si>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</si>
  <si>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</si>
  <si>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</si>
  <si>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</si>
  <si>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</si>
  <si>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</si>
  <si>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</si>
  <si>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</si>
  <si>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</si>
  <si>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</si>
  <si>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</si>
  <si>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</si>
  <si>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</si>
  <si>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</si>
  <si>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</si>
  <si>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</si>
  <si>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</si>
  <si>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</si>
  <si>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</si>
  <si>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</si>
  <si>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</si>
  <si>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</si>
  <si>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</si>
  <si>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</si>
  <si>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</si>
  <si>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</si>
  <si>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</si>
  <si>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</si>
  <si>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</si>
  <si>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</si>
  <si>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</si>
  <si>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</si>
  <si>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</si>
  <si>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</si>
  <si>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</si>
  <si>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</si>
  <si>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</si>
  <si>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</si>
  <si>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</si>
  <si>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</si>
  <si>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</si>
  <si>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</si>
  <si>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</si>
  <si>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</si>
  <si>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</si>
  <si>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</si>
  <si>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</si>
  <si>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</si>
  <si>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</si>
  <si>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</si>
  <si>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</si>
  <si>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</si>
  <si>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</si>
  <si>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</si>
  <si>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</si>
  <si>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</si>
  <si>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</si>
  <si>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</si>
  <si>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</si>
  <si>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</si>
  <si>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</si>
  <si>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</si>
  <si>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</si>
  <si>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</si>
  <si>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</si>
  <si>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</si>
  <si>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</si>
  <si>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</si>
  <si>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</si>
  <si>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</si>
  <si>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</si>
  <si>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</si>
  <si>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</si>
  <si>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</si>
  <si>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</si>
  <si>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</si>
  <si>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</si>
  <si>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</si>
  <si>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</si>
  <si>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</si>
  <si>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</si>
  <si>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</si>
  <si>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</si>
  <si>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</si>
  <si>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</si>
  <si>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</si>
  <si>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</si>
  <si>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</si>
  <si>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</si>
  <si>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</si>
  <si>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</si>
  <si>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</si>
  <si>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</si>
  <si>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</si>
  <si>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</si>
  <si>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</si>
  <si>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</si>
  <si>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</si>
  <si>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</si>
  <si>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</si>
  <si>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</si>
  <si>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</si>
  <si>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</si>
  <si>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</si>
  <si>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</si>
  <si>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</si>
  <si>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</si>
  <si>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</si>
  <si>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</si>
  <si>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</si>
  <si>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</si>
  <si>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</si>
  <si>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</si>
  <si>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</si>
  <si>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</si>
  <si>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</si>
  <si>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</si>
  <si>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</si>
  <si>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</si>
  <si>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</si>
  <si>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</si>
  <si>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</si>
  <si>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</si>
  <si>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</si>
  <si>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</si>
  <si>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</si>
  <si>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</si>
  <si>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</si>
  <si>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</si>
  <si>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</si>
  <si>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</si>
  <si>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</si>
  <si>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</si>
  <si>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</si>
  <si>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</si>
  <si>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</si>
  <si>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</si>
  <si>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</si>
  <si>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</si>
  <si>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</si>
  <si>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</si>
  <si>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</si>
  <si>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</si>
  <si>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</si>
  <si>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</si>
  <si>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</si>
  <si>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</si>
  <si>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</si>
  <si>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</si>
  <si>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</si>
  <si>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</si>
  <si>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</si>
  <si>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</si>
  <si>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</si>
  <si>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</si>
  <si>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</si>
  <si>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</si>
  <si>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</si>
  <si>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</si>
  <si>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</si>
  <si>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</si>
  <si>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</si>
  <si>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</si>
  <si>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</si>
  <si>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</si>
  <si>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</si>
  <si>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</si>
  <si>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</si>
  <si>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</si>
  <si>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</si>
  <si>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</si>
  <si>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</si>
  <si>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</si>
  <si>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</si>
  <si>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</si>
  <si>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</si>
  <si>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</si>
  <si>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</si>
  <si>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</si>
  <si>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</si>
  <si>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</si>
  <si>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</si>
  <si>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</si>
  <si>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</si>
  <si>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</si>
  <si>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</si>
  <si>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</si>
  <si>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</si>
  <si>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</si>
  <si>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</si>
  <si>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</si>
  <si>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</si>
  <si>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</si>
  <si>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</si>
  <si>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</si>
  <si>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</si>
  <si>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</si>
  <si>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</si>
  <si>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</si>
  <si>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</si>
  <si>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</si>
  <si>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</si>
  <si>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</si>
  <si>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</si>
  <si>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</si>
  <si>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</si>
  <si>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</si>
  <si>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</si>
  <si>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</si>
  <si>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</si>
  <si>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</si>
  <si>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</si>
  <si>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</si>
  <si>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</si>
  <si>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</si>
  <si>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</si>
  <si>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</si>
  <si>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</si>
  <si>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</si>
  <si>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</si>
  <si>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</si>
  <si>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</si>
  <si>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</si>
  <si>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</si>
  <si>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</si>
  <si>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</si>
  <si>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</si>
  <si>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</si>
  <si>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</si>
  <si>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</si>
  <si>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</si>
  <si>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</si>
  <si>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</si>
  <si>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</si>
  <si>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</si>
  <si>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</si>
  <si>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</si>
  <si>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</si>
  <si>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</si>
  <si>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</si>
  <si>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</si>
  <si>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</si>
  <si>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</si>
  <si>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</si>
  <si>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</si>
  <si>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</si>
  <si>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</si>
  <si>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</si>
  <si>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</si>
  <si>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</si>
  <si>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</si>
  <si>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</si>
  <si>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</si>
  <si>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</si>
  <si>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</si>
  <si>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</si>
  <si>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</si>
  <si>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</si>
  <si>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</si>
  <si>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</si>
  <si>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</si>
  <si>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</si>
  <si>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</si>
  <si>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</si>
  <si>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</si>
  <si>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</si>
  <si>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</si>
  <si>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</si>
  <si>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</si>
  <si>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</si>
  <si>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</si>
  <si>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</si>
  <si>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</si>
  <si>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</si>
  <si>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</si>
  <si>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</si>
  <si>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</si>
  <si>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</si>
  <si>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</si>
  <si>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</si>
  <si>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</si>
  <si>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</si>
  <si>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</si>
  <si>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</si>
  <si>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</si>
  <si>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</si>
  <si>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</si>
  <si>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</si>
  <si>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</si>
  <si>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</si>
  <si>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</si>
  <si>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</si>
  <si>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</si>
  <si>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</si>
  <si>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</si>
  <si>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</si>
  <si>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</si>
  <si>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</si>
  <si>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</si>
  <si>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</si>
  <si>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</si>
  <si>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</si>
  <si>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</si>
  <si>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</si>
  <si>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</si>
  <si>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</si>
  <si>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</si>
  <si>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</si>
  <si>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</si>
  <si>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</si>
  <si>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</si>
  <si>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</si>
  <si>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</si>
  <si>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</si>
  <si>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</si>
  <si>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</si>
  <si>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</si>
  <si>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</si>
  <si>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</si>
  <si>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</si>
  <si>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</si>
  <si>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</si>
  <si>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</si>
  <si>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</si>
  <si>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</si>
  <si>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</si>
  <si>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</si>
  <si>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</si>
  <si>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</si>
  <si>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</si>
  <si>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</si>
  <si>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</si>
  <si>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</si>
  <si>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</si>
  <si>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</si>
  <si>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</si>
  <si>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</si>
  <si>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</si>
  <si>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</si>
  <si>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</si>
  <si>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</si>
  <si>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</si>
  <si>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</si>
  <si>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</si>
  <si>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</si>
  <si>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</si>
  <si>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</si>
  <si>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</si>
  <si>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</si>
  <si>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</si>
  <si>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</si>
  <si>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</si>
  <si>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</si>
  <si>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</si>
  <si>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</si>
  <si>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</si>
  <si>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</si>
  <si>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</si>
  <si>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</si>
  <si>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</si>
  <si>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</si>
  <si>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</si>
  <si>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</si>
  <si>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</si>
  <si>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</si>
  <si>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</si>
  <si>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</si>
  <si>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</si>
  <si>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</si>
  <si>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</si>
  <si>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</si>
  <si>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</si>
  <si>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</si>
  <si>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</si>
  <si>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</si>
  <si>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</si>
  <si>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</si>
  <si>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</si>
  <si>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</si>
  <si>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</si>
  <si>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</si>
  <si>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</si>
  <si>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</si>
  <si>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</si>
  <si>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</si>
  <si>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</si>
  <si>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</si>
  <si>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</si>
  <si>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</si>
  <si>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</si>
  <si>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</si>
  <si>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</si>
  <si>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</si>
  <si>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</si>
  <si>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</si>
  <si>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</si>
  <si>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</si>
  <si>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</si>
  <si>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</si>
  <si>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</si>
  <si>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</si>
  <si>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</si>
  <si>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</si>
  <si>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</si>
  <si>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</si>
  <si>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</si>
  <si>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</si>
  <si>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</si>
  <si>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</si>
  <si>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</si>
  <si>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</si>
  <si>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</si>
  <si>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</si>
  <si>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</si>
  <si>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</si>
  <si>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</si>
  <si>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</si>
  <si>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</si>
  <si>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</si>
  <si>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</si>
  <si>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</si>
  <si>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</si>
  <si>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</si>
  <si>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</si>
  <si>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</si>
  <si>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</si>
  <si>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</si>
  <si>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</si>
  <si>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</si>
  <si>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</si>
  <si>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</si>
  <si>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</si>
  <si>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</si>
  <si>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</si>
  <si>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</si>
  <si>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</si>
  <si>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</si>
  <si>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</si>
  <si>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</si>
  <si>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</si>
  <si>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</si>
  <si>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</si>
  <si>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</si>
  <si>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</si>
  <si>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</si>
  <si>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</si>
  <si>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</si>
  <si>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</si>
  <si>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</si>
  <si>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</si>
  <si>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</si>
  <si>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</si>
  <si>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</si>
  <si>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</si>
  <si>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</si>
  <si>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</si>
  <si>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</si>
  <si>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</si>
  <si>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</si>
  <si>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</si>
  <si>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</si>
  <si>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</si>
  <si>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</si>
  <si>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</si>
  <si>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</si>
  <si>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</si>
  <si>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</si>
  <si>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</si>
  <si>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</si>
  <si>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</si>
  <si>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</si>
  <si>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</si>
  <si>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</si>
  <si>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</si>
  <si>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</si>
  <si>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</si>
  <si>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</si>
  <si>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</si>
  <si>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</si>
  <si>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</si>
  <si>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</si>
  <si>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</si>
  <si>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</si>
  <si>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</si>
  <si>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</si>
  <si>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</si>
  <si>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</si>
  <si>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</si>
  <si>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</si>
  <si>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</si>
  <si>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</si>
  <si>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</si>
  <si>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</si>
  <si>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</si>
  <si>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</si>
  <si>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</si>
  <si>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</si>
  <si>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</si>
  <si>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</si>
  <si>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</si>
  <si>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</si>
  <si>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</si>
  <si>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</si>
  <si>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</si>
  <si>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</si>
  <si>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</si>
  <si>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</si>
  <si>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</si>
  <si>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</si>
  <si>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</si>
  <si>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</si>
  <si>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</si>
  <si>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</si>
  <si>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</si>
  <si>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</si>
  <si>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</si>
  <si>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</si>
  <si>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</si>
  <si>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</si>
  <si>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</si>
  <si>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</si>
  <si>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</si>
  <si>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</si>
  <si>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</si>
  <si>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</si>
  <si>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</si>
  <si>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</si>
  <si>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</si>
  <si>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</si>
  <si>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</si>
  <si>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</si>
  <si>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</si>
  <si>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</si>
  <si>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</si>
  <si>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</si>
  <si>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</si>
  <si>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</si>
  <si>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</si>
  <si>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</si>
  <si>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</si>
  <si>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</si>
  <si>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</si>
  <si>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</si>
  <si>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</si>
  <si>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</si>
  <si>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</si>
  <si>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</si>
  <si>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</si>
  <si>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</si>
  <si>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</si>
  <si>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</si>
  <si>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</si>
  <si>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</si>
  <si>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</si>
  <si>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</si>
  <si>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</si>
  <si>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</si>
  <si>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</si>
  <si>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</si>
  <si>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</si>
  <si>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</si>
  <si>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</si>
  <si>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</si>
  <si>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</si>
  <si>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</si>
  <si>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</si>
  <si>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</si>
  <si>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</si>
  <si>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</si>
  <si>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</si>
  <si>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</si>
  <si>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</si>
  <si>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</si>
  <si>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</si>
  <si>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</si>
  <si>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</si>
  <si>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</si>
  <si>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</si>
  <si>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</si>
  <si>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</si>
  <si>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</si>
  <si>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</si>
  <si>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</si>
  <si>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</si>
  <si>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</si>
  <si>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</si>
  <si>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</si>
  <si>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</si>
  <si>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</si>
  <si>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</si>
  <si>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</si>
  <si>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</si>
  <si>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</si>
  <si>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</si>
  <si>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</si>
  <si>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</si>
  <si>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</si>
  <si>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</si>
  <si>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</si>
  <si>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</si>
  <si>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</si>
  <si>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</si>
  <si>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</si>
  <si>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</si>
  <si>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</si>
  <si>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</si>
  <si>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</si>
  <si>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</si>
  <si>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</si>
  <si>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</si>
  <si>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</si>
  <si>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</si>
  <si>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</si>
  <si>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</si>
  <si>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</si>
  <si>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</si>
  <si>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</si>
  <si>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</si>
  <si>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</si>
  <si>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</si>
  <si>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</si>
  <si>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</si>
  <si>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</si>
  <si>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</si>
  <si>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</si>
  <si>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</si>
  <si>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</si>
  <si>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</si>
  <si>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</si>
  <si>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</si>
  <si>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</si>
  <si>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</si>
  <si>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</si>
  <si>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</si>
  <si>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</si>
  <si>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</si>
  <si>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</si>
  <si>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</si>
  <si>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</si>
  <si>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</si>
  <si>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</si>
  <si>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</si>
  <si>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</si>
  <si>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</si>
  <si>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</si>
  <si>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</si>
  <si>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</si>
  <si>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</si>
  <si>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</si>
  <si>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</si>
  <si>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</si>
  <si>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</si>
  <si>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</si>
  <si>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</si>
  <si>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</si>
  <si>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</si>
  <si>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</si>
  <si>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</si>
  <si>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</si>
  <si>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</si>
  <si>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</si>
  <si>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</si>
  <si>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</si>
  <si>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</si>
  <si>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</si>
  <si>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</si>
  <si>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</si>
  <si>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</si>
  <si>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</si>
  <si>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</si>
  <si>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</si>
  <si>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</si>
  <si>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</si>
  <si>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</si>
  <si>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</si>
  <si>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</si>
  <si>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</si>
  <si>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</si>
  <si>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</si>
  <si>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</si>
  <si>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</si>
  <si>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</si>
  <si>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</si>
  <si>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</si>
  <si>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</si>
  <si>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</si>
  <si>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</si>
  <si>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</si>
  <si>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</si>
  <si>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</si>
  <si>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</si>
  <si>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</si>
  <si>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</si>
  <si>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</si>
  <si>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</si>
  <si>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</si>
  <si>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</si>
  <si>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</si>
  <si>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</si>
  <si>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</si>
  <si>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</si>
  <si>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</si>
  <si>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</si>
  <si>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</si>
  <si>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</si>
  <si>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</si>
  <si>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</si>
  <si>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</si>
  <si>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</si>
  <si>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</si>
  <si>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</si>
  <si>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</si>
  <si>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</si>
  <si>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</si>
  <si>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</si>
  <si>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</si>
  <si>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</si>
  <si>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</si>
  <si>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</si>
  <si>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</si>
  <si>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</si>
  <si>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</si>
  <si>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</si>
  <si>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</si>
  <si>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</si>
  <si>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</si>
  <si>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</si>
  <si>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</si>
  <si>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</si>
  <si>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</si>
  <si>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</si>
  <si>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</si>
  <si>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</si>
  <si>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</si>
  <si>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</si>
  <si>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</si>
  <si>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</si>
  <si>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</si>
  <si>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</si>
  <si>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</si>
  <si>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</si>
  <si>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</si>
  <si>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</si>
  <si>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</si>
  <si>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</si>
  <si>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</si>
  <si>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</si>
  <si>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</si>
  <si>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</si>
  <si>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</si>
  <si>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</si>
  <si>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</si>
  <si>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</si>
  <si>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</si>
  <si>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</si>
  <si>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</si>
  <si>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</si>
  <si>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</si>
  <si>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</si>
  <si>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</si>
  <si>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</si>
  <si>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</si>
  <si>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</si>
  <si>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</si>
  <si>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</si>
  <si>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</si>
  <si>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</si>
  <si>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</si>
  <si>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</si>
  <si>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</si>
  <si>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</si>
  <si>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</si>
  <si>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</si>
  <si>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</si>
  <si>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</si>
  <si>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</si>
  <si>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</si>
  <si>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</si>
  <si>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</si>
  <si>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</si>
  <si>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</si>
  <si>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</si>
  <si>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</si>
  <si>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</si>
  <si>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</si>
  <si>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</si>
  <si>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</si>
  <si>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</si>
  <si>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</si>
  <si>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</si>
  <si>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</si>
  <si>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</si>
  <si>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</si>
  <si>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</si>
  <si>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</si>
  <si>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</si>
  <si>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</si>
  <si>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</si>
  <si>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</si>
  <si>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</si>
  <si>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</si>
  <si>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</si>
  <si>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</si>
  <si>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</si>
  <si>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</si>
  <si>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</si>
  <si>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</si>
  <si>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</si>
  <si>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</si>
  <si>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</si>
  <si>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</si>
  <si>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</si>
  <si>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</si>
  <si>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</si>
  <si>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</si>
  <si>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</si>
  <si>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</si>
  <si>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</si>
  <si>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</si>
  <si>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</si>
  <si>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</si>
  <si>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</si>
  <si>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</si>
  <si>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</si>
  <si>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</si>
  <si>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</si>
  <si>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</si>
  <si>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</si>
  <si>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</si>
  <si>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</si>
  <si>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</si>
  <si>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</si>
  <si>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</si>
  <si>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</si>
  <si>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</si>
  <si>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</si>
  <si>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</si>
  <si>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</si>
  <si>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</si>
  <si>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</si>
  <si>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</si>
  <si>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</si>
  <si>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</si>
  <si>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</si>
  <si>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</si>
  <si>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</si>
  <si>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</si>
  <si>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</si>
  <si>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</si>
  <si>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</si>
  <si>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</si>
  <si>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</si>
  <si>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</si>
  <si>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</si>
  <si>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</si>
  <si>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</si>
  <si>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</si>
  <si>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</si>
  <si>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</si>
  <si>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</si>
  <si>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</si>
  <si>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</si>
  <si>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</si>
  <si>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</si>
  <si>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</si>
  <si>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</si>
  <si>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</si>
  <si>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</si>
  <si>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</si>
  <si>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</si>
  <si>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</si>
  <si>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</si>
  <si>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</si>
  <si>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</si>
  <si>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</si>
  <si>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</si>
  <si>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</si>
  <si>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</si>
  <si>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</si>
  <si>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</si>
  <si>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</si>
  <si>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</si>
  <si>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</si>
  <si>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</si>
  <si>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</si>
  <si>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</si>
  <si>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</si>
  <si>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</si>
  <si>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</si>
  <si>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</si>
  <si>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</si>
  <si>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</si>
  <si>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</si>
  <si>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</si>
  <si>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</si>
  <si>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</si>
  <si>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</si>
  <si>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</si>
  <si>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</si>
  <si>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</si>
  <si>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</si>
  <si>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</si>
  <si>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</si>
  <si>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</si>
  <si>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</si>
  <si>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</si>
  <si>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</si>
  <si>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</si>
  <si>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</si>
  <si>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</si>
  <si>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</si>
  <si>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</si>
  <si>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</si>
  <si>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</si>
  <si>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</si>
  <si>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</si>
  <si>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</si>
  <si>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</si>
  <si>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</si>
  <si>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</si>
  <si>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</si>
  <si>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</si>
  <si>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</si>
  <si>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</si>
  <si>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</si>
  <si>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</si>
  <si>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</si>
  <si>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</si>
  <si>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</si>
  <si>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</si>
  <si>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</si>
  <si>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</si>
  <si>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</si>
  <si>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</si>
  <si>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</si>
  <si>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</si>
  <si>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</si>
  <si>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</si>
  <si>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</si>
  <si>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</si>
  <si>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</si>
  <si>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</si>
  <si>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</si>
  <si>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</si>
  <si>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</si>
  <si>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</si>
  <si>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</si>
  <si>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</si>
  <si>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</si>
  <si>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</si>
  <si>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</si>
  <si>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</si>
  <si>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</si>
  <si>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</si>
  <si>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</si>
  <si>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</si>
  <si>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</si>
  <si>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</si>
  <si>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</si>
  <si>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</si>
  <si>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</si>
  <si>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</si>
  <si>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</si>
  <si>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</si>
  <si>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</si>
  <si>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</si>
  <si>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</si>
  <si>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</si>
  <si>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</si>
  <si>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</si>
  <si>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</si>
  <si>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</si>
  <si>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</si>
  <si>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</si>
  <si>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</si>
  <si>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</si>
  <si>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</si>
  <si>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</si>
  <si>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</si>
  <si>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</si>
  <si>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</si>
  <si>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</si>
  <si>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</si>
  <si>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</si>
  <si>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</si>
  <si>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</si>
  <si>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</si>
  <si>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</si>
  <si>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</si>
  <si>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</si>
  <si>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</si>
  <si>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</si>
  <si>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</si>
  <si>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</si>
  <si>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</si>
  <si>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</si>
  <si>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</si>
  <si>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</si>
  <si>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</si>
  <si>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</si>
  <si>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</si>
  <si>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</si>
  <si>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</si>
  <si>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</si>
  <si>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</si>
  <si>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</si>
  <si>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</si>
  <si>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</si>
  <si>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</si>
  <si>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</si>
  <si>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</si>
  <si>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</si>
  <si>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</si>
  <si>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</si>
  <si>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</si>
  <si>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</si>
  <si>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</si>
  <si>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</si>
  <si>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</si>
  <si>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</si>
  <si>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</si>
  <si>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</si>
  <si>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</si>
  <si>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</si>
  <si>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</si>
  <si>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</si>
  <si>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</si>
  <si>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</si>
  <si>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</si>
  <si>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</si>
  <si>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</si>
  <si>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</si>
  <si>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</si>
  <si>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</si>
  <si>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</si>
  <si>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</si>
  <si>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</si>
  <si>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</si>
  <si>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</si>
  <si>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</si>
  <si>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</si>
  <si>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</si>
  <si>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</si>
  <si>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</si>
  <si>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</si>
  <si>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</si>
  <si>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</si>
  <si>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</si>
  <si>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</si>
  <si>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</si>
  <si>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</si>
  <si>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</si>
  <si>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</si>
  <si>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</si>
  <si>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</si>
  <si>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</si>
  <si>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</si>
  <si>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</si>
  <si>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</si>
  <si>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</si>
  <si>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</si>
  <si>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</si>
  <si>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</si>
  <si>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</si>
  <si>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</si>
  <si>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</si>
  <si>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</si>
  <si>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</si>
  <si>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</si>
  <si>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</si>
  <si>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</si>
  <si>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</si>
  <si>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</si>
  <si>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</si>
  <si>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</si>
  <si>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</si>
  <si>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</si>
  <si>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</si>
  <si>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</si>
  <si>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</si>
  <si>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</si>
  <si>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</si>
  <si>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</si>
  <si>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</si>
  <si>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</si>
  <si>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</si>
  <si>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</si>
  <si>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</si>
  <si>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</si>
  <si>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</si>
  <si>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</si>
  <si>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</si>
  <si>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</si>
  <si>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</si>
  <si>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</si>
  <si>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</si>
  <si>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</si>
  <si>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</si>
  <si>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</si>
  <si>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</si>
  <si>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</si>
  <si>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</si>
  <si>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</si>
  <si>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</si>
  <si>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</si>
  <si>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</si>
  <si>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</si>
  <si>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</si>
  <si>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</si>
  <si>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</si>
  <si>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</si>
  <si>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</si>
  <si>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</si>
  <si>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</si>
  <si>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</si>
  <si>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</si>
  <si>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</si>
  <si>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</si>
  <si>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</si>
  <si>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</si>
  <si>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</si>
  <si>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</si>
  <si>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</si>
  <si>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</si>
  <si>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</si>
  <si>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</si>
  <si>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</si>
  <si>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</si>
  <si>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</si>
  <si>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</si>
  <si>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</si>
  <si>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</si>
  <si>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</si>
  <si>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</si>
  <si>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</si>
  <si>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</si>
  <si>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</si>
  <si>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</si>
  <si>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</si>
  <si>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</si>
  <si>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</si>
  <si>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</si>
  <si>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</si>
  <si>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</si>
  <si>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</si>
  <si>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</si>
  <si>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</si>
  <si>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</si>
  <si>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</si>
  <si>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</si>
  <si>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</si>
  <si>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</si>
  <si>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</si>
  <si>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</si>
  <si>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</si>
  <si>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</si>
  <si>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</si>
  <si>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</si>
  <si>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</si>
  <si>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</si>
  <si>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</si>
  <si>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</si>
  <si>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</si>
  <si>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</si>
  <si>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</si>
  <si>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</si>
  <si>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</si>
  <si>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</si>
  <si>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</si>
  <si>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</si>
  <si>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</si>
  <si>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</si>
  <si>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</si>
  <si>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</si>
  <si>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</si>
  <si>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</si>
  <si>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</si>
  <si>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</si>
  <si>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</si>
  <si>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</si>
  <si>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</si>
  <si>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</si>
  <si>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</si>
  <si>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</si>
  <si>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</si>
  <si>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</si>
  <si>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</si>
  <si>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</si>
  <si>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</si>
  <si>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</si>
  <si>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</si>
  <si>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</si>
  <si>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</si>
  <si>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</si>
  <si>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</si>
  <si>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</si>
  <si>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</si>
  <si>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</si>
  <si>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</si>
  <si>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</si>
  <si>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</si>
  <si>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</si>
  <si>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</si>
  <si>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</si>
  <si>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</si>
  <si>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</si>
  <si>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</si>
  <si>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</si>
  <si>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</si>
  <si>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</si>
  <si>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</si>
  <si>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</si>
  <si>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</si>
  <si>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</si>
  <si>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</si>
  <si>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</si>
  <si>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</si>
  <si>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</si>
  <si>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</si>
  <si>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</si>
  <si>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</si>
  <si>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</si>
  <si>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</si>
  <si>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</si>
  <si>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</si>
  <si>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</si>
  <si>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</si>
  <si>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</si>
  <si>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</si>
  <si>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</si>
  <si>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</si>
  <si>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</si>
  <si>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</si>
  <si>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</si>
  <si>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</si>
  <si>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</si>
  <si>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</si>
  <si>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</si>
  <si>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</si>
  <si>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</si>
  <si>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</si>
  <si>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</si>
  <si>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</si>
  <si>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</si>
  <si>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</si>
  <si>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</si>
  <si>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</si>
  <si>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</si>
  <si>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</si>
  <si>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</si>
  <si>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</si>
  <si>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</si>
  <si>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</si>
  <si>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</si>
  <si>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</si>
  <si>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</si>
  <si>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</si>
  <si>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</si>
  <si>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</si>
  <si>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</si>
  <si>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</si>
  <si>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</si>
  <si>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</si>
  <si>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</si>
  <si>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</si>
  <si>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</si>
  <si>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</si>
  <si>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</si>
  <si>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</si>
  <si>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</si>
  <si>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</si>
  <si>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</si>
  <si>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</si>
  <si>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</si>
  <si>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</si>
  <si>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</si>
  <si>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</si>
  <si>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</si>
  <si>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</si>
  <si>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</si>
  <si>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</si>
  <si>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</si>
  <si>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</si>
  <si>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</si>
  <si>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</si>
  <si>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</si>
  <si>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</si>
  <si>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</si>
  <si>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</si>
  <si>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</si>
  <si>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</si>
  <si>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</si>
  <si>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</si>
  <si>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</si>
  <si>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</si>
  <si>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</si>
  <si>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</si>
  <si>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</si>
  <si>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</si>
  <si>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</si>
  <si>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</si>
  <si>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</si>
  <si>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</si>
  <si>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</si>
  <si>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</si>
  <si>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</si>
  <si>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</si>
  <si>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</si>
  <si>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</si>
  <si>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</si>
  <si>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</si>
  <si>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</si>
  <si>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</si>
  <si>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</si>
  <si>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</si>
  <si>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</si>
  <si>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</si>
  <si>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</si>
  <si>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</si>
  <si>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</si>
  <si>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</si>
  <si>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</si>
  <si>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</si>
  <si>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</si>
  <si>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</si>
  <si>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</si>
  <si>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</si>
  <si>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</si>
  <si>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</si>
  <si>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</si>
  <si>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</si>
  <si>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</si>
  <si>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</si>
  <si>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</si>
  <si>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</si>
  <si>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</si>
  <si>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</si>
  <si>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</si>
  <si>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</si>
  <si>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</si>
  <si>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</si>
  <si>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</si>
  <si>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</si>
  <si>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</si>
  <si>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</si>
  <si>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</si>
  <si>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</si>
  <si>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</si>
  <si>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</si>
  <si>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</si>
  <si>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</si>
  <si>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</si>
  <si>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</si>
  <si>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</si>
  <si>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</si>
  <si>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</si>
  <si>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</si>
  <si>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</si>
  <si>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</si>
  <si>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</si>
  <si>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</si>
  <si>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</si>
  <si>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</si>
  <si>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</si>
  <si>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</si>
  <si>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</si>
  <si>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</si>
  <si>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</si>
  <si>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</si>
  <si>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</si>
  <si>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</si>
  <si>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</si>
  <si>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</si>
  <si>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</si>
  <si>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</si>
  <si>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</si>
  <si>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</si>
  <si>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</si>
  <si>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</si>
  <si>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</si>
  <si>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</si>
  <si>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</si>
  <si>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</si>
  <si>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</si>
  <si>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</si>
  <si>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</si>
  <si>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</si>
  <si>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</si>
  <si>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</si>
  <si>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</si>
  <si>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</si>
  <si>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</si>
  <si>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</si>
  <si>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</si>
  <si>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</si>
  <si>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</si>
  <si>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</si>
  <si>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</si>
  <si>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</si>
  <si>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</si>
  <si>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</si>
  <si>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</si>
  <si>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</si>
  <si>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</si>
  <si>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</si>
  <si>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</si>
  <si>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</si>
  <si>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</si>
  <si>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</si>
  <si>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</si>
  <si>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</si>
  <si>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</si>
  <si>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</si>
  <si>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</si>
  <si>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</si>
  <si>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</si>
  <si>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</si>
  <si>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</si>
  <si>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</si>
  <si>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</si>
  <si>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</si>
  <si>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</si>
  <si>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</si>
  <si>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</si>
  <si>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</si>
  <si>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</si>
  <si>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</si>
  <si>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</si>
  <si>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</si>
  <si>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</si>
  <si>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</si>
  <si>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</si>
  <si>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</si>
  <si>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</si>
  <si>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</si>
  <si>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</si>
  <si>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</si>
  <si>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</si>
  <si>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</si>
  <si>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</si>
  <si>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</si>
  <si>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</si>
  <si>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</si>
  <si>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</si>
  <si>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</si>
  <si>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</si>
  <si>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</si>
  <si>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</si>
  <si>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</si>
  <si>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</si>
  <si>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</si>
  <si>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</si>
  <si>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</si>
  <si>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</si>
  <si>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</si>
  <si>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</si>
  <si>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</si>
  <si>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</si>
  <si>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</si>
  <si>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</si>
  <si>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</si>
  <si>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</si>
  <si>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</si>
  <si>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</si>
  <si>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</si>
  <si>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</si>
  <si>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</si>
  <si>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</si>
  <si>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</si>
  <si>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</si>
  <si>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</si>
  <si>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</si>
  <si>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</si>
  <si>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</si>
  <si>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</si>
  <si>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</si>
  <si>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</si>
  <si>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</si>
  <si>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</si>
  <si>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</si>
  <si>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</si>
  <si>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</si>
  <si>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</si>
  <si>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</si>
  <si>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</si>
  <si>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</si>
  <si>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</si>
  <si>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</si>
  <si>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</si>
  <si>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</si>
  <si>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</si>
  <si>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</si>
  <si>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</si>
  <si>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</si>
  <si>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</si>
  <si>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</si>
  <si>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</si>
  <si>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</si>
  <si>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</si>
  <si>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</si>
  <si>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</si>
  <si>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</si>
  <si>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</si>
  <si>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</si>
  <si>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</si>
  <si>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</si>
  <si>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</si>
  <si>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</si>
  <si>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</si>
  <si>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</si>
  <si>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</si>
  <si>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</si>
  <si>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</si>
  <si>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</si>
  <si>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</si>
  <si>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</si>
  <si>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</si>
  <si>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</si>
  <si>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</si>
  <si>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</si>
  <si>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</si>
  <si>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</si>
  <si>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</si>
  <si>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</si>
  <si>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</si>
  <si>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</si>
  <si>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</si>
  <si>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</si>
  <si>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</si>
  <si>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</si>
  <si>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</si>
  <si>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</si>
  <si>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</si>
  <si>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</si>
  <si>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</si>
  <si>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</si>
  <si>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</si>
  <si>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</si>
  <si>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</si>
  <si>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</si>
  <si>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</si>
  <si>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</si>
  <si>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</si>
  <si>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</si>
  <si>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</si>
  <si>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</si>
  <si>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</si>
  <si>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</si>
  <si>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</si>
  <si>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</si>
  <si>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</si>
  <si>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</si>
  <si>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</si>
  <si>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</si>
  <si>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</si>
  <si>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</si>
  <si>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</si>
  <si>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</si>
  <si>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</si>
  <si>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</si>
  <si>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</si>
  <si>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</si>
  <si>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</si>
  <si>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</si>
  <si>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</si>
  <si>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</si>
  <si>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</si>
  <si>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</si>
  <si>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</si>
  <si>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</si>
  <si>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</si>
  <si>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</si>
  <si>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</si>
  <si>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</si>
  <si>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</si>
  <si>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</si>
  <si>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</si>
  <si>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</si>
  <si>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</si>
  <si>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</si>
  <si>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</si>
  <si>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</si>
  <si>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</si>
  <si>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</si>
  <si>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</si>
  <si>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</si>
  <si>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</si>
  <si>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</si>
  <si>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</si>
  <si>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</si>
  <si>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</si>
  <si>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</si>
  <si>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</si>
  <si>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</si>
  <si>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</si>
  <si>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</si>
  <si>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</si>
  <si>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</si>
  <si>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</si>
  <si>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</si>
  <si>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</si>
  <si>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</si>
  <si>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</si>
  <si>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</si>
  <si>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</si>
  <si>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</si>
  <si>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</si>
  <si>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</si>
  <si>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</si>
  <si>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</si>
  <si>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</si>
  <si>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</si>
  <si>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</si>
  <si>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</si>
  <si>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</si>
  <si>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</si>
  <si>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</si>
  <si>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</si>
  <si>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</si>
  <si>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</si>
  <si>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</si>
  <si>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</si>
  <si>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</si>
  <si>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</si>
  <si>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</si>
  <si>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</si>
  <si>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</si>
  <si>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</si>
  <si>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</si>
  <si>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</si>
  <si>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</si>
  <si>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</si>
  <si>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</si>
  <si>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</si>
  <si>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</si>
  <si>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</si>
  <si>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</si>
  <si>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</si>
  <si>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</si>
  <si>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</si>
  <si>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</si>
  <si>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</si>
  <si>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</si>
  <si>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</si>
  <si>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</si>
  <si>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</si>
  <si>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</si>
  <si>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</si>
  <si>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</si>
  <si>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</si>
  <si>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</si>
  <si>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</si>
  <si>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</si>
  <si>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</si>
  <si>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</si>
  <si>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</si>
  <si>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</si>
  <si>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</si>
  <si>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</si>
  <si>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</si>
  <si>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</si>
  <si>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</si>
  <si>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</si>
  <si>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</si>
  <si>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</si>
  <si>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</si>
  <si>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</si>
  <si>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</si>
  <si>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</si>
  <si>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</si>
  <si>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</si>
  <si>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</si>
  <si>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</si>
  <si>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</si>
  <si>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</si>
  <si>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</si>
  <si>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</si>
  <si>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</si>
  <si>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</si>
  <si>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</si>
  <si>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</si>
  <si>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</si>
  <si>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</si>
  <si>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</si>
  <si>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</si>
  <si>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</si>
  <si>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</si>
  <si>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</si>
  <si>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</si>
  <si>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</si>
  <si>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</si>
  <si>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</si>
  <si>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</si>
  <si>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</si>
  <si>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</si>
  <si>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</si>
  <si>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</si>
  <si>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</si>
  <si>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</si>
  <si>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</si>
  <si>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</si>
  <si>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</si>
  <si>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</si>
  <si>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</si>
  <si>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</si>
  <si>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</si>
  <si>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</si>
  <si>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</si>
  <si>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</si>
  <si>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</si>
  <si>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</si>
  <si>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</si>
  <si>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</si>
  <si>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</si>
  <si>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</si>
  <si>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</si>
  <si>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</si>
  <si>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</si>
  <si>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</si>
  <si>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</si>
  <si>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</si>
  <si>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</si>
  <si>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</si>
  <si>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</si>
  <si>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</si>
  <si>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</si>
  <si>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</si>
  <si>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</si>
  <si>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</si>
  <si>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</si>
  <si>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</si>
  <si>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</si>
  <si>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</si>
  <si>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</si>
  <si>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</si>
  <si>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</si>
  <si>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</si>
  <si>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</si>
  <si>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</si>
  <si>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</si>
  <si>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</si>
  <si>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</si>
  <si>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</si>
  <si>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</si>
  <si>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</si>
  <si>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</si>
  <si>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</si>
  <si>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</si>
  <si>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</si>
  <si>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</si>
  <si>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</si>
  <si>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</si>
  <si>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</si>
  <si>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</si>
  <si>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</si>
  <si>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</si>
  <si>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</si>
  <si>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</si>
  <si>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</si>
  <si>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</si>
  <si>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</si>
  <si>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</si>
  <si>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</si>
  <si>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</si>
  <si>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</si>
  <si>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</si>
  <si>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</si>
  <si>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</si>
  <si>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</si>
  <si>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</si>
  <si>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</si>
  <si>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</si>
  <si>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</si>
  <si>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</si>
  <si>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</si>
  <si>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</si>
  <si>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</si>
  <si>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</si>
  <si>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</si>
  <si>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</si>
  <si>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</si>
  <si>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</si>
  <si>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</si>
  <si>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</si>
  <si>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</si>
  <si>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</si>
  <si>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</si>
  <si>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</si>
  <si>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</si>
  <si>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</si>
  <si>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</si>
  <si>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</si>
  <si>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</si>
  <si>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</si>
  <si>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</si>
  <si>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</si>
  <si>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</si>
  <si>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</si>
  <si>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</si>
  <si>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</si>
  <si>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</si>
  <si>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</si>
  <si>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</si>
  <si>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</si>
  <si>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</si>
  <si>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</si>
  <si>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</si>
  <si>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</si>
  <si>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</si>
  <si>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</si>
  <si>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</si>
  <si>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</si>
  <si>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</si>
  <si>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</si>
  <si>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</si>
  <si>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</si>
  <si>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</si>
  <si>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</si>
  <si>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</si>
  <si>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</si>
  <si>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</si>
  <si>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</si>
  <si>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</si>
  <si>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</si>
  <si>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</si>
  <si>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</si>
  <si>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</si>
  <si>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</si>
  <si>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</si>
  <si>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</si>
  <si>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</si>
  <si>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</si>
  <si>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</si>
  <si>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</si>
  <si>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</si>
  <si>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</si>
  <si>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</si>
  <si>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</si>
  <si>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</si>
  <si>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</si>
  <si>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</si>
  <si>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</si>
  <si>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</si>
  <si>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</si>
  <si>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</si>
  <si>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</si>
  <si>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</si>
  <si>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</si>
  <si>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</si>
  <si>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</si>
  <si>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</si>
  <si>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</si>
  <si>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</si>
  <si>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</si>
  <si>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</si>
  <si>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</si>
  <si>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</si>
  <si>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</si>
  <si>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</si>
  <si>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</si>
  <si>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</si>
  <si>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</si>
  <si>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</si>
  <si>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</si>
  <si>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</si>
  <si>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</si>
  <si>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</si>
  <si>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</si>
  <si>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</si>
  <si>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</si>
  <si>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</si>
  <si>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</si>
  <si>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</si>
  <si>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</si>
  <si>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</si>
  <si>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</si>
  <si>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</si>
  <si>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</si>
  <si>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</si>
  <si>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</si>
  <si>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</si>
  <si>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</si>
  <si>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</si>
  <si>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</si>
  <si>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</si>
  <si>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</si>
  <si>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</si>
  <si>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</si>
  <si>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</si>
  <si>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</si>
  <si>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</si>
  <si>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</si>
  <si>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</si>
  <si>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</si>
  <si>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</si>
  <si>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</si>
  <si>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</si>
  <si>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</si>
  <si>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</si>
  <si>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</si>
  <si>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</si>
  <si>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</si>
  <si>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</si>
  <si>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</si>
  <si>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</si>
  <si>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</si>
  <si>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</si>
  <si>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</si>
  <si>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</si>
  <si>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</si>
  <si>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</si>
  <si>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</si>
  <si>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</si>
  <si>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</si>
  <si>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</si>
  <si>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</si>
  <si>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</si>
  <si>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</si>
  <si>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</si>
  <si>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</si>
  <si>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</si>
  <si>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</si>
  <si>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</si>
  <si>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</si>
  <si>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</si>
  <si>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</si>
  <si>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</si>
  <si>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</si>
  <si>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</si>
  <si>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</si>
  <si>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</si>
  <si>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</si>
  <si>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</si>
  <si>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</si>
  <si>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</si>
  <si>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</si>
  <si>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</si>
  <si>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</si>
  <si>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</si>
  <si>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</si>
  <si>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</si>
  <si>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</si>
  <si>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</si>
  <si>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</si>
  <si>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</si>
  <si>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</si>
  <si>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</si>
  <si>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</si>
  <si>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</si>
  <si>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</si>
  <si>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</si>
  <si>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</si>
  <si>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</si>
  <si>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</si>
  <si>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</si>
  <si>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</si>
  <si>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</si>
  <si>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</si>
  <si>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</si>
  <si>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</si>
  <si>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</si>
  <si>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</si>
  <si>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</si>
  <si>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</si>
  <si>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</si>
  <si>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</si>
  <si>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</si>
  <si>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</si>
  <si>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</si>
  <si>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</si>
  <si>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</si>
  <si>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</si>
  <si>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</si>
  <si>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</si>
  <si>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</si>
  <si>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</si>
  <si>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</si>
  <si>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</si>
  <si>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</si>
  <si>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</si>
  <si>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</si>
  <si>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</si>
  <si>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</si>
  <si>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</si>
  <si>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</si>
  <si>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</si>
  <si>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</si>
  <si>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</si>
  <si>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</si>
  <si>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</si>
  <si>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</si>
  <si>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</si>
  <si>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</si>
  <si>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</si>
  <si>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</si>
  <si>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</si>
  <si>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</si>
  <si>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</si>
  <si>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</si>
  <si>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</si>
  <si>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</si>
  <si>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</si>
  <si>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</si>
  <si>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</si>
  <si>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</si>
  <si>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</si>
  <si>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</si>
  <si>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</si>
  <si>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</si>
  <si>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</si>
  <si>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</si>
  <si>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</si>
  <si>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</si>
  <si>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</si>
  <si>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</si>
  <si>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</si>
  <si>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</si>
  <si>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</si>
  <si>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</si>
  <si>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</si>
  <si>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</si>
  <si>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</si>
  <si>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</si>
  <si>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</si>
  <si>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</si>
  <si>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</si>
  <si>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</si>
  <si>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</si>
  <si>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</si>
  <si>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</si>
  <si>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</si>
  <si>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</si>
  <si>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</si>
  <si>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</si>
  <si>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</si>
  <si>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</si>
  <si>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</si>
  <si>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</si>
  <si>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</si>
  <si>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</si>
  <si>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</si>
  <si>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</si>
  <si>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</si>
  <si>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</si>
  <si>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</si>
  <si>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</si>
  <si>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</si>
  <si>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</si>
  <si>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</si>
  <si>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</si>
  <si>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</si>
  <si>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</si>
  <si>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</si>
  <si>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</si>
  <si>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</si>
  <si>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</si>
  <si>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</si>
  <si>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</si>
  <si>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</si>
  <si>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</si>
  <si>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</si>
  <si>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</si>
  <si>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</si>
  <si>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</si>
  <si>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</si>
  <si>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</si>
  <si>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</si>
  <si>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</si>
  <si>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</si>
  <si>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</si>
  <si>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</si>
  <si>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</si>
  <si>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</si>
  <si>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</si>
  <si>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</si>
  <si>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</si>
  <si>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</si>
  <si>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</si>
  <si>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</si>
  <si>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</si>
  <si>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</si>
  <si>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</si>
  <si>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</si>
  <si>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</si>
  <si>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</si>
  <si>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</si>
  <si>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</si>
  <si>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</si>
  <si>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</si>
  <si>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</si>
  <si>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</si>
  <si>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</si>
  <si>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</si>
  <si>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</si>
  <si>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</si>
  <si>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</si>
  <si>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</si>
  <si>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</si>
  <si>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</si>
  <si>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</si>
  <si>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</si>
  <si>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</si>
  <si>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</si>
  <si>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</si>
  <si>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</si>
  <si>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</si>
  <si>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</si>
  <si>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</si>
  <si>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</si>
  <si>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</si>
  <si>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</si>
  <si>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</si>
  <si>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</si>
  <si>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</si>
  <si>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</si>
  <si>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</si>
  <si>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</si>
  <si>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</si>
  <si>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</si>
  <si>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</si>
  <si>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</si>
  <si>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</si>
  <si>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</si>
  <si>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</si>
  <si>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</si>
  <si>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</si>
  <si>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</si>
  <si>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</si>
  <si>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</si>
  <si>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</si>
  <si>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</si>
  <si>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</si>
  <si>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</si>
  <si>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</si>
  <si>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</si>
  <si>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</si>
  <si>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</si>
  <si>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</si>
  <si>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</si>
  <si>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</si>
  <si>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</si>
  <si>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</si>
  <si>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</si>
  <si>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</si>
  <si>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</si>
  <si>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</si>
  <si>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</si>
  <si>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</si>
  <si>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</si>
  <si>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</si>
  <si>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</si>
  <si>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</si>
  <si>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</si>
  <si>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</si>
  <si>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</si>
  <si>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</si>
  <si>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</si>
  <si>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</si>
  <si>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</si>
  <si>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</si>
  <si>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</si>
  <si>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</si>
  <si>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</si>
  <si>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</si>
  <si>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</si>
  <si>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</si>
  <si>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</si>
  <si>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</si>
  <si>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</si>
  <si>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</si>
  <si>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</si>
  <si>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</si>
  <si>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</si>
  <si>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</si>
  <si>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</si>
  <si>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</si>
  <si>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</si>
  <si>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</si>
  <si>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</si>
  <si>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</si>
  <si>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</si>
  <si>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</si>
  <si>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</si>
  <si>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</si>
  <si>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</si>
  <si>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</si>
  <si>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</si>
  <si>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</si>
  <si>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</si>
  <si>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</si>
  <si>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</si>
  <si>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</si>
  <si>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</si>
  <si>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</si>
  <si>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</si>
  <si>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</si>
  <si>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</si>
  <si>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</si>
  <si>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</si>
  <si>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</si>
  <si>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</si>
  <si>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</si>
  <si>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</si>
  <si>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</si>
  <si>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</si>
  <si>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</si>
  <si>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</si>
  <si>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</si>
  <si>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</si>
  <si>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</si>
  <si>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</si>
  <si>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</si>
  <si>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</si>
  <si>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</si>
  <si>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</si>
  <si>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</si>
  <si>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</si>
  <si>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</si>
  <si>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</si>
  <si>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</si>
  <si>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</si>
  <si>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</si>
  <si>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</si>
  <si>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</si>
  <si>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</si>
  <si>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</si>
  <si>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</si>
  <si>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</si>
  <si>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</si>
  <si>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</si>
  <si>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</si>
  <si>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</si>
  <si>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</si>
  <si>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</si>
  <si>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</si>
  <si>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</si>
  <si>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</si>
  <si>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</si>
  <si>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</si>
  <si>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</si>
  <si>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</si>
  <si>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</si>
  <si>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</si>
  <si>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</si>
  <si>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</si>
  <si>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</si>
  <si>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</si>
  <si>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</si>
  <si>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</si>
  <si>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</si>
  <si>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</si>
  <si>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</si>
  <si>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</si>
  <si>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</si>
  <si>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</si>
  <si>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</si>
  <si>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</si>
  <si>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</si>
  <si>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</si>
  <si>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</si>
  <si>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</si>
  <si>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</si>
  <si>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</si>
  <si>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</si>
  <si>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</si>
  <si>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</si>
  <si>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</si>
  <si>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</si>
  <si>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</si>
  <si>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</si>
  <si>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</si>
  <si>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</si>
  <si>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</si>
  <si>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</si>
  <si>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</si>
  <si>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</si>
  <si>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</si>
  <si>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</si>
  <si>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</si>
  <si>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</si>
  <si>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</si>
  <si>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</si>
  <si>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</si>
  <si>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</si>
  <si>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</si>
  <si>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</si>
  <si>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</si>
  <si>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</si>
  <si>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</si>
  <si>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</si>
  <si>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</si>
  <si>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</si>
  <si>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</si>
  <si>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</si>
  <si>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</si>
  <si>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</si>
  <si>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</si>
  <si>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</si>
  <si>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</si>
  <si>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</si>
  <si>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</si>
  <si>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</si>
  <si>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</si>
  <si>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</si>
  <si>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</si>
  <si>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</si>
  <si>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</si>
  <si>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</si>
  <si>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</si>
  <si>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</si>
  <si>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</si>
  <si>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</si>
  <si>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</si>
  <si>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</si>
  <si>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</si>
  <si>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</si>
  <si>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</si>
  <si>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</si>
  <si>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</si>
  <si>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</si>
  <si>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</si>
  <si>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</si>
  <si>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</si>
  <si>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</si>
  <si>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</si>
  <si>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</si>
  <si>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</si>
  <si>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</si>
  <si>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</si>
  <si>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</si>
  <si>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</si>
  <si>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</si>
  <si>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</si>
  <si>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</si>
  <si>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</si>
  <si>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</si>
  <si>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</si>
  <si>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</si>
  <si>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</si>
  <si>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</si>
  <si>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</si>
  <si>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</si>
  <si>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</si>
  <si>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</si>
  <si>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</si>
  <si>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</si>
  <si>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</si>
  <si>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</si>
  <si>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</si>
  <si>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</si>
  <si>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</si>
  <si>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</si>
  <si>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</si>
  <si>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</si>
  <si>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</si>
  <si>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</si>
  <si>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</si>
  <si>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</si>
  <si>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</si>
  <si>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</si>
  <si>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</si>
  <si>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</si>
  <si>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</si>
  <si>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</si>
  <si>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</si>
  <si>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</si>
  <si>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</si>
  <si>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</si>
  <si>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</si>
  <si>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</si>
  <si>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</si>
  <si>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</si>
  <si>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</si>
  <si>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</si>
  <si>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</si>
  <si>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</si>
  <si>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</si>
  <si>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</si>
  <si>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</si>
  <si>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</si>
  <si>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</si>
  <si>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</si>
  <si>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</si>
  <si>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</si>
  <si>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</si>
  <si>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</si>
  <si>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</si>
  <si>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</si>
  <si>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</si>
  <si>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</si>
  <si>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</si>
  <si>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</si>
  <si>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</si>
  <si>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</si>
  <si>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</si>
  <si>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</si>
  <si>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</si>
  <si>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</si>
  <si>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</si>
  <si>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</si>
  <si>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</si>
  <si>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</si>
  <si>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</si>
  <si>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</si>
  <si>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</si>
  <si>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</si>
  <si>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</si>
  <si>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</si>
  <si>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</si>
  <si>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</si>
  <si>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</si>
  <si>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</si>
  <si>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</si>
  <si>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</si>
  <si>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</si>
  <si>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</si>
  <si>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</si>
  <si>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</si>
  <si>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</si>
  <si>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</si>
  <si>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</si>
  <si>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</si>
  <si>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</si>
  <si>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</si>
  <si>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</si>
  <si>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</si>
  <si>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</si>
  <si>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</si>
  <si>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</si>
  <si>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</si>
  <si>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</si>
  <si>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</si>
  <si>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</si>
  <si>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</si>
  <si>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</si>
  <si>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</si>
  <si>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</si>
  <si>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</si>
  <si>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</si>
  <si>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</si>
  <si>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</si>
  <si>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</si>
  <si>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</si>
  <si>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</si>
  <si>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</si>
  <si>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</si>
  <si>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</si>
  <si>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</si>
  <si>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</si>
  <si>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</si>
  <si>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</si>
  <si>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</si>
  <si>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</si>
  <si>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</si>
  <si>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</si>
  <si>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</si>
  <si>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</si>
  <si>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</si>
  <si>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</si>
  <si>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</si>
  <si>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</si>
  <si>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</si>
  <si>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</si>
  <si>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</si>
  <si>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</si>
  <si>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</si>
  <si>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</si>
  <si>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</si>
  <si>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</si>
  <si>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</si>
  <si>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</si>
  <si>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</si>
  <si>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</si>
  <si>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</si>
  <si>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</si>
  <si>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</si>
  <si>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</si>
  <si>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</si>
  <si>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</si>
  <si>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</si>
  <si>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</si>
  <si>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</si>
  <si>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</si>
  <si>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</si>
  <si>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</si>
  <si>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</si>
  <si>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</si>
  <si>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</si>
  <si>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</si>
  <si>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</si>
  <si>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</si>
  <si>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</si>
  <si>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</si>
  <si>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</si>
  <si>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</si>
  <si>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</si>
  <si>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</si>
  <si>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</si>
  <si>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</si>
  <si>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</si>
  <si>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</si>
  <si>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</si>
  <si>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</si>
  <si>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</si>
  <si>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</si>
  <si>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</si>
  <si>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</si>
  <si>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</si>
  <si>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</si>
  <si>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</si>
  <si>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</si>
  <si>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</si>
  <si>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</si>
  <si>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</si>
  <si>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</si>
  <si>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</si>
  <si>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</si>
  <si>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</si>
  <si>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</si>
  <si>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</si>
  <si>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</si>
  <si>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</si>
  <si>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</si>
  <si>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</si>
  <si>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</si>
  <si>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</si>
  <si>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</si>
  <si>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</si>
  <si>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</si>
  <si>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</si>
  <si>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</si>
  <si>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</si>
  <si>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</si>
  <si>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</si>
  <si>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</si>
  <si>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</si>
  <si>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</si>
  <si>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</si>
  <si>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</si>
  <si>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</si>
  <si>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</si>
  <si>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</si>
  <si>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</si>
  <si>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</si>
  <si>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</si>
  <si>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</si>
  <si>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</si>
  <si>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</si>
  <si>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</si>
  <si>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</si>
  <si>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</si>
  <si>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</si>
  <si>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</si>
  <si>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</si>
  <si>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</si>
  <si>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</si>
  <si>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</si>
  <si>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</si>
  <si>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</si>
  <si>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</si>
  <si>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</si>
  <si>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</si>
  <si>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</si>
  <si>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</si>
  <si>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</si>
  <si>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</si>
  <si>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</si>
  <si>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</si>
  <si>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</si>
  <si>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</si>
  <si>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</si>
  <si>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</si>
  <si>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</si>
  <si>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</si>
  <si>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</si>
  <si>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</si>
  <si>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</si>
  <si>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</si>
  <si>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</si>
  <si>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</si>
  <si>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</si>
  <si>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</si>
  <si>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</si>
  <si>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</si>
  <si>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</si>
  <si>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</si>
  <si>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</si>
  <si>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</si>
  <si>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</si>
  <si>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</si>
  <si>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</si>
  <si>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</si>
  <si>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</si>
  <si>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</si>
  <si>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</si>
  <si>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</si>
  <si>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</si>
  <si>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</si>
  <si>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</si>
  <si>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</si>
  <si>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</si>
  <si>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</si>
  <si>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</si>
  <si>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</si>
  <si>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</si>
  <si>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</si>
  <si>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</si>
  <si>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</si>
  <si>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</si>
  <si>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</si>
  <si>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</si>
  <si>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</si>
  <si>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</si>
  <si>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</si>
  <si>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</si>
  <si>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</si>
  <si>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</si>
  <si>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</si>
  <si>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</si>
  <si>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</si>
  <si>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</si>
  <si>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</si>
  <si>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</si>
  <si>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</si>
  <si>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</si>
  <si>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</si>
  <si>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</si>
  <si>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</si>
  <si>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</si>
  <si>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</si>
  <si>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</si>
  <si>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</si>
  <si>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</si>
  <si>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</si>
  <si>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</si>
  <si>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</si>
  <si>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</si>
  <si>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</si>
  <si>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</si>
  <si>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</si>
  <si>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</si>
  <si>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</si>
  <si>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</si>
  <si>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</si>
  <si>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</si>
  <si>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</si>
  <si>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</si>
  <si>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</si>
  <si>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</si>
  <si>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</si>
  <si>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</si>
  <si>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</si>
  <si>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</si>
  <si>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</si>
  <si>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</si>
  <si>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</si>
  <si>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</si>
  <si>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</si>
  <si>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</si>
  <si>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</si>
  <si>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</si>
  <si>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</si>
  <si>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</si>
  <si>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</si>
  <si>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</si>
  <si>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</si>
  <si>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</si>
  <si>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</si>
  <si>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</si>
  <si>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</si>
  <si>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</si>
  <si>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</si>
  <si>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</si>
  <si>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</si>
  <si>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</si>
  <si>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</si>
  <si>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</si>
  <si>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</si>
  <si>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</si>
  <si>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</si>
  <si>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</si>
  <si>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</si>
  <si>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</si>
  <si>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</si>
  <si>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</si>
  <si>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</si>
  <si>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</si>
  <si>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</si>
  <si>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</si>
  <si>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</si>
  <si>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</si>
  <si>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</si>
  <si>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</si>
  <si>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</si>
  <si>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</si>
  <si>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</si>
  <si>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</si>
  <si>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</si>
  <si>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</si>
  <si>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</si>
  <si>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</si>
  <si>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</si>
  <si>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</si>
  <si>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</si>
  <si>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</si>
  <si>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</si>
  <si>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</si>
  <si>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</si>
  <si>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</si>
  <si>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</si>
  <si>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</si>
  <si>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</si>
  <si>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</si>
  <si>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</si>
  <si>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</si>
  <si>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</si>
  <si>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</si>
  <si>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</si>
  <si>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</si>
  <si>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</si>
  <si>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</si>
  <si>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</si>
  <si>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</si>
  <si>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</si>
  <si>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</si>
  <si>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</si>
  <si>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</si>
  <si>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</si>
  <si>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</si>
  <si>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</si>
  <si>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</si>
  <si>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</si>
  <si>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</si>
  <si>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</si>
  <si>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</si>
  <si>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</si>
  <si>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</si>
  <si>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</si>
  <si>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</si>
  <si>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</si>
  <si>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</si>
  <si>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</si>
  <si>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</si>
  <si>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</si>
  <si>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</si>
  <si>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</si>
  <si>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</si>
  <si>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</si>
  <si>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</si>
  <si>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</si>
  <si>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</si>
  <si>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</si>
  <si>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</si>
  <si>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</si>
  <si>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</si>
  <si>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</si>
  <si>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</si>
  <si>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</si>
  <si>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</si>
  <si>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</si>
  <si>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</si>
  <si>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</si>
  <si>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</si>
  <si>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</si>
  <si>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</si>
  <si>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</si>
  <si>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</si>
  <si>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</si>
  <si>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</si>
  <si>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</si>
  <si>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</si>
  <si>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</si>
  <si>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</si>
  <si>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</si>
  <si>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</si>
  <si>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</si>
  <si>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</si>
  <si>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</si>
  <si>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</si>
  <si>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</si>
  <si>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</si>
  <si>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</si>
  <si>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</si>
  <si>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</si>
  <si>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</si>
  <si>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</si>
  <si>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</si>
  <si>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</si>
  <si>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</si>
  <si>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</si>
  <si>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</si>
  <si>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</si>
  <si>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</si>
  <si>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</si>
  <si>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</si>
  <si>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</si>
  <si>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</si>
  <si>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</si>
  <si>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</si>
  <si>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</si>
  <si>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</si>
  <si>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</si>
  <si>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</si>
  <si>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</si>
  <si>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</si>
  <si>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</si>
  <si>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</si>
  <si>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</si>
  <si>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</si>
  <si>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</si>
  <si>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</si>
  <si>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</si>
  <si>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</si>
  <si>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</si>
  <si>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</si>
  <si>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</si>
  <si>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</si>
  <si>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</si>
  <si>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</si>
  <si>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</si>
  <si>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</si>
  <si>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</si>
  <si>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</si>
  <si>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</si>
  <si>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</si>
  <si>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</si>
  <si>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</si>
  <si>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</si>
  <si>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</si>
  <si>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</si>
  <si>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</si>
  <si>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</si>
  <si>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</si>
  <si>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</si>
  <si>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</si>
  <si>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</si>
  <si>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</si>
  <si>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</si>
  <si>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</si>
  <si>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</si>
  <si>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</si>
  <si>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</si>
  <si>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</si>
  <si>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</si>
  <si>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</si>
  <si>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</si>
  <si>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</si>
  <si>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</si>
  <si>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</si>
  <si>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</si>
  <si>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</si>
  <si>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</si>
  <si>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</si>
  <si>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</si>
  <si>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</si>
  <si>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</si>
  <si>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</si>
  <si>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</si>
  <si>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</si>
  <si>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</si>
  <si>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</si>
  <si>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</si>
  <si>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</si>
  <si>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</si>
  <si>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</si>
  <si>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</si>
  <si>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</si>
  <si>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</si>
  <si>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</si>
  <si>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</si>
  <si>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</si>
  <si>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</si>
  <si>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</si>
  <si>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</si>
  <si>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</si>
  <si>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</si>
  <si>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</si>
  <si>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</si>
  <si>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</si>
  <si>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</si>
  <si>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</si>
  <si>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</si>
  <si>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</si>
  <si>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</si>
  <si>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</si>
  <si>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</si>
  <si>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</si>
  <si>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</si>
  <si>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</si>
  <si>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</si>
  <si>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</si>
  <si>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</si>
  <si>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</si>
  <si>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</si>
  <si>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</si>
  <si>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</si>
  <si>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</si>
  <si>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</si>
  <si>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</si>
  <si>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</si>
  <si>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</si>
  <si>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</si>
  <si>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</si>
  <si>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</si>
  <si>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</si>
  <si>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</si>
  <si>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</si>
  <si>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</si>
  <si>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</si>
  <si>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</si>
  <si>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</si>
  <si>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</si>
  <si>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</si>
  <si>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</si>
  <si>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</si>
  <si>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</si>
  <si>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</si>
  <si>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</si>
  <si>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</si>
  <si>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</si>
  <si>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</si>
  <si>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</si>
  <si>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</si>
  <si>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</si>
  <si>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</si>
  <si>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</si>
  <si>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</si>
  <si>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</si>
  <si>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</si>
  <si>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</si>
  <si>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</si>
  <si>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</si>
  <si>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</si>
  <si>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</si>
  <si>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</si>
  <si>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</si>
  <si>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</si>
  <si>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</si>
  <si>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</si>
  <si>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</si>
  <si>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</si>
  <si>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</si>
  <si>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</si>
  <si>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</si>
  <si>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</si>
  <si>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</si>
  <si>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</si>
  <si>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</si>
  <si>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</si>
  <si>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</si>
  <si>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</si>
  <si>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</si>
  <si>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</si>
  <si>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</si>
  <si>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</si>
  <si>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</si>
  <si>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</si>
  <si>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</si>
  <si>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</si>
  <si>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</si>
  <si>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</si>
  <si>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</si>
  <si>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</si>
  <si>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</si>
  <si>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</si>
  <si>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</si>
  <si>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</si>
  <si>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</si>
  <si>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</si>
  <si>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</si>
  <si>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</si>
  <si>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</si>
  <si>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</si>
  <si>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</si>
  <si>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</si>
  <si>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</si>
  <si>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</si>
  <si>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</si>
  <si>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</si>
  <si>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</si>
  <si>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</si>
  <si>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</si>
  <si>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</si>
  <si>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</si>
  <si>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</si>
  <si>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</si>
  <si>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</si>
  <si>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</si>
  <si>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</si>
  <si>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</si>
  <si>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</si>
  <si>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</si>
  <si>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</si>
  <si>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</si>
  <si>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</si>
  <si>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</si>
  <si>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</si>
  <si>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</si>
  <si>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</si>
  <si>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</si>
  <si>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</si>
  <si>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</si>
  <si>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</si>
  <si>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</si>
  <si>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</si>
  <si>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</si>
  <si>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</si>
  <si>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</si>
  <si>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</si>
  <si>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</si>
  <si>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</si>
  <si>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</si>
  <si>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</si>
  <si>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</si>
  <si>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</si>
  <si>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</si>
  <si>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</si>
  <si>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</si>
  <si>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</si>
  <si>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</si>
  <si>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</si>
  <si>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</si>
  <si>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</si>
  <si>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</si>
  <si>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</si>
  <si>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</si>
  <si>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</si>
  <si>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</si>
  <si>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</si>
  <si>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</si>
  <si>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</si>
  <si>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</si>
  <si>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</si>
  <si>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</si>
  <si>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</si>
  <si>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</si>
  <si>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</si>
  <si>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</si>
  <si>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</si>
  <si>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</si>
  <si>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</si>
  <si>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</si>
  <si>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</si>
  <si>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</si>
  <si>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</si>
  <si>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</si>
  <si>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</si>
  <si>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</si>
  <si>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</si>
  <si>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</si>
  <si>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</si>
  <si>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</si>
  <si>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</si>
  <si>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</si>
  <si>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</si>
  <si>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</si>
  <si>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</si>
  <si>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</si>
  <si>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</si>
  <si>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</si>
  <si>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</si>
  <si>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</si>
  <si>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</si>
  <si>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</si>
  <si>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</si>
  <si>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</si>
  <si>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</si>
  <si>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</si>
  <si>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</si>
  <si>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</si>
  <si>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</si>
  <si>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</si>
  <si>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</si>
  <si>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</si>
  <si>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</si>
  <si>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</si>
  <si>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</si>
  <si>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</si>
  <si>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</si>
  <si>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</si>
  <si>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</si>
  <si>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</si>
  <si>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</si>
  <si>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</si>
  <si>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</si>
  <si>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</si>
  <si>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</si>
  <si>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</si>
  <si>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</si>
  <si>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</si>
  <si>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</si>
  <si>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</si>
  <si>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</si>
  <si>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</si>
  <si>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</si>
  <si>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</si>
  <si>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</si>
  <si>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</si>
  <si>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</si>
  <si>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</si>
  <si>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</si>
  <si>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</si>
  <si>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</si>
  <si>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</si>
  <si>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</si>
  <si>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</si>
  <si>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</si>
  <si>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</si>
  <si>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</si>
  <si>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</si>
  <si>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</si>
  <si>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</si>
  <si>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</si>
  <si>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</si>
  <si>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</si>
  <si>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</si>
  <si>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</si>
  <si>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</si>
  <si>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</si>
  <si>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</si>
  <si>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</si>
  <si>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</si>
  <si>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</si>
  <si>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</si>
  <si>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</si>
  <si>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</si>
  <si>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</si>
  <si>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</si>
  <si>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</si>
  <si>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</si>
  <si>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</si>
  <si>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</si>
  <si>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</si>
  <si>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</si>
  <si>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</si>
  <si>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</si>
  <si>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</si>
  <si>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</si>
  <si>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</si>
  <si>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</si>
  <si>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</si>
  <si>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</si>
  <si>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</si>
  <si>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</si>
  <si>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</si>
  <si>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</si>
  <si>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</si>
  <si>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</si>
  <si>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</si>
  <si>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</si>
  <si>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</si>
  <si>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</si>
  <si>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</si>
  <si>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</si>
  <si>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</si>
  <si>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</si>
  <si>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</si>
  <si>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</si>
  <si>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</si>
  <si>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</si>
  <si>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</si>
  <si>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</si>
  <si>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</si>
  <si>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</si>
  <si>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</si>
  <si>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</si>
  <si>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</si>
  <si>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</si>
  <si>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</si>
  <si>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</si>
  <si>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</si>
  <si>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</si>
  <si>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</si>
  <si>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</si>
  <si>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</si>
  <si>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</si>
  <si>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</si>
  <si>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</si>
  <si>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</si>
  <si>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</si>
  <si>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</si>
  <si>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</si>
  <si>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</si>
  <si>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</si>
  <si>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</si>
  <si>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</si>
  <si>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</si>
  <si>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</si>
  <si>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</si>
  <si>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</si>
  <si>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</si>
  <si>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</si>
  <si>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</si>
  <si>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</si>
  <si>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</si>
  <si>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</si>
  <si>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</si>
  <si>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</si>
  <si>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</si>
  <si>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</si>
  <si>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</si>
  <si>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</si>
  <si>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</si>
  <si>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</si>
  <si>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</si>
  <si>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</si>
  <si>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</si>
  <si>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</si>
  <si>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</si>
  <si>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</si>
  <si>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</si>
  <si>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</si>
  <si>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</si>
  <si>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</si>
  <si>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</si>
  <si>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</si>
  <si>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</si>
  <si>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</si>
  <si>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</si>
  <si>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</si>
  <si>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</si>
  <si>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</si>
  <si>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</si>
  <si>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</si>
  <si>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</si>
  <si>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</si>
  <si>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</si>
  <si>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</si>
  <si>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</si>
  <si>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</si>
  <si>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</si>
  <si>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</si>
  <si>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</si>
  <si>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</si>
  <si>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</si>
  <si>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</si>
  <si>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</si>
  <si>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</si>
  <si>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</si>
  <si>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</si>
  <si>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</si>
  <si>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</si>
  <si>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</si>
  <si>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</si>
  <si>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</si>
  <si>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</si>
  <si>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</si>
  <si>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</si>
  <si>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</si>
  <si>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</si>
  <si>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</si>
  <si>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</si>
  <si>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</si>
  <si>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</si>
  <si>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</si>
  <si>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</si>
  <si>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</si>
  <si>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</si>
  <si>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</si>
  <si>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</si>
  <si>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</si>
  <si>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</si>
  <si>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</si>
  <si>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</si>
  <si>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</si>
  <si>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</si>
  <si>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</si>
  <si>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</si>
  <si>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</si>
  <si>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</si>
  <si>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</si>
  <si>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</si>
  <si>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</si>
  <si>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</si>
  <si>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</si>
  <si>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</si>
  <si>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</si>
  <si>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</si>
  <si>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</si>
  <si>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</si>
  <si>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</si>
  <si>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</si>
  <si>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</si>
  <si>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</si>
  <si>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</si>
  <si>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</si>
  <si>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</si>
  <si>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</si>
  <si>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</si>
  <si>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</si>
  <si>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</si>
  <si>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</si>
  <si>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</si>
  <si>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</si>
  <si>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</si>
  <si>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</si>
  <si>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</si>
  <si>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</si>
  <si>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</si>
  <si>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</si>
  <si>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</si>
  <si>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</si>
  <si>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</si>
  <si>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</si>
  <si>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</si>
  <si>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</si>
  <si>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</si>
  <si>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</si>
  <si>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</si>
  <si>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</si>
  <si>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</si>
  <si>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</si>
  <si>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</si>
  <si>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</si>
  <si>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</si>
  <si>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</si>
  <si>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</si>
  <si>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</si>
  <si>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</si>
  <si>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</si>
  <si>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</si>
  <si>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</si>
  <si>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</si>
  <si>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</si>
  <si>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</si>
  <si>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</si>
  <si>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</si>
  <si>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</si>
  <si>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</si>
  <si>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</si>
  <si>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</si>
  <si>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</si>
  <si>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</si>
  <si>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</si>
  <si>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</si>
  <si>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</si>
  <si>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</si>
  <si>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</si>
  <si>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</si>
  <si>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</si>
  <si>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</si>
  <si>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</si>
  <si>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</si>
  <si>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</si>
  <si>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</si>
  <si>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</si>
  <si>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</si>
  <si>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</si>
  <si>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</si>
  <si>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</si>
  <si>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</si>
  <si>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</si>
  <si>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</si>
  <si>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</si>
  <si>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</si>
  <si>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</si>
  <si>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</si>
  <si>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</si>
  <si>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</si>
  <si>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</si>
  <si>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</si>
  <si>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</si>
  <si>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</si>
  <si>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</si>
  <si>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</si>
  <si>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</si>
  <si>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</si>
  <si>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</si>
  <si>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</si>
  <si>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</si>
  <si>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</si>
  <si>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</si>
  <si>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</si>
  <si>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</si>
  <si>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</si>
  <si>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</si>
  <si>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</si>
  <si>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</si>
  <si>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</si>
  <si>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</si>
  <si>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</si>
  <si>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</si>
  <si>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</si>
  <si>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</si>
  <si>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</si>
  <si>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</si>
  <si>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</si>
  <si>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</si>
  <si>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</si>
  <si>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</si>
  <si>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</si>
  <si>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</si>
  <si>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</si>
  <si>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</si>
  <si>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</si>
  <si>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</si>
  <si>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</si>
  <si>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</si>
  <si>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</si>
  <si>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</si>
  <si>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</si>
  <si>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</si>
  <si>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</si>
  <si>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</si>
  <si>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</si>
  <si>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</si>
  <si>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</si>
  <si>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</si>
  <si>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</si>
  <si>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</si>
  <si>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</si>
  <si>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</si>
  <si>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</si>
  <si>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</si>
  <si>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</si>
  <si>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</si>
  <si>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</si>
  <si>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</si>
  <si>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</si>
  <si>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</si>
  <si>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</si>
  <si>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</si>
  <si>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</si>
  <si>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</si>
  <si>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</si>
  <si>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</si>
  <si>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</si>
  <si>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</si>
  <si>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</si>
  <si>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</si>
  <si>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</si>
  <si>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</si>
  <si>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</si>
  <si>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</si>
  <si>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</si>
  <si>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</si>
  <si>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</si>
  <si>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</si>
  <si>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</si>
  <si>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</si>
  <si>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</si>
  <si>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</si>
  <si>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</si>
  <si>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</si>
  <si>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</si>
  <si>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</si>
  <si>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</si>
  <si>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</si>
  <si>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</si>
  <si>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</si>
  <si>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</si>
  <si>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</si>
  <si>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</si>
  <si>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</si>
  <si>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</si>
  <si>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</si>
  <si>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</si>
  <si>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</si>
  <si>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</si>
  <si>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</si>
  <si>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</si>
  <si>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</si>
  <si>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</si>
  <si>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</si>
  <si>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</si>
  <si>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</si>
  <si>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</si>
  <si>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</si>
  <si>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</si>
  <si>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</si>
  <si>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</si>
  <si>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</si>
  <si>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</si>
  <si>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</si>
  <si>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</si>
  <si>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</si>
  <si>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</si>
  <si>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</si>
  <si>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</si>
  <si>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</si>
  <si>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</si>
  <si>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</si>
  <si>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</si>
  <si>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</si>
  <si>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</si>
  <si>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</si>
  <si>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</si>
  <si>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</si>
  <si>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</si>
  <si>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</si>
  <si>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</si>
  <si>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</si>
  <si>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</si>
  <si>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</si>
  <si>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</si>
  <si>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</si>
  <si>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</si>
  <si>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</si>
  <si>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</si>
  <si>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</si>
  <si>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</si>
  <si>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</si>
  <si>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</si>
  <si>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</si>
  <si>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</si>
  <si>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</si>
  <si>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</si>
  <si>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</si>
  <si>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</si>
  <si>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</si>
  <si>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</si>
  <si>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</si>
  <si>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</si>
  <si>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</si>
  <si>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</si>
  <si>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</si>
  <si>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</si>
  <si>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</si>
  <si>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</si>
  <si>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</si>
  <si>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</si>
  <si>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</si>
  <si>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</si>
  <si>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</si>
  <si>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</si>
  <si>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</si>
  <si>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</si>
  <si>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</si>
  <si>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</si>
  <si>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</si>
  <si>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</si>
  <si>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</si>
  <si>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</si>
  <si>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</si>
  <si>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</si>
  <si>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</si>
  <si>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</si>
  <si>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</si>
  <si>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</si>
  <si>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</si>
  <si>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</si>
  <si>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</si>
  <si>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</si>
  <si>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</si>
  <si>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</si>
  <si>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</si>
  <si>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</si>
  <si>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</si>
  <si>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</si>
  <si>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</si>
  <si>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</si>
  <si>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</si>
  <si>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</si>
  <si>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</si>
  <si>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</si>
  <si>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</si>
  <si>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</si>
  <si>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</si>
  <si>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</si>
  <si>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</si>
  <si>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</si>
  <si>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</si>
  <si>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</si>
  <si>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</si>
  <si>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</si>
  <si>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</si>
  <si>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</si>
  <si>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</si>
  <si>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</si>
  <si>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</si>
  <si>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</si>
  <si>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</si>
  <si>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</si>
  <si>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</si>
  <si>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</si>
  <si>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</si>
  <si>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</si>
  <si>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</si>
  <si>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</si>
  <si>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</si>
  <si>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</si>
  <si>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</si>
  <si>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</si>
  <si>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</si>
  <si>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</si>
  <si>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</si>
  <si>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</si>
  <si>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</si>
  <si>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</si>
  <si>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</si>
  <si>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</si>
  <si>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</si>
  <si>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</si>
  <si>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</si>
  <si>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</si>
  <si>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</si>
  <si>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</si>
  <si>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</si>
  <si>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</si>
  <si>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</si>
  <si>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</si>
  <si>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</si>
  <si>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</si>
  <si>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</si>
  <si>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</si>
  <si>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</si>
  <si>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</si>
  <si>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</si>
  <si>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</si>
  <si>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</si>
  <si>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</si>
  <si>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</si>
  <si>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</si>
  <si>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</si>
  <si>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</si>
  <si>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</si>
  <si>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</si>
  <si>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</si>
  <si>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</si>
  <si>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</si>
  <si>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</si>
  <si>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</si>
  <si>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</si>
  <si>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</si>
  <si>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</si>
  <si>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</si>
  <si>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</si>
  <si>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</si>
  <si>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</si>
  <si>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</si>
  <si>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</si>
  <si>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</si>
  <si>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</si>
  <si>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</si>
  <si>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</si>
  <si>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</si>
  <si>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</si>
  <si>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</si>
  <si>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</si>
  <si>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</si>
  <si>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</si>
  <si>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</si>
  <si>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</si>
  <si>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</si>
  <si>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</si>
  <si>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</si>
  <si>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</si>
  <si>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</si>
  <si>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</si>
  <si>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</si>
  <si>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</si>
  <si>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</si>
  <si>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</si>
  <si>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</si>
  <si>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</si>
  <si>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</si>
  <si>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</si>
  <si>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</si>
  <si>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</si>
  <si>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</si>
  <si>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</si>
  <si>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</si>
  <si>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</si>
  <si>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</si>
  <si>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</si>
  <si>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</si>
  <si>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</si>
  <si>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</si>
  <si>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</si>
  <si>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</si>
  <si>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</si>
  <si>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</si>
  <si>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</si>
  <si>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</si>
  <si>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</si>
  <si>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</si>
  <si>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</si>
  <si>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</si>
  <si>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</si>
  <si>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</si>
  <si>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</si>
  <si>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</si>
  <si>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</si>
  <si>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</si>
  <si>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</si>
  <si>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</si>
  <si>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</si>
  <si>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</si>
  <si>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</si>
  <si>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</si>
  <si>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</si>
  <si>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</si>
  <si>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</si>
  <si>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</si>
  <si>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</si>
  <si>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</si>
  <si>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</si>
  <si>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</si>
  <si>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</si>
  <si>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</si>
  <si>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</si>
  <si>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</si>
  <si>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</si>
  <si>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</si>
  <si>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</si>
  <si>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</si>
  <si>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</si>
  <si>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</si>
  <si>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</si>
  <si>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</si>
  <si>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</si>
  <si>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</si>
  <si>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</si>
  <si>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</si>
  <si>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</si>
  <si>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</si>
  <si>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</si>
  <si>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</si>
  <si>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</si>
  <si>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</si>
  <si>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</si>
  <si>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</si>
  <si>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</si>
  <si>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</si>
  <si>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</si>
  <si>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</si>
  <si>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</si>
  <si>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</si>
  <si>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</si>
  <si>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</si>
  <si>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</si>
  <si>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</si>
  <si>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</si>
  <si>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</si>
  <si>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</si>
  <si>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</si>
  <si>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</si>
  <si>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</si>
  <si>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</si>
  <si>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</si>
  <si>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</si>
  <si>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</si>
  <si>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</si>
  <si>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</si>
  <si>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</si>
  <si>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</si>
  <si>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</si>
  <si>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</si>
  <si>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</si>
  <si>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</si>
  <si>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</si>
  <si>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</si>
  <si>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</si>
  <si>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</si>
  <si>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</si>
  <si>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</si>
  <si>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</si>
  <si>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</si>
  <si>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</si>
  <si>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</si>
  <si>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</si>
  <si>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</si>
  <si>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</si>
  <si>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</si>
  <si>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</si>
  <si>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</si>
  <si>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</si>
  <si>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</si>
  <si>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</si>
  <si>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</si>
  <si>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</si>
  <si>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</si>
  <si>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</si>
  <si>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</si>
  <si>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</si>
  <si>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</si>
  <si>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</si>
  <si>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</si>
  <si>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</si>
  <si>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</si>
  <si>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</si>
  <si>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</si>
  <si>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</si>
  <si>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</si>
  <si>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</si>
  <si>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</si>
  <si>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</si>
  <si>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</si>
  <si>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</si>
  <si>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</si>
  <si>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</si>
  <si>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</si>
  <si>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</si>
  <si>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</si>
  <si>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</si>
  <si>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</si>
  <si>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</si>
  <si>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</si>
  <si>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</si>
  <si>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</si>
  <si>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</si>
  <si>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</si>
  <si>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</si>
  <si>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</si>
  <si>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</si>
  <si>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</si>
  <si>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</si>
  <si>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</si>
  <si>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</si>
  <si>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</si>
  <si>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</si>
  <si>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</si>
  <si>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</si>
  <si>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</si>
  <si>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</si>
  <si>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</si>
  <si>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</si>
  <si>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</si>
  <si>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</si>
  <si>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</si>
  <si>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</si>
  <si>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</si>
  <si>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</si>
  <si>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</si>
  <si>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</si>
  <si>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</si>
  <si>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</si>
  <si>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</si>
  <si>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</si>
  <si>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</si>
  <si>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</si>
  <si>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</si>
  <si>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</si>
  <si>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</si>
  <si>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</si>
  <si>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</si>
  <si>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</si>
  <si>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</si>
  <si>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</si>
  <si>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</si>
  <si>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</si>
  <si>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</si>
  <si>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</si>
  <si>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</si>
  <si>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</si>
  <si>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</si>
  <si>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</si>
  <si>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</si>
  <si>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</si>
  <si>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</si>
  <si>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</si>
  <si>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</si>
  <si>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</si>
  <si>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</si>
  <si>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</si>
  <si>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</si>
  <si>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</si>
  <si>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</si>
  <si>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</si>
  <si>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</si>
  <si>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</si>
  <si>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</si>
  <si>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</si>
  <si>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</si>
  <si>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</si>
  <si>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</si>
  <si>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</si>
  <si>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</si>
  <si>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</si>
  <si>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</si>
  <si>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</si>
  <si>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</si>
  <si>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</si>
  <si>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</si>
  <si>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</si>
  <si>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</si>
  <si>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</si>
  <si>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</si>
  <si>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</si>
  <si>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</si>
  <si>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</si>
  <si>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</si>
  <si>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</si>
  <si>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</si>
  <si>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</si>
  <si>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</si>
  <si>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</si>
  <si>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</si>
  <si>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</si>
  <si>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</si>
  <si>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</si>
  <si>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</si>
  <si>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</si>
  <si>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</si>
  <si>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</si>
  <si>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</si>
  <si>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</si>
  <si>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</si>
  <si>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</si>
  <si>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</si>
  <si>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</si>
  <si>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</si>
  <si>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</si>
  <si>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</si>
  <si>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</si>
  <si>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</si>
  <si>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</si>
  <si>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</si>
  <si>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</si>
  <si>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</si>
  <si>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</si>
  <si>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</si>
  <si>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</si>
  <si>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</si>
  <si>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</si>
  <si>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</si>
  <si>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</si>
  <si>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</si>
  <si>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</si>
  <si>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</si>
  <si>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</si>
  <si>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</si>
  <si>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</si>
  <si>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</si>
  <si>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</si>
  <si>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</si>
  <si>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</si>
  <si>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</si>
  <si>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</si>
  <si>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</si>
  <si>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</si>
  <si>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</si>
  <si>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</si>
  <si>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</si>
  <si>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</si>
  <si>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</si>
  <si>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</si>
  <si>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</si>
  <si>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</si>
  <si>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</si>
  <si>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</si>
  <si>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</si>
  <si>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</si>
  <si>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</si>
  <si>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</si>
  <si>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</si>
  <si>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</si>
  <si>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</si>
  <si>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</si>
  <si>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</si>
  <si>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</si>
  <si>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</si>
  <si>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</si>
  <si>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</si>
  <si>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</si>
  <si>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</si>
  <si>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</si>
  <si>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</si>
  <si>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</si>
  <si>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</si>
  <si>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</si>
  <si>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</si>
  <si>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</si>
  <si>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</si>
  <si>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</si>
  <si>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</si>
  <si>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</si>
  <si>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</si>
  <si>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</si>
  <si>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</si>
  <si>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</si>
  <si>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</si>
  <si>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</si>
  <si>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</si>
  <si>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</si>
  <si>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</si>
  <si>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</si>
  <si>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</si>
  <si>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</si>
  <si>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</si>
  <si>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</si>
  <si>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</si>
  <si>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</si>
  <si>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</si>
  <si>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</si>
  <si>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</si>
  <si>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</si>
  <si>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</si>
  <si>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</si>
  <si>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</si>
  <si>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</si>
  <si>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</si>
  <si>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</si>
  <si>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</si>
  <si>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</si>
  <si>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</si>
  <si>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</si>
  <si>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</si>
  <si>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</si>
  <si>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</si>
  <si>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</si>
  <si>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</si>
  <si>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</si>
  <si>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</si>
  <si>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</si>
  <si>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</si>
  <si>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</si>
  <si>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</si>
  <si>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</si>
  <si>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</si>
  <si>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</si>
  <si>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</si>
  <si>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</si>
  <si>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</si>
  <si>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</si>
  <si>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</si>
  <si>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</si>
  <si>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</si>
  <si>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</si>
  <si>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</si>
  <si>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</si>
  <si>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</si>
  <si>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</si>
  <si>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</si>
  <si>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</si>
  <si>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</si>
  <si>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</si>
  <si>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</si>
  <si>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</si>
  <si>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</si>
  <si>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</si>
  <si>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</si>
  <si>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</si>
  <si>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</si>
  <si>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</si>
  <si>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</si>
  <si>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</si>
  <si>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</si>
  <si>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</si>
  <si>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</si>
  <si>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</si>
  <si>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</si>
  <si>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</si>
  <si>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</si>
  <si>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</si>
  <si>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</si>
  <si>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</si>
  <si>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</si>
  <si>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</si>
  <si>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</si>
  <si>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</si>
  <si>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</si>
  <si>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</si>
  <si>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</si>
  <si>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</si>
  <si>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</si>
  <si>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</si>
  <si>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</si>
  <si>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</si>
  <si>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</si>
  <si>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</si>
  <si>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</si>
  <si>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</si>
  <si>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</si>
  <si>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</si>
  <si>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</si>
  <si>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</si>
  <si>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</si>
  <si>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</si>
  <si>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</si>
  <si>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</si>
  <si>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</si>
  <si>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</si>
  <si>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</si>
  <si>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</si>
  <si>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</si>
  <si>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</si>
  <si>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</si>
  <si>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</si>
  <si>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</si>
  <si>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</si>
  <si>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</si>
  <si>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</si>
  <si>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</si>
  <si>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</si>
  <si>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</si>
  <si>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</si>
  <si>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</si>
  <si>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</si>
  <si>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</si>
  <si>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</si>
  <si>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</si>
  <si>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</si>
  <si>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</si>
  <si>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</si>
  <si>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</si>
  <si>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</si>
  <si>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</si>
  <si>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</si>
  <si>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</si>
  <si>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</si>
  <si>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</si>
  <si>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</si>
  <si>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</si>
  <si>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</si>
  <si>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</si>
  <si>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</si>
  <si>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</si>
  <si>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</si>
  <si>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</si>
  <si>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</si>
  <si>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</si>
  <si>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</si>
  <si>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</si>
  <si>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</si>
  <si>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</si>
  <si>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</si>
  <si>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</si>
  <si>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</si>
  <si>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</si>
  <si>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</si>
  <si>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</si>
  <si>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</si>
  <si>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</si>
  <si>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</si>
  <si>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</si>
  <si>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</si>
  <si>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</si>
  <si>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</si>
  <si>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</si>
  <si>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</si>
  <si>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</si>
  <si>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</si>
  <si>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</si>
  <si>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</si>
  <si>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</si>
  <si>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</si>
  <si>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</si>
  <si>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</si>
  <si>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</si>
  <si>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</si>
  <si>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</si>
  <si>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</si>
  <si>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</si>
  <si>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</si>
  <si>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</si>
  <si>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</si>
  <si>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</si>
  <si>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</si>
  <si>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</si>
  <si>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</si>
  <si>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</si>
  <si>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</si>
  <si>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</si>
  <si>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</si>
  <si>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</si>
  <si>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</si>
  <si>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</si>
  <si>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</si>
  <si>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</si>
  <si>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</si>
  <si>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</si>
  <si>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</si>
  <si>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</si>
  <si>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</si>
  <si>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</si>
  <si>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</si>
  <si>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</si>
  <si>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</si>
  <si>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</si>
  <si>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</si>
  <si>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</si>
  <si>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</si>
  <si>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</si>
  <si>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</si>
  <si>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</si>
  <si>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</si>
  <si>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</si>
  <si>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</si>
  <si>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</si>
  <si>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</si>
  <si>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</si>
  <si>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</si>
  <si>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</si>
  <si>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</si>
  <si>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</si>
  <si>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</si>
  <si>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</si>
  <si>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</si>
  <si>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</si>
  <si>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</si>
  <si>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</si>
  <si>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</si>
  <si>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</si>
  <si>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</si>
  <si>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</si>
  <si>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</si>
  <si>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</si>
  <si>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</si>
  <si>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</si>
  <si>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</si>
  <si>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</si>
  <si>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</si>
  <si>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</si>
  <si>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</si>
  <si>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</si>
  <si>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</si>
  <si>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</si>
  <si>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</si>
  <si>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</si>
  <si>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</si>
  <si>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</si>
  <si>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</si>
  <si>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</si>
  <si>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</si>
  <si>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</si>
  <si>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</si>
  <si>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</si>
  <si>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</si>
  <si>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</si>
  <si>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</si>
  <si>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</si>
  <si>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</si>
  <si>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</si>
  <si>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</si>
  <si>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</si>
  <si>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</si>
  <si>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</si>
  <si>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</si>
  <si>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</si>
  <si>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</si>
  <si>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</si>
  <si>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</si>
  <si>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</si>
  <si>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</si>
  <si>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</si>
  <si>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</si>
  <si>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</si>
  <si>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</si>
  <si>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</si>
  <si>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</si>
  <si>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</si>
  <si>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</si>
  <si>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</si>
  <si>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</si>
  <si>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</si>
  <si>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</si>
  <si>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</si>
  <si>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</si>
  <si>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</si>
  <si>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</si>
  <si>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</si>
  <si>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</si>
  <si>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</si>
  <si>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</si>
  <si>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</si>
  <si>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</si>
  <si>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</si>
  <si>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</si>
  <si>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</si>
  <si>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</si>
  <si>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</si>
  <si>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</si>
  <si>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</si>
  <si>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</si>
  <si>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</si>
  <si>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</si>
  <si>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</si>
  <si>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</si>
  <si>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</si>
  <si>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</si>
  <si>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</si>
  <si>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</si>
  <si>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</si>
  <si>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</si>
  <si>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</si>
  <si>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</si>
  <si>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</si>
  <si>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</si>
  <si>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</si>
  <si>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</si>
  <si>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</si>
  <si>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</si>
  <si>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</si>
  <si>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</si>
  <si>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</si>
  <si>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</si>
  <si>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</si>
  <si>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</si>
  <si>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</si>
  <si>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</si>
  <si>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</si>
  <si>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</si>
  <si>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</si>
  <si>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</si>
  <si>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</si>
  <si>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</si>
  <si>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</si>
  <si>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</si>
  <si>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</si>
  <si>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</si>
  <si>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</si>
  <si>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</si>
  <si>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</si>
  <si>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</si>
  <si>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</si>
  <si>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</si>
  <si>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</si>
  <si>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</si>
  <si>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</si>
  <si>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</si>
  <si>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</si>
  <si>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</si>
  <si>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</si>
  <si>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</si>
  <si>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</si>
  <si>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</si>
  <si>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</si>
  <si>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</si>
  <si>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</si>
  <si>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</si>
  <si>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</si>
  <si>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</si>
  <si>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</si>
  <si>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</si>
  <si>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</si>
  <si>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</si>
  <si>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</si>
  <si>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</si>
  <si>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</si>
  <si>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</si>
  <si>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</si>
  <si>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</si>
  <si>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</si>
  <si>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</si>
  <si>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</si>
  <si>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</si>
  <si>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</si>
  <si>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</si>
  <si>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</si>
  <si>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</si>
  <si>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</si>
  <si>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</si>
  <si>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</si>
  <si>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</si>
  <si>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</si>
  <si>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</si>
  <si>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</si>
  <si>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</si>
  <si>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</si>
  <si>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</si>
  <si>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</si>
  <si>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</si>
  <si>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</si>
  <si>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</si>
  <si>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</si>
  <si>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</si>
  <si>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</si>
  <si>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</si>
  <si>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</si>
  <si>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</si>
  <si>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</si>
  <si>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</si>
  <si>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</si>
  <si>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</si>
  <si>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</si>
  <si>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</si>
  <si>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</si>
  <si>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</si>
  <si>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</si>
  <si>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</si>
  <si>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</si>
  <si>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</si>
  <si>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</si>
  <si>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</si>
  <si>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</si>
  <si>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</si>
  <si>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</si>
  <si>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</si>
  <si>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</si>
  <si>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</si>
  <si>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</si>
  <si>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</si>
  <si>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</si>
  <si>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</si>
  <si>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</si>
  <si>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</si>
  <si>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</si>
  <si>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</si>
  <si>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</si>
  <si>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</si>
  <si>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</si>
  <si>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</si>
  <si>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</si>
  <si>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</si>
  <si>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</si>
  <si>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</si>
  <si>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</si>
  <si>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</si>
  <si>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</si>
  <si>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</si>
  <si>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</si>
  <si>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</si>
  <si>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</si>
  <si>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</si>
  <si>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</si>
  <si>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</si>
  <si>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</si>
  <si>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</si>
  <si>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</si>
  <si>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</si>
  <si>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</si>
  <si>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</si>
  <si>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</si>
  <si>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</si>
  <si>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</si>
  <si>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</si>
  <si>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</si>
  <si>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</si>
  <si>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</si>
  <si>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</si>
  <si>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</si>
  <si>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</si>
  <si>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</si>
  <si>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</si>
  <si>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</si>
  <si>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</si>
  <si>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</si>
  <si>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</si>
  <si>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</si>
  <si>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</si>
  <si>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</si>
  <si>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</si>
  <si>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</si>
  <si>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</si>
  <si>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</si>
  <si>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</si>
  <si>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</si>
  <si>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</si>
  <si>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</si>
  <si>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</si>
  <si>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</si>
  <si>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</si>
  <si>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</si>
  <si>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</si>
  <si>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</si>
  <si>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</si>
  <si>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</si>
  <si>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</si>
  <si>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</si>
  <si>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</si>
  <si>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</si>
  <si>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</si>
  <si>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</si>
  <si>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</si>
  <si>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</si>
  <si>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</si>
  <si>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</si>
  <si>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</si>
  <si>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</si>
  <si>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</si>
  <si>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</si>
  <si>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</si>
  <si>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</si>
  <si>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</si>
  <si>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</si>
  <si>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</si>
  <si>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</si>
  <si>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</si>
  <si>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</si>
  <si>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</si>
  <si>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</si>
  <si>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</si>
  <si>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</si>
  <si>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</si>
  <si>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</si>
  <si>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</si>
  <si>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</si>
  <si>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</si>
  <si>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</si>
  <si>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</si>
  <si>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</si>
  <si>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</si>
  <si>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</si>
  <si>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</si>
  <si>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</si>
  <si>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</si>
  <si>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</si>
  <si>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</si>
  <si>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</si>
  <si>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</si>
  <si>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</si>
  <si>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</si>
  <si>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</si>
  <si>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</si>
  <si>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</si>
  <si>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</si>
  <si>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</si>
  <si>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</si>
  <si>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</si>
  <si>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</si>
  <si>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</si>
  <si>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</si>
  <si>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</si>
  <si>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</si>
  <si>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</si>
  <si>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</si>
  <si>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</si>
  <si>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</si>
  <si>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</si>
  <si>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</si>
  <si>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</si>
  <si>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</si>
  <si>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</si>
  <si>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</si>
  <si>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</si>
  <si>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</si>
  <si>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</si>
  <si>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</si>
  <si>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</si>
  <si>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</si>
  <si>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</si>
  <si>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</si>
  <si>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</si>
  <si>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</si>
  <si>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</si>
  <si>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</si>
  <si>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</si>
  <si>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</si>
  <si>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</si>
  <si>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</si>
  <si>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</si>
  <si>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</si>
  <si>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</si>
  <si>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</si>
  <si>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</si>
  <si>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</si>
  <si>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</si>
  <si>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</si>
  <si>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</si>
  <si>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</si>
  <si>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</si>
  <si>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</si>
  <si>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</si>
  <si>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</si>
  <si>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</si>
  <si>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</si>
  <si>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</si>
  <si>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</si>
  <si>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</si>
  <si>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</si>
  <si>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</si>
  <si>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</si>
  <si>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</si>
  <si>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</si>
  <si>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</si>
  <si>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</si>
  <si>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</si>
  <si>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</si>
  <si>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</si>
  <si>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</si>
  <si>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</si>
  <si>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</si>
  <si>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</si>
  <si>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</si>
  <si>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</si>
  <si>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</si>
  <si>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</si>
  <si>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</si>
  <si>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</si>
  <si>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</si>
  <si>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</si>
  <si>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</si>
  <si>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</si>
  <si>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</si>
  <si>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</si>
  <si>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</si>
  <si>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</si>
  <si>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</si>
  <si>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</si>
  <si>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</si>
  <si>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</si>
  <si>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</si>
  <si>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</si>
  <si>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</si>
  <si>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</si>
  <si>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</si>
  <si>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</si>
  <si>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</si>
  <si>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</si>
  <si>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</si>
  <si>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</si>
  <si>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</si>
  <si>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</si>
  <si>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</si>
  <si>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</si>
  <si>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</si>
  <si>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</si>
  <si>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</si>
  <si>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</si>
  <si>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</si>
  <si>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</si>
  <si>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</si>
  <si>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</si>
  <si>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</si>
  <si>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</si>
  <si>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</si>
  <si>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</si>
  <si>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</si>
  <si>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</si>
  <si>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</si>
  <si>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</si>
  <si>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</si>
  <si>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</si>
  <si>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</si>
  <si>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</si>
  <si>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</si>
  <si>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</si>
  <si>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</si>
  <si>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</si>
  <si>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</si>
  <si>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</si>
  <si>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</si>
  <si>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</si>
  <si>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</si>
  <si>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</si>
  <si>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</si>
  <si>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</si>
  <si>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</si>
  <si>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</si>
  <si>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</si>
  <si>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</si>
  <si>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</si>
  <si>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</si>
  <si>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</si>
  <si>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</si>
  <si>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</si>
  <si>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</si>
  <si>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</si>
  <si>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</si>
  <si>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</si>
  <si>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</si>
  <si>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</si>
  <si>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</si>
  <si>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</si>
  <si>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</si>
  <si>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</si>
  <si>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</si>
  <si>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</si>
  <si>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</si>
  <si>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</si>
  <si>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</si>
  <si>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</si>
  <si>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</si>
  <si>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</si>
  <si>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</si>
  <si>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</si>
  <si>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</si>
  <si>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</si>
  <si>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</si>
  <si>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</si>
  <si>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</si>
  <si>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</si>
  <si>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</si>
  <si>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</si>
  <si>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</si>
  <si>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</si>
  <si>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</si>
  <si>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</si>
  <si>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</si>
  <si>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</si>
  <si>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</si>
  <si>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</si>
  <si>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</si>
  <si>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</si>
  <si>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</si>
  <si>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</si>
  <si>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</si>
  <si>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</si>
  <si>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</si>
  <si>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</si>
  <si>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</si>
  <si>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</si>
  <si>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</si>
  <si>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</si>
  <si>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</si>
  <si>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</si>
  <si>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</si>
  <si>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</si>
  <si>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</si>
  <si>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</si>
  <si>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</si>
  <si>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</si>
  <si>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</si>
  <si>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</si>
  <si>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</si>
  <si>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</si>
  <si>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</si>
  <si>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</si>
  <si>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</si>
  <si>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</si>
  <si>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</si>
  <si>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</si>
  <si>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</si>
  <si>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</si>
  <si>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</si>
  <si>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</si>
  <si>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</si>
  <si>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</si>
  <si>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</si>
  <si>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</si>
  <si>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</si>
  <si>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</si>
  <si>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</si>
  <si>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</si>
  <si>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</si>
  <si>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</si>
  <si>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</si>
  <si>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</si>
  <si>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</si>
  <si>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</si>
  <si>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</si>
  <si>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</si>
  <si>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</si>
  <si>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</si>
  <si>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</si>
  <si>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</si>
  <si>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</si>
  <si>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</si>
  <si>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</si>
  <si>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</si>
  <si>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</si>
  <si>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</si>
  <si>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</si>
  <si>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</si>
  <si>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</si>
  <si>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</si>
  <si>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</si>
  <si>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</si>
  <si>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</si>
  <si>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</si>
  <si>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</si>
  <si>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</si>
  <si>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</si>
  <si>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</si>
  <si>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</si>
  <si>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</si>
  <si>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</si>
  <si>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</si>
  <si>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</si>
  <si>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</si>
  <si>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</si>
  <si>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</si>
  <si>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</si>
  <si>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</si>
  <si>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</si>
  <si>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</si>
  <si>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</si>
  <si>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</si>
  <si>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</si>
  <si>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</si>
  <si>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</si>
  <si>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</si>
  <si>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</si>
  <si>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</si>
  <si>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</si>
  <si>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</si>
  <si>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</si>
  <si>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</si>
  <si>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</si>
  <si>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</si>
  <si>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</si>
  <si>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</si>
  <si>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</si>
  <si>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</si>
  <si>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</si>
  <si>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</si>
  <si>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</si>
  <si>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</si>
  <si>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</si>
  <si>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</si>
  <si>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</si>
  <si>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</si>
  <si>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</si>
  <si>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</si>
  <si>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</si>
  <si>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</si>
  <si>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</si>
  <si>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</si>
  <si>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</si>
  <si>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</si>
  <si>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</si>
  <si>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</si>
  <si>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</si>
  <si>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</si>
  <si>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</si>
  <si>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</si>
  <si>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</si>
  <si>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</si>
  <si>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</si>
  <si>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</si>
  <si>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</si>
  <si>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</si>
  <si>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</si>
  <si>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</si>
  <si>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</si>
  <si>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</si>
  <si>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</si>
  <si>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</si>
  <si>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</si>
  <si>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</si>
  <si>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</si>
  <si>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</si>
  <si>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</si>
  <si>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</si>
  <si>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</si>
  <si>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</si>
  <si>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</si>
  <si>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</si>
  <si>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</si>
  <si>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</si>
  <si>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</si>
  <si>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</si>
  <si>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</si>
  <si>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</si>
  <si>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</si>
  <si>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</si>
  <si>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</si>
  <si>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</si>
  <si>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</si>
  <si>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</si>
  <si>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</si>
  <si>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</si>
  <si>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</si>
  <si>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</si>
  <si>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</si>
  <si>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</si>
  <si>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</si>
  <si>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</si>
  <si>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</si>
  <si>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</si>
  <si>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</si>
  <si>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</si>
  <si>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</si>
  <si>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</si>
  <si>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</si>
  <si>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</si>
  <si>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</si>
  <si>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</si>
  <si>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</si>
  <si>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</si>
  <si>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</si>
  <si>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</si>
  <si>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</si>
  <si>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</si>
  <si>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</si>
  <si>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</si>
  <si>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</si>
  <si>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</si>
  <si>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</si>
  <si>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</si>
  <si>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</si>
  <si>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</si>
  <si>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</si>
  <si>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</si>
  <si>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</si>
  <si>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</si>
  <si>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</si>
  <si>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</si>
  <si>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</si>
  <si>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</si>
  <si>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</si>
  <si>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</si>
  <si>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</si>
  <si>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</si>
  <si>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</si>
  <si>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</si>
  <si>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</si>
  <si>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</si>
  <si>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</si>
  <si>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</si>
  <si>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</si>
  <si>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</si>
  <si>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</si>
  <si>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</si>
  <si>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</si>
  <si>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</si>
  <si>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</si>
  <si>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</si>
  <si>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</si>
  <si>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</si>
  <si>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</si>
  <si>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</si>
  <si>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</si>
  <si>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</si>
  <si>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</si>
  <si>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</si>
  <si>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</si>
  <si>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</si>
  <si>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</si>
  <si>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</si>
  <si>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</si>
  <si>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</si>
  <si>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</si>
  <si>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</si>
  <si>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</si>
  <si>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</si>
  <si>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</si>
  <si>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</si>
  <si>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</si>
  <si>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</si>
  <si>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</si>
  <si>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</si>
  <si>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</si>
  <si>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</si>
  <si>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</si>
  <si>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</si>
  <si>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</si>
  <si>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</si>
  <si>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</si>
  <si>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</si>
  <si>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</si>
  <si>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</si>
  <si>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</si>
  <si>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</si>
  <si>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</si>
  <si>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</si>
  <si>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</si>
  <si>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</si>
  <si>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</si>
  <si>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</si>
  <si>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</si>
  <si>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</si>
  <si>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</si>
  <si>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</si>
  <si>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</si>
  <si>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</si>
  <si>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</si>
  <si>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</si>
  <si>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</si>
  <si>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</si>
  <si>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</si>
  <si>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</si>
  <si>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</si>
  <si>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</si>
  <si>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</si>
  <si>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</si>
  <si>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</si>
  <si>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</si>
  <si>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</si>
  <si>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</si>
  <si>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</si>
  <si>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</si>
  <si>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</si>
  <si>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</si>
  <si>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</si>
  <si>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</si>
  <si>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</si>
  <si>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</si>
  <si>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</si>
  <si>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</si>
  <si>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</si>
  <si>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</si>
  <si>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</si>
  <si>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</si>
  <si>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</si>
  <si>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</si>
  <si>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</si>
  <si>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</si>
  <si>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</si>
  <si>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</si>
  <si>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</si>
  <si>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</si>
  <si>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</si>
  <si>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</si>
  <si>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</si>
  <si>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</si>
  <si>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</si>
  <si>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</si>
  <si>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</si>
  <si>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</si>
  <si>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</si>
  <si>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</si>
  <si>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</si>
  <si>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</si>
  <si>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</si>
  <si>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</si>
  <si>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</si>
  <si>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</si>
  <si>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</si>
  <si>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</si>
  <si>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</si>
  <si>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</si>
  <si>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</si>
  <si>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</si>
  <si>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</si>
  <si>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</si>
  <si>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</si>
  <si>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</si>
  <si>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</si>
  <si>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</si>
  <si>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</si>
  <si>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</si>
  <si>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</si>
  <si>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</si>
  <si>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</si>
  <si>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</si>
  <si>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</si>
  <si>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</si>
  <si>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</si>
  <si>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</si>
  <si>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</si>
  <si>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</si>
  <si>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</si>
  <si>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</si>
  <si>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</si>
  <si>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</si>
  <si>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</si>
  <si>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</si>
  <si>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</si>
  <si>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</si>
  <si>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</si>
  <si>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</si>
  <si>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</si>
  <si>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</si>
  <si>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</si>
  <si>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</si>
  <si>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</si>
  <si>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</si>
  <si>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</si>
  <si>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</si>
  <si>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</si>
  <si>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</si>
  <si>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</si>
  <si>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</si>
  <si>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</si>
  <si>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</si>
  <si>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</si>
  <si>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</si>
  <si>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</si>
  <si>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</si>
  <si>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</si>
  <si>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</si>
  <si>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</si>
  <si>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</si>
  <si>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</si>
  <si>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</si>
  <si>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</si>
  <si>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</si>
  <si>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</si>
  <si>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</si>
  <si>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</si>
  <si>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</si>
  <si>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</si>
  <si>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</si>
  <si>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</si>
  <si>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</si>
  <si>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</si>
  <si>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</si>
  <si>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</si>
  <si>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</si>
  <si>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</si>
  <si>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</si>
  <si>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</si>
  <si>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</si>
  <si>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</si>
  <si>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</si>
  <si>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</si>
  <si>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</si>
  <si>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</si>
  <si>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</si>
  <si>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</si>
  <si>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</si>
  <si>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</si>
  <si>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</si>
  <si>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</si>
  <si>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</si>
  <si>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</si>
  <si>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</si>
  <si>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</si>
  <si>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</si>
  <si>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</si>
  <si>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</si>
  <si>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</si>
  <si>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</si>
  <si>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</si>
  <si>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</si>
  <si>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</si>
  <si>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</si>
  <si>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</si>
  <si>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</si>
  <si>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</si>
  <si>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</si>
  <si>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</si>
  <si>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</si>
  <si>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</si>
  <si>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</si>
  <si>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</si>
  <si>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</si>
  <si>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</si>
  <si>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</si>
  <si>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</si>
  <si>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</si>
  <si>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</si>
  <si>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</si>
  <si>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</si>
  <si>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</si>
  <si>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</si>
  <si>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</si>
  <si>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</si>
  <si>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</si>
  <si>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</si>
  <si>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</si>
  <si>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</si>
  <si>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</si>
  <si>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</si>
  <si>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</si>
  <si>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</si>
  <si>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</si>
  <si>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</si>
  <si>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</si>
  <si>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</si>
  <si>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</si>
  <si>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</si>
  <si>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</si>
  <si>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</si>
  <si>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</si>
  <si>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</si>
  <si>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</si>
  <si>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</si>
  <si>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</si>
  <si>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</si>
  <si>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</si>
  <si>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</si>
  <si>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</si>
  <si>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</si>
  <si>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</si>
  <si>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</si>
  <si>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</si>
  <si>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</si>
  <si>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</si>
  <si>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</si>
  <si>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</si>
  <si>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</si>
  <si>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</si>
  <si>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</si>
  <si>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</si>
  <si>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</si>
  <si>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</si>
  <si>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</si>
  <si>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</si>
  <si>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</si>
  <si>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</si>
  <si>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</si>
  <si>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</si>
  <si>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</si>
  <si>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</si>
  <si>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</si>
  <si>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</si>
  <si>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</si>
  <si>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</si>
  <si>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</si>
  <si>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</si>
  <si>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</si>
  <si>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</si>
  <si>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</si>
  <si>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</si>
  <si>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</si>
  <si>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</si>
  <si>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</si>
  <si>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</si>
  <si>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</si>
  <si>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</si>
  <si>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</si>
  <si>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</si>
  <si>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</si>
  <si>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</si>
  <si>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</si>
  <si>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</si>
  <si>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</si>
  <si>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</si>
  <si>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</si>
  <si>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</si>
  <si>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</si>
  <si>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</si>
  <si>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</si>
  <si>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</si>
  <si>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</si>
  <si>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</si>
  <si>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</si>
  <si>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</si>
  <si>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</si>
  <si>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</si>
  <si>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</si>
  <si>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</si>
  <si>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</si>
  <si>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</si>
  <si>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</si>
  <si>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</si>
  <si>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</si>
  <si>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</si>
  <si>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</si>
  <si>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</si>
  <si>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</si>
  <si>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</si>
  <si>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</si>
  <si>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</si>
  <si>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</si>
  <si>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</si>
  <si>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</si>
  <si>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</si>
  <si>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</si>
  <si>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</si>
  <si>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</si>
  <si>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</si>
  <si>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</si>
  <si>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</si>
  <si>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</si>
  <si>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</si>
  <si>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</si>
  <si>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</si>
  <si>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</si>
  <si>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</si>
  <si>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</si>
  <si>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</si>
  <si>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</si>
  <si>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</si>
  <si>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</si>
  <si>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</si>
  <si>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</si>
  <si>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</si>
  <si>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</si>
  <si>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</si>
  <si>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</si>
  <si>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</si>
  <si>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</si>
  <si>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</si>
  <si>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</si>
  <si>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</si>
  <si>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</si>
  <si>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</si>
  <si>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</si>
  <si>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</si>
  <si>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</si>
  <si>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</si>
  <si>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</si>
  <si>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</si>
  <si>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</si>
  <si>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</si>
  <si>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</si>
  <si>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</si>
  <si>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</si>
  <si>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</si>
  <si>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</si>
  <si>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</si>
  <si>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</si>
  <si>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</si>
  <si>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</si>
  <si>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</si>
  <si>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</si>
  <si>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</si>
  <si>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</si>
  <si>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</si>
  <si>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</si>
  <si>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</si>
  <si>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</si>
  <si>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</si>
  <si>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</si>
  <si>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</si>
  <si>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</si>
  <si>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</si>
  <si>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</si>
  <si>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</si>
  <si>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</si>
  <si>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</si>
  <si>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</si>
  <si>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</si>
  <si>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</si>
  <si>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</si>
  <si>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</si>
  <si>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</si>
  <si>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</si>
  <si>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</si>
  <si>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</si>
  <si>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</si>
  <si>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</si>
  <si>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</si>
  <si>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</si>
  <si>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</si>
  <si>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</si>
  <si>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</si>
  <si>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</si>
  <si>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</si>
  <si>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</si>
  <si>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</si>
  <si>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</si>
  <si>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</si>
  <si>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</si>
  <si>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</si>
  <si>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</si>
  <si>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</si>
  <si>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</si>
  <si>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</si>
  <si>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</si>
  <si>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</si>
  <si>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</si>
  <si>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</si>
  <si>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</si>
  <si>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</si>
  <si>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</si>
  <si>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</si>
  <si>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</si>
  <si>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</si>
  <si>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</si>
  <si>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</si>
  <si>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</si>
  <si>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</si>
  <si>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</si>
  <si>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</si>
  <si>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</si>
  <si>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</si>
  <si>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</si>
  <si>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</si>
  <si>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</si>
  <si>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</si>
  <si>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</si>
  <si>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</si>
  <si>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</si>
  <si>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</si>
  <si>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</si>
  <si>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</si>
  <si>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</si>
  <si>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</si>
  <si>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</si>
  <si>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</si>
  <si>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</si>
  <si>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</si>
  <si>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</si>
  <si>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</si>
  <si>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</si>
  <si>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</si>
  <si>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</si>
  <si>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</si>
  <si>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</si>
  <si>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</si>
  <si>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</si>
  <si>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</si>
  <si>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</si>
  <si>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</si>
  <si>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</si>
  <si>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</si>
  <si>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</si>
  <si>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</si>
  <si>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</si>
  <si>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</si>
  <si>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</si>
  <si>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</si>
  <si>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</si>
  <si>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</si>
  <si>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</si>
  <si>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</si>
  <si>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</si>
  <si>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</si>
  <si>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</si>
  <si>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</si>
  <si>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</si>
  <si>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</si>
  <si>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</si>
  <si>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</si>
  <si>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</si>
  <si>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</si>
  <si>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</si>
  <si>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</si>
  <si>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</si>
  <si>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</si>
  <si>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</si>
  <si>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</si>
  <si>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</si>
  <si>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</si>
  <si>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</si>
  <si>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</si>
  <si>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</si>
  <si>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</si>
  <si>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</si>
  <si>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</si>
  <si>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</si>
  <si>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</si>
  <si>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</si>
  <si>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</si>
  <si>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</si>
  <si>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</si>
  <si>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</si>
  <si>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</si>
  <si>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</si>
  <si>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</si>
  <si>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</si>
  <si>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</si>
  <si>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</si>
  <si>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</si>
  <si>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</si>
  <si>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</si>
  <si>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</si>
  <si>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</si>
  <si>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</si>
  <si>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</si>
  <si>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</si>
  <si>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</si>
  <si>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</si>
  <si>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</si>
  <si>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</si>
  <si>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</si>
  <si>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</si>
  <si>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</si>
  <si>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</si>
  <si>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</si>
  <si>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</si>
  <si>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</si>
  <si>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</si>
  <si>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</si>
  <si>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</si>
  <si>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</si>
  <si>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</si>
  <si>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</si>
  <si>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</si>
  <si>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</si>
  <si>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</si>
  <si>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</si>
  <si>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</si>
  <si>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</si>
  <si>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</si>
  <si>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</si>
  <si>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</si>
  <si>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</si>
  <si>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</si>
  <si>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</si>
  <si>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</si>
  <si>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</si>
  <si>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</si>
  <si>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</si>
  <si>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</si>
  <si>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</si>
  <si>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</si>
  <si>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</si>
  <si>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</si>
  <si>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</si>
  <si>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</si>
  <si>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</si>
  <si>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</si>
  <si>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</si>
  <si>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</si>
  <si>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</si>
  <si>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</si>
  <si>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</si>
  <si>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</si>
  <si>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</si>
  <si>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</si>
  <si>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</si>
  <si>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</si>
  <si>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</si>
  <si>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</si>
  <si>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</si>
  <si>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</si>
  <si>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</si>
  <si>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</si>
  <si>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</si>
  <si>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</si>
  <si>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</si>
  <si>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</si>
  <si>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</si>
  <si>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</si>
  <si>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</si>
  <si>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</si>
  <si>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</si>
  <si>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</si>
  <si>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</si>
  <si>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</si>
  <si>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</si>
  <si>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</si>
  <si>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</si>
  <si>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</si>
  <si>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</si>
  <si>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</si>
  <si>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</si>
  <si>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</si>
  <si>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</si>
  <si>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</si>
  <si>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</si>
  <si>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</si>
  <si>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</si>
  <si>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</si>
  <si>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</si>
  <si>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</si>
  <si>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</si>
  <si>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</si>
  <si>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</si>
  <si>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</si>
  <si>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</si>
  <si>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</si>
  <si>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</si>
  <si>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</si>
  <si>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</si>
  <si>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</si>
  <si>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</si>
  <si>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</si>
  <si>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</si>
  <si>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</si>
  <si>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</si>
  <si>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</si>
  <si>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</si>
  <si>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</si>
  <si>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</si>
  <si>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</si>
  <si>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</si>
  <si>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</si>
  <si>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</si>
  <si>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</si>
  <si>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</si>
  <si>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</si>
  <si>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</si>
  <si>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</si>
  <si>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</si>
  <si>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</si>
  <si>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</si>
  <si>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</si>
  <si>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</si>
  <si>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</si>
  <si>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</si>
  <si>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</si>
  <si>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</si>
  <si>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</si>
  <si>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</si>
  <si>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</si>
  <si>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</si>
  <si>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</si>
  <si>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</si>
  <si>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</si>
  <si>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</si>
  <si>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</si>
  <si>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</si>
  <si>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</si>
  <si>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</si>
  <si>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</si>
  <si>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</si>
  <si>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</si>
  <si>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</si>
  <si>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</si>
  <si>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</si>
  <si>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</si>
  <si>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</si>
  <si>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</si>
  <si>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</si>
  <si>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</si>
  <si>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</si>
  <si>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</si>
  <si>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</si>
  <si>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</si>
  <si>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</si>
  <si>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</si>
  <si>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</si>
  <si>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</si>
  <si>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</si>
  <si>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</si>
  <si>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</si>
  <si>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</si>
  <si>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</si>
  <si>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</si>
  <si>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</si>
  <si>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</si>
  <si>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</si>
  <si>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</si>
  <si>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</si>
  <si>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</si>
  <si>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</si>
  <si>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</si>
  <si>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</si>
  <si>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</si>
  <si>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</si>
  <si>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</si>
  <si>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</si>
  <si>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</si>
  <si>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</si>
  <si>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</si>
  <si>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</si>
  <si>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</si>
  <si>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</si>
  <si>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</si>
  <si>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</si>
  <si>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</si>
  <si>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</si>
  <si>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</si>
  <si>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</si>
  <si>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</si>
  <si>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</si>
  <si>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</si>
  <si>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</si>
  <si>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</si>
  <si>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</si>
  <si>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</si>
  <si>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</si>
  <si>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</si>
  <si>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</si>
  <si>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</si>
  <si>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</si>
  <si>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</si>
  <si>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</si>
  <si>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</si>
  <si>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</si>
  <si>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</si>
  <si>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</si>
  <si>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</si>
  <si>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</si>
  <si>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</si>
  <si>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</si>
  <si>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</si>
  <si>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</si>
  <si>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</si>
  <si>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</si>
  <si>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</si>
  <si>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</si>
  <si>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</si>
  <si>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</si>
  <si>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</si>
  <si>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</si>
  <si>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</si>
  <si>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</si>
  <si>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</si>
  <si>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</si>
  <si>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</si>
  <si>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</si>
  <si>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</si>
  <si>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</si>
  <si>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</si>
  <si>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</si>
  <si>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</si>
  <si>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</si>
  <si>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</si>
  <si>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</si>
  <si>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</si>
  <si>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</si>
  <si>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</si>
  <si>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</si>
  <si>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</si>
  <si>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</si>
  <si>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</si>
  <si>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</si>
  <si>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</si>
  <si>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</si>
  <si>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</si>
  <si>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</si>
  <si>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</si>
  <si>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</si>
  <si>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</si>
  <si>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</si>
  <si>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</si>
  <si>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</si>
  <si>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</si>
  <si>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</si>
  <si>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</si>
  <si>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</si>
  <si>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</si>
  <si>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</si>
  <si>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</si>
  <si>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</si>
  <si>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</si>
  <si>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</si>
  <si>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</si>
  <si>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</si>
  <si>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</si>
  <si>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</si>
  <si>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</si>
  <si>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</si>
  <si>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</si>
  <si>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</si>
  <si>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</si>
  <si>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</si>
  <si>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</si>
  <si>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</si>
  <si>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</si>
  <si>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</si>
  <si>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</si>
  <si>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</si>
  <si>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</si>
  <si>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</si>
  <si>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</si>
  <si>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</si>
  <si>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</si>
  <si>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</si>
  <si>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</si>
  <si>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</si>
  <si>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</si>
  <si>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</si>
  <si>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</si>
  <si>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</si>
  <si>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</si>
  <si>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</si>
  <si>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</si>
  <si>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</si>
  <si>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</si>
  <si>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</si>
  <si>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</si>
  <si>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</si>
  <si>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</si>
  <si>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</si>
  <si>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</si>
  <si>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</si>
  <si>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</si>
  <si>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</si>
  <si>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</si>
  <si>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</si>
  <si>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</si>
  <si>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</si>
  <si>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</si>
  <si>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</si>
  <si>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</si>
  <si>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</si>
  <si>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</si>
  <si>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</si>
  <si>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</si>
  <si>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</si>
  <si>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</si>
  <si>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</si>
  <si>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</si>
  <si>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</si>
  <si>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</si>
  <si>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</si>
  <si>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</si>
  <si>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</si>
  <si>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</si>
  <si>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</si>
  <si>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</si>
  <si>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</si>
  <si>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</si>
  <si>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</si>
  <si>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</si>
  <si>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</si>
  <si>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</si>
  <si>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</si>
  <si>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</si>
  <si>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</si>
  <si>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</si>
  <si>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</si>
  <si>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</si>
  <si>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</si>
  <si>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</si>
  <si>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</si>
  <si>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</si>
  <si>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</si>
  <si>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</si>
  <si>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</si>
  <si>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</si>
  <si>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</si>
  <si>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</si>
  <si>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</si>
  <si>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</si>
  <si>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</si>
  <si>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</si>
  <si>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</si>
  <si>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</si>
  <si>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</si>
  <si>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</si>
  <si>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</si>
  <si>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</si>
  <si>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</si>
  <si>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</si>
  <si>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</si>
  <si>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</si>
  <si>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</si>
  <si>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</si>
  <si>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</si>
  <si>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</si>
  <si>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</si>
  <si>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</si>
  <si>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</si>
  <si>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</si>
  <si>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</si>
  <si>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</si>
  <si>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</si>
  <si>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</si>
  <si>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</si>
  <si>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</si>
  <si>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</si>
  <si>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</si>
  <si>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</si>
  <si>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</si>
  <si>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</si>
  <si>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</si>
  <si>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</si>
  <si>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</si>
  <si>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</si>
  <si>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</si>
  <si>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</si>
  <si>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</si>
  <si>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</si>
  <si>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</si>
  <si>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</si>
  <si>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</si>
  <si>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</si>
  <si>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</si>
  <si>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</si>
  <si>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</si>
  <si>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</si>
  <si>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</si>
  <si>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</si>
  <si>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</si>
  <si>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</si>
  <si>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</si>
  <si>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</si>
  <si>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</si>
  <si>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</si>
  <si>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</si>
  <si>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</si>
  <si>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</si>
  <si>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</si>
  <si>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</si>
  <si>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</si>
  <si>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</si>
  <si>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</si>
  <si>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</si>
  <si>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</si>
  <si>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</si>
  <si>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</si>
  <si>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</si>
  <si>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</si>
  <si>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</si>
  <si>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</si>
  <si>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</si>
  <si>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</si>
  <si>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</si>
  <si>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</si>
  <si>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</si>
  <si>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</si>
  <si>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</si>
  <si>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</si>
  <si>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</si>
  <si>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</si>
  <si>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</si>
  <si>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</si>
  <si>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</si>
  <si>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</si>
  <si>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</si>
  <si>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</si>
  <si>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</si>
  <si>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</si>
  <si>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</si>
  <si>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</si>
  <si>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</si>
  <si>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</si>
  <si>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</si>
  <si>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</si>
  <si>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</si>
  <si>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</si>
  <si>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</si>
  <si>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</si>
  <si>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</si>
  <si>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</si>
  <si>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</si>
  <si>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</si>
  <si>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</si>
  <si>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</si>
  <si>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</si>
  <si>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</si>
  <si>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</si>
  <si>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</si>
  <si>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</si>
  <si>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</si>
  <si>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</si>
  <si>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</si>
  <si>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</si>
  <si>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</si>
  <si>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</si>
  <si>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</si>
  <si>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</si>
  <si>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</si>
  <si>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</si>
  <si>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</si>
  <si>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</si>
  <si>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</si>
  <si>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</si>
  <si>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</si>
  <si>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</si>
  <si>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</si>
  <si>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</si>
  <si>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</si>
  <si>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</si>
  <si>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</si>
  <si>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</si>
  <si>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</si>
  <si>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</si>
  <si>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</si>
  <si>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</si>
  <si>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</si>
  <si>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</si>
  <si>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</si>
  <si>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</si>
  <si>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</si>
  <si>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</si>
  <si>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</si>
  <si>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</si>
  <si>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</si>
  <si>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</si>
  <si>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</si>
  <si>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</si>
  <si>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</si>
  <si>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</si>
  <si>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</si>
  <si>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</si>
  <si>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</si>
  <si>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</si>
  <si>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</si>
  <si>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</si>
  <si>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</si>
  <si>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</si>
  <si>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</si>
  <si>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</si>
  <si>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</si>
  <si>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</si>
  <si>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</si>
  <si>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</si>
  <si>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</si>
  <si>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</si>
  <si>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</si>
  <si>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</si>
  <si>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</si>
  <si>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</si>
  <si>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</si>
  <si>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</si>
  <si>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</si>
  <si>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</si>
  <si>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</si>
  <si>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</si>
  <si>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</si>
  <si>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</si>
  <si>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</si>
  <si>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</si>
  <si>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</si>
  <si>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</si>
  <si>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</si>
  <si>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</si>
  <si>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</si>
  <si>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</si>
  <si>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</si>
  <si>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</si>
  <si>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</si>
  <si>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</si>
  <si>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</si>
  <si>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</si>
  <si>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</si>
  <si>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</si>
  <si>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</si>
  <si>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</si>
  <si>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</si>
  <si>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</si>
  <si>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</si>
  <si>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</si>
  <si>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</si>
  <si>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</si>
  <si>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</si>
  <si>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</si>
  <si>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</si>
  <si>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</si>
  <si>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</si>
  <si>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</si>
  <si>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K07156189_21_20260225T113805Z.jpg</t>
  </si>
  <si>
    <t>4 Крыльцо офиса\K07156189_21_20260225T113805Z.jpg</t>
  </si>
  <si>
    <t>ср 25.02.2026 — 11:38:05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</si>
  <si>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</si>
  <si>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</si>
  <si>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</si>
  <si>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</si>
  <si>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</si>
  <si>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</si>
  <si>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</si>
  <si>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</si>
  <si>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</si>
  <si>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</si>
  <si>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</si>
  <si>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</si>
  <si>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</si>
  <si>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</si>
  <si>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</si>
  <si>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</si>
  <si>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</si>
  <si>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</si>
  <si>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</si>
  <si>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</si>
  <si>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</si>
  <si>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</si>
  <si>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</si>
  <si>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</si>
  <si>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</si>
  <si>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</si>
  <si>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</si>
  <si>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</si>
  <si>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</si>
  <si>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</si>
  <si>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</si>
  <si>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</si>
  <si>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</si>
  <si>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</si>
  <si>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</si>
  <si>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</si>
  <si>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</si>
  <si>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</si>
  <si>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</si>
  <si>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</si>
  <si>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</si>
  <si>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</si>
  <si>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</si>
  <si>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</si>
  <si>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</si>
  <si>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</si>
  <si>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</si>
  <si>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</si>
  <si>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</si>
  <si>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</si>
  <si>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</si>
  <si>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</si>
  <si>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</si>
  <si>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</si>
  <si>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GA3948333_2_20260224T090845Z.jpg</t>
  </si>
  <si>
    <t>вт 24.02.2026 — 09:08:45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</si>
  <si>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</si>
  <si>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</si>
  <si>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</si>
  <si>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</si>
  <si>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</si>
  <si>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</si>
  <si>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</si>
  <si>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</si>
  <si>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</si>
  <si>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</si>
  <si>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</si>
  <si>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</si>
  <si>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</si>
  <si>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</si>
  <si>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</si>
  <si>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</si>
  <si>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</si>
  <si>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</si>
  <si>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</si>
  <si>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</si>
  <si>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</si>
  <si>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</si>
  <si>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</si>
  <si>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</si>
  <si>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</si>
  <si>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</si>
  <si>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</si>
  <si>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</si>
  <si>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</si>
  <si>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</si>
  <si>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</si>
  <si>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</si>
  <si>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</si>
  <si>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</si>
  <si>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</si>
  <si>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</si>
  <si>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</si>
  <si>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</si>
  <si>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</si>
  <si>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</si>
  <si>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</si>
  <si>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</si>
  <si>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</si>
  <si>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</si>
  <si>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</si>
  <si>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</si>
  <si>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</si>
  <si>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</si>
  <si>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</si>
  <si>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</si>
  <si>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</si>
  <si>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</si>
  <si>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</si>
  <si>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</si>
  <si>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</si>
  <si>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</si>
  <si>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</si>
  <si>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</si>
  <si>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</si>
  <si>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</si>
  <si>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</si>
  <si>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</si>
  <si>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</si>
  <si>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</si>
  <si>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</si>
  <si>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</si>
  <si>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</si>
  <si>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</si>
  <si>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</si>
  <si>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</si>
  <si>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</si>
  <si>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</si>
  <si>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</si>
  <si>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</si>
  <si>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</si>
  <si>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</si>
  <si>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</si>
  <si>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</si>
  <si>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</si>
  <si>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</si>
  <si>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</si>
  <si>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</si>
  <si>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</si>
  <si>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</si>
  <si>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</si>
  <si>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</si>
  <si>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</si>
  <si>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</si>
  <si>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</si>
  <si>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</si>
  <si>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</si>
  <si>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</si>
  <si>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</si>
  <si>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</si>
  <si>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</si>
  <si>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</si>
  <si>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</si>
  <si>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</si>
  <si>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</si>
  <si>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</si>
  <si>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</si>
  <si>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</si>
  <si>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</si>
  <si>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</si>
  <si>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</si>
  <si>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</si>
  <si>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</si>
  <si>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</si>
  <si>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</si>
  <si>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</si>
  <si>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</si>
  <si>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</si>
  <si>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</si>
  <si>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</si>
  <si>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</si>
  <si>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</si>
  <si>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</si>
  <si>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</si>
  <si>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</si>
  <si>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</si>
  <si>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</si>
  <si>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</si>
  <si>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</si>
  <si>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</si>
  <si>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</si>
  <si>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</si>
  <si>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</si>
  <si>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</si>
  <si>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</si>
  <si>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</si>
  <si>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</si>
  <si>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</si>
  <si>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</si>
  <si>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</si>
  <si>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</si>
  <si>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</si>
  <si>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</si>
  <si>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</si>
  <si>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</si>
  <si>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</si>
  <si>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</si>
  <si>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</si>
  <si>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</si>
  <si>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</si>
  <si>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</si>
  <si>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</si>
  <si>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</si>
  <si>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</si>
  <si>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</si>
  <si>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</si>
  <si>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</si>
  <si>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</si>
  <si>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</si>
  <si>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</si>
  <si>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</si>
  <si>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</si>
  <si>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</si>
  <si>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</si>
  <si>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</si>
  <si>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</si>
  <si>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</si>
  <si>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</si>
  <si>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</si>
  <si>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</si>
  <si>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</si>
  <si>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</si>
  <si>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</si>
  <si>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</si>
  <si>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</si>
  <si>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</si>
  <si>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</si>
  <si>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</si>
  <si>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</si>
  <si>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</si>
  <si>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</si>
  <si>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</si>
  <si>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</si>
  <si>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</si>
  <si>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</si>
  <si>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</si>
  <si>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</si>
  <si>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</si>
  <si>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</si>
  <si>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</si>
  <si>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</si>
  <si>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</si>
  <si>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</si>
  <si>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</si>
  <si>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</si>
  <si>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</si>
  <si>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</si>
  <si>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</si>
  <si>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</si>
  <si>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</si>
  <si>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</si>
  <si>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</si>
  <si>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</si>
  <si>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</si>
  <si>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</si>
  <si>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</si>
  <si>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</si>
  <si>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</si>
  <si>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</si>
  <si>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</si>
  <si>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</si>
  <si>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</si>
  <si>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</si>
  <si>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</si>
  <si>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</si>
  <si>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</si>
  <si>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</si>
  <si>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</si>
  <si>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</si>
  <si>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</si>
  <si>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</si>
  <si>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</si>
  <si>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</si>
  <si>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</si>
  <si>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</si>
  <si>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</si>
  <si>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</si>
  <si>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</si>
  <si>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</si>
  <si>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</si>
  <si>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</si>
  <si>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</si>
  <si>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</si>
  <si>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</si>
  <si>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</si>
  <si>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</si>
  <si>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</si>
  <si>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</si>
  <si>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</si>
  <si>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</si>
  <si>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</si>
  <si>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</si>
  <si>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</si>
  <si>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</si>
  <si>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</si>
  <si>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</si>
  <si>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</si>
  <si>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</si>
  <si>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</si>
  <si>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</si>
  <si>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</si>
  <si>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</si>
  <si>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</si>
  <si>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</si>
  <si>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</si>
  <si>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</si>
  <si>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</si>
  <si>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</si>
  <si>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</si>
  <si>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</si>
  <si>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</si>
  <si>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</si>
  <si>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</si>
  <si>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</si>
  <si>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</si>
  <si>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</si>
  <si>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</si>
  <si>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</si>
  <si>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</si>
  <si>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</si>
  <si>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</si>
  <si>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</si>
  <si>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</si>
  <si>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</si>
  <si>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</si>
  <si>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</si>
  <si>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</si>
  <si>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</si>
  <si>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</si>
  <si>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</si>
  <si>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</si>
  <si>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</si>
  <si>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</si>
  <si>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</si>
  <si>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</si>
  <si>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</si>
  <si>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</si>
  <si>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</si>
  <si>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</si>
  <si>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</si>
  <si>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</si>
  <si>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</si>
  <si>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</si>
  <si>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</si>
  <si>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</si>
  <si>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</si>
  <si>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</si>
  <si>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</si>
  <si>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</si>
  <si>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</si>
  <si>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</si>
  <si>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</si>
  <si>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</si>
  <si>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</si>
  <si>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</si>
  <si>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</si>
  <si>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</si>
  <si>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</si>
  <si>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</si>
  <si>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</si>
  <si>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</si>
  <si>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</si>
  <si>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</si>
  <si>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</si>
  <si>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</si>
  <si>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</si>
  <si>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</si>
  <si>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</si>
  <si>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</si>
  <si>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</si>
  <si>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</si>
  <si>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</si>
  <si>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</si>
  <si>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</si>
  <si>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</si>
  <si>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</si>
  <si>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</si>
  <si>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</si>
  <si>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</si>
  <si>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</si>
  <si>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</si>
  <si>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</si>
  <si>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</si>
  <si>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</si>
  <si>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</si>
  <si>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</si>
  <si>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</si>
  <si>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</si>
  <si>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</si>
  <si>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</si>
  <si>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</si>
  <si>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</si>
  <si>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Територия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</si>
  <si>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</si>
  <si>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</si>
  <si>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</si>
  <si>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</si>
  <si>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</si>
  <si>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</si>
  <si>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</si>
  <si>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</si>
  <si>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</si>
  <si>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</si>
  <si>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</si>
  <si>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</si>
  <si>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</si>
  <si>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</si>
  <si>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</si>
  <si>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</si>
  <si>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</si>
  <si>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</si>
  <si>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</si>
  <si>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</si>
  <si>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</si>
  <si>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</si>
  <si>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</si>
  <si>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</si>
  <si>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</si>
  <si>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</si>
  <si>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</si>
  <si>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</si>
  <si>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</si>
  <si>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</si>
  <si>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</si>
  <si>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</si>
  <si>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</si>
  <si>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</si>
  <si>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</si>
  <si>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</si>
  <si>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</si>
  <si>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</si>
  <si>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</si>
  <si>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</si>
  <si>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</si>
  <si>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</si>
  <si>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</si>
  <si>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</si>
  <si>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</si>
  <si>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</si>
  <si>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</si>
  <si>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</si>
  <si>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</si>
  <si>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</si>
  <si>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</si>
  <si>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</si>
  <si>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</si>
  <si>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</si>
  <si>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</si>
  <si>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</si>
  <si>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</si>
  <si>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</si>
  <si>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</si>
  <si>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</si>
  <si>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</si>
  <si>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</si>
  <si>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</si>
  <si>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</si>
  <si>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</si>
  <si>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</si>
  <si>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</si>
  <si>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</si>
  <si>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</si>
  <si>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</si>
  <si>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</si>
  <si>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</si>
  <si>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</si>
  <si>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</si>
  <si>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</si>
  <si>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</si>
  <si>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</si>
  <si>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</si>
  <si>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</si>
  <si>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</si>
  <si>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</si>
  <si>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</si>
  <si>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</si>
  <si>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</si>
  <si>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</si>
  <si>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</si>
  <si>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</si>
  <si>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</si>
  <si>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</si>
  <si>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</si>
  <si>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</si>
  <si>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</si>
  <si>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</si>
  <si>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</si>
  <si>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</si>
  <si>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</si>
  <si>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</si>
  <si>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</si>
  <si>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</si>
  <si>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</si>
  <si>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</si>
  <si>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</si>
  <si>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</si>
  <si>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</si>
  <si>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</si>
  <si>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</si>
  <si>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</si>
  <si>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</si>
  <si>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</si>
  <si>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</si>
  <si>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</si>
  <si>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</si>
  <si>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</si>
  <si>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</si>
  <si>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</si>
  <si>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</si>
  <si>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</si>
  <si>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</si>
  <si>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</si>
  <si>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</si>
  <si>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</si>
  <si>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</si>
  <si>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</si>
  <si>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</si>
  <si>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</si>
  <si>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</si>
  <si>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</si>
  <si>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</si>
  <si>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</si>
  <si>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</si>
  <si>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</si>
  <si>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</si>
  <si>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</si>
  <si>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</si>
  <si>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</si>
  <si>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</si>
  <si>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</si>
  <si>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</si>
  <si>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</si>
  <si>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</si>
  <si>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</si>
  <si>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</si>
  <si>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</si>
  <si>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</si>
  <si>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</si>
  <si>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</si>
  <si>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</si>
  <si>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</si>
  <si>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</si>
  <si>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</si>
  <si>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</si>
  <si>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</si>
  <si>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</si>
  <si>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</si>
  <si>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</si>
  <si>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</si>
  <si>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</si>
  <si>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</si>
  <si>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</si>
  <si>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</si>
  <si>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</si>
  <si>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</si>
  <si>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</si>
  <si>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</si>
  <si>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</si>
  <si>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</si>
  <si>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</si>
  <si>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</si>
  <si>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</si>
  <si>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</si>
  <si>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</si>
  <si>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</si>
  <si>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</si>
  <si>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</si>
  <si>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</si>
  <si>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</si>
  <si>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</si>
  <si>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</si>
  <si>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</si>
  <si>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</si>
  <si>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</si>
  <si>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</si>
  <si>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</si>
  <si>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</si>
  <si>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</si>
  <si>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</si>
  <si>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</si>
  <si>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</si>
  <si>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</si>
  <si>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</si>
  <si>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</si>
  <si>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</si>
  <si>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</si>
  <si>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</si>
  <si>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</si>
  <si>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</si>
  <si>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</si>
  <si>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</si>
  <si>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</si>
  <si>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</si>
  <si>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</si>
  <si>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</si>
  <si>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</si>
  <si>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</si>
  <si>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</si>
  <si>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</si>
  <si>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</si>
  <si>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</si>
  <si>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</si>
  <si>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</si>
  <si>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</si>
  <si>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</si>
  <si>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</si>
  <si>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</si>
  <si>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</si>
  <si>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</si>
  <si>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</si>
  <si>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</si>
  <si>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</si>
  <si>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</si>
  <si>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</si>
  <si>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</si>
  <si>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</si>
  <si>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</si>
  <si>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</si>
  <si>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</si>
  <si>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</si>
  <si>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</si>
  <si>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</si>
  <si>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</si>
  <si>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</si>
  <si>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</si>
  <si>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</si>
  <si>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</si>
  <si>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</si>
  <si>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</si>
  <si>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</si>
  <si>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</si>
  <si>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</si>
  <si>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</si>
  <si>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</si>
  <si>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</si>
  <si>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</si>
  <si>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</si>
  <si>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</si>
  <si>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</si>
  <si>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</si>
  <si>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</si>
  <si>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</si>
  <si>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</si>
  <si>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</si>
  <si>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</si>
  <si>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</si>
  <si>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</si>
  <si>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</si>
  <si>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</si>
  <si>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</si>
  <si>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</si>
  <si>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</si>
  <si>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</si>
  <si>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</si>
  <si>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</si>
  <si>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</si>
  <si>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</si>
  <si>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</si>
  <si>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</si>
  <si>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</si>
  <si>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</si>
  <si>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</si>
  <si>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</si>
  <si>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</si>
  <si>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</si>
  <si>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</si>
  <si>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</si>
  <si>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</si>
  <si>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</si>
  <si>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</si>
  <si>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</si>
  <si>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</si>
  <si>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</si>
  <si>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</si>
  <si>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</si>
  <si>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</si>
  <si>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</si>
  <si>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</si>
  <si>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</si>
  <si>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</si>
  <si>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</si>
  <si>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</si>
  <si>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</si>
  <si>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</si>
  <si>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</si>
  <si>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</si>
  <si>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</si>
  <si>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</si>
  <si>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</si>
  <si>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</si>
  <si>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</si>
  <si>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</si>
  <si>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</si>
  <si>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</si>
  <si>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</si>
  <si>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</si>
  <si>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</si>
  <si>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</si>
  <si>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</si>
  <si>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</si>
  <si>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</si>
  <si>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</si>
  <si>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</si>
  <si>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</si>
  <si>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</si>
  <si>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</si>
  <si>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</si>
  <si>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</si>
  <si>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</si>
  <si>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</si>
  <si>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</si>
  <si>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</si>
  <si>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</si>
  <si>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</si>
  <si>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</si>
  <si>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</si>
  <si>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</si>
  <si>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</si>
  <si>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</si>
  <si>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</si>
  <si>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</si>
  <si>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</si>
  <si>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</si>
  <si>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</si>
  <si>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</si>
  <si>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</si>
  <si>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</si>
  <si>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</si>
  <si>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</si>
  <si>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</si>
  <si>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</si>
  <si>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</si>
  <si>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</si>
  <si>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</si>
  <si>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</si>
  <si>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</si>
  <si>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</si>
  <si>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</si>
  <si>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</si>
  <si>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</si>
  <si>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</si>
  <si>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</si>
  <si>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</si>
  <si>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</si>
  <si>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</si>
  <si>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</si>
  <si>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</si>
  <si>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</si>
  <si>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</si>
  <si>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</si>
  <si>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</si>
  <si>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</si>
  <si>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</si>
  <si>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</si>
  <si>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</si>
  <si>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</si>
  <si>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</si>
  <si>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</si>
  <si>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</si>
  <si>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</si>
  <si>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</si>
  <si>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</si>
  <si>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</si>
  <si>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</si>
  <si>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</si>
  <si>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</si>
  <si>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</si>
  <si>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</si>
  <si>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</si>
  <si>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</si>
  <si>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</si>
  <si>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</si>
  <si>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</si>
  <si>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</si>
  <si>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</si>
  <si>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</si>
  <si>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</si>
  <si>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</si>
  <si>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</si>
  <si>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</si>
  <si>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</si>
  <si>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</si>
  <si>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</si>
  <si>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</si>
  <si>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</si>
  <si>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</si>
  <si>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</si>
  <si>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</si>
  <si>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</si>
  <si>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</si>
  <si>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</si>
  <si>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</si>
  <si>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</si>
  <si>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</si>
  <si>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</si>
  <si>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</si>
  <si>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</si>
  <si>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</si>
  <si>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</si>
  <si>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</si>
  <si>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</si>
  <si>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</si>
  <si>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</si>
  <si>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</si>
  <si>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</si>
  <si>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</si>
  <si>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</si>
  <si>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</si>
  <si>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</si>
  <si>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</si>
  <si>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</si>
  <si>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</si>
  <si>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</si>
  <si>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</si>
  <si>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</si>
  <si>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</si>
  <si>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</si>
  <si>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</si>
  <si>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</si>
  <si>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</si>
  <si>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</si>
  <si>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</si>
  <si>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</si>
  <si>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</si>
  <si>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</si>
  <si>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</si>
  <si>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</si>
  <si>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</si>
  <si>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</si>
  <si>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</si>
  <si>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</si>
  <si>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</si>
  <si>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</si>
  <si>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</si>
  <si>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</si>
  <si>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</si>
  <si>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</si>
  <si>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</si>
  <si>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</si>
  <si>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</si>
  <si>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</si>
  <si>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</si>
  <si>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</si>
  <si>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</si>
  <si>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</si>
  <si>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</si>
  <si>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</si>
  <si>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</si>
  <si>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</si>
  <si>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</si>
  <si>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</si>
  <si>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</si>
  <si>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</si>
  <si>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</si>
  <si>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</si>
  <si>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</si>
  <si>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</si>
  <si>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</si>
  <si>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</si>
  <si>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</si>
  <si>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</si>
  <si>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</si>
  <si>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</si>
  <si>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</si>
  <si>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</si>
  <si>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</si>
  <si>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</si>
  <si>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</si>
  <si>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</si>
  <si>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</si>
  <si>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</si>
  <si>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</si>
  <si>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</si>
  <si>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</si>
  <si>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</si>
  <si>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</si>
  <si>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</si>
  <si>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</si>
  <si>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</si>
  <si>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</si>
  <si>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</si>
  <si>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</si>
  <si>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</si>
  <si>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</si>
  <si>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</si>
  <si>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</si>
  <si>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</si>
  <si>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</si>
  <si>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</si>
  <si>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</si>
  <si>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</si>
  <si>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</si>
  <si>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</si>
  <si>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</si>
  <si>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</si>
  <si>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</si>
  <si>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</si>
  <si>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</si>
  <si>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</si>
  <si>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</si>
  <si>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</si>
  <si>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</si>
  <si>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</si>
  <si>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</si>
  <si>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</si>
  <si>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</si>
  <si>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</si>
  <si>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</si>
  <si>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</si>
  <si>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</si>
  <si>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</si>
  <si>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</si>
  <si>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</si>
  <si>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</si>
  <si>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</si>
  <si>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</si>
  <si>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</si>
  <si>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</si>
  <si>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</si>
  <si>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</si>
  <si>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</si>
  <si>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</si>
  <si>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</si>
  <si>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</si>
  <si>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</si>
  <si>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</si>
  <si>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</si>
  <si>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</si>
  <si>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</si>
  <si>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</si>
  <si>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</si>
  <si>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</si>
  <si>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</si>
  <si>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</si>
  <si>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</si>
  <si>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</si>
  <si>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</si>
  <si>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</si>
  <si>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</si>
  <si>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</si>
  <si>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</si>
  <si>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</si>
  <si>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</si>
  <si>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</si>
  <si>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</si>
  <si>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</si>
  <si>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</si>
  <si>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</si>
  <si>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</si>
  <si>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</si>
  <si>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</si>
  <si>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</si>
  <si>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</si>
  <si>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</si>
  <si>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</si>
  <si>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</si>
  <si>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</si>
  <si>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</si>
  <si>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</si>
  <si>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</si>
  <si>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</si>
  <si>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</si>
  <si>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</si>
  <si>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</si>
  <si>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</si>
  <si>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</si>
  <si>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</si>
  <si>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</si>
  <si>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</si>
  <si>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</si>
  <si>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</si>
  <si>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</si>
  <si>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</si>
  <si>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</si>
  <si>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</si>
  <si>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</si>
  <si>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</si>
  <si>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</si>
  <si>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</si>
  <si>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</si>
  <si>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</si>
  <si>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</si>
  <si>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</si>
  <si>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</si>
  <si>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</si>
  <si>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</si>
  <si>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</si>
  <si>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</si>
  <si>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</si>
  <si>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</si>
  <si>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</si>
  <si>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</si>
  <si>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</si>
  <si>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</si>
  <si>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</si>
  <si>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</si>
  <si>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</si>
  <si>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</si>
  <si>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</si>
  <si>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</si>
  <si>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</si>
  <si>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</si>
  <si>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</si>
  <si>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рейсмус\GA3948333_2_20260224T090845Z.jpg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</si>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</sst>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1049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9" tableType="queryTable" totalsRowShown="0">
  <autoFilter ref="A1:N259" xr:uid="{B468AF39-21AE-47BD-BA18-EADB2FC1D520}"/>
  <tableColumns count="14">
    <tableColumn id="11" xr3:uid="{6F8E650D-029B-40AD-86B4-92C160128A4F}" uniqueName="11" name="День нед" queryTableFieldId="39" dataDxfId="84"/>
    <tableColumn id="8" xr3:uid="{7C2AA400-8F21-45B7-B47D-9CF2CFB5DD00}" uniqueName="8" name="Дата" queryTableFieldId="19" dataDxfId="83"/>
    <tableColumn id="9" xr3:uid="{7CB7ABF0-C98D-49E4-A494-985A43D5F40F}" uniqueName="9" name="Время" queryTableFieldId="20" dataDxfId="82"/>
    <tableColumn id="5" xr3:uid="{613A944B-9245-4C6D-9CCE-5037AD552DED}" uniqueName="5" name="Событие" queryTableFieldId="27" dataDxfId="1034"/>
    <tableColumn id="7" xr3:uid="{FFEA85A5-3527-4483-91CE-57F760AB9F33}" uniqueName="7" name="Объект" queryTableFieldId="29" dataDxfId="1033"/>
    <tableColumn id="10" xr3:uid="{A2E2C27E-C1B2-4B74-A427-E1854B0E2C76}" uniqueName="10" name="Груз" queryTableFieldId="30" dataDxfId="103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31"/>
    <tableColumn id="4" xr3:uid="{B2B57637-8A7D-4C5F-A6F8-E38F3EA43620}" uniqueName="4" name="Name" queryTableFieldId="14" dataDxfId="1030"/>
    <tableColumn id="1" xr3:uid="{79275791-6385-434B-9F1B-8BDC003824A7}" uniqueName="1" name="Folder Path" queryTableFieldId="11" dataDxfId="102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1" tableType="queryTable" totalsRowShown="0">
  <autoFilter ref="A1:M281" xr:uid="{B468AF39-21AE-47BD-BA18-EADB2FC1D520}"/>
  <tableColumns count="13">
    <tableColumn id="11" xr3:uid="{6804E693-7D64-41A5-9B58-B7D348C4DC92}" uniqueName="11" name="День нед" queryTableFieldId="39" dataDxfId="80"/>
    <tableColumn id="8" xr3:uid="{40827FD9-94EC-4CF6-B212-59CF3E913897}" uniqueName="8" name="Дата" queryTableFieldId="19" dataDxfId="79"/>
    <tableColumn id="9" xr3:uid="{1F8E8ADE-5BFB-4171-9A0A-859E22042D3B}" uniqueName="9" name="Время" queryTableFieldId="20" dataDxfId="78"/>
    <tableColumn id="5" xr3:uid="{9D19F2E1-3C70-4F2F-8ED7-6D41C17A9366}" uniqueName="5" name="Событие" queryTableFieldId="27" dataDxfId="1013"/>
    <tableColumn id="7" xr3:uid="{8C8CC69A-BA0A-4417-AE7D-B89E26F69F9B}" uniqueName="7" name="Объект" queryTableFieldId="29" dataDxfId="1012"/>
    <tableColumn id="10" xr3:uid="{375C36FB-077D-4AA3-B6F7-74ACE46C2638}" uniqueName="10" name="Груз" queryTableFieldId="30" dataDxfId="101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10"/>
    <tableColumn id="4" xr3:uid="{4A5BB282-D54C-4C68-A1D9-B3A819F9FCF6}" uniqueName="4" name="Name" queryTableFieldId="14" dataDxfId="1009"/>
    <tableColumn id="1" xr3:uid="{7BD19058-41FF-4EFE-8283-68501A5B1623}" uniqueName="1" name="Folder Path" queryTableFieldId="11" dataDxfId="100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3" tableType="queryTable" totalsRowShown="0">
  <autoFilter ref="A1:M163" xr:uid="{B468AF39-21AE-47BD-BA18-EADB2FC1D520}"/>
  <tableColumns count="13">
    <tableColumn id="11" xr3:uid="{8C7989A8-AE95-4BFB-859E-9F3F94DCD873}" uniqueName="11" name="День нед" queryTableFieldId="39" dataDxfId="72"/>
    <tableColumn id="8" xr3:uid="{B651DAE5-1AB7-4761-9820-CB58DA0D9C46}" uniqueName="8" name="Дата" queryTableFieldId="19" dataDxfId="71"/>
    <tableColumn id="9" xr3:uid="{22B6AE73-6E8B-4F81-B85C-3D141AD4D773}" uniqueName="9" name="Время" queryTableFieldId="20" dataDxfId="70"/>
    <tableColumn id="5" xr3:uid="{CB5AF0FF-A861-4F29-BFD9-751A47066C68}" uniqueName="5" name="Событие" queryTableFieldId="27" dataDxfId="993"/>
    <tableColumn id="7" xr3:uid="{63916370-0910-4B95-ABB4-D88865AA9E43}" uniqueName="7" name="Объект" queryTableFieldId="29" dataDxfId="992"/>
    <tableColumn id="10" xr3:uid="{DDC7656E-7390-4778-A2CE-EEC7AC518263}" uniqueName="10" name="Груз" queryTableFieldId="30" dataDxfId="99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90"/>
    <tableColumn id="4" xr3:uid="{96665EED-E1B8-437C-869A-35CB5BA419D3}" uniqueName="4" name="Name" queryTableFieldId="14" dataDxfId="989"/>
    <tableColumn id="1" xr3:uid="{1F225BD8-B59D-4058-9D99-17124C1F38FB}" uniqueName="1" name="Folder Path" queryTableFieldId="11" dataDxfId="98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61" tableType="queryTable" totalsRowShown="0">
  <tableColumns count="13">
    <tableColumn id="11" xr3:uid="{F25D1388-C4DF-49FB-9BF5-0132CEDCCAEA}" uniqueName="11" name="День нед" queryTableFieldId="39" dataDxfId="76"/>
    <tableColumn id="8" xr3:uid="{9EDCCA26-9FD6-4F66-9134-186F89CA663B}" uniqueName="8" name="Дата" queryTableFieldId="19" dataDxfId="75"/>
    <tableColumn id="9" xr3:uid="{FB005DB9-8D3C-48A5-94F1-246606C665DD}" uniqueName="9" name="Время" queryTableFieldId="20" dataDxfId="74"/>
    <tableColumn id="5" xr3:uid="{6D19407C-64CF-4FC5-95E7-163AA12EB226}" uniqueName="5" name="Событие" queryTableFieldId="27" dataDxfId="973"/>
    <tableColumn id="7" xr3:uid="{007BF834-0BCB-4416-8941-11DA4EDFCE5B}" uniqueName="7" name="Объект" queryTableFieldId="29" dataDxfId="972"/>
    <tableColumn id="10" xr3:uid="{E896F002-4451-441D-B0CB-52AD69A6E5C3}" uniqueName="10" name="Груз" queryTableFieldId="30" dataDxfId="97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70"/>
    <tableColumn id="4" xr3:uid="{9F6560FA-27F8-4BE9-BA58-3B0E40F582E5}" uniqueName="4" name="Name" queryTableFieldId="14" dataDxfId="969"/>
    <tableColumn id="1" xr3:uid="{44892CD0-9118-4535-9434-E49462140346}" uniqueName="1" name="Folder Path" queryTableFieldId="11" dataDxfId="96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58" tableType="queryTable" totalsRowShown="0">
  <tableColumns count="13">
    <tableColumn id="11" xr3:uid="{390CB009-E9E0-4C0F-93C3-AF6B408B816B}" uniqueName="11" name="День нед" queryTableFieldId="39" dataDxfId="52"/>
    <tableColumn id="8" xr3:uid="{E0A1C296-A368-479C-9A74-85306B3C03D4}" uniqueName="8" name="Дата" queryTableFieldId="19" dataDxfId="51"/>
    <tableColumn id="9" xr3:uid="{86401298-83EB-49D3-ACBA-E743586F5CCB}" uniqueName="9" name="Время" queryTableFieldId="20" dataDxfId="50"/>
    <tableColumn id="5" xr3:uid="{FFB4F03A-A400-4544-A729-2375A1F7D5E8}" uniqueName="5" name="Событие" queryTableFieldId="27" dataDxfId="953"/>
    <tableColumn id="7" xr3:uid="{D96DCF3C-D325-4D0C-94A1-DBE97CC5C9DC}" uniqueName="7" name="Объект" queryTableFieldId="29" dataDxfId="952"/>
    <tableColumn id="10" xr3:uid="{76D99262-42F5-447E-95AC-9C2A84BF344C}" uniqueName="10" name="Груз" queryTableFieldId="30" dataDxfId="95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50"/>
    <tableColumn id="4" xr3:uid="{D16AEB37-7A8A-406F-8ED7-B8D53BAA9BD9}" uniqueName="4" name="Name" queryTableFieldId="14" dataDxfId="949"/>
    <tableColumn id="1" xr3:uid="{1746BE5F-089A-476F-AE8D-5F2B27E9AEEA}" uniqueName="1" name="Folder Path" queryTableFieldId="11" dataDxfId="94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04" tableType="queryTable" totalsRowShown="0">
  <tableColumns count="13">
    <tableColumn id="11" xr3:uid="{45D23538-AB74-404E-8577-E2B7A36436AF}" uniqueName="11" name="День нед" queryTableFieldId="39" dataDxfId="35"/>
    <tableColumn id="8" xr3:uid="{40B01B94-168F-4547-A2BC-AA7F91350AB3}" uniqueName="8" name="Дата" queryTableFieldId="19" dataDxfId="34"/>
    <tableColumn id="9" xr3:uid="{A2C94EFB-3081-4BA9-85C2-DFF0455AFA43}" uniqueName="9" name="Время" queryTableFieldId="20" dataDxfId="33"/>
    <tableColumn id="5" xr3:uid="{244D3D34-C9EC-4B9C-BE81-12A0C0BB4342}" uniqueName="5" name="Событие" queryTableFieldId="27" dataDxfId="933"/>
    <tableColumn id="7" xr3:uid="{C449A112-E8A8-4956-B85C-2BA12316F170}" uniqueName="7" name="Объект" queryTableFieldId="29" dataDxfId="932"/>
    <tableColumn id="10" xr3:uid="{C8411557-C312-4542-93DA-DF5949399E11}" uniqueName="10" name="Груз" queryTableFieldId="30" dataDxfId="93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30"/>
    <tableColumn id="4" xr3:uid="{6A396D44-0898-4737-A4C1-8D6D40981793}" uniqueName="4" name="Name" queryTableFieldId="14" dataDxfId="929"/>
    <tableColumn id="1" xr3:uid="{328F21C9-48B9-4081-9B8C-BBD168BD38D1}" uniqueName="1" name="Folder Path" queryTableFieldId="11" dataDxfId="92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3" tableType="queryTable" totalsRowShown="0">
  <tableColumns count="13">
    <tableColumn id="11" xr3:uid="{2311EAC9-4673-4BE2-ADB0-E8CEB0BD9945}" uniqueName="11" name="День нед" queryTableFieldId="39" dataDxfId="68"/>
    <tableColumn id="8" xr3:uid="{F1C9804A-F8E7-4755-B717-859265C587A2}" uniqueName="8" name="Дата" queryTableFieldId="19" dataDxfId="67"/>
    <tableColumn id="9" xr3:uid="{1C2BA522-8D4F-4713-849C-1F60357B476E}" uniqueName="9" name="Время" queryTableFieldId="20" dataDxfId="66"/>
    <tableColumn id="5" xr3:uid="{6E084A00-DC62-4E93-8ABC-4651FD4D2408}" uniqueName="5" name="Событие" queryTableFieldId="27" dataDxfId="912"/>
    <tableColumn id="7" xr3:uid="{C9F6EF14-DBE7-4655-9D20-5B253923C11E}" uniqueName="7" name="Объект" queryTableFieldId="29" dataDxfId="911"/>
    <tableColumn id="10" xr3:uid="{0ADEC0F9-9FE9-4E92-BD38-0B8CDDE1BDBD}" uniqueName="10" name="Груз" queryTableFieldId="30" dataDxfId="91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09"/>
    <tableColumn id="4" xr3:uid="{FE606B6B-0A78-44A2-B44F-54FBA553BAD6}" uniqueName="4" name="Name" queryTableFieldId="14" dataDxfId="908"/>
    <tableColumn id="1" xr3:uid="{34274AB2-665A-4EF1-8C79-4944C9C122A7}" uniqueName="1" name="Folder Path" queryTableFieldId="11" dataDxfId="90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9" tableType="queryTable" totalsRowShown="0">
  <tableColumns count="13">
    <tableColumn id="11" xr3:uid="{72CE202A-C56C-4D63-9F9F-0DFF72BB5190}" uniqueName="11" name="День нед" queryTableFieldId="39" dataDxfId="64"/>
    <tableColumn id="8" xr3:uid="{0D9F5C4C-70B0-46E2-9E29-649E206B6616}" uniqueName="8" name="Дата" queryTableFieldId="19" dataDxfId="63"/>
    <tableColumn id="9" xr3:uid="{7C8561D4-BD7D-493F-BC95-213F2D55F3FD}" uniqueName="9" name="Время" queryTableFieldId="20" dataDxfId="62"/>
    <tableColumn id="5" xr3:uid="{E48795B2-2732-4E4A-81E8-B1585581420B}" uniqueName="5" name="Событие" queryTableFieldId="27" dataDxfId="892"/>
    <tableColumn id="7" xr3:uid="{F684EE24-0636-4EC2-AB94-A65EA5355534}" uniqueName="7" name="Объект" queryTableFieldId="29" dataDxfId="891"/>
    <tableColumn id="10" xr3:uid="{0C1B5273-277F-4438-B52D-9F868AD13DEE}" uniqueName="10" name="Груз" queryTableFieldId="30" dataDxfId="89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89"/>
    <tableColumn id="4" xr3:uid="{729433F6-F4FD-435B-851D-D34CC9060068}" uniqueName="4" name="Name" queryTableFieldId="14" dataDxfId="888"/>
    <tableColumn id="1" xr3:uid="{7A9B9B80-B872-4A82-9D9D-98A75E20F89B}" uniqueName="1" name="Folder Path" queryTableFieldId="11" dataDxfId="88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12" tableType="queryTable" totalsRowShown="0">
  <tableColumns count="13">
    <tableColumn id="11" xr3:uid="{2CE691F0-1D02-41BD-8E81-7716875609CD}" uniqueName="11" name="День нед" queryTableFieldId="39" dataDxfId="60"/>
    <tableColumn id="8" xr3:uid="{1A2A3B97-F602-468E-8AD3-5DD492638A71}" uniqueName="8" name="Дата" queryTableFieldId="19" dataDxfId="59"/>
    <tableColumn id="9" xr3:uid="{E8725BDD-FF6C-47C3-9100-825160B93721}" uniqueName="9" name="Время" queryTableFieldId="20" dataDxfId="58"/>
    <tableColumn id="5" xr3:uid="{F68EB906-7F6F-4765-A5C8-9B40064179BE}" uniqueName="5" name="Событие" queryTableFieldId="27" dataDxfId="872"/>
    <tableColumn id="7" xr3:uid="{812FE0F9-0D7E-497C-893A-B104BA069155}" uniqueName="7" name="Объект" queryTableFieldId="29" dataDxfId="871"/>
    <tableColumn id="10" xr3:uid="{1679E688-A047-4936-9EBC-9BDCFEA4CD95}" uniqueName="10" name="Груз" queryTableFieldId="30" dataDxfId="87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69"/>
    <tableColumn id="4" xr3:uid="{F9F7F55E-2CCF-4A6B-892F-1C76C0668832}" uniqueName="4" name="Name" queryTableFieldId="14" dataDxfId="868"/>
    <tableColumn id="1" xr3:uid="{0AF9B05B-8D0E-4B8A-81D0-358A18429CE8}" uniqueName="1" name="Folder Path" queryTableFieldId="11" dataDxfId="86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33" tableType="queryTable" totalsRowShown="0">
  <tableColumns count="13">
    <tableColumn id="11" xr3:uid="{96A6BDDB-7ED5-4607-80F3-3FD842EAEE0A}" uniqueName="11" name="День нед" queryTableFieldId="39" dataDxfId="56"/>
    <tableColumn id="8" xr3:uid="{FBEC9ECA-BD5C-442E-BB86-7CCAEF9464D2}" uniqueName="8" name="Дата" queryTableFieldId="19" dataDxfId="55"/>
    <tableColumn id="9" xr3:uid="{68242AF7-BC60-4380-843B-35A6CC4A66E6}" uniqueName="9" name="Время" queryTableFieldId="20" dataDxfId="54"/>
    <tableColumn id="5" xr3:uid="{C98BCFD6-9DE9-4A28-B769-F5737933429D}" uniqueName="5" name="Событие" queryTableFieldId="27" dataDxfId="852"/>
    <tableColumn id="7" xr3:uid="{4D44F8D4-93A4-4851-894E-AC8CDD93BD71}" uniqueName="7" name="Объект" queryTableFieldId="29" dataDxfId="851"/>
    <tableColumn id="10" xr3:uid="{0A838B00-A88A-40EE-A542-7E8E08968D89}" uniqueName="10" name="Груз" queryTableFieldId="30" dataDxfId="85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49"/>
    <tableColumn id="4" xr3:uid="{4FA2E248-D5A3-4824-875F-C328FA9AC2F9}" uniqueName="4" name="Name" queryTableFieldId="14" dataDxfId="848"/>
    <tableColumn id="1" xr3:uid="{B01A6B83-82C4-4172-AD5B-D2AF410DBE1B}" uniqueName="1" name="Folder Path" queryTableFieldId="11" dataDxfId="84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0" tableType="queryTable" totalsRowShown="0">
  <tableColumns count="13">
    <tableColumn id="11" xr3:uid="{2AD64508-44AB-4871-8C82-4C5A1E5A5DD2}" uniqueName="11" name="День нед" queryTableFieldId="39" dataDxfId="48"/>
    <tableColumn id="8" xr3:uid="{C788117B-4896-492B-97B3-B2502F0537D8}" uniqueName="8" name="Дата" queryTableFieldId="19" dataDxfId="47"/>
    <tableColumn id="9" xr3:uid="{E3EF5757-6705-492A-BD76-A47D414757C0}" uniqueName="9" name="Время" queryTableFieldId="20" dataDxfId="46"/>
    <tableColumn id="5" xr3:uid="{EF049B28-F832-4F3D-AB4F-3C396920BF5B}" uniqueName="5" name="Событие" queryTableFieldId="27" dataDxfId="832"/>
    <tableColumn id="7" xr3:uid="{DDB63E42-2809-4377-A568-A326109989E9}" uniqueName="7" name="Объект" queryTableFieldId="29" dataDxfId="831"/>
    <tableColumn id="10" xr3:uid="{A4FCF3D3-582A-4DEF-8FB8-9D050C82517D}" uniqueName="10" name="Груз" queryTableFieldId="30" dataDxfId="83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9"/>
    <tableColumn id="4" xr3:uid="{DA63B8EC-3587-40B4-A86A-92B91C78723D}" uniqueName="4" name="Name" queryTableFieldId="14" dataDxfId="828"/>
    <tableColumn id="1" xr3:uid="{360C7476-DEC6-4377-8E95-D472C6673B12}" uniqueName="1" name="Folder Path" queryTableFieldId="11" dataDxfId="82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5" tableType="queryTable" totalsRowShown="0">
  <tableColumns count="13">
    <tableColumn id="11" xr3:uid="{C40005DE-8CA6-428A-9DF2-E715CC943F02}" uniqueName="11" name="День нед" queryTableFieldId="39" dataDxfId="44"/>
    <tableColumn id="8" xr3:uid="{55C75F47-F14F-483C-9C7A-95288D9463D6}" uniqueName="8" name="Дата" queryTableFieldId="19" dataDxfId="43"/>
    <tableColumn id="9" xr3:uid="{79D3981C-638A-4D64-BACB-D64D85DAC855}" uniqueName="9" name="Время" queryTableFieldId="20" dataDxfId="42"/>
    <tableColumn id="5" xr3:uid="{B0B848B5-29B2-4292-89A5-7DE5A2F72D15}" uniqueName="5" name="Событие" queryTableFieldId="27" dataDxfId="812"/>
    <tableColumn id="7" xr3:uid="{A9E0C8AC-2336-4969-BC3E-110E6C33529C}" uniqueName="7" name="Объект" queryTableFieldId="29" dataDxfId="811"/>
    <tableColumn id="10" xr3:uid="{F8691CA5-2689-452F-9550-C52E06B35BD6}" uniqueName="10" name="Груз" queryTableFieldId="30" dataDxfId="810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09"/>
    <tableColumn id="4" xr3:uid="{E9716AC2-8439-4E67-8698-BA6CD84F7B9C}" uniqueName="4" name="Name" queryTableFieldId="14" dataDxfId="808"/>
    <tableColumn id="1" xr3:uid="{9AB30DEC-91E3-4633-A156-B937B586CECB}" uniqueName="1" name="Folder Path" queryTableFieldId="11" dataDxfId="807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07" tableType="queryTable" totalsRowShown="0">
  <tableColumns count="13">
    <tableColumn id="11" xr3:uid="{B21CFC33-55C8-4073-BBD2-E0A5154A10D6}" uniqueName="11" name="День нед" queryTableFieldId="39" dataDxfId="11"/>
    <tableColumn id="8" xr3:uid="{004370C0-0D3C-4162-A392-32C741C3A58B}" uniqueName="8" name="Дата" queryTableFieldId="19" dataDxfId="10"/>
    <tableColumn id="9" xr3:uid="{6537DA5E-247D-44FB-ACE3-933B3C9B9408}" uniqueName="9" name="Время" queryTableFieldId="20" dataDxfId="9"/>
    <tableColumn id="5" xr3:uid="{4FA9309D-407E-48C1-B1F9-C33DEA7645B1}" uniqueName="5" name="Событие" queryTableFieldId="27" dataDxfId="792"/>
    <tableColumn id="7" xr3:uid="{76E54E9E-D730-4C99-9BF5-96E9384FF63C}" uniqueName="7" name="Объект" queryTableFieldId="29" dataDxfId="791"/>
    <tableColumn id="10" xr3:uid="{B9F78DE2-7938-486B-9BE2-F824D0E7A6C4}" uniqueName="10" name="Груз" queryTableFieldId="30" dataDxfId="79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89"/>
    <tableColumn id="4" xr3:uid="{921D28C1-5761-48A7-B447-6A4446F87545}" uniqueName="4" name="Name" queryTableFieldId="14" dataDxfId="788"/>
    <tableColumn id="1" xr3:uid="{F1A648C1-8DB5-4DEF-B011-BD85E17FCAA3}" uniqueName="1" name="Folder Path" queryTableFieldId="11" dataDxfId="78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6" tableType="queryTable" totalsRowShown="0">
  <tableColumns count="13">
    <tableColumn id="11" xr3:uid="{326CF8DE-8E4F-4540-A010-20CF489342A6}" uniqueName="11" name="День нед" queryTableFieldId="39" dataDxfId="40"/>
    <tableColumn id="8" xr3:uid="{B803C26B-EDF7-4F4B-99B7-759FDE206BB4}" uniqueName="8" name="Дата" queryTableFieldId="19" dataDxfId="39"/>
    <tableColumn id="9" xr3:uid="{691C5FBB-50CD-4B8E-845B-069A5BEF4054}" uniqueName="9" name="Время" queryTableFieldId="20" dataDxfId="38"/>
    <tableColumn id="5" xr3:uid="{963AEB35-E363-4027-9FA3-EA15F072700D}" uniqueName="5" name="Событие" queryTableFieldId="27" dataDxfId="772"/>
    <tableColumn id="7" xr3:uid="{9C2F1BAF-3932-43E9-9155-EA713BB0011D}" uniqueName="7" name="Объект" queryTableFieldId="29" dataDxfId="771"/>
    <tableColumn id="10" xr3:uid="{5D4CEE63-A195-4AD7-9985-38CAADCF8E9D}" uniqueName="10" name="Груз" queryTableFieldId="30" dataDxfId="770"/>
    <tableColumn id="13" xr3:uid="{7298E84C-ACAB-4631-8905-CF20AC72E0EA}" uniqueName="13" name="Кол-во" queryTableFieldId="31" dataDxfId="37"/>
    <tableColumn id="14" xr3:uid="{7C8EF3A5-15A6-4571-8EB7-C981C6BEB025}" uniqueName="14" name="Примечание" queryTableFieldId="32" dataDxfId="769"/>
    <tableColumn id="4" xr3:uid="{D4638119-06B9-4DD4-899F-6281EFBF2A28}" uniqueName="4" name="Name" queryTableFieldId="14" dataDxfId="768"/>
    <tableColumn id="1" xr3:uid="{53F21A0B-EBC8-48C0-B8DE-B46C5D45C7AE}" uniqueName="1" name="Folder Path" queryTableFieldId="11" dataDxfId="76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3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5" tableType="queryTable" totalsRowShown="0">
  <tableColumns count="13">
    <tableColumn id="11" xr3:uid="{0CFDC447-3A1C-4713-8714-972F5D0CA073}" uniqueName="11" name="День нед" queryTableFieldId="39" dataDxfId="31"/>
    <tableColumn id="8" xr3:uid="{0C391974-E2F5-4A95-A1CF-60789D499629}" uniqueName="8" name="Дата" queryTableFieldId="19" dataDxfId="30"/>
    <tableColumn id="9" xr3:uid="{FA3DAD09-E88C-4F5F-BF0D-4C339BEA0379}" uniqueName="9" name="Время" queryTableFieldId="20" dataDxfId="29"/>
    <tableColumn id="5" xr3:uid="{A64C6221-99CB-4F4A-8D59-9A565B539E8F}" uniqueName="5" name="Событие" queryTableFieldId="27" dataDxfId="752"/>
    <tableColumn id="7" xr3:uid="{A450DCE6-DF8B-4086-A9AC-461A34512F32}" uniqueName="7" name="Объект" queryTableFieldId="29" dataDxfId="751"/>
    <tableColumn id="10" xr3:uid="{10063D90-AC03-4F75-A11D-AC21D3D60004}" uniqueName="10" name="Груз" queryTableFieldId="30" dataDxfId="750"/>
    <tableColumn id="13" xr3:uid="{181B76AA-1C08-4D33-806D-1F2F74743310}" uniqueName="13" name="Кол-во" queryTableFieldId="31" dataDxfId="28"/>
    <tableColumn id="14" xr3:uid="{4521D51C-620E-4319-B053-8C6D64C3EDE6}" uniqueName="14" name="Примечание" queryTableFieldId="32" dataDxfId="749"/>
    <tableColumn id="4" xr3:uid="{D15D4B57-C607-4304-9179-11BE299FB124}" uniqueName="4" name="Name" queryTableFieldId="14" dataDxfId="748"/>
    <tableColumn id="1" xr3:uid="{A0C0E586-D0B7-448D-928A-8F553900221D}" uniqueName="1" name="Folder Path" queryTableFieldId="11" dataDxfId="74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2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" tableType="queryTable" totalsRowShown="0">
  <tableColumns count="13">
    <tableColumn id="11" xr3:uid="{DBE515D3-C915-413E-AB17-4F456480DC24}" uniqueName="11" name="День нед" queryTableFieldId="39" dataDxfId="26"/>
    <tableColumn id="8" xr3:uid="{3F87D45A-256D-42F9-A0B8-BE1BF846E410}" uniqueName="8" name="Дата" queryTableFieldId="19" dataDxfId="25"/>
    <tableColumn id="9" xr3:uid="{465B1309-C725-4992-B63E-A70188E91281}" uniqueName="9" name="Время" queryTableFieldId="20" dataDxfId="24"/>
    <tableColumn id="5" xr3:uid="{50C1A202-1B56-40A2-AB13-2511D2291499}" uniqueName="5" name="Событие" queryTableFieldId="27" dataDxfId="732"/>
    <tableColumn id="7" xr3:uid="{FDB3318C-D13D-4B0B-9853-1EF40B58299A}" uniqueName="7" name="Объект" queryTableFieldId="29" dataDxfId="731"/>
    <tableColumn id="10" xr3:uid="{1CEBC306-6BF1-49C1-A704-CC239C79F10B}" uniqueName="10" name="Груз" queryTableFieldId="30" dataDxfId="730"/>
    <tableColumn id="13" xr3:uid="{3EE0C05E-6FF0-490E-B1B0-19B341DAD03E}" uniqueName="13" name="Кол-во" queryTableFieldId="31" dataDxfId="23"/>
    <tableColumn id="14" xr3:uid="{2D68CF85-753C-481D-8DC1-3B9EC9B7EC53}" uniqueName="14" name="Примечание" queryTableFieldId="32" dataDxfId="729"/>
    <tableColumn id="4" xr3:uid="{C8B35D61-7E66-45AB-93A9-51E52D8140C2}" uniqueName="4" name="Name" queryTableFieldId="14" dataDxfId="728"/>
    <tableColumn id="1" xr3:uid="{7D5853A1-56B3-42B3-9B8D-B85E9D9A2D1A}" uniqueName="1" name="Folder Path" queryTableFieldId="11" dataDxfId="72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2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8" tableType="queryTable" totalsRowShown="0">
  <tableColumns count="13">
    <tableColumn id="11" xr3:uid="{C2F51F72-E32B-452E-A758-54D19EA7554C}" uniqueName="11" name="День нед" queryTableFieldId="39" dataDxfId="21"/>
    <tableColumn id="8" xr3:uid="{5605969B-3DDA-4935-9901-BA1373284B0A}" uniqueName="8" name="Дата" queryTableFieldId="19" dataDxfId="20"/>
    <tableColumn id="9" xr3:uid="{D9EC7471-58C0-46C9-8780-F73898B23AC2}" uniqueName="9" name="Время" queryTableFieldId="20" dataDxfId="19"/>
    <tableColumn id="5" xr3:uid="{96518AE6-7E5C-4C8D-B54C-F54D11234D6C}" uniqueName="5" name="Событие" queryTableFieldId="27" dataDxfId="712"/>
    <tableColumn id="7" xr3:uid="{F862865E-2F4F-4BAD-8D28-E2820B418659}" uniqueName="7" name="Объект" queryTableFieldId="29" dataDxfId="711"/>
    <tableColumn id="10" xr3:uid="{476FE760-4B7E-4311-B61C-EB76222CEA80}" uniqueName="10" name="Груз" queryTableFieldId="30" dataDxfId="710"/>
    <tableColumn id="13" xr3:uid="{E29E2A9C-9B65-42B8-A282-C804C29C0986}" uniqueName="13" name="Кол-во" queryTableFieldId="31" dataDxfId="18"/>
    <tableColumn id="14" xr3:uid="{410D0DD1-9316-49BC-A307-70ADAE7FB021}" uniqueName="14" name="Примечание" queryTableFieldId="32" dataDxfId="709"/>
    <tableColumn id="4" xr3:uid="{F032B895-AD2B-487F-A174-968F9099A5EC}" uniqueName="4" name="Name" queryTableFieldId="14" dataDxfId="708"/>
    <tableColumn id="1" xr3:uid="{EDB0C229-E24E-4FEA-A0EA-4864FD102E8A}" uniqueName="1" name="Folder Path" queryTableFieldId="11" dataDxfId="70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234" totalsRowShown="0"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106"/>
    <tableColumn id="7" xr3:uid="{22ACAF1F-F285-43EB-B67C-1DAA0609E04C}" uniqueName="7" name="Объект" queryTableFieldId="29" dataDxfId="105"/>
    <tableColumn id="10" xr3:uid="{8E679C38-5159-496B-8534-CDFA63A95BDF}" uniqueName="10" name="Груз" queryTableFieldId="30" dataDxfId="104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103"/>
    <tableColumn id="4" xr3:uid="{83859021-3431-4733-9E28-9475D80139E8}" uniqueName="4" name="Name" queryTableFieldId="14" dataDxfId="102"/>
    <tableColumn id="1" xr3:uid="{F6AD7BBE-7CE0-4E30-97C2-B8AA8EFFB52B}" uniqueName="1" name="Folder Path" queryTableFieldId="11" dataDxfId="10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4"/>
    <tableColumn id="10" xr3:uid="{37082223-0A57-495F-97B8-0BCE1F173A2E}" uniqueName="10" name="Folder Path" queryTableFieldId="10" dataDxfId="9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6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6"/>
    <tableColumn id="10" xr3:uid="{2646CF32-E994-4A14-AEA5-9E938118AF27}" uniqueName="10" name="Folder Path" queryTableFieldId="10" dataDxfId="8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9"/>
  <sheetViews>
    <sheetView zoomScale="90" zoomScaleNormal="90" workbookViewId="0">
      <pane ySplit="1" topLeftCell="A2" activePane="bottomLeft" state="frozen"/>
      <selection pane="bottomLeft" activeCell="J1" sqref="J1:N104857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12652</v>
      </c>
      <c r="K2" t="s">
        <v>13082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12652</v>
      </c>
      <c r="K3" t="s">
        <v>12655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12652</v>
      </c>
      <c r="K4" t="s">
        <v>12654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12652</v>
      </c>
      <c r="K5" t="s">
        <v>12653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12652</v>
      </c>
      <c r="K6" t="s">
        <v>13083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12652</v>
      </c>
      <c r="K7" t="s">
        <v>13084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12652</v>
      </c>
      <c r="K8" t="s">
        <v>13085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12652</v>
      </c>
      <c r="K9" t="s">
        <v>12659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12652</v>
      </c>
      <c r="K10" t="s">
        <v>12660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12652</v>
      </c>
      <c r="K11" t="s">
        <v>12661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12652</v>
      </c>
      <c r="K12" t="s">
        <v>12656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12652</v>
      </c>
      <c r="K13" t="s">
        <v>12657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12652</v>
      </c>
      <c r="K14" t="s">
        <v>12658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12652</v>
      </c>
      <c r="K15" t="s">
        <v>13086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12652</v>
      </c>
      <c r="K16" t="s">
        <v>13087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12652</v>
      </c>
      <c r="K17" t="s">
        <v>12663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12652</v>
      </c>
      <c r="K18" t="s">
        <v>12662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12652</v>
      </c>
      <c r="K19" t="s">
        <v>13088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12652</v>
      </c>
      <c r="K20" t="s">
        <v>13089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12652</v>
      </c>
      <c r="K21" t="s">
        <v>13090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12652</v>
      </c>
      <c r="K22" t="s">
        <v>13091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12652</v>
      </c>
      <c r="K23" t="s">
        <v>13092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12652</v>
      </c>
      <c r="K24" t="s">
        <v>13093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12652</v>
      </c>
      <c r="K25" t="s">
        <v>13094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12652</v>
      </c>
      <c r="K26" t="s">
        <v>13095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12652</v>
      </c>
      <c r="K27" t="s">
        <v>13096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12652</v>
      </c>
      <c r="K28" t="s">
        <v>13097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12652</v>
      </c>
      <c r="K29" t="s">
        <v>13098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12652</v>
      </c>
      <c r="K30" t="s">
        <v>12669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12652</v>
      </c>
      <c r="K31" t="s">
        <v>13099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12652</v>
      </c>
      <c r="K32" t="s">
        <v>12668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12652</v>
      </c>
      <c r="K33" t="s">
        <v>12671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12652</v>
      </c>
      <c r="K34" t="s">
        <v>12670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12652</v>
      </c>
      <c r="K35" t="s">
        <v>12665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12652</v>
      </c>
      <c r="K36" t="s">
        <v>12664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12652</v>
      </c>
      <c r="K37" t="s">
        <v>12667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12652</v>
      </c>
      <c r="K38" t="s">
        <v>12666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12652</v>
      </c>
      <c r="K39" t="s">
        <v>13100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12652</v>
      </c>
      <c r="K40" t="s">
        <v>12675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12652</v>
      </c>
      <c r="K41" t="s">
        <v>13101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12652</v>
      </c>
      <c r="K42" t="s">
        <v>12676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12652</v>
      </c>
      <c r="K43" t="s">
        <v>12677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12652</v>
      </c>
      <c r="K44" t="s">
        <v>12672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12652</v>
      </c>
      <c r="K45" t="s">
        <v>13102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12652</v>
      </c>
      <c r="K46" t="s">
        <v>12673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12652</v>
      </c>
      <c r="K47" t="s">
        <v>12674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12652</v>
      </c>
      <c r="K48" t="s">
        <v>13103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12652</v>
      </c>
      <c r="K49" t="s">
        <v>13104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12652</v>
      </c>
      <c r="K50" t="s">
        <v>13105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12652</v>
      </c>
      <c r="K51" t="s">
        <v>12680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12652</v>
      </c>
      <c r="K52" t="s">
        <v>12679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12652</v>
      </c>
      <c r="K53" t="s">
        <v>12678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12652</v>
      </c>
      <c r="K54" t="s">
        <v>13106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12652</v>
      </c>
      <c r="K55" t="s">
        <v>13107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12652</v>
      </c>
      <c r="K56" t="s">
        <v>12682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12652</v>
      </c>
      <c r="K57" t="s">
        <v>12681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12652</v>
      </c>
      <c r="K58" t="s">
        <v>13108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12652</v>
      </c>
      <c r="K59" t="s">
        <v>13109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12652</v>
      </c>
      <c r="K60" t="s">
        <v>13110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12652</v>
      </c>
      <c r="K61" t="s">
        <v>13111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12652</v>
      </c>
      <c r="K62" t="s">
        <v>13112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12652</v>
      </c>
      <c r="K63" t="s">
        <v>13113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12652</v>
      </c>
      <c r="K64" t="s">
        <v>13114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12652</v>
      </c>
      <c r="K65" t="s">
        <v>13115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12652</v>
      </c>
      <c r="K66" t="s">
        <v>13116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12652</v>
      </c>
      <c r="K67" t="s">
        <v>13117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12652</v>
      </c>
      <c r="K68" t="s">
        <v>13118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12652</v>
      </c>
      <c r="K69" t="s">
        <v>13119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12652</v>
      </c>
      <c r="K70" t="s">
        <v>13120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12652</v>
      </c>
      <c r="K71" t="s">
        <v>12685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12652</v>
      </c>
      <c r="K72" t="s">
        <v>12686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12652</v>
      </c>
      <c r="K73" t="s">
        <v>12683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12652</v>
      </c>
      <c r="K74" t="s">
        <v>12684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12652</v>
      </c>
      <c r="K75" t="s">
        <v>12688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12652</v>
      </c>
      <c r="K76" t="s">
        <v>12687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12652</v>
      </c>
      <c r="K77" t="s">
        <v>12690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12652</v>
      </c>
      <c r="K78" t="s">
        <v>12689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12652</v>
      </c>
      <c r="K79" t="s">
        <v>12693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12652</v>
      </c>
      <c r="K80" t="s">
        <v>12694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12652</v>
      </c>
      <c r="K81" t="s">
        <v>12691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12652</v>
      </c>
      <c r="K82" t="s">
        <v>12692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12652</v>
      </c>
      <c r="K83" t="s">
        <v>13121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12652</v>
      </c>
      <c r="K84" t="s">
        <v>13122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12652</v>
      </c>
      <c r="K85" t="s">
        <v>12696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12652</v>
      </c>
      <c r="K86" t="s">
        <v>12695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12652</v>
      </c>
      <c r="K87" t="s">
        <v>13123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12652</v>
      </c>
      <c r="K88" t="s">
        <v>13124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12652</v>
      </c>
      <c r="K89" t="s">
        <v>13125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12652</v>
      </c>
      <c r="K90" t="s">
        <v>13126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12652</v>
      </c>
      <c r="K91" t="s">
        <v>13127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12652</v>
      </c>
      <c r="K92" t="s">
        <v>13128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12652</v>
      </c>
      <c r="K93" t="s">
        <v>13129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12652</v>
      </c>
      <c r="K94" t="s">
        <v>13130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12652</v>
      </c>
      <c r="K95" t="s">
        <v>13131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12652</v>
      </c>
      <c r="K96" t="s">
        <v>13132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12652</v>
      </c>
      <c r="K97" t="s">
        <v>13133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12652</v>
      </c>
      <c r="K98" t="s">
        <v>13134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12652</v>
      </c>
      <c r="K99" t="s">
        <v>13135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12652</v>
      </c>
      <c r="K100" t="s">
        <v>13136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12652</v>
      </c>
      <c r="K101" t="s">
        <v>12698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12652</v>
      </c>
      <c r="K102" t="s">
        <v>12697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12652</v>
      </c>
      <c r="K103" t="s">
        <v>12700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12652</v>
      </c>
      <c r="K104" t="s">
        <v>12699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12652</v>
      </c>
      <c r="K105" t="s">
        <v>12704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12652</v>
      </c>
      <c r="K106" t="s">
        <v>12705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12652</v>
      </c>
      <c r="K107" t="s">
        <v>12706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12652</v>
      </c>
      <c r="K108" t="s">
        <v>12701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12652</v>
      </c>
      <c r="K109" t="s">
        <v>12702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12652</v>
      </c>
      <c r="K110" t="s">
        <v>12703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12652</v>
      </c>
      <c r="K111" t="s">
        <v>12708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12652</v>
      </c>
      <c r="K112" t="s">
        <v>12707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12652</v>
      </c>
      <c r="K113" t="s">
        <v>13137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12652</v>
      </c>
      <c r="K114" t="s">
        <v>13138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12652</v>
      </c>
      <c r="K115" t="s">
        <v>12713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12652</v>
      </c>
      <c r="K116" t="s">
        <v>12714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12652</v>
      </c>
      <c r="K117" t="s">
        <v>12715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12652</v>
      </c>
      <c r="K118" t="s">
        <v>12712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12652</v>
      </c>
      <c r="K119" t="s">
        <v>12709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12652</v>
      </c>
      <c r="K120" t="s">
        <v>12710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12652</v>
      </c>
      <c r="K121" t="s">
        <v>12711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12652</v>
      </c>
      <c r="K122" t="s">
        <v>13139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12652</v>
      </c>
      <c r="K123" t="s">
        <v>12719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12652</v>
      </c>
      <c r="K124" t="s">
        <v>12720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12652</v>
      </c>
      <c r="K125" t="s">
        <v>12718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12652</v>
      </c>
      <c r="K126" t="s">
        <v>12716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12652</v>
      </c>
      <c r="K127" t="s">
        <v>13140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12652</v>
      </c>
      <c r="K128" t="s">
        <v>13141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12652</v>
      </c>
      <c r="K129" t="s">
        <v>12717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12652</v>
      </c>
      <c r="K130" t="s">
        <v>12723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12652</v>
      </c>
      <c r="K131" t="s">
        <v>12724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12652</v>
      </c>
      <c r="K132" t="s">
        <v>12721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12652</v>
      </c>
      <c r="K133" t="s">
        <v>12722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12652</v>
      </c>
      <c r="K134" t="s">
        <v>13142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12652</v>
      </c>
      <c r="K135" t="s">
        <v>12726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12652</v>
      </c>
      <c r="K136" t="s">
        <v>13143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12652</v>
      </c>
      <c r="K137" t="s">
        <v>13144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12652</v>
      </c>
      <c r="K138" t="s">
        <v>13145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12652</v>
      </c>
      <c r="K139" t="s">
        <v>12725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12652</v>
      </c>
      <c r="K140" t="s">
        <v>13146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12652</v>
      </c>
      <c r="K141" t="s">
        <v>13147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12652</v>
      </c>
      <c r="K142" t="s">
        <v>13148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12652</v>
      </c>
      <c r="K143" t="s">
        <v>12728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12652</v>
      </c>
      <c r="K144" t="s">
        <v>12727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12652</v>
      </c>
      <c r="K145" t="s">
        <v>12730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12652</v>
      </c>
      <c r="K146" t="s">
        <v>12729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12652</v>
      </c>
      <c r="K147" t="s">
        <v>13149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12652</v>
      </c>
      <c r="K148" t="s">
        <v>12731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12652</v>
      </c>
      <c r="K149" t="s">
        <v>12734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12652</v>
      </c>
      <c r="K150" t="s">
        <v>13150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12652</v>
      </c>
      <c r="K151" t="s">
        <v>12733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12652</v>
      </c>
      <c r="K152" t="s">
        <v>13151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12652</v>
      </c>
      <c r="K153" t="s">
        <v>12732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12652</v>
      </c>
      <c r="K154" t="s">
        <v>12736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12652</v>
      </c>
      <c r="K155" t="s">
        <v>12735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12652</v>
      </c>
      <c r="K156" t="s">
        <v>12739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12652</v>
      </c>
      <c r="K157" t="s">
        <v>12740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12652</v>
      </c>
      <c r="K158" t="s">
        <v>12737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12652</v>
      </c>
      <c r="K159" t="s">
        <v>12738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12652</v>
      </c>
      <c r="K160" t="s">
        <v>12744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12652</v>
      </c>
      <c r="K161" t="s">
        <v>12745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12652</v>
      </c>
      <c r="K162" t="s">
        <v>13152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12652</v>
      </c>
      <c r="K163" t="s">
        <v>12746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12652</v>
      </c>
      <c r="K164" t="s">
        <v>13153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12652</v>
      </c>
      <c r="K165" t="s">
        <v>12741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12652</v>
      </c>
      <c r="K166" t="s">
        <v>12742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12652</v>
      </c>
      <c r="K167" t="s">
        <v>12743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12652</v>
      </c>
      <c r="K168" t="s">
        <v>13154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12652</v>
      </c>
      <c r="K169" t="s">
        <v>13155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12652</v>
      </c>
      <c r="K170" t="s">
        <v>13156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12652</v>
      </c>
      <c r="K171" t="s">
        <v>13157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12652</v>
      </c>
      <c r="K172" t="s">
        <v>13158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12652</v>
      </c>
      <c r="K173" t="s">
        <v>13159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12652</v>
      </c>
      <c r="K174" t="s">
        <v>13160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12652</v>
      </c>
      <c r="K175" t="s">
        <v>13161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12652</v>
      </c>
      <c r="K176" t="s">
        <v>13162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12652</v>
      </c>
      <c r="K177" t="s">
        <v>13163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12652</v>
      </c>
      <c r="K178" t="s">
        <v>12748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12652</v>
      </c>
      <c r="K179" t="s">
        <v>12747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12652</v>
      </c>
      <c r="K180" t="s">
        <v>13164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12652</v>
      </c>
      <c r="K181" t="s">
        <v>13165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12652</v>
      </c>
      <c r="K182" t="s">
        <v>12750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12652</v>
      </c>
      <c r="K183" t="s">
        <v>12749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12652</v>
      </c>
      <c r="K184" t="s">
        <v>13166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12652</v>
      </c>
      <c r="K185" t="s">
        <v>12752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12652</v>
      </c>
      <c r="K186" t="s">
        <v>12751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12652</v>
      </c>
      <c r="K187" t="s">
        <v>12754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12652</v>
      </c>
      <c r="K188" t="s">
        <v>12753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12652</v>
      </c>
      <c r="K189" t="s">
        <v>12758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12652</v>
      </c>
      <c r="K190" t="s">
        <v>12759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12652</v>
      </c>
      <c r="K191" t="s">
        <v>12760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12652</v>
      </c>
      <c r="K192" t="s">
        <v>12755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12652</v>
      </c>
      <c r="K193" t="s">
        <v>12756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12652</v>
      </c>
      <c r="K194" t="s">
        <v>12757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12652</v>
      </c>
      <c r="K195" t="s">
        <v>13167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12652</v>
      </c>
      <c r="K196" t="s">
        <v>12762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12652</v>
      </c>
      <c r="K197" t="s">
        <v>12761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12652</v>
      </c>
      <c r="K198" t="s">
        <v>13168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12652</v>
      </c>
      <c r="K199" t="s">
        <v>12764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12652</v>
      </c>
      <c r="K200" t="s">
        <v>12763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12652</v>
      </c>
      <c r="K201" t="s">
        <v>12766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12652</v>
      </c>
      <c r="K202" t="s">
        <v>12765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12652</v>
      </c>
      <c r="K203" t="s">
        <v>13169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12652</v>
      </c>
      <c r="K204" t="s">
        <v>12767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12652</v>
      </c>
      <c r="K205" t="s">
        <v>12771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12652</v>
      </c>
      <c r="K206" t="s">
        <v>12772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12652</v>
      </c>
      <c r="K207" t="s">
        <v>12773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12652</v>
      </c>
      <c r="K208" t="s">
        <v>12768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12652</v>
      </c>
      <c r="K209" t="s">
        <v>12769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12652</v>
      </c>
      <c r="K210" t="s">
        <v>12770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12652</v>
      </c>
      <c r="K211" t="s">
        <v>13170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12652</v>
      </c>
      <c r="K212" t="s">
        <v>13171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12652</v>
      </c>
      <c r="K213" t="s">
        <v>13172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12652</v>
      </c>
      <c r="K214" t="s">
        <v>13173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12652</v>
      </c>
      <c r="K215" t="s">
        <v>12776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12652</v>
      </c>
      <c r="K216" t="s">
        <v>12775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12652</v>
      </c>
      <c r="K217" t="s">
        <v>12774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12652</v>
      </c>
      <c r="K218" t="s">
        <v>12780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12652</v>
      </c>
      <c r="K219" t="s">
        <v>12781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12652</v>
      </c>
      <c r="K220" t="s">
        <v>12782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12652</v>
      </c>
      <c r="K221" t="s">
        <v>12777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12652</v>
      </c>
      <c r="K222" t="s">
        <v>12778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12652</v>
      </c>
      <c r="K223" t="s">
        <v>12779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12652</v>
      </c>
      <c r="K224" t="s">
        <v>13174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12652</v>
      </c>
      <c r="K225" t="s">
        <v>13175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12652</v>
      </c>
      <c r="K226" t="s">
        <v>13176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12652</v>
      </c>
      <c r="K227" t="s">
        <v>13177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12652</v>
      </c>
      <c r="K228" t="s">
        <v>13178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12652</v>
      </c>
      <c r="K229" t="s">
        <v>12783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12652</v>
      </c>
      <c r="K230" t="s">
        <v>13179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12652</v>
      </c>
      <c r="K231" t="s">
        <v>13180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12652</v>
      </c>
      <c r="K232" t="s">
        <v>12786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12652</v>
      </c>
      <c r="K233" t="s">
        <v>12785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12652</v>
      </c>
      <c r="K234" t="s">
        <v>12784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12652</v>
      </c>
      <c r="K235" t="s">
        <v>13181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12652</v>
      </c>
      <c r="K236" t="s">
        <v>13182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12652</v>
      </c>
      <c r="K237" t="s">
        <v>12788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12652</v>
      </c>
      <c r="K238" t="s">
        <v>12787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12652</v>
      </c>
      <c r="K239" t="s">
        <v>13183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12652</v>
      </c>
      <c r="K240" t="s">
        <v>13184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12652</v>
      </c>
      <c r="K241" t="s">
        <v>13185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12652</v>
      </c>
      <c r="K242" t="s">
        <v>13186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12652</v>
      </c>
      <c r="K243" t="s">
        <v>13187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12652</v>
      </c>
      <c r="K244" t="s">
        <v>13188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12652</v>
      </c>
      <c r="K245" t="s">
        <v>13189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12652</v>
      </c>
      <c r="K246" t="s">
        <v>12790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12652</v>
      </c>
      <c r="K247" t="s">
        <v>12789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12652</v>
      </c>
      <c r="K248" t="s">
        <v>13190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12652</v>
      </c>
      <c r="K249" t="s">
        <v>12792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12652</v>
      </c>
      <c r="K250" t="s">
        <v>12791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12652</v>
      </c>
      <c r="K251" t="s">
        <v>13191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11072</v>
      </c>
      <c r="I252" t="s">
        <v>10584</v>
      </c>
      <c r="J252" t="s">
        <v>12652</v>
      </c>
      <c r="K252" t="s">
        <v>12795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11071</v>
      </c>
      <c r="F253" t="s">
        <v>4070</v>
      </c>
      <c r="H253" t="s">
        <v>11074</v>
      </c>
      <c r="I253" t="s">
        <v>10586</v>
      </c>
      <c r="J253" t="s">
        <v>12652</v>
      </c>
      <c r="K253" t="s">
        <v>12796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11072</v>
      </c>
      <c r="F254" t="s">
        <v>165</v>
      </c>
      <c r="I254" t="s">
        <v>10588</v>
      </c>
      <c r="J254" t="s">
        <v>12652</v>
      </c>
      <c r="K254" t="s">
        <v>12793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11073</v>
      </c>
      <c r="F255" t="s">
        <v>60</v>
      </c>
      <c r="I255" t="s">
        <v>10590</v>
      </c>
      <c r="J255" t="s">
        <v>12652</v>
      </c>
      <c r="K255" t="s">
        <v>12794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11071</v>
      </c>
      <c r="F256" t="s">
        <v>4070</v>
      </c>
      <c r="I256" t="s">
        <v>10592</v>
      </c>
      <c r="J256" t="s">
        <v>12652</v>
      </c>
      <c r="K256" t="s">
        <v>12799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11073</v>
      </c>
      <c r="F257" t="s">
        <v>51</v>
      </c>
      <c r="I257" t="s">
        <v>10594</v>
      </c>
      <c r="J257" t="s">
        <v>12652</v>
      </c>
      <c r="K257" t="s">
        <v>12800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11071</v>
      </c>
      <c r="F258" t="s">
        <v>4070</v>
      </c>
      <c r="I258" t="s">
        <v>10596</v>
      </c>
      <c r="J258" t="s">
        <v>12652</v>
      </c>
      <c r="K258" t="s">
        <v>12797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11075</v>
      </c>
      <c r="F259" t="s">
        <v>58</v>
      </c>
      <c r="G259">
        <v>3</v>
      </c>
      <c r="H259" t="s">
        <v>7461</v>
      </c>
      <c r="I259" t="s">
        <v>10598</v>
      </c>
      <c r="J259" t="s">
        <v>12652</v>
      </c>
      <c r="K259" t="s">
        <v>12798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</sheetData>
  <phoneticPr fontId="2" type="noConversion"/>
  <conditionalFormatting sqref="E260:E273 D260:D270 G2:H259 D2:E259">
    <cfRule type="containsText" dxfId="1048" priority="23" operator="containsText" text="Выезд с территории">
      <formula>NOT(ISERROR(SEARCH("Выезд с территории",D2)))</formula>
    </cfRule>
  </conditionalFormatting>
  <conditionalFormatting sqref="F2:F747">
    <cfRule type="notContainsText" dxfId="1047" priority="21" operator="notContains" text="порожний">
      <formula>ISERROR(SEARCH("порожний",F2))</formula>
    </cfRule>
  </conditionalFormatting>
  <conditionalFormatting sqref="E2:E273">
    <cfRule type="containsText" dxfId="1046" priority="12" operator="containsText" text="Газель базы">
      <formula>NOT(ISERROR(SEARCH("Газель базы",E2)))</formula>
    </cfRule>
    <cfRule type="containsText" dxfId="1045" priority="13" operator="containsText" text="Погрузчик базы">
      <formula>NOT(ISERROR(SEARCH("Погрузчик базы",E2)))</formula>
    </cfRule>
  </conditionalFormatting>
  <conditionalFormatting sqref="E2:E273">
    <cfRule type="containsText" dxfId="1044" priority="11" operator="containsText" text="Трактор базы">
      <formula>NOT(ISERROR(SEARCH("Трактор базы",E2)))</formula>
    </cfRule>
  </conditionalFormatting>
  <conditionalFormatting sqref="A2:C259">
    <cfRule type="expression" dxfId="1043" priority="9">
      <formula>$A2="пн"</formula>
    </cfRule>
  </conditionalFormatting>
  <conditionalFormatting sqref="A2:C261">
    <cfRule type="expression" dxfId="1042" priority="3">
      <formula>$A2="вс"</formula>
    </cfRule>
    <cfRule type="expression" dxfId="1041" priority="4">
      <formula>$A2="сб"</formula>
    </cfRule>
    <cfRule type="expression" dxfId="1040" priority="5">
      <formula>$A2="пт"</formula>
    </cfRule>
    <cfRule type="expression" dxfId="1039" priority="6">
      <formula>$A2="чт"</formula>
    </cfRule>
    <cfRule type="expression" dxfId="1038" priority="7">
      <formula>$A2="ср"</formula>
    </cfRule>
    <cfRule type="expression" dxfId="1037" priority="8">
      <formula>$A2="вт"</formula>
    </cfRule>
  </conditionalFormatting>
  <conditionalFormatting sqref="D2:D270">
    <cfRule type="containsText" dxfId="10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10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81"/>
  <sheetViews>
    <sheetView zoomScale="90" zoomScaleNormal="90" workbookViewId="0">
      <pane ySplit="1" topLeftCell="A264" activePane="bottomLeft" state="frozen"/>
      <selection pane="bottomLeft" activeCell="I280" sqref="I280:I28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12801</v>
      </c>
      <c r="K2" t="s">
        <v>12802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12801</v>
      </c>
      <c r="K3" t="s">
        <v>12803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12801</v>
      </c>
      <c r="K4" t="s">
        <v>12804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12801</v>
      </c>
      <c r="K5" t="s">
        <v>12805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12801</v>
      </c>
      <c r="K6" t="s">
        <v>12806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12801</v>
      </c>
      <c r="K7" t="s">
        <v>12807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12801</v>
      </c>
      <c r="K8" t="s">
        <v>12808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12801</v>
      </c>
      <c r="K9" t="s">
        <v>12809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12801</v>
      </c>
      <c r="K10" t="s">
        <v>12810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12801</v>
      </c>
      <c r="K11" t="s">
        <v>12811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12801</v>
      </c>
      <c r="K12" t="s">
        <v>12812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12801</v>
      </c>
      <c r="K13" t="s">
        <v>12813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12801</v>
      </c>
      <c r="K14" t="s">
        <v>12814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12801</v>
      </c>
      <c r="K15" t="s">
        <v>12815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12801</v>
      </c>
      <c r="K16" t="s">
        <v>12816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12801</v>
      </c>
      <c r="K17" t="s">
        <v>12817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12801</v>
      </c>
      <c r="K18" t="s">
        <v>12818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12801</v>
      </c>
      <c r="K19" t="s">
        <v>12819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12801</v>
      </c>
      <c r="K20" t="s">
        <v>12820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12801</v>
      </c>
      <c r="K21" t="s">
        <v>12821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12801</v>
      </c>
      <c r="K22" t="s">
        <v>12822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12801</v>
      </c>
      <c r="K23" t="s">
        <v>12823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12801</v>
      </c>
      <c r="K24" t="s">
        <v>12824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12801</v>
      </c>
      <c r="K25" t="s">
        <v>12825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12801</v>
      </c>
      <c r="K26" t="s">
        <v>12826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12801</v>
      </c>
      <c r="K27" t="s">
        <v>12827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12801</v>
      </c>
      <c r="K28" t="s">
        <v>12828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12801</v>
      </c>
      <c r="K29" t="s">
        <v>12829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12801</v>
      </c>
      <c r="K30" t="s">
        <v>12830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12801</v>
      </c>
      <c r="K31" t="s">
        <v>12831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12801</v>
      </c>
      <c r="K32" t="s">
        <v>12832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12801</v>
      </c>
      <c r="K33" t="s">
        <v>12833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12801</v>
      </c>
      <c r="K34" t="s">
        <v>12834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12801</v>
      </c>
      <c r="K35" t="s">
        <v>12835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12801</v>
      </c>
      <c r="K36" t="s">
        <v>12836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12801</v>
      </c>
      <c r="K37" t="s">
        <v>12837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12801</v>
      </c>
      <c r="K38" t="s">
        <v>12838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12801</v>
      </c>
      <c r="K39" t="s">
        <v>12839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12801</v>
      </c>
      <c r="K40" t="s">
        <v>12840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12801</v>
      </c>
      <c r="K41" t="s">
        <v>12841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12801</v>
      </c>
      <c r="K42" t="s">
        <v>12842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12801</v>
      </c>
      <c r="K43" t="s">
        <v>12843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12801</v>
      </c>
      <c r="K44" t="s">
        <v>12844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12801</v>
      </c>
      <c r="K45" t="s">
        <v>12845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12801</v>
      </c>
      <c r="K46" t="s">
        <v>12846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12801</v>
      </c>
      <c r="K47" t="s">
        <v>12847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12801</v>
      </c>
      <c r="K48" t="s">
        <v>12848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12801</v>
      </c>
      <c r="K49" t="s">
        <v>12849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12801</v>
      </c>
      <c r="K50" t="s">
        <v>12850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12801</v>
      </c>
      <c r="K51" t="s">
        <v>12851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12801</v>
      </c>
      <c r="K52" t="s">
        <v>12852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12801</v>
      </c>
      <c r="K53" t="s">
        <v>12853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12801</v>
      </c>
      <c r="K54" t="s">
        <v>12854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12801</v>
      </c>
      <c r="K55" t="s">
        <v>12855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12801</v>
      </c>
      <c r="K56" t="s">
        <v>12856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12801</v>
      </c>
      <c r="K57" t="s">
        <v>12857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12801</v>
      </c>
      <c r="K58" t="s">
        <v>12858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12801</v>
      </c>
      <c r="K59" t="s">
        <v>12859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12801</v>
      </c>
      <c r="K60" t="s">
        <v>12860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12801</v>
      </c>
      <c r="K61" t="s">
        <v>12861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12801</v>
      </c>
      <c r="K62" t="s">
        <v>12862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12801</v>
      </c>
      <c r="K63" t="s">
        <v>12863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12801</v>
      </c>
      <c r="K64" t="s">
        <v>12864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12801</v>
      </c>
      <c r="K65" t="s">
        <v>12865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12801</v>
      </c>
      <c r="K66" t="s">
        <v>12866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12801</v>
      </c>
      <c r="K67" t="s">
        <v>12867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12801</v>
      </c>
      <c r="K68" t="s">
        <v>12868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12801</v>
      </c>
      <c r="K69" t="s">
        <v>12869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12801</v>
      </c>
      <c r="K70" t="s">
        <v>12870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12801</v>
      </c>
      <c r="K71" t="s">
        <v>12871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12801</v>
      </c>
      <c r="K72" t="s">
        <v>12872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12801</v>
      </c>
      <c r="K73" t="s">
        <v>12873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12801</v>
      </c>
      <c r="K74" t="s">
        <v>12874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12801</v>
      </c>
      <c r="K75" t="s">
        <v>12875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12801</v>
      </c>
      <c r="K76" t="s">
        <v>12876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12801</v>
      </c>
      <c r="K77" t="s">
        <v>12877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12801</v>
      </c>
      <c r="K78" t="s">
        <v>12878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12801</v>
      </c>
      <c r="K79" t="s">
        <v>12879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12801</v>
      </c>
      <c r="K80" t="s">
        <v>12880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12801</v>
      </c>
      <c r="K81" t="s">
        <v>12881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12801</v>
      </c>
      <c r="K82" t="s">
        <v>12882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12801</v>
      </c>
      <c r="K83" t="s">
        <v>12883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12801</v>
      </c>
      <c r="K84" t="s">
        <v>12884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12801</v>
      </c>
      <c r="K85" t="s">
        <v>12885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12801</v>
      </c>
      <c r="K86" t="s">
        <v>12886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12801</v>
      </c>
      <c r="K87" t="s">
        <v>12887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12801</v>
      </c>
      <c r="K88" t="s">
        <v>12888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12801</v>
      </c>
      <c r="K89" t="s">
        <v>12889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12801</v>
      </c>
      <c r="K90" t="s">
        <v>12890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12801</v>
      </c>
      <c r="K91" t="s">
        <v>12891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12801</v>
      </c>
      <c r="K92" t="s">
        <v>12892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12801</v>
      </c>
      <c r="K93" t="s">
        <v>12893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12801</v>
      </c>
      <c r="K94" t="s">
        <v>12894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12801</v>
      </c>
      <c r="K95" t="s">
        <v>12895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12801</v>
      </c>
      <c r="K96" t="s">
        <v>12896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12801</v>
      </c>
      <c r="K97" t="s">
        <v>12897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12801</v>
      </c>
      <c r="K98" t="s">
        <v>12898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12801</v>
      </c>
      <c r="K99" t="s">
        <v>12899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12801</v>
      </c>
      <c r="K100" t="s">
        <v>12900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12801</v>
      </c>
      <c r="K101" t="s">
        <v>12901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12801</v>
      </c>
      <c r="K102" t="s">
        <v>12902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12801</v>
      </c>
      <c r="K103" t="s">
        <v>12903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12801</v>
      </c>
      <c r="K104" t="s">
        <v>12904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12801</v>
      </c>
      <c r="K105" t="s">
        <v>12905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12801</v>
      </c>
      <c r="K106" t="s">
        <v>12906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12801</v>
      </c>
      <c r="K107" t="s">
        <v>12907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12801</v>
      </c>
      <c r="K108" t="s">
        <v>12908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12801</v>
      </c>
      <c r="K109" t="s">
        <v>12909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12801</v>
      </c>
      <c r="K110" t="s">
        <v>12910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12801</v>
      </c>
      <c r="K111" t="s">
        <v>12911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12801</v>
      </c>
      <c r="K112" t="s">
        <v>12912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12801</v>
      </c>
      <c r="K113" t="s">
        <v>12913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12801</v>
      </c>
      <c r="K114" t="s">
        <v>12914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12801</v>
      </c>
      <c r="K115" t="s">
        <v>12915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12801</v>
      </c>
      <c r="K116" t="s">
        <v>12916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12801</v>
      </c>
      <c r="K117" t="s">
        <v>12917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12801</v>
      </c>
      <c r="K118" t="s">
        <v>12918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12801</v>
      </c>
      <c r="K119" t="s">
        <v>12919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12801</v>
      </c>
      <c r="K120" t="s">
        <v>12920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12801</v>
      </c>
      <c r="K121" t="s">
        <v>12921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12801</v>
      </c>
      <c r="K122" t="s">
        <v>12922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12801</v>
      </c>
      <c r="K123" t="s">
        <v>12923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12801</v>
      </c>
      <c r="K124" t="s">
        <v>12924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12801</v>
      </c>
      <c r="K125" t="s">
        <v>12925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12801</v>
      </c>
      <c r="K126" t="s">
        <v>12926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12801</v>
      </c>
      <c r="K127" t="s">
        <v>12927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12801</v>
      </c>
      <c r="K128" t="s">
        <v>12928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12801</v>
      </c>
      <c r="K129" t="s">
        <v>12929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12801</v>
      </c>
      <c r="K130" t="s">
        <v>12930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12801</v>
      </c>
      <c r="K131" t="s">
        <v>12931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12801</v>
      </c>
      <c r="K132" t="s">
        <v>12932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12801</v>
      </c>
      <c r="K133" t="s">
        <v>12933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12801</v>
      </c>
      <c r="K134" t="s">
        <v>12934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12801</v>
      </c>
      <c r="K135" t="s">
        <v>12935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12801</v>
      </c>
      <c r="K136" t="s">
        <v>12936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12801</v>
      </c>
      <c r="K137" t="s">
        <v>12937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12801</v>
      </c>
      <c r="K138" t="s">
        <v>12938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12801</v>
      </c>
      <c r="K139" t="s">
        <v>12939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12801</v>
      </c>
      <c r="K140" t="s">
        <v>12940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12801</v>
      </c>
      <c r="K141" t="s">
        <v>12941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12801</v>
      </c>
      <c r="K142" t="s">
        <v>12942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12801</v>
      </c>
      <c r="K143" t="s">
        <v>12943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12801</v>
      </c>
      <c r="K144" t="s">
        <v>12944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12801</v>
      </c>
      <c r="K145" t="s">
        <v>12945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12801</v>
      </c>
      <c r="K146" t="s">
        <v>12946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12801</v>
      </c>
      <c r="K147" t="s">
        <v>12947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12801</v>
      </c>
      <c r="K148" t="s">
        <v>12948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12801</v>
      </c>
      <c r="K149" t="s">
        <v>12949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12801</v>
      </c>
      <c r="K150" t="s">
        <v>12950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12801</v>
      </c>
      <c r="K151" t="s">
        <v>12951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12801</v>
      </c>
      <c r="K152" t="s">
        <v>12952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12801</v>
      </c>
      <c r="K153" t="s">
        <v>12953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12801</v>
      </c>
      <c r="K154" t="s">
        <v>12954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12801</v>
      </c>
      <c r="K155" t="s">
        <v>12955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12801</v>
      </c>
      <c r="K156" t="s">
        <v>12956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12801</v>
      </c>
      <c r="K157" t="s">
        <v>12957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12801</v>
      </c>
      <c r="K158" t="s">
        <v>12958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12801</v>
      </c>
      <c r="K159" t="s">
        <v>12959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12801</v>
      </c>
      <c r="K160" t="s">
        <v>12960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12801</v>
      </c>
      <c r="K161" t="s">
        <v>12961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12801</v>
      </c>
      <c r="K162" t="s">
        <v>12962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12801</v>
      </c>
      <c r="K163" t="s">
        <v>12963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12801</v>
      </c>
      <c r="K164" t="s">
        <v>12964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12801</v>
      </c>
      <c r="K165" t="s">
        <v>12965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12801</v>
      </c>
      <c r="K166" t="s">
        <v>12966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12801</v>
      </c>
      <c r="K167" t="s">
        <v>12967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12801</v>
      </c>
      <c r="K168" t="s">
        <v>12968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12801</v>
      </c>
      <c r="K169" t="s">
        <v>12969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12801</v>
      </c>
      <c r="K170" t="s">
        <v>12970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12801</v>
      </c>
      <c r="K171" t="s">
        <v>12971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12801</v>
      </c>
      <c r="K172" t="s">
        <v>12972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12801</v>
      </c>
      <c r="K173" t="s">
        <v>12973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12801</v>
      </c>
      <c r="K174" t="s">
        <v>12974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12801</v>
      </c>
      <c r="K175" t="s">
        <v>12975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12801</v>
      </c>
      <c r="K176" t="s">
        <v>12976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12801</v>
      </c>
      <c r="K177" t="s">
        <v>12977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12801</v>
      </c>
      <c r="K178" t="s">
        <v>12978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12801</v>
      </c>
      <c r="K179" t="s">
        <v>12979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12801</v>
      </c>
      <c r="K180" t="s">
        <v>12980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12801</v>
      </c>
      <c r="K181" t="s">
        <v>12981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12801</v>
      </c>
      <c r="K182" t="s">
        <v>12982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12801</v>
      </c>
      <c r="K183" t="s">
        <v>12983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12801</v>
      </c>
      <c r="K184" t="s">
        <v>12984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12801</v>
      </c>
      <c r="K185" t="s">
        <v>12985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12801</v>
      </c>
      <c r="K186" t="s">
        <v>12986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12801</v>
      </c>
      <c r="K187" t="s">
        <v>12987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12801</v>
      </c>
      <c r="K188" t="s">
        <v>12988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12801</v>
      </c>
      <c r="K189" t="s">
        <v>12989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12801</v>
      </c>
      <c r="K190" t="s">
        <v>12990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12801</v>
      </c>
      <c r="K191" t="s">
        <v>12991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12801</v>
      </c>
      <c r="K192" t="s">
        <v>12992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12801</v>
      </c>
      <c r="K193" t="s">
        <v>12993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12801</v>
      </c>
      <c r="K194" t="s">
        <v>12994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12801</v>
      </c>
      <c r="K195" t="s">
        <v>12995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12801</v>
      </c>
      <c r="K196" t="s">
        <v>12996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12801</v>
      </c>
      <c r="K197" t="s">
        <v>12997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12801</v>
      </c>
      <c r="K198" t="s">
        <v>12998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12801</v>
      </c>
      <c r="K199" t="s">
        <v>12999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12801</v>
      </c>
      <c r="K200" t="s">
        <v>13000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12801</v>
      </c>
      <c r="K201" t="s">
        <v>13001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12801</v>
      </c>
      <c r="K202" t="s">
        <v>13002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12801</v>
      </c>
      <c r="K203" t="s">
        <v>13003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12801</v>
      </c>
      <c r="K204" t="s">
        <v>13004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12801</v>
      </c>
      <c r="K205" t="s">
        <v>13005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12801</v>
      </c>
      <c r="K206" t="s">
        <v>13006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12801</v>
      </c>
      <c r="K207" t="s">
        <v>13007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12801</v>
      </c>
      <c r="K208" t="s">
        <v>13008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12801</v>
      </c>
      <c r="K209" t="s">
        <v>13009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12801</v>
      </c>
      <c r="K210" t="s">
        <v>13010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12801</v>
      </c>
      <c r="K211" t="s">
        <v>13011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12801</v>
      </c>
      <c r="K212" t="s">
        <v>13012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12801</v>
      </c>
      <c r="K213" t="s">
        <v>13013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12801</v>
      </c>
      <c r="K214" t="s">
        <v>13014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12801</v>
      </c>
      <c r="K215" t="s">
        <v>13015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12801</v>
      </c>
      <c r="K216" t="s">
        <v>13016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12801</v>
      </c>
      <c r="K217" t="s">
        <v>13017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12801</v>
      </c>
      <c r="K218" t="s">
        <v>13018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12801</v>
      </c>
      <c r="K219" t="s">
        <v>13019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12801</v>
      </c>
      <c r="K220" t="s">
        <v>13020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12801</v>
      </c>
      <c r="K221" t="s">
        <v>13021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12801</v>
      </c>
      <c r="K222" t="s">
        <v>13022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12801</v>
      </c>
      <c r="K223" t="s">
        <v>13023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12801</v>
      </c>
      <c r="K224" t="s">
        <v>13024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12801</v>
      </c>
      <c r="K225" t="s">
        <v>13025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12801</v>
      </c>
      <c r="K226" t="s">
        <v>13026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12801</v>
      </c>
      <c r="K227" t="s">
        <v>13027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12801</v>
      </c>
      <c r="K228" t="s">
        <v>13028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12801</v>
      </c>
      <c r="K229" t="s">
        <v>13029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12801</v>
      </c>
      <c r="K230" t="s">
        <v>13030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12801</v>
      </c>
      <c r="K231" t="s">
        <v>13031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12801</v>
      </c>
      <c r="K232" t="s">
        <v>13032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12801</v>
      </c>
      <c r="K233" t="s">
        <v>13033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12801</v>
      </c>
      <c r="K234" t="s">
        <v>13034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12801</v>
      </c>
      <c r="K235" t="s">
        <v>13035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12801</v>
      </c>
      <c r="K236" t="s">
        <v>13036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12801</v>
      </c>
      <c r="K237" t="s">
        <v>13037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12801</v>
      </c>
      <c r="K238" t="s">
        <v>13038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12801</v>
      </c>
      <c r="K239" t="s">
        <v>13039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12801</v>
      </c>
      <c r="K240" t="s">
        <v>13040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12801</v>
      </c>
      <c r="K241" t="s">
        <v>13041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12801</v>
      </c>
      <c r="K242" t="s">
        <v>13042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12801</v>
      </c>
      <c r="K243" t="s">
        <v>13043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12801</v>
      </c>
      <c r="K244" t="s">
        <v>13044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12801</v>
      </c>
      <c r="K245" t="s">
        <v>13045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12801</v>
      </c>
      <c r="K246" t="s">
        <v>13046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12801</v>
      </c>
      <c r="K247" t="s">
        <v>13047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12801</v>
      </c>
      <c r="K248" t="s">
        <v>13048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12801</v>
      </c>
      <c r="K249" t="s">
        <v>13049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12801</v>
      </c>
      <c r="K250" t="s">
        <v>13050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12801</v>
      </c>
      <c r="K251" t="s">
        <v>13051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12801</v>
      </c>
      <c r="K252" t="s">
        <v>13052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12801</v>
      </c>
      <c r="K253" t="s">
        <v>13053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12801</v>
      </c>
      <c r="K254" t="s">
        <v>13054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12801</v>
      </c>
      <c r="K255" t="s">
        <v>13055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12801</v>
      </c>
      <c r="K256" t="s">
        <v>13056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12801</v>
      </c>
      <c r="K257" t="s">
        <v>13057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12801</v>
      </c>
      <c r="K258" t="s">
        <v>13058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12801</v>
      </c>
      <c r="K259" t="s">
        <v>13059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12801</v>
      </c>
      <c r="K260" t="s">
        <v>13060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12801</v>
      </c>
      <c r="K261" t="s">
        <v>13061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12801</v>
      </c>
      <c r="K262" t="s">
        <v>13062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12801</v>
      </c>
      <c r="K263" t="s">
        <v>13063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12801</v>
      </c>
      <c r="K264" t="s">
        <v>13064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12801</v>
      </c>
      <c r="K265" t="s">
        <v>13065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12801</v>
      </c>
      <c r="K266" t="s">
        <v>13066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12801</v>
      </c>
      <c r="K267" t="s">
        <v>13067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12801</v>
      </c>
      <c r="K268" t="s">
        <v>13068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12801</v>
      </c>
      <c r="K269" t="s">
        <v>13069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12801</v>
      </c>
      <c r="K270" t="s">
        <v>13070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12801</v>
      </c>
      <c r="K271" t="s">
        <v>13071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12801</v>
      </c>
      <c r="K272" t="s">
        <v>13072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12801</v>
      </c>
      <c r="K273" t="s">
        <v>13073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12801</v>
      </c>
      <c r="K274" t="s">
        <v>13074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12801</v>
      </c>
      <c r="K275" t="s">
        <v>13075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12801</v>
      </c>
      <c r="K276" t="s">
        <v>13076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12801</v>
      </c>
      <c r="K277" t="s">
        <v>13077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12801</v>
      </c>
      <c r="K278" t="s">
        <v>13078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12801</v>
      </c>
      <c r="K279" t="s">
        <v>13079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12801</v>
      </c>
      <c r="K280" t="s">
        <v>13080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12801</v>
      </c>
      <c r="K281" t="s">
        <v>13081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</sheetData>
  <conditionalFormatting sqref="D282:D292 E282:E295 G2:H281 D2:E281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281">
    <cfRule type="notContainsText" dxfId="1026" priority="13" operator="notContains" text="порожний">
      <formula>ISERROR(SEARCH("порожний",F2))</formula>
    </cfRule>
  </conditionalFormatting>
  <conditionalFormatting sqref="E2:E295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295">
    <cfRule type="containsText" dxfId="1023" priority="10" operator="containsText" text="Трактор базы">
      <formula>NOT(ISERROR(SEARCH("Трактор базы",E2)))</formula>
    </cfRule>
  </conditionalFormatting>
  <conditionalFormatting sqref="A2:C281">
    <cfRule type="expression" dxfId="1022" priority="9">
      <formula>$A2="пн"</formula>
    </cfRule>
  </conditionalFormatting>
  <conditionalFormatting sqref="A2:C283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292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2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3"/>
  <sheetViews>
    <sheetView zoomScale="90" zoomScaleNormal="90" workbookViewId="0">
      <pane ySplit="1" topLeftCell="A155" activePane="bottomLeft" state="frozen"/>
      <selection pane="bottomLeft" activeCell="I162" sqref="I162:I1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10908</v>
      </c>
      <c r="K2" t="s">
        <v>10909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10908</v>
      </c>
      <c r="K3" t="s">
        <v>10910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10908</v>
      </c>
      <c r="K4" t="s">
        <v>10911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10908</v>
      </c>
      <c r="K5" t="s">
        <v>10912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10908</v>
      </c>
      <c r="K6" t="s">
        <v>10913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10908</v>
      </c>
      <c r="K7" t="s">
        <v>10914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10908</v>
      </c>
      <c r="K8" t="s">
        <v>10915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10908</v>
      </c>
      <c r="K9" t="s">
        <v>10916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10908</v>
      </c>
      <c r="K10" t="s">
        <v>10917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10908</v>
      </c>
      <c r="K11" t="s">
        <v>10918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10908</v>
      </c>
      <c r="K12" t="s">
        <v>10919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10908</v>
      </c>
      <c r="K13" t="s">
        <v>10920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10908</v>
      </c>
      <c r="K14" t="s">
        <v>10921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10908</v>
      </c>
      <c r="K15" t="s">
        <v>10922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10908</v>
      </c>
      <c r="K16" t="s">
        <v>10923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10908</v>
      </c>
      <c r="K17" t="s">
        <v>10924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10908</v>
      </c>
      <c r="K18" t="s">
        <v>10925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10908</v>
      </c>
      <c r="K19" t="s">
        <v>10926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10908</v>
      </c>
      <c r="K20" t="s">
        <v>10927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10908</v>
      </c>
      <c r="K21" t="s">
        <v>10928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10908</v>
      </c>
      <c r="K22" t="s">
        <v>10929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10908</v>
      </c>
      <c r="K23" t="s">
        <v>10930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10908</v>
      </c>
      <c r="K24" t="s">
        <v>10931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10908</v>
      </c>
      <c r="K25" t="s">
        <v>10932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10908</v>
      </c>
      <c r="K26" t="s">
        <v>10933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10908</v>
      </c>
      <c r="K27" t="s">
        <v>10934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10908</v>
      </c>
      <c r="K28" t="s">
        <v>10935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10908</v>
      </c>
      <c r="K29" t="s">
        <v>10936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10908</v>
      </c>
      <c r="K30" t="s">
        <v>10937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10908</v>
      </c>
      <c r="K31" t="s">
        <v>10938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10908</v>
      </c>
      <c r="K32" t="s">
        <v>10939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10908</v>
      </c>
      <c r="K33" t="s">
        <v>10940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10908</v>
      </c>
      <c r="K34" t="s">
        <v>10941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10908</v>
      </c>
      <c r="K35" t="s">
        <v>10942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10908</v>
      </c>
      <c r="K36" t="s">
        <v>10943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10908</v>
      </c>
      <c r="K37" t="s">
        <v>10944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10908</v>
      </c>
      <c r="K38" t="s">
        <v>10945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10908</v>
      </c>
      <c r="K39" t="s">
        <v>10946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10908</v>
      </c>
      <c r="K40" t="s">
        <v>10947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10908</v>
      </c>
      <c r="K41" t="s">
        <v>10948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10908</v>
      </c>
      <c r="K42" t="s">
        <v>10949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10908</v>
      </c>
      <c r="K43" t="s">
        <v>10950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10908</v>
      </c>
      <c r="K44" t="s">
        <v>10951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10908</v>
      </c>
      <c r="K45" t="s">
        <v>10952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10908</v>
      </c>
      <c r="K46" t="s">
        <v>10953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10908</v>
      </c>
      <c r="K47" t="s">
        <v>10954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10908</v>
      </c>
      <c r="K48" t="s">
        <v>10955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10908</v>
      </c>
      <c r="K49" t="s">
        <v>10956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10908</v>
      </c>
      <c r="K50" t="s">
        <v>10957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10908</v>
      </c>
      <c r="K51" t="s">
        <v>10958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10908</v>
      </c>
      <c r="K52" t="s">
        <v>10959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10908</v>
      </c>
      <c r="K53" t="s">
        <v>10960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10908</v>
      </c>
      <c r="K54" t="s">
        <v>10961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10908</v>
      </c>
      <c r="K55" t="s">
        <v>10962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10908</v>
      </c>
      <c r="K56" t="s">
        <v>10963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10908</v>
      </c>
      <c r="K57" t="s">
        <v>10964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10908</v>
      </c>
      <c r="K58" t="s">
        <v>10965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10908</v>
      </c>
      <c r="K59" t="s">
        <v>10966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10908</v>
      </c>
      <c r="K60" t="s">
        <v>10967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10908</v>
      </c>
      <c r="K61" t="s">
        <v>10968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10908</v>
      </c>
      <c r="K62" t="s">
        <v>10969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10908</v>
      </c>
      <c r="K63" t="s">
        <v>10970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10908</v>
      </c>
      <c r="K64" t="s">
        <v>10971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10908</v>
      </c>
      <c r="K65" t="s">
        <v>10972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10908</v>
      </c>
      <c r="K66" t="s">
        <v>10973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10908</v>
      </c>
      <c r="K67" t="s">
        <v>10974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10908</v>
      </c>
      <c r="K68" t="s">
        <v>10975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10908</v>
      </c>
      <c r="K69" t="s">
        <v>10976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10908</v>
      </c>
      <c r="K70" t="s">
        <v>10977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10908</v>
      </c>
      <c r="K71" t="s">
        <v>10978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10908</v>
      </c>
      <c r="K72" t="s">
        <v>10979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10908</v>
      </c>
      <c r="K73" t="s">
        <v>10980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10908</v>
      </c>
      <c r="K74" t="s">
        <v>10981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10908</v>
      </c>
      <c r="K75" t="s">
        <v>10982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10908</v>
      </c>
      <c r="K76" t="s">
        <v>10983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10908</v>
      </c>
      <c r="K77" t="s">
        <v>10984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10908</v>
      </c>
      <c r="K78" t="s">
        <v>10985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10908</v>
      </c>
      <c r="K79" t="s">
        <v>10986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10908</v>
      </c>
      <c r="K80" t="s">
        <v>10987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10908</v>
      </c>
      <c r="K81" t="s">
        <v>10988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10908</v>
      </c>
      <c r="K82" t="s">
        <v>10989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10908</v>
      </c>
      <c r="K83" t="s">
        <v>10990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10908</v>
      </c>
      <c r="K84" t="s">
        <v>10991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10908</v>
      </c>
      <c r="K85" t="s">
        <v>10992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10908</v>
      </c>
      <c r="K86" t="s">
        <v>10993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10908</v>
      </c>
      <c r="K87" t="s">
        <v>10994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10908</v>
      </c>
      <c r="K88" t="s">
        <v>10995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10908</v>
      </c>
      <c r="K89" t="s">
        <v>10996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10908</v>
      </c>
      <c r="K90" t="s">
        <v>10997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10908</v>
      </c>
      <c r="K91" t="s">
        <v>10998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10908</v>
      </c>
      <c r="K92" t="s">
        <v>10999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10908</v>
      </c>
      <c r="K93" t="s">
        <v>11000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10908</v>
      </c>
      <c r="K94" t="s">
        <v>11001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10908</v>
      </c>
      <c r="K95" t="s">
        <v>11002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10908</v>
      </c>
      <c r="K96" t="s">
        <v>11003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10908</v>
      </c>
      <c r="K97" t="s">
        <v>11004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10908</v>
      </c>
      <c r="K98" t="s">
        <v>11005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10908</v>
      </c>
      <c r="K99" t="s">
        <v>11006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10908</v>
      </c>
      <c r="K100" t="s">
        <v>11007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10908</v>
      </c>
      <c r="K101" t="s">
        <v>11008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10908</v>
      </c>
      <c r="K102" t="s">
        <v>11009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10908</v>
      </c>
      <c r="K103" t="s">
        <v>11010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10908</v>
      </c>
      <c r="K104" t="s">
        <v>11011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10908</v>
      </c>
      <c r="K105" t="s">
        <v>11012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10908</v>
      </c>
      <c r="K106" t="s">
        <v>11013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10908</v>
      </c>
      <c r="K107" t="s">
        <v>11014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10908</v>
      </c>
      <c r="K108" t="s">
        <v>11015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10908</v>
      </c>
      <c r="K109" t="s">
        <v>11016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10908</v>
      </c>
      <c r="K110" t="s">
        <v>11017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10908</v>
      </c>
      <c r="K111" t="s">
        <v>11018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10908</v>
      </c>
      <c r="K112" t="s">
        <v>11019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10908</v>
      </c>
      <c r="K113" t="s">
        <v>11020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10908</v>
      </c>
      <c r="K114" t="s">
        <v>11021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10908</v>
      </c>
      <c r="K115" t="s">
        <v>11022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10908</v>
      </c>
      <c r="K116" t="s">
        <v>11023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10908</v>
      </c>
      <c r="K117" t="s">
        <v>11024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10908</v>
      </c>
      <c r="K118" t="s">
        <v>11025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10908</v>
      </c>
      <c r="K119" t="s">
        <v>11026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10908</v>
      </c>
      <c r="K120" t="s">
        <v>11027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10908</v>
      </c>
      <c r="K121" t="s">
        <v>11028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10908</v>
      </c>
      <c r="K122" t="s">
        <v>11029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10908</v>
      </c>
      <c r="K123" t="s">
        <v>11030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10908</v>
      </c>
      <c r="K124" t="s">
        <v>11031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10908</v>
      </c>
      <c r="K125" t="s">
        <v>11032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10908</v>
      </c>
      <c r="K126" t="s">
        <v>11033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10908</v>
      </c>
      <c r="K127" t="s">
        <v>11034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10908</v>
      </c>
      <c r="K128" t="s">
        <v>11035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10908</v>
      </c>
      <c r="K129" t="s">
        <v>11036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10908</v>
      </c>
      <c r="K130" t="s">
        <v>11037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10908</v>
      </c>
      <c r="K131" t="s">
        <v>11038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10908</v>
      </c>
      <c r="K132" t="s">
        <v>11039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10908</v>
      </c>
      <c r="K133" t="s">
        <v>11040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10908</v>
      </c>
      <c r="K134" t="s">
        <v>11041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10908</v>
      </c>
      <c r="K135" t="s">
        <v>11042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10908</v>
      </c>
      <c r="K136" t="s">
        <v>11043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10908</v>
      </c>
      <c r="K137" t="s">
        <v>11044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10908</v>
      </c>
      <c r="K138" t="s">
        <v>11045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10908</v>
      </c>
      <c r="K139" t="s">
        <v>11046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10908</v>
      </c>
      <c r="K140" t="s">
        <v>11047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10908</v>
      </c>
      <c r="K141" t="s">
        <v>11048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10908</v>
      </c>
      <c r="K142" t="s">
        <v>11049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10908</v>
      </c>
      <c r="K143" t="s">
        <v>11050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10908</v>
      </c>
      <c r="K144" t="s">
        <v>11051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10908</v>
      </c>
      <c r="K145" t="s">
        <v>11052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10908</v>
      </c>
      <c r="K146" t="s">
        <v>11053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10908</v>
      </c>
      <c r="K147" t="s">
        <v>11054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10908</v>
      </c>
      <c r="K148" t="s">
        <v>11055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10908</v>
      </c>
      <c r="K149" t="s">
        <v>11056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10908</v>
      </c>
      <c r="K150" t="s">
        <v>11057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10908</v>
      </c>
      <c r="K151" t="s">
        <v>11058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10908</v>
      </c>
      <c r="K152" t="s">
        <v>11059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10908</v>
      </c>
      <c r="K153" t="s">
        <v>11060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10908</v>
      </c>
      <c r="K154" t="s">
        <v>11061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10908</v>
      </c>
      <c r="K155" t="s">
        <v>11062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10908</v>
      </c>
      <c r="K156" t="s">
        <v>11063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10908</v>
      </c>
      <c r="K157" t="s">
        <v>11064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10908</v>
      </c>
      <c r="K158" t="s">
        <v>11065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10908</v>
      </c>
      <c r="K159" t="s">
        <v>11066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10908</v>
      </c>
      <c r="K160" t="s">
        <v>11067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10908</v>
      </c>
      <c r="K161" t="s">
        <v>11068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10908</v>
      </c>
      <c r="K162" t="s">
        <v>11069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10908</v>
      </c>
      <c r="K163" t="s">
        <v>11070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</sheetData>
  <conditionalFormatting sqref="D164:D174 E164:E177 G2:H163 D2:E163">
    <cfRule type="containsText" dxfId="1007" priority="14" operator="containsText" text="Выезд с территории">
      <formula>NOT(ISERROR(SEARCH("Выезд с территории",D2)))</formula>
    </cfRule>
  </conditionalFormatting>
  <conditionalFormatting sqref="F2:F163">
    <cfRule type="notContainsText" dxfId="1006" priority="13" operator="notContains" text="порожний">
      <formula>ISERROR(SEARCH("порожний",F2))</formula>
    </cfRule>
  </conditionalFormatting>
  <conditionalFormatting sqref="E2:E177">
    <cfRule type="containsText" dxfId="1005" priority="11" operator="containsText" text="Газель базы">
      <formula>NOT(ISERROR(SEARCH("Газель базы",E2)))</formula>
    </cfRule>
    <cfRule type="containsText" dxfId="1004" priority="12" operator="containsText" text="Погрузчик базы">
      <formula>NOT(ISERROR(SEARCH("Погрузчик базы",E2)))</formula>
    </cfRule>
  </conditionalFormatting>
  <conditionalFormatting sqref="E2:E177">
    <cfRule type="containsText" dxfId="1003" priority="10" operator="containsText" text="Трактор базы">
      <formula>NOT(ISERROR(SEARCH("Трактор базы",E2)))</formula>
    </cfRule>
  </conditionalFormatting>
  <conditionalFormatting sqref="A2:C163">
    <cfRule type="expression" dxfId="1002" priority="9">
      <formula>$A2="пн"</formula>
    </cfRule>
  </conditionalFormatting>
  <conditionalFormatting sqref="A2:C165">
    <cfRule type="expression" dxfId="1001" priority="3">
      <formula>$A2="вс"</formula>
    </cfRule>
    <cfRule type="expression" dxfId="1000" priority="4">
      <formula>$A2="сб"</formula>
    </cfRule>
    <cfRule type="expression" dxfId="999" priority="5">
      <formula>$A2="пт"</formula>
    </cfRule>
    <cfRule type="expression" dxfId="998" priority="6">
      <formula>$A2="чт"</formula>
    </cfRule>
    <cfRule type="expression" dxfId="997" priority="7">
      <formula>$A2="ср"</formula>
    </cfRule>
    <cfRule type="expression" dxfId="996" priority="8">
      <formula>$A2="вт"</formula>
    </cfRule>
  </conditionalFormatting>
  <conditionalFormatting sqref="D2:D174">
    <cfRule type="containsText" dxfId="9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4">
    <cfRule type="containsText" dxfId="9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61"/>
  <sheetViews>
    <sheetView zoomScale="90" zoomScaleNormal="90" workbookViewId="0">
      <pane ySplit="1" topLeftCell="A244" activePane="bottomLeft" state="frozen"/>
      <selection pane="bottomLeft" activeCell="E233" sqref="E2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4</v>
      </c>
      <c r="E108" t="s">
        <v>3358</v>
      </c>
      <c r="F108" t="s">
        <v>4070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1607</v>
      </c>
      <c r="E109" t="s">
        <v>8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11072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11072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11073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11073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11073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11073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11073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11073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11073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11073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11073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11073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11073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11073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11073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11073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11073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11073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11073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11073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11073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11073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11073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11073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11073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11073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11073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0.48478009259259258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офиса\K07156189_21_20260225T113805Z.jpg</v>
      </c>
    </row>
    <row r="261" spans="1:13" x14ac:dyDescent="0.25">
      <c r="A261" s="1" t="s">
        <v>15</v>
      </c>
      <c r="B261" s="3">
        <v>46078</v>
      </c>
      <c r="C261" s="4">
        <v>0.74349537037037039</v>
      </c>
      <c r="D261" t="s">
        <v>4</v>
      </c>
      <c r="E261" t="s">
        <v>8</v>
      </c>
      <c r="I261" t="s">
        <v>10692</v>
      </c>
      <c r="J261" t="s">
        <v>2403</v>
      </c>
      <c r="K261" t="s">
        <v>10693</v>
      </c>
      <c r="L261" t="s">
        <v>10694</v>
      </c>
      <c r="M261" s="2" t="str">
        <f>HYPERLINK(склад2въезд13[[#This Row],[RelativePath]])</f>
        <v>4 Крыльцо офиса\K07156189_21_20260225T175038Z.jpg</v>
      </c>
    </row>
  </sheetData>
  <conditionalFormatting sqref="D262:D272 E262:E275 G2:H261 D2:E261">
    <cfRule type="containsText" dxfId="987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986" priority="13" operator="notContains" text="порожний">
      <formula>ISERROR(SEARCH("порожний",F2))</formula>
    </cfRule>
  </conditionalFormatting>
  <conditionalFormatting sqref="E2:E275">
    <cfRule type="containsText" dxfId="985" priority="11" operator="containsText" text="Газель базы">
      <formula>NOT(ISERROR(SEARCH("Газель базы",E2)))</formula>
    </cfRule>
    <cfRule type="containsText" dxfId="984" priority="12" operator="containsText" text="Погрузчик базы">
      <formula>NOT(ISERROR(SEARCH("Погрузчик базы",E2)))</formula>
    </cfRule>
  </conditionalFormatting>
  <conditionalFormatting sqref="E2:E275">
    <cfRule type="containsText" dxfId="983" priority="10" operator="containsText" text="Трактор базы">
      <formula>NOT(ISERROR(SEARCH("Трактор базы",E2)))</formula>
    </cfRule>
  </conditionalFormatting>
  <conditionalFormatting sqref="A2:C261">
    <cfRule type="expression" dxfId="982" priority="9">
      <formula>$A2="пн"</formula>
    </cfRule>
  </conditionalFormatting>
  <conditionalFormatting sqref="A2:C263">
    <cfRule type="expression" dxfId="981" priority="3">
      <formula>$A2="вс"</formula>
    </cfRule>
    <cfRule type="expression" dxfId="980" priority="4">
      <formula>$A2="сб"</formula>
    </cfRule>
    <cfRule type="expression" dxfId="979" priority="5">
      <formula>$A2="пт"</formula>
    </cfRule>
    <cfRule type="expression" dxfId="978" priority="6">
      <formula>$A2="чт"</formula>
    </cfRule>
    <cfRule type="expression" dxfId="977" priority="7">
      <formula>$A2="ср"</formula>
    </cfRule>
    <cfRule type="expression" dxfId="976" priority="8">
      <formula>$A2="вт"</formula>
    </cfRule>
  </conditionalFormatting>
  <conditionalFormatting sqref="D2:D272">
    <cfRule type="containsText" dxfId="9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9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58"/>
  <sheetViews>
    <sheetView zoomScale="90" zoomScaleNormal="90" workbookViewId="0">
      <pane ySplit="1" topLeftCell="A340" activePane="bottomLeft" state="frozen"/>
      <selection pane="bottomLeft" activeCell="I354" sqref="I354:I3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1607</v>
      </c>
      <c r="E14" t="s">
        <v>8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226</v>
      </c>
      <c r="E15" t="s">
        <v>67</v>
      </c>
      <c r="F15" t="s">
        <v>405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11077</v>
      </c>
      <c r="I354" t="s">
        <v>10695</v>
      </c>
      <c r="J354" t="s">
        <v>2394</v>
      </c>
      <c r="K354" t="s">
        <v>10696</v>
      </c>
      <c r="L354" t="s">
        <v>10697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11077</v>
      </c>
      <c r="I355" t="s">
        <v>10698</v>
      </c>
      <c r="J355" t="s">
        <v>2394</v>
      </c>
      <c r="K355" t="s">
        <v>10699</v>
      </c>
      <c r="L355" t="s">
        <v>10700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11078</v>
      </c>
      <c r="I356" t="s">
        <v>10701</v>
      </c>
      <c r="J356" t="s">
        <v>2394</v>
      </c>
      <c r="K356" t="s">
        <v>10702</v>
      </c>
      <c r="L356" t="s">
        <v>10703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11078</v>
      </c>
      <c r="I357" t="s">
        <v>10704</v>
      </c>
      <c r="J357" t="s">
        <v>2394</v>
      </c>
      <c r="K357" t="s">
        <v>10705</v>
      </c>
      <c r="L357" t="s">
        <v>10706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10707</v>
      </c>
      <c r="J358" t="s">
        <v>2394</v>
      </c>
      <c r="K358" t="s">
        <v>10708</v>
      </c>
      <c r="L358" t="s">
        <v>10709</v>
      </c>
      <c r="M358" s="2" t="str">
        <f>HYPERLINK(склад2въезд1319[[#This Row],[RelativePath]])</f>
        <v>5 Крыльцо общага\K07156189_22_20260225T172728Z.jpg</v>
      </c>
    </row>
  </sheetData>
  <conditionalFormatting sqref="E359:E372 D359:D369 G2:H358 D2:E358">
    <cfRule type="containsText" dxfId="967" priority="17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966" priority="16" operator="notContains" text="порожний">
      <formula>ISERROR(SEARCH("порожний",F2))</formula>
    </cfRule>
  </conditionalFormatting>
  <conditionalFormatting sqref="E2:E372">
    <cfRule type="containsText" dxfId="965" priority="14" operator="containsText" text="Газель базы">
      <formula>NOT(ISERROR(SEARCH("Газель базы",E2)))</formula>
    </cfRule>
    <cfRule type="containsText" dxfId="964" priority="15" operator="containsText" text="Погрузчик базы">
      <formula>NOT(ISERROR(SEARCH("Погрузчик базы",E2)))</formula>
    </cfRule>
  </conditionalFormatting>
  <conditionalFormatting sqref="E2:E372">
    <cfRule type="containsText" dxfId="963" priority="13" operator="containsText" text="Трактор базы">
      <formula>NOT(ISERROR(SEARCH("Трактор базы",E2)))</formula>
    </cfRule>
  </conditionalFormatting>
  <conditionalFormatting sqref="A2:C358">
    <cfRule type="expression" dxfId="962" priority="12">
      <formula>$A2="пн"</formula>
    </cfRule>
  </conditionalFormatting>
  <conditionalFormatting sqref="A2:C360">
    <cfRule type="expression" dxfId="961" priority="6">
      <formula>$A2="вс"</formula>
    </cfRule>
    <cfRule type="expression" dxfId="960" priority="7">
      <formula>$A2="сб"</formula>
    </cfRule>
    <cfRule type="expression" dxfId="959" priority="8">
      <formula>$A2="пт"</formula>
    </cfRule>
    <cfRule type="expression" dxfId="958" priority="9">
      <formula>$A2="чт"</formula>
    </cfRule>
    <cfRule type="expression" dxfId="957" priority="10">
      <formula>$A2="ср"</formula>
    </cfRule>
    <cfRule type="expression" dxfId="956" priority="11">
      <formula>$A2="вт"</formula>
    </cfRule>
  </conditionalFormatting>
  <conditionalFormatting sqref="D2:D369">
    <cfRule type="containsText" dxfId="95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95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04"/>
  <sheetViews>
    <sheetView zoomScale="90" zoomScaleNormal="90" workbookViewId="0">
      <pane ySplit="1" topLeftCell="A192" activePane="bottomLeft" state="frozen"/>
      <selection pane="bottomLeft" activeCell="I199" sqref="I199:I2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10710</v>
      </c>
      <c r="J199" t="s">
        <v>2395</v>
      </c>
      <c r="K199" t="s">
        <v>10711</v>
      </c>
      <c r="L199" t="s">
        <v>10712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10713</v>
      </c>
      <c r="J200" t="s">
        <v>2395</v>
      </c>
      <c r="K200" t="s">
        <v>10714</v>
      </c>
      <c r="L200" t="s">
        <v>10715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10716</v>
      </c>
      <c r="J201" t="s">
        <v>2395</v>
      </c>
      <c r="K201" t="s">
        <v>10717</v>
      </c>
      <c r="L201" t="s">
        <v>10718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10719</v>
      </c>
      <c r="J202" t="s">
        <v>2395</v>
      </c>
      <c r="K202" t="s">
        <v>10720</v>
      </c>
      <c r="L202" t="s">
        <v>10721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10722</v>
      </c>
      <c r="J203" t="s">
        <v>2395</v>
      </c>
      <c r="K203" t="s">
        <v>10723</v>
      </c>
      <c r="L203" t="s">
        <v>10724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10725</v>
      </c>
      <c r="J204" t="s">
        <v>2395</v>
      </c>
      <c r="K204" t="s">
        <v>10726</v>
      </c>
      <c r="L204" t="s">
        <v>10727</v>
      </c>
      <c r="M204" s="2" t="str">
        <f>HYPERLINK(склад2въезд131920[[#This Row],[RelativePath]])</f>
        <v>6 Площадка 1 общага\826398429_1_20260225T172954Z.jpg</v>
      </c>
    </row>
  </sheetData>
  <conditionalFormatting sqref="D205:D215 E205:E218 G2:H204 D2:E204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204">
    <cfRule type="notContainsText" dxfId="946" priority="13" operator="notContains" text="порожний">
      <formula>ISERROR(SEARCH("порожний",F2))</formula>
    </cfRule>
  </conditionalFormatting>
  <conditionalFormatting sqref="E2:E218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218">
    <cfRule type="containsText" dxfId="943" priority="10" operator="containsText" text="Трактор базы">
      <formula>NOT(ISERROR(SEARCH("Трактор базы",E2)))</formula>
    </cfRule>
  </conditionalFormatting>
  <conditionalFormatting sqref="A2:C204">
    <cfRule type="expression" dxfId="942" priority="9">
      <formula>$A2="пн"</formula>
    </cfRule>
  </conditionalFormatting>
  <conditionalFormatting sqref="A2:C206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215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5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23"/>
  <sheetViews>
    <sheetView zoomScale="90" zoomScaleNormal="90" workbookViewId="0">
      <pane ySplit="1" topLeftCell="A308" activePane="bottomLeft" state="frozen"/>
      <selection pane="bottomLeft" activeCell="I316" sqref="I316:I3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11072</v>
      </c>
      <c r="F316" t="s">
        <v>165</v>
      </c>
      <c r="G316">
        <v>2</v>
      </c>
      <c r="I316" t="s">
        <v>10764</v>
      </c>
      <c r="J316" t="s">
        <v>2396</v>
      </c>
      <c r="K316" t="s">
        <v>10765</v>
      </c>
      <c r="L316" t="s">
        <v>10766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10767</v>
      </c>
      <c r="J317" t="s">
        <v>2396</v>
      </c>
      <c r="K317" t="s">
        <v>10768</v>
      </c>
      <c r="L317" t="s">
        <v>10769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10770</v>
      </c>
      <c r="J318" t="s">
        <v>2396</v>
      </c>
      <c r="K318" t="s">
        <v>10771</v>
      </c>
      <c r="L318" t="s">
        <v>10772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11071</v>
      </c>
      <c r="I319" t="s">
        <v>10773</v>
      </c>
      <c r="J319" t="s">
        <v>2396</v>
      </c>
      <c r="K319" t="s">
        <v>10774</v>
      </c>
      <c r="L319" t="s">
        <v>10775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11079</v>
      </c>
      <c r="I320" t="s">
        <v>10776</v>
      </c>
      <c r="J320" t="s">
        <v>2396</v>
      </c>
      <c r="K320" t="s">
        <v>10777</v>
      </c>
      <c r="L320" t="s">
        <v>10778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10779</v>
      </c>
      <c r="J321" t="s">
        <v>2396</v>
      </c>
      <c r="K321" t="s">
        <v>10780</v>
      </c>
      <c r="L321" t="s">
        <v>10781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10782</v>
      </c>
      <c r="J322" t="s">
        <v>2396</v>
      </c>
      <c r="K322" t="s">
        <v>10783</v>
      </c>
      <c r="L322" t="s">
        <v>10784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10785</v>
      </c>
      <c r="J323" t="s">
        <v>2396</v>
      </c>
      <c r="K323" t="s">
        <v>10786</v>
      </c>
      <c r="L323" t="s">
        <v>10787</v>
      </c>
      <c r="M323" s="2" t="str">
        <f>HYPERLINK(склад2въезд13192021[[#This Row],[RelativePath]])</f>
        <v>7 Площадка 2 бетонщики\134160575_1_20260225T190347Z.jpg</v>
      </c>
    </row>
  </sheetData>
  <conditionalFormatting sqref="E324:E337 D1:D197 D324:D1048576 G2:H323 D2:E323">
    <cfRule type="containsText" dxfId="927" priority="18" operator="containsText" text="Выезд с территории">
      <formula>NOT(ISERROR(SEARCH("Выезд с территории",D1)))</formula>
    </cfRule>
  </conditionalFormatting>
  <conditionalFormatting sqref="F2:F323">
    <cfRule type="notContainsText" dxfId="926" priority="17" operator="notContains" text="порожний">
      <formula>ISERROR(SEARCH("порожний",F2))</formula>
    </cfRule>
  </conditionalFormatting>
  <conditionalFormatting sqref="E2:E337">
    <cfRule type="containsText" dxfId="925" priority="15" operator="containsText" text="Газель базы">
      <formula>NOT(ISERROR(SEARCH("Газель базы",E2)))</formula>
    </cfRule>
    <cfRule type="containsText" dxfId="924" priority="16" operator="containsText" text="Погрузчик базы">
      <formula>NOT(ISERROR(SEARCH("Погрузчик базы",E2)))</formula>
    </cfRule>
  </conditionalFormatting>
  <conditionalFormatting sqref="E2:E337">
    <cfRule type="containsText" dxfId="923" priority="14" operator="containsText" text="Трактор базы">
      <formula>NOT(ISERROR(SEARCH("Трактор базы",E2)))</formula>
    </cfRule>
  </conditionalFormatting>
  <conditionalFormatting sqref="A2:C323">
    <cfRule type="expression" dxfId="922" priority="13">
      <formula>$A2="пн"</formula>
    </cfRule>
  </conditionalFormatting>
  <conditionalFormatting sqref="A2:C325">
    <cfRule type="expression" dxfId="921" priority="7">
      <formula>$A2="вс"</formula>
    </cfRule>
    <cfRule type="expression" dxfId="920" priority="8">
      <formula>$A2="сб"</formula>
    </cfRule>
    <cfRule type="expression" dxfId="919" priority="9">
      <formula>$A2="пт"</formula>
    </cfRule>
    <cfRule type="expression" dxfId="918" priority="10">
      <formula>$A2="чт"</formula>
    </cfRule>
    <cfRule type="expression" dxfId="917" priority="11">
      <formula>$A2="ср"</formula>
    </cfRule>
    <cfRule type="expression" dxfId="916" priority="12">
      <formula>$A2="вт"</formula>
    </cfRule>
  </conditionalFormatting>
  <conditionalFormatting sqref="D1:D1048576">
    <cfRule type="containsText" dxfId="91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1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1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9"/>
  <sheetViews>
    <sheetView zoomScale="90" zoomScaleNormal="90" workbookViewId="0">
      <pane ySplit="1" topLeftCell="A284" activePane="bottomLeft" state="frozen"/>
      <selection pane="bottomLeft" activeCell="I291" sqref="I291:I2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30.28515625" bestFit="1" customWidth="1"/>
    <col min="6" max="6" width="25.140625" bestFit="1" customWidth="1"/>
    <col min="7" max="7" width="7.28515625" bestFit="1" customWidth="1"/>
    <col min="8" max="8" width="18.42578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13192</v>
      </c>
      <c r="K2" t="s">
        <v>13193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13192</v>
      </c>
      <c r="K3" t="s">
        <v>13194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13192</v>
      </c>
      <c r="K4" t="s">
        <v>13195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13192</v>
      </c>
      <c r="K5" t="s">
        <v>13196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13192</v>
      </c>
      <c r="K6" t="s">
        <v>13197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13192</v>
      </c>
      <c r="K7" t="s">
        <v>13198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13192</v>
      </c>
      <c r="K8" t="s">
        <v>13199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13192</v>
      </c>
      <c r="K9" t="s">
        <v>13200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13192</v>
      </c>
      <c r="K10" t="s">
        <v>13201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13192</v>
      </c>
      <c r="K11" t="s">
        <v>13202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13192</v>
      </c>
      <c r="K12" t="s">
        <v>13203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13192</v>
      </c>
      <c r="K13" t="s">
        <v>13204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13192</v>
      </c>
      <c r="K14" t="s">
        <v>13205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13192</v>
      </c>
      <c r="K15" t="s">
        <v>13206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13192</v>
      </c>
      <c r="K16" t="s">
        <v>13207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13192</v>
      </c>
      <c r="K17" t="s">
        <v>13208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13192</v>
      </c>
      <c r="K18" t="s">
        <v>13209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13192</v>
      </c>
      <c r="K19" t="s">
        <v>13210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13192</v>
      </c>
      <c r="K20" t="s">
        <v>13211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13192</v>
      </c>
      <c r="K21" t="s">
        <v>13212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13192</v>
      </c>
      <c r="K22" t="s">
        <v>13213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13192</v>
      </c>
      <c r="K23" t="s">
        <v>13214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13192</v>
      </c>
      <c r="K24" t="s">
        <v>13215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13192</v>
      </c>
      <c r="K25" t="s">
        <v>13216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13192</v>
      </c>
      <c r="K26" t="s">
        <v>13217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13192</v>
      </c>
      <c r="K27" t="s">
        <v>13218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13192</v>
      </c>
      <c r="K28" t="s">
        <v>13219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13192</v>
      </c>
      <c r="K29" t="s">
        <v>13220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13192</v>
      </c>
      <c r="K30" t="s">
        <v>13221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13192</v>
      </c>
      <c r="K31" t="s">
        <v>13222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13192</v>
      </c>
      <c r="K32" t="s">
        <v>13223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13192</v>
      </c>
      <c r="K33" t="s">
        <v>13224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13192</v>
      </c>
      <c r="K34" t="s">
        <v>13225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13192</v>
      </c>
      <c r="K35" t="s">
        <v>13226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13192</v>
      </c>
      <c r="K36" t="s">
        <v>13227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13192</v>
      </c>
      <c r="K37" t="s">
        <v>13228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13192</v>
      </c>
      <c r="K38" t="s">
        <v>13229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13192</v>
      </c>
      <c r="K39" t="s">
        <v>13230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13192</v>
      </c>
      <c r="K40" t="s">
        <v>13231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13192</v>
      </c>
      <c r="K41" t="s">
        <v>13232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13192</v>
      </c>
      <c r="K42" t="s">
        <v>13233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13192</v>
      </c>
      <c r="K43" t="s">
        <v>13234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13192</v>
      </c>
      <c r="K44" t="s">
        <v>13235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13192</v>
      </c>
      <c r="K45" t="s">
        <v>13236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13192</v>
      </c>
      <c r="K46" t="s">
        <v>13237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13192</v>
      </c>
      <c r="K47" t="s">
        <v>13238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13192</v>
      </c>
      <c r="K48" t="s">
        <v>13239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13192</v>
      </c>
      <c r="K49" t="s">
        <v>13240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13192</v>
      </c>
      <c r="K50" t="s">
        <v>13241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13192</v>
      </c>
      <c r="K51" t="s">
        <v>13242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13192</v>
      </c>
      <c r="K52" t="s">
        <v>13243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13192</v>
      </c>
      <c r="K53" t="s">
        <v>13244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13192</v>
      </c>
      <c r="K54" t="s">
        <v>13245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13192</v>
      </c>
      <c r="K55" t="s">
        <v>13246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13192</v>
      </c>
      <c r="K56" t="s">
        <v>13247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13192</v>
      </c>
      <c r="K57" t="s">
        <v>13248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13192</v>
      </c>
      <c r="K58" t="s">
        <v>13249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13192</v>
      </c>
      <c r="K59" t="s">
        <v>13250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13192</v>
      </c>
      <c r="K60" t="s">
        <v>13251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13192</v>
      </c>
      <c r="K61" t="s">
        <v>13252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13192</v>
      </c>
      <c r="K62" t="s">
        <v>13253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13192</v>
      </c>
      <c r="K63" t="s">
        <v>13254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13192</v>
      </c>
      <c r="K64" t="s">
        <v>13255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13192</v>
      </c>
      <c r="K65" t="s">
        <v>13256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13192</v>
      </c>
      <c r="K66" t="s">
        <v>13257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13192</v>
      </c>
      <c r="K67" t="s">
        <v>13258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13192</v>
      </c>
      <c r="K68" t="s">
        <v>13259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13192</v>
      </c>
      <c r="K69" t="s">
        <v>13260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13192</v>
      </c>
      <c r="K70" t="s">
        <v>13261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13192</v>
      </c>
      <c r="K71" t="s">
        <v>13262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13192</v>
      </c>
      <c r="K72" t="s">
        <v>13263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13192</v>
      </c>
      <c r="K73" t="s">
        <v>13264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13192</v>
      </c>
      <c r="K74" t="s">
        <v>13265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13192</v>
      </c>
      <c r="K75" t="s">
        <v>13266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13192</v>
      </c>
      <c r="K76" t="s">
        <v>13267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13192</v>
      </c>
      <c r="K77" t="s">
        <v>13268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13192</v>
      </c>
      <c r="K78" t="s">
        <v>13269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13192</v>
      </c>
      <c r="K79" t="s">
        <v>13270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13192</v>
      </c>
      <c r="K80" t="s">
        <v>13271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13192</v>
      </c>
      <c r="K81" t="s">
        <v>13272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13192</v>
      </c>
      <c r="K82" t="s">
        <v>13273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13192</v>
      </c>
      <c r="K83" t="s">
        <v>13274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13192</v>
      </c>
      <c r="K84" t="s">
        <v>13275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13192</v>
      </c>
      <c r="K85" t="s">
        <v>13276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13192</v>
      </c>
      <c r="K86" t="s">
        <v>13277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13192</v>
      </c>
      <c r="K87" t="s">
        <v>13278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13192</v>
      </c>
      <c r="K88" t="s">
        <v>13279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13192</v>
      </c>
      <c r="K89" t="s">
        <v>13280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13192</v>
      </c>
      <c r="K90" t="s">
        <v>13281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13192</v>
      </c>
      <c r="K91" t="s">
        <v>13282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13192</v>
      </c>
      <c r="K92" t="s">
        <v>13283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13192</v>
      </c>
      <c r="K93" t="s">
        <v>13284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13192</v>
      </c>
      <c r="K94" t="s">
        <v>13285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13192</v>
      </c>
      <c r="K95" t="s">
        <v>13286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13192</v>
      </c>
      <c r="K96" t="s">
        <v>13287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13192</v>
      </c>
      <c r="K97" t="s">
        <v>13288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13192</v>
      </c>
      <c r="K98" t="s">
        <v>13289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13192</v>
      </c>
      <c r="K99" t="s">
        <v>13290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13192</v>
      </c>
      <c r="K100" t="s">
        <v>13291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13192</v>
      </c>
      <c r="K101" t="s">
        <v>13292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13192</v>
      </c>
      <c r="K102" t="s">
        <v>13293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13192</v>
      </c>
      <c r="K103" t="s">
        <v>13294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13192</v>
      </c>
      <c r="K104" t="s">
        <v>13295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13192</v>
      </c>
      <c r="K105" t="s">
        <v>13296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13192</v>
      </c>
      <c r="K106" t="s">
        <v>13297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13192</v>
      </c>
      <c r="K107" t="s">
        <v>13298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13192</v>
      </c>
      <c r="K108" t="s">
        <v>13299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13192</v>
      </c>
      <c r="K109" t="s">
        <v>13300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13192</v>
      </c>
      <c r="K110" t="s">
        <v>13301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13192</v>
      </c>
      <c r="K111" t="s">
        <v>13302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13192</v>
      </c>
      <c r="K112" t="s">
        <v>13303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13192</v>
      </c>
      <c r="K113" t="s">
        <v>13304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13192</v>
      </c>
      <c r="K114" t="s">
        <v>13305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13192</v>
      </c>
      <c r="K115" t="s">
        <v>13306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13192</v>
      </c>
      <c r="K116" t="s">
        <v>13307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13192</v>
      </c>
      <c r="K117" t="s">
        <v>13308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13192</v>
      </c>
      <c r="K118" t="s">
        <v>13309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13192</v>
      </c>
      <c r="K119" t="s">
        <v>13310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13192</v>
      </c>
      <c r="K120" t="s">
        <v>13311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13192</v>
      </c>
      <c r="K121" t="s">
        <v>13312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13192</v>
      </c>
      <c r="K122" t="s">
        <v>13313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13192</v>
      </c>
      <c r="K123" t="s">
        <v>13314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13192</v>
      </c>
      <c r="K124" t="s">
        <v>13315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13192</v>
      </c>
      <c r="K125" t="s">
        <v>13316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13192</v>
      </c>
      <c r="K126" t="s">
        <v>13317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13192</v>
      </c>
      <c r="K127" t="s">
        <v>13318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13192</v>
      </c>
      <c r="K128" t="s">
        <v>13319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13192</v>
      </c>
      <c r="K129" t="s">
        <v>13320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13192</v>
      </c>
      <c r="K130" t="s">
        <v>13321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13192</v>
      </c>
      <c r="K131" t="s">
        <v>13322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13192</v>
      </c>
      <c r="K132" t="s">
        <v>13323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13192</v>
      </c>
      <c r="K133" t="s">
        <v>13324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13192</v>
      </c>
      <c r="K134" t="s">
        <v>13325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13192</v>
      </c>
      <c r="K135" t="s">
        <v>13326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13192</v>
      </c>
      <c r="K136" t="s">
        <v>13327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13192</v>
      </c>
      <c r="K137" t="s">
        <v>13328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13192</v>
      </c>
      <c r="K138" t="s">
        <v>13329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13192</v>
      </c>
      <c r="K139" t="s">
        <v>13330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13192</v>
      </c>
      <c r="K140" t="s">
        <v>13331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13192</v>
      </c>
      <c r="K141" t="s">
        <v>13332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13192</v>
      </c>
      <c r="K142" t="s">
        <v>13333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13192</v>
      </c>
      <c r="K143" t="s">
        <v>13334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13192</v>
      </c>
      <c r="K144" t="s">
        <v>13335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13192</v>
      </c>
      <c r="K145" t="s">
        <v>13336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13192</v>
      </c>
      <c r="K146" t="s">
        <v>13337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13192</v>
      </c>
      <c r="K147" t="s">
        <v>13338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13192</v>
      </c>
      <c r="K148" t="s">
        <v>13339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13192</v>
      </c>
      <c r="K149" t="s">
        <v>13340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13192</v>
      </c>
      <c r="K150" t="s">
        <v>13341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13192</v>
      </c>
      <c r="K151" t="s">
        <v>13342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13192</v>
      </c>
      <c r="K152" t="s">
        <v>13343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13192</v>
      </c>
      <c r="K153" t="s">
        <v>13344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13192</v>
      </c>
      <c r="K154" t="s">
        <v>13345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13192</v>
      </c>
      <c r="K155" t="s">
        <v>13346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13192</v>
      </c>
      <c r="K156" t="s">
        <v>13347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13192</v>
      </c>
      <c r="K157" t="s">
        <v>13348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13192</v>
      </c>
      <c r="K158" t="s">
        <v>13349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13192</v>
      </c>
      <c r="K159" t="s">
        <v>13350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13192</v>
      </c>
      <c r="K160" t="s">
        <v>13351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13192</v>
      </c>
      <c r="K161" t="s">
        <v>13352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13192</v>
      </c>
      <c r="K162" t="s">
        <v>13353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13192</v>
      </c>
      <c r="K163" t="s">
        <v>13354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13192</v>
      </c>
      <c r="K164" t="s">
        <v>13355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13192</v>
      </c>
      <c r="K165" t="s">
        <v>13356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13192</v>
      </c>
      <c r="K166" t="s">
        <v>13357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13192</v>
      </c>
      <c r="K167" t="s">
        <v>13358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13192</v>
      </c>
      <c r="K168" t="s">
        <v>13359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13192</v>
      </c>
      <c r="K169" t="s">
        <v>13360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13192</v>
      </c>
      <c r="K170" t="s">
        <v>13361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13192</v>
      </c>
      <c r="K171" t="s">
        <v>13362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13192</v>
      </c>
      <c r="K172" t="s">
        <v>13363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13192</v>
      </c>
      <c r="K173" t="s">
        <v>13364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13192</v>
      </c>
      <c r="K174" t="s">
        <v>13365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13192</v>
      </c>
      <c r="K175" t="s">
        <v>13366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13192</v>
      </c>
      <c r="K176" t="s">
        <v>13367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13192</v>
      </c>
      <c r="K177" t="s">
        <v>13368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13192</v>
      </c>
      <c r="K178" t="s">
        <v>13369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13192</v>
      </c>
      <c r="K179" t="s">
        <v>13370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13192</v>
      </c>
      <c r="K180" t="s">
        <v>13371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13192</v>
      </c>
      <c r="K181" t="s">
        <v>13372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13192</v>
      </c>
      <c r="K182" t="s">
        <v>13373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13192</v>
      </c>
      <c r="K183" t="s">
        <v>13374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13192</v>
      </c>
      <c r="K184" t="s">
        <v>13375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13192</v>
      </c>
      <c r="K185" t="s">
        <v>13376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13192</v>
      </c>
      <c r="K186" t="s">
        <v>13377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13192</v>
      </c>
      <c r="K187" t="s">
        <v>13378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13192</v>
      </c>
      <c r="K188" t="s">
        <v>13379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13192</v>
      </c>
      <c r="K189" t="s">
        <v>13380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13192</v>
      </c>
      <c r="K190" t="s">
        <v>13381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13192</v>
      </c>
      <c r="K191" t="s">
        <v>13382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13192</v>
      </c>
      <c r="K192" t="s">
        <v>13383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13192</v>
      </c>
      <c r="K193" t="s">
        <v>13384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13192</v>
      </c>
      <c r="K194" t="s">
        <v>13385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13192</v>
      </c>
      <c r="K195" t="s">
        <v>13386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13192</v>
      </c>
      <c r="K196" t="s">
        <v>13387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13192</v>
      </c>
      <c r="K197" t="s">
        <v>13388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13192</v>
      </c>
      <c r="K198" t="s">
        <v>13389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13192</v>
      </c>
      <c r="K199" t="s">
        <v>13390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13192</v>
      </c>
      <c r="K200" t="s">
        <v>13391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13192</v>
      </c>
      <c r="K201" t="s">
        <v>13392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13192</v>
      </c>
      <c r="K202" t="s">
        <v>13393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13192</v>
      </c>
      <c r="K203" t="s">
        <v>13394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13192</v>
      </c>
      <c r="K204" t="s">
        <v>13395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13192</v>
      </c>
      <c r="K205" t="s">
        <v>13396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13192</v>
      </c>
      <c r="K206" t="s">
        <v>13397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13192</v>
      </c>
      <c r="K207" t="s">
        <v>13398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13192</v>
      </c>
      <c r="K208" t="s">
        <v>13399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13192</v>
      </c>
      <c r="K209" t="s">
        <v>13400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13192</v>
      </c>
      <c r="K210" t="s">
        <v>13401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13192</v>
      </c>
      <c r="K211" t="s">
        <v>13402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13192</v>
      </c>
      <c r="K212" t="s">
        <v>13403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13192</v>
      </c>
      <c r="K213" t="s">
        <v>13404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13192</v>
      </c>
      <c r="K214" t="s">
        <v>13405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13192</v>
      </c>
      <c r="K215" t="s">
        <v>13406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13192</v>
      </c>
      <c r="K216" t="s">
        <v>13407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13192</v>
      </c>
      <c r="K217" t="s">
        <v>13408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13192</v>
      </c>
      <c r="K218" t="s">
        <v>13409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13192</v>
      </c>
      <c r="K219" t="s">
        <v>13410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13192</v>
      </c>
      <c r="K220" t="s">
        <v>13411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13192</v>
      </c>
      <c r="K221" t="s">
        <v>13412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13192</v>
      </c>
      <c r="K222" t="s">
        <v>13413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13192</v>
      </c>
      <c r="K223" t="s">
        <v>13414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13192</v>
      </c>
      <c r="K224" t="s">
        <v>13415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13192</v>
      </c>
      <c r="K225" t="s">
        <v>13416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13192</v>
      </c>
      <c r="K226" t="s">
        <v>13417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13192</v>
      </c>
      <c r="K227" t="s">
        <v>13418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13192</v>
      </c>
      <c r="K228" t="s">
        <v>13419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13192</v>
      </c>
      <c r="K229" t="s">
        <v>13420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13192</v>
      </c>
      <c r="K230" t="s">
        <v>13421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13192</v>
      </c>
      <c r="K231" t="s">
        <v>13422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13192</v>
      </c>
      <c r="K232" t="s">
        <v>13423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13192</v>
      </c>
      <c r="K233" t="s">
        <v>13424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13192</v>
      </c>
      <c r="K234" t="s">
        <v>13425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13192</v>
      </c>
      <c r="K235" t="s">
        <v>13426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13192</v>
      </c>
      <c r="K236" t="s">
        <v>13427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13192</v>
      </c>
      <c r="K237" t="s">
        <v>13428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13192</v>
      </c>
      <c r="K238" t="s">
        <v>13429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13192</v>
      </c>
      <c r="K239" t="s">
        <v>13430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13192</v>
      </c>
      <c r="K240" t="s">
        <v>13431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13192</v>
      </c>
      <c r="K241" t="s">
        <v>13432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13192</v>
      </c>
      <c r="K242" t="s">
        <v>13433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13192</v>
      </c>
      <c r="K243" t="s">
        <v>13434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13192</v>
      </c>
      <c r="K244" t="s">
        <v>13435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13192</v>
      </c>
      <c r="K245" t="s">
        <v>13436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13192</v>
      </c>
      <c r="K246" t="s">
        <v>13437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13192</v>
      </c>
      <c r="K247" t="s">
        <v>13438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13192</v>
      </c>
      <c r="K248" t="s">
        <v>13439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13192</v>
      </c>
      <c r="K249" t="s">
        <v>13440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13192</v>
      </c>
      <c r="K250" t="s">
        <v>13441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13192</v>
      </c>
      <c r="K251" t="s">
        <v>13442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13192</v>
      </c>
      <c r="K252" t="s">
        <v>13443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13192</v>
      </c>
      <c r="K253" t="s">
        <v>13444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13192</v>
      </c>
      <c r="K254" t="s">
        <v>13445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13192</v>
      </c>
      <c r="K255" t="s">
        <v>13446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13192</v>
      </c>
      <c r="K256" t="s">
        <v>13447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13192</v>
      </c>
      <c r="K257" t="s">
        <v>13448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13192</v>
      </c>
      <c r="K258" t="s">
        <v>13449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13192</v>
      </c>
      <c r="K259" t="s">
        <v>13450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13192</v>
      </c>
      <c r="K260" t="s">
        <v>13451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13192</v>
      </c>
      <c r="K261" t="s">
        <v>13452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13192</v>
      </c>
      <c r="K262" t="s">
        <v>13453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13192</v>
      </c>
      <c r="K263" t="s">
        <v>13454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13192</v>
      </c>
      <c r="K264" t="s">
        <v>13455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13192</v>
      </c>
      <c r="K265" t="s">
        <v>13456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13192</v>
      </c>
      <c r="K266" t="s">
        <v>13457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13192</v>
      </c>
      <c r="K267" t="s">
        <v>13458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13192</v>
      </c>
      <c r="K268" t="s">
        <v>13459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13192</v>
      </c>
      <c r="K269" t="s">
        <v>13460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13192</v>
      </c>
      <c r="K270" t="s">
        <v>13461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13192</v>
      </c>
      <c r="K271" t="s">
        <v>13462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13192</v>
      </c>
      <c r="K272" t="s">
        <v>13463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13192</v>
      </c>
      <c r="K273" t="s">
        <v>13464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13192</v>
      </c>
      <c r="K274" t="s">
        <v>13465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13192</v>
      </c>
      <c r="K275" t="s">
        <v>13466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13192</v>
      </c>
      <c r="K276" t="s">
        <v>13467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13192</v>
      </c>
      <c r="K277" t="s">
        <v>13468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13192</v>
      </c>
      <c r="K278" t="s">
        <v>13469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13192</v>
      </c>
      <c r="K279" t="s">
        <v>13470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13192</v>
      </c>
      <c r="K280" t="s">
        <v>13471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13192</v>
      </c>
      <c r="K281" t="s">
        <v>13472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13192</v>
      </c>
      <c r="K282" t="s">
        <v>13473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13192</v>
      </c>
      <c r="K283" t="s">
        <v>13474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13192</v>
      </c>
      <c r="K284" t="s">
        <v>13475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13192</v>
      </c>
      <c r="K285" t="s">
        <v>13476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13192</v>
      </c>
      <c r="K286" t="s">
        <v>13477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13192</v>
      </c>
      <c r="K287" t="s">
        <v>13478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13192</v>
      </c>
      <c r="K288" t="s">
        <v>13479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13192</v>
      </c>
      <c r="K289" t="s">
        <v>13480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13192</v>
      </c>
      <c r="K290" t="s">
        <v>13481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10728</v>
      </c>
      <c r="J291" t="s">
        <v>13192</v>
      </c>
      <c r="K291" t="s">
        <v>13482</v>
      </c>
      <c r="L291" t="s">
        <v>10729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11080</v>
      </c>
      <c r="I292" t="s">
        <v>10730</v>
      </c>
      <c r="J292" t="s">
        <v>13192</v>
      </c>
      <c r="K292" t="s">
        <v>13483</v>
      </c>
      <c r="L292" t="s">
        <v>10731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10732</v>
      </c>
      <c r="J293" t="s">
        <v>13192</v>
      </c>
      <c r="K293" t="s">
        <v>13484</v>
      </c>
      <c r="L293" t="s">
        <v>10733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11081</v>
      </c>
      <c r="I294" t="s">
        <v>10734</v>
      </c>
      <c r="J294" t="s">
        <v>13192</v>
      </c>
      <c r="K294" t="s">
        <v>13485</v>
      </c>
      <c r="L294" t="s">
        <v>10735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10736</v>
      </c>
      <c r="J295" t="s">
        <v>13192</v>
      </c>
      <c r="K295" t="s">
        <v>13486</v>
      </c>
      <c r="L295" t="s">
        <v>10737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10738</v>
      </c>
      <c r="J296" t="s">
        <v>13192</v>
      </c>
      <c r="K296" t="s">
        <v>13487</v>
      </c>
      <c r="L296" t="s">
        <v>10739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10740</v>
      </c>
      <c r="J297" t="s">
        <v>13192</v>
      </c>
      <c r="K297" t="s">
        <v>13488</v>
      </c>
      <c r="L297" t="s">
        <v>10741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10742</v>
      </c>
      <c r="J298" t="s">
        <v>13192</v>
      </c>
      <c r="K298" t="s">
        <v>13489</v>
      </c>
      <c r="L298" t="s">
        <v>10743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10744</v>
      </c>
      <c r="J299" t="s">
        <v>13192</v>
      </c>
      <c r="K299" t="s">
        <v>13490</v>
      </c>
      <c r="L299" t="s">
        <v>10745</v>
      </c>
      <c r="M299" s="2" t="str">
        <f>HYPERLINK(склад2въезд1319202122[[#This Row],[RelativePath]])</f>
        <v>8 Ангар вход\GA3948333_1_20260225T204517Z.jpg</v>
      </c>
    </row>
  </sheetData>
  <conditionalFormatting sqref="D300:D310 E300:E313 G2:H299 D2:E299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905" priority="13" operator="notContains" text="порожний">
      <formula>ISERROR(SEARCH("порожний",F2))</formula>
    </cfRule>
  </conditionalFormatting>
  <conditionalFormatting sqref="E2:E313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313">
    <cfRule type="containsText" dxfId="902" priority="10" operator="containsText" text="Трактор базы">
      <formula>NOT(ISERROR(SEARCH("Трактор базы",E2)))</formula>
    </cfRule>
  </conditionalFormatting>
  <conditionalFormatting sqref="A2:C299">
    <cfRule type="expression" dxfId="901" priority="9">
      <formula>$A2="пн"</formula>
    </cfRule>
  </conditionalFormatting>
  <conditionalFormatting sqref="A2:C301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310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12"/>
  <sheetViews>
    <sheetView zoomScale="90" zoomScaleNormal="90" workbookViewId="0">
      <pane ySplit="1" topLeftCell="A598" activePane="bottomLeft" state="frozen"/>
      <selection pane="bottomLeft" activeCell="E619" sqref="E6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11092</v>
      </c>
      <c r="K2" t="s">
        <v>11093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11092</v>
      </c>
      <c r="K3" t="s">
        <v>11094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11092</v>
      </c>
      <c r="K4" t="s">
        <v>11095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11092</v>
      </c>
      <c r="K5" t="s">
        <v>11096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11092</v>
      </c>
      <c r="K6" t="s">
        <v>11097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11092</v>
      </c>
      <c r="K7" t="s">
        <v>11098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11092</v>
      </c>
      <c r="K8" t="s">
        <v>11099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11092</v>
      </c>
      <c r="K9" t="s">
        <v>11100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11092</v>
      </c>
      <c r="K10" t="s">
        <v>11101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11092</v>
      </c>
      <c r="K11" t="s">
        <v>11102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11092</v>
      </c>
      <c r="K12" t="s">
        <v>11103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11092</v>
      </c>
      <c r="K13" t="s">
        <v>11104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11092</v>
      </c>
      <c r="K14" t="s">
        <v>11105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11092</v>
      </c>
      <c r="K15" t="s">
        <v>11106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11092</v>
      </c>
      <c r="K16" t="s">
        <v>11107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11092</v>
      </c>
      <c r="K17" t="s">
        <v>11108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11092</v>
      </c>
      <c r="K18" t="s">
        <v>11109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11092</v>
      </c>
      <c r="K19" t="s">
        <v>11110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11092</v>
      </c>
      <c r="K20" t="s">
        <v>11111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11092</v>
      </c>
      <c r="K21" t="s">
        <v>11112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11092</v>
      </c>
      <c r="K22" t="s">
        <v>11113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11092</v>
      </c>
      <c r="K23" t="s">
        <v>11114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11092</v>
      </c>
      <c r="K24" t="s">
        <v>11115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11092</v>
      </c>
      <c r="K25" t="s">
        <v>11116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11092</v>
      </c>
      <c r="K26" t="s">
        <v>11117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11092</v>
      </c>
      <c r="K27" t="s">
        <v>11118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11092</v>
      </c>
      <c r="K28" t="s">
        <v>11119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11092</v>
      </c>
      <c r="K29" t="s">
        <v>11120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11092</v>
      </c>
      <c r="K30" t="s">
        <v>11121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11092</v>
      </c>
      <c r="K31" t="s">
        <v>11122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11092</v>
      </c>
      <c r="K32" t="s">
        <v>11123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11092</v>
      </c>
      <c r="K33" t="s">
        <v>11124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11092</v>
      </c>
      <c r="K34" t="s">
        <v>11125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11092</v>
      </c>
      <c r="K35" t="s">
        <v>11126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11092</v>
      </c>
      <c r="K36" t="s">
        <v>11127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11092</v>
      </c>
      <c r="K37" t="s">
        <v>11128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11092</v>
      </c>
      <c r="K38" t="s">
        <v>11129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11092</v>
      </c>
      <c r="K39" t="s">
        <v>11130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11092</v>
      </c>
      <c r="K40" t="s">
        <v>11131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11092</v>
      </c>
      <c r="K41" t="s">
        <v>11132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11092</v>
      </c>
      <c r="K42" t="s">
        <v>11133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11092</v>
      </c>
      <c r="K43" t="s">
        <v>11134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11092</v>
      </c>
      <c r="K44" t="s">
        <v>11135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11092</v>
      </c>
      <c r="K45" t="s">
        <v>11136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11092</v>
      </c>
      <c r="K46" t="s">
        <v>11137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11092</v>
      </c>
      <c r="K47" t="s">
        <v>11138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11092</v>
      </c>
      <c r="K48" t="s">
        <v>11139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11092</v>
      </c>
      <c r="K49" t="s">
        <v>11140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11092</v>
      </c>
      <c r="K50" t="s">
        <v>11141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11092</v>
      </c>
      <c r="K51" t="s">
        <v>11142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11092</v>
      </c>
      <c r="K52" t="s">
        <v>11143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11092</v>
      </c>
      <c r="K53" t="s">
        <v>11144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11092</v>
      </c>
      <c r="K54" t="s">
        <v>11145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11092</v>
      </c>
      <c r="K55" t="s">
        <v>11146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11092</v>
      </c>
      <c r="K56" t="s">
        <v>11147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11092</v>
      </c>
      <c r="K57" t="s">
        <v>11148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11092</v>
      </c>
      <c r="K58" t="s">
        <v>11149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11092</v>
      </c>
      <c r="K59" t="s">
        <v>11150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11092</v>
      </c>
      <c r="K60" t="s">
        <v>11151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11092</v>
      </c>
      <c r="K61" t="s">
        <v>11152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11092</v>
      </c>
      <c r="K62" t="s">
        <v>11153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11092</v>
      </c>
      <c r="K63" t="s">
        <v>11154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11092</v>
      </c>
      <c r="K64" t="s">
        <v>11155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11092</v>
      </c>
      <c r="K65" t="s">
        <v>11156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11092</v>
      </c>
      <c r="K66" t="s">
        <v>11157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11092</v>
      </c>
      <c r="K67" t="s">
        <v>11158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11092</v>
      </c>
      <c r="K68" t="s">
        <v>11159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11092</v>
      </c>
      <c r="K69" t="s">
        <v>11160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11092</v>
      </c>
      <c r="K70" t="s">
        <v>11161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11092</v>
      </c>
      <c r="K71" t="s">
        <v>11162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11092</v>
      </c>
      <c r="K72" t="s">
        <v>11163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11092</v>
      </c>
      <c r="K73" t="s">
        <v>11164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11092</v>
      </c>
      <c r="K74" t="s">
        <v>11165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11092</v>
      </c>
      <c r="K75" t="s">
        <v>11166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11092</v>
      </c>
      <c r="K76" t="s">
        <v>11167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11092</v>
      </c>
      <c r="K77" t="s">
        <v>11168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11092</v>
      </c>
      <c r="K78" t="s">
        <v>11169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11092</v>
      </c>
      <c r="K79" t="s">
        <v>11170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11092</v>
      </c>
      <c r="K80" t="s">
        <v>11171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11092</v>
      </c>
      <c r="K81" t="s">
        <v>11172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11092</v>
      </c>
      <c r="K82" t="s">
        <v>11173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11092</v>
      </c>
      <c r="K83" t="s">
        <v>11174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11092</v>
      </c>
      <c r="K84" t="s">
        <v>11175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11092</v>
      </c>
      <c r="K85" t="s">
        <v>11176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11092</v>
      </c>
      <c r="K86" t="s">
        <v>11177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11092</v>
      </c>
      <c r="K87" t="s">
        <v>11178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11092</v>
      </c>
      <c r="K88" t="s">
        <v>11179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11092</v>
      </c>
      <c r="K89" t="s">
        <v>11180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11092</v>
      </c>
      <c r="K90" t="s">
        <v>11181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11092</v>
      </c>
      <c r="K91" t="s">
        <v>11182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11092</v>
      </c>
      <c r="K92" t="s">
        <v>11183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11092</v>
      </c>
      <c r="K93" t="s">
        <v>11184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11092</v>
      </c>
      <c r="K94" t="s">
        <v>11185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11092</v>
      </c>
      <c r="K95" t="s">
        <v>11186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11092</v>
      </c>
      <c r="K96" t="s">
        <v>11187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11092</v>
      </c>
      <c r="K97" t="s">
        <v>11188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11092</v>
      </c>
      <c r="K98" t="s">
        <v>11189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11092</v>
      </c>
      <c r="K99" t="s">
        <v>11190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11092</v>
      </c>
      <c r="K100" t="s">
        <v>11191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11092</v>
      </c>
      <c r="K101" t="s">
        <v>11192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11092</v>
      </c>
      <c r="K102" t="s">
        <v>11193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11092</v>
      </c>
      <c r="K103" t="s">
        <v>11194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11092</v>
      </c>
      <c r="K104" t="s">
        <v>11195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11092</v>
      </c>
      <c r="K105" t="s">
        <v>11196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11092</v>
      </c>
      <c r="K106" t="s">
        <v>11197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11092</v>
      </c>
      <c r="K107" t="s">
        <v>11198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11092</v>
      </c>
      <c r="K108" t="s">
        <v>11199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11092</v>
      </c>
      <c r="K109" t="s">
        <v>11200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11092</v>
      </c>
      <c r="K110" t="s">
        <v>11201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11092</v>
      </c>
      <c r="K111" t="s">
        <v>11202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11092</v>
      </c>
      <c r="K112" t="s">
        <v>11203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11092</v>
      </c>
      <c r="K113" t="s">
        <v>11204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11092</v>
      </c>
      <c r="K114" t="s">
        <v>11205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11092</v>
      </c>
      <c r="K115" t="s">
        <v>11206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11092</v>
      </c>
      <c r="K116" t="s">
        <v>11207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11092</v>
      </c>
      <c r="K117" t="s">
        <v>11208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11092</v>
      </c>
      <c r="K118" t="s">
        <v>11209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11092</v>
      </c>
      <c r="K119" t="s">
        <v>11210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11092</v>
      </c>
      <c r="K120" t="s">
        <v>11211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11092</v>
      </c>
      <c r="K121" t="s">
        <v>11212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11092</v>
      </c>
      <c r="K122" t="s">
        <v>11213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11092</v>
      </c>
      <c r="K123" t="s">
        <v>11214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11092</v>
      </c>
      <c r="K124" t="s">
        <v>11215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11092</v>
      </c>
      <c r="K125" t="s">
        <v>11216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11092</v>
      </c>
      <c r="K126" t="s">
        <v>11217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11092</v>
      </c>
      <c r="K127" t="s">
        <v>11218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11092</v>
      </c>
      <c r="K128" t="s">
        <v>11219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11092</v>
      </c>
      <c r="K129" t="s">
        <v>11220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11092</v>
      </c>
      <c r="K130" t="s">
        <v>11221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11092</v>
      </c>
      <c r="K131" t="s">
        <v>11222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11092</v>
      </c>
      <c r="K132" t="s">
        <v>11223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11092</v>
      </c>
      <c r="K133" t="s">
        <v>11224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11092</v>
      </c>
      <c r="K134" t="s">
        <v>11225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11092</v>
      </c>
      <c r="K135" t="s">
        <v>11226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11092</v>
      </c>
      <c r="K136" t="s">
        <v>11227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11092</v>
      </c>
      <c r="K137" t="s">
        <v>11228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11092</v>
      </c>
      <c r="K138" t="s">
        <v>11229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11092</v>
      </c>
      <c r="K139" t="s">
        <v>11230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11092</v>
      </c>
      <c r="K140" t="s">
        <v>11231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11092</v>
      </c>
      <c r="K141" t="s">
        <v>11232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11092</v>
      </c>
      <c r="K142" t="s">
        <v>11233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11092</v>
      </c>
      <c r="K143" t="s">
        <v>11234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11092</v>
      </c>
      <c r="K144" t="s">
        <v>11235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11092</v>
      </c>
      <c r="K145" t="s">
        <v>11236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11092</v>
      </c>
      <c r="K146" t="s">
        <v>11237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11092</v>
      </c>
      <c r="K147" t="s">
        <v>11238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11092</v>
      </c>
      <c r="K148" t="s">
        <v>11239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11092</v>
      </c>
      <c r="K149" t="s">
        <v>11240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11092</v>
      </c>
      <c r="K150" t="s">
        <v>11241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11092</v>
      </c>
      <c r="K151" t="s">
        <v>11242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11092</v>
      </c>
      <c r="K152" t="s">
        <v>11243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11092</v>
      </c>
      <c r="K153" t="s">
        <v>11244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11092</v>
      </c>
      <c r="K154" t="s">
        <v>11245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11092</v>
      </c>
      <c r="K155" t="s">
        <v>11246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11092</v>
      </c>
      <c r="K156" t="s">
        <v>11247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11092</v>
      </c>
      <c r="K157" t="s">
        <v>11248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11092</v>
      </c>
      <c r="K158" t="s">
        <v>11249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11092</v>
      </c>
      <c r="K159" t="s">
        <v>11250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11092</v>
      </c>
      <c r="K160" t="s">
        <v>11251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11092</v>
      </c>
      <c r="K161" t="s">
        <v>11252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11092</v>
      </c>
      <c r="K162" t="s">
        <v>11253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11092</v>
      </c>
      <c r="K163" t="s">
        <v>11254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11092</v>
      </c>
      <c r="K164" t="s">
        <v>11255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11092</v>
      </c>
      <c r="K165" t="s">
        <v>11256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11092</v>
      </c>
      <c r="K166" t="s">
        <v>11257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11092</v>
      </c>
      <c r="K167" t="s">
        <v>11258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11092</v>
      </c>
      <c r="K168" t="s">
        <v>11259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11092</v>
      </c>
      <c r="K169" t="s">
        <v>11260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11092</v>
      </c>
      <c r="K170" t="s">
        <v>11261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11092</v>
      </c>
      <c r="K171" t="s">
        <v>11262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11092</v>
      </c>
      <c r="K172" t="s">
        <v>11263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11092</v>
      </c>
      <c r="K173" t="s">
        <v>11264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11092</v>
      </c>
      <c r="K174" t="s">
        <v>11265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11092</v>
      </c>
      <c r="K175" t="s">
        <v>11266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11092</v>
      </c>
      <c r="K176" t="s">
        <v>11267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11092</v>
      </c>
      <c r="K177" t="s">
        <v>11268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11092</v>
      </c>
      <c r="K178" t="s">
        <v>11269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11092</v>
      </c>
      <c r="K179" t="s">
        <v>11270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11092</v>
      </c>
      <c r="K180" t="s">
        <v>11271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11092</v>
      </c>
      <c r="K181" t="s">
        <v>11272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11092</v>
      </c>
      <c r="K182" t="s">
        <v>11273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11092</v>
      </c>
      <c r="K183" t="s">
        <v>11274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11092</v>
      </c>
      <c r="K184" t="s">
        <v>11275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11092</v>
      </c>
      <c r="K185" t="s">
        <v>11276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11092</v>
      </c>
      <c r="K186" t="s">
        <v>11277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11092</v>
      </c>
      <c r="K187" t="s">
        <v>11278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11092</v>
      </c>
      <c r="K188" t="s">
        <v>11279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11092</v>
      </c>
      <c r="K189" t="s">
        <v>11280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11092</v>
      </c>
      <c r="K190" t="s">
        <v>11281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11092</v>
      </c>
      <c r="K191" t="s">
        <v>11282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11092</v>
      </c>
      <c r="K192" t="s">
        <v>11283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11092</v>
      </c>
      <c r="K193" t="s">
        <v>11284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11092</v>
      </c>
      <c r="K194" t="s">
        <v>11285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11092</v>
      </c>
      <c r="K195" t="s">
        <v>11286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11092</v>
      </c>
      <c r="K196" t="s">
        <v>11287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11092</v>
      </c>
      <c r="K197" t="s">
        <v>11288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11092</v>
      </c>
      <c r="K198" t="s">
        <v>11289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11092</v>
      </c>
      <c r="K199" t="s">
        <v>11290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11092</v>
      </c>
      <c r="K200" t="s">
        <v>11291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11092</v>
      </c>
      <c r="K201" t="s">
        <v>11292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11092</v>
      </c>
      <c r="K202" t="s">
        <v>11293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11092</v>
      </c>
      <c r="K203" t="s">
        <v>11294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11092</v>
      </c>
      <c r="K204" t="s">
        <v>11295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11092</v>
      </c>
      <c r="K205" t="s">
        <v>11296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11092</v>
      </c>
      <c r="K206" t="s">
        <v>11297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11092</v>
      </c>
      <c r="K207" t="s">
        <v>11298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11092</v>
      </c>
      <c r="K208" t="s">
        <v>11299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11092</v>
      </c>
      <c r="K209" t="s">
        <v>11300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11092</v>
      </c>
      <c r="K210" t="s">
        <v>11301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11092</v>
      </c>
      <c r="K211" t="s">
        <v>11302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11092</v>
      </c>
      <c r="K212" t="s">
        <v>11303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11092</v>
      </c>
      <c r="K213" t="s">
        <v>11304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11092</v>
      </c>
      <c r="K214" t="s">
        <v>11305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11092</v>
      </c>
      <c r="K215" t="s">
        <v>11306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11092</v>
      </c>
      <c r="K216" t="s">
        <v>11307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11092</v>
      </c>
      <c r="K217" t="s">
        <v>11308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11092</v>
      </c>
      <c r="K218" t="s">
        <v>11309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11092</v>
      </c>
      <c r="K219" t="s">
        <v>11310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11092</v>
      </c>
      <c r="K220" t="s">
        <v>11311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11092</v>
      </c>
      <c r="K221" t="s">
        <v>11312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11092</v>
      </c>
      <c r="K222" t="s">
        <v>11313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11092</v>
      </c>
      <c r="K223" t="s">
        <v>11314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11092</v>
      </c>
      <c r="K224" t="s">
        <v>11315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11092</v>
      </c>
      <c r="K225" t="s">
        <v>11316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11092</v>
      </c>
      <c r="K226" t="s">
        <v>11317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11092</v>
      </c>
      <c r="K227" t="s">
        <v>11318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11092</v>
      </c>
      <c r="K228" t="s">
        <v>11319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11092</v>
      </c>
      <c r="K229" t="s">
        <v>11320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11092</v>
      </c>
      <c r="K230" t="s">
        <v>11321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11092</v>
      </c>
      <c r="K231" t="s">
        <v>11322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11092</v>
      </c>
      <c r="K232" t="s">
        <v>11323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11092</v>
      </c>
      <c r="K233" t="s">
        <v>11324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11092</v>
      </c>
      <c r="K234" t="s">
        <v>11325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11092</v>
      </c>
      <c r="K235" t="s">
        <v>11326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11092</v>
      </c>
      <c r="K236" t="s">
        <v>11327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11092</v>
      </c>
      <c r="K237" t="s">
        <v>11328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11092</v>
      </c>
      <c r="K238" t="s">
        <v>11329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11092</v>
      </c>
      <c r="K239" t="s">
        <v>11330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11092</v>
      </c>
      <c r="K240" t="s">
        <v>11331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11092</v>
      </c>
      <c r="K241" t="s">
        <v>11332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11092</v>
      </c>
      <c r="K242" t="s">
        <v>11333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11092</v>
      </c>
      <c r="K243" t="s">
        <v>11334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11092</v>
      </c>
      <c r="K244" t="s">
        <v>11335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11092</v>
      </c>
      <c r="K245" t="s">
        <v>11336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11092</v>
      </c>
      <c r="K246" t="s">
        <v>11337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11092</v>
      </c>
      <c r="K247" t="s">
        <v>11338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11092</v>
      </c>
      <c r="K248" t="s">
        <v>11339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11092</v>
      </c>
      <c r="K249" t="s">
        <v>11340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11092</v>
      </c>
      <c r="K250" t="s">
        <v>11341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11092</v>
      </c>
      <c r="K251" t="s">
        <v>11342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11092</v>
      </c>
      <c r="K252" t="s">
        <v>11343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11092</v>
      </c>
      <c r="K253" t="s">
        <v>11344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11092</v>
      </c>
      <c r="K254" t="s">
        <v>11345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11092</v>
      </c>
      <c r="K255" t="s">
        <v>11346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11092</v>
      </c>
      <c r="K256" t="s">
        <v>11347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11092</v>
      </c>
      <c r="K257" t="s">
        <v>11348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11092</v>
      </c>
      <c r="K258" t="s">
        <v>11349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11092</v>
      </c>
      <c r="K259" t="s">
        <v>11350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11092</v>
      </c>
      <c r="K260" t="s">
        <v>11351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11092</v>
      </c>
      <c r="K261" t="s">
        <v>11352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11092</v>
      </c>
      <c r="K262" t="s">
        <v>11353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11092</v>
      </c>
      <c r="K263" t="s">
        <v>11354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11092</v>
      </c>
      <c r="K264" t="s">
        <v>11355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11092</v>
      </c>
      <c r="K265" t="s">
        <v>11356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11092</v>
      </c>
      <c r="K266" t="s">
        <v>11357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11092</v>
      </c>
      <c r="K267" t="s">
        <v>11358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11092</v>
      </c>
      <c r="K268" t="s">
        <v>11359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11092</v>
      </c>
      <c r="K269" t="s">
        <v>11360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11092</v>
      </c>
      <c r="K270" t="s">
        <v>11361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11092</v>
      </c>
      <c r="K271" t="s">
        <v>11362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11092</v>
      </c>
      <c r="K272" t="s">
        <v>11363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11092</v>
      </c>
      <c r="K273" t="s">
        <v>11364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11092</v>
      </c>
      <c r="K274" t="s">
        <v>11365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11092</v>
      </c>
      <c r="K275" t="s">
        <v>11366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11092</v>
      </c>
      <c r="K276" t="s">
        <v>11367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11092</v>
      </c>
      <c r="K277" t="s">
        <v>11368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11092</v>
      </c>
      <c r="K278" t="s">
        <v>11369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11092</v>
      </c>
      <c r="K279" t="s">
        <v>11370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11092</v>
      </c>
      <c r="K280" t="s">
        <v>11371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11092</v>
      </c>
      <c r="K281" t="s">
        <v>11372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11092</v>
      </c>
      <c r="K282" t="s">
        <v>11373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11092</v>
      </c>
      <c r="K283" t="s">
        <v>11374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11092</v>
      </c>
      <c r="K284" t="s">
        <v>11375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11092</v>
      </c>
      <c r="K285" t="s">
        <v>11376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11092</v>
      </c>
      <c r="K286" t="s">
        <v>11377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11092</v>
      </c>
      <c r="K287" t="s">
        <v>11378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11092</v>
      </c>
      <c r="K288" t="s">
        <v>11379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11092</v>
      </c>
      <c r="K289" t="s">
        <v>11380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11092</v>
      </c>
      <c r="K290" t="s">
        <v>11381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11092</v>
      </c>
      <c r="K291" t="s">
        <v>11382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11092</v>
      </c>
      <c r="K292" t="s">
        <v>11383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11092</v>
      </c>
      <c r="K293" t="s">
        <v>11384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11092</v>
      </c>
      <c r="K294" t="s">
        <v>11385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11092</v>
      </c>
      <c r="K295" t="s">
        <v>11386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11092</v>
      </c>
      <c r="K296" t="s">
        <v>11387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11092</v>
      </c>
      <c r="K297" t="s">
        <v>11388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11092</v>
      </c>
      <c r="K298" t="s">
        <v>11389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11092</v>
      </c>
      <c r="K299" t="s">
        <v>11390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11092</v>
      </c>
      <c r="K300" t="s">
        <v>11391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11092</v>
      </c>
      <c r="K301" t="s">
        <v>11392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11092</v>
      </c>
      <c r="K302" t="s">
        <v>11393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11092</v>
      </c>
      <c r="K303" t="s">
        <v>11394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11092</v>
      </c>
      <c r="K304" t="s">
        <v>11395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11092</v>
      </c>
      <c r="K305" t="s">
        <v>11396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11092</v>
      </c>
      <c r="K306" t="s">
        <v>11397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11092</v>
      </c>
      <c r="K307" t="s">
        <v>11398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11092</v>
      </c>
      <c r="K308" t="s">
        <v>11399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11092</v>
      </c>
      <c r="K309" t="s">
        <v>11400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11092</v>
      </c>
      <c r="K310" t="s">
        <v>11401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11092</v>
      </c>
      <c r="K311" t="s">
        <v>11402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11092</v>
      </c>
      <c r="K312" t="s">
        <v>11403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11092</v>
      </c>
      <c r="K313" t="s">
        <v>11404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11092</v>
      </c>
      <c r="K314" t="s">
        <v>11405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11092</v>
      </c>
      <c r="K315" t="s">
        <v>11406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11092</v>
      </c>
      <c r="K316" t="s">
        <v>11407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11092</v>
      </c>
      <c r="K317" t="s">
        <v>11408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11092</v>
      </c>
      <c r="K318" t="s">
        <v>11409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11092</v>
      </c>
      <c r="K319" t="s">
        <v>11410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11092</v>
      </c>
      <c r="K320" t="s">
        <v>11411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11092</v>
      </c>
      <c r="K321" t="s">
        <v>11412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11092</v>
      </c>
      <c r="K322" t="s">
        <v>11413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11092</v>
      </c>
      <c r="K323" t="s">
        <v>11414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11092</v>
      </c>
      <c r="K324" t="s">
        <v>11415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11092</v>
      </c>
      <c r="K325" t="s">
        <v>11416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11092</v>
      </c>
      <c r="K326" t="s">
        <v>11417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11092</v>
      </c>
      <c r="K327" t="s">
        <v>11418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11092</v>
      </c>
      <c r="K328" t="s">
        <v>11419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11092</v>
      </c>
      <c r="K329" t="s">
        <v>11420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11092</v>
      </c>
      <c r="K330" t="s">
        <v>11421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11092</v>
      </c>
      <c r="K331" t="s">
        <v>11422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11092</v>
      </c>
      <c r="K332" t="s">
        <v>11423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11092</v>
      </c>
      <c r="K333" t="s">
        <v>11424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11092</v>
      </c>
      <c r="K334" t="s">
        <v>11425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11092</v>
      </c>
      <c r="K335" t="s">
        <v>11426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11092</v>
      </c>
      <c r="K336" t="s">
        <v>11427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11092</v>
      </c>
      <c r="K337" t="s">
        <v>11428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11092</v>
      </c>
      <c r="K338" t="s">
        <v>11429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11092</v>
      </c>
      <c r="K339" t="s">
        <v>11430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11092</v>
      </c>
      <c r="K340" t="s">
        <v>11431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11092</v>
      </c>
      <c r="K341" t="s">
        <v>11432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11092</v>
      </c>
      <c r="K342" t="s">
        <v>11433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11092</v>
      </c>
      <c r="K343" t="s">
        <v>11434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11092</v>
      </c>
      <c r="K344" t="s">
        <v>11435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11092</v>
      </c>
      <c r="K345" t="s">
        <v>11436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11092</v>
      </c>
      <c r="K346" t="s">
        <v>11437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11092</v>
      </c>
      <c r="K347" t="s">
        <v>11438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11092</v>
      </c>
      <c r="K348" t="s">
        <v>11439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11092</v>
      </c>
      <c r="K349" t="s">
        <v>11440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11092</v>
      </c>
      <c r="K350" t="s">
        <v>11441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11092</v>
      </c>
      <c r="K351" t="s">
        <v>11442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11092</v>
      </c>
      <c r="K352" t="s">
        <v>11443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11092</v>
      </c>
      <c r="K353" t="s">
        <v>11444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11092</v>
      </c>
      <c r="K354" t="s">
        <v>11445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11092</v>
      </c>
      <c r="K355" t="s">
        <v>11446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11092</v>
      </c>
      <c r="K356" t="s">
        <v>11447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11092</v>
      </c>
      <c r="K357" t="s">
        <v>11448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11092</v>
      </c>
      <c r="K358" t="s">
        <v>11449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11092</v>
      </c>
      <c r="K359" t="s">
        <v>11450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11092</v>
      </c>
      <c r="K360" t="s">
        <v>11451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11092</v>
      </c>
      <c r="K361" t="s">
        <v>11452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11092</v>
      </c>
      <c r="K362" t="s">
        <v>11453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11092</v>
      </c>
      <c r="K363" t="s">
        <v>11454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11092</v>
      </c>
      <c r="K364" t="s">
        <v>11455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11092</v>
      </c>
      <c r="K365" t="s">
        <v>11456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11092</v>
      </c>
      <c r="K366" t="s">
        <v>11457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11092</v>
      </c>
      <c r="K367" t="s">
        <v>11458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11092</v>
      </c>
      <c r="K368" t="s">
        <v>11459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11092</v>
      </c>
      <c r="K369" t="s">
        <v>11460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11092</v>
      </c>
      <c r="K370" t="s">
        <v>11461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11092</v>
      </c>
      <c r="K371" t="s">
        <v>11462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11092</v>
      </c>
      <c r="K372" t="s">
        <v>11463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11092</v>
      </c>
      <c r="K373" t="s">
        <v>11464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11092</v>
      </c>
      <c r="K374" t="s">
        <v>11465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11092</v>
      </c>
      <c r="K375" t="s">
        <v>11466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11092</v>
      </c>
      <c r="K376" t="s">
        <v>11467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11092</v>
      </c>
      <c r="K377" t="s">
        <v>11468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11092</v>
      </c>
      <c r="K378" t="s">
        <v>11469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11092</v>
      </c>
      <c r="K379" t="s">
        <v>11470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11092</v>
      </c>
      <c r="K380" t="s">
        <v>11471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11092</v>
      </c>
      <c r="K381" t="s">
        <v>11472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11092</v>
      </c>
      <c r="K382" t="s">
        <v>11473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11092</v>
      </c>
      <c r="K383" t="s">
        <v>11474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11092</v>
      </c>
      <c r="K384" t="s">
        <v>11475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11092</v>
      </c>
      <c r="K385" t="s">
        <v>11476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11092</v>
      </c>
      <c r="K386" t="s">
        <v>11477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11092</v>
      </c>
      <c r="K387" t="s">
        <v>11478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11092</v>
      </c>
      <c r="K388" t="s">
        <v>11479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11092</v>
      </c>
      <c r="K389" t="s">
        <v>11480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11092</v>
      </c>
      <c r="K390" t="s">
        <v>11481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11092</v>
      </c>
      <c r="K391" t="s">
        <v>11482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11092</v>
      </c>
      <c r="K392" t="s">
        <v>11483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11092</v>
      </c>
      <c r="K393" t="s">
        <v>11484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11092</v>
      </c>
      <c r="K394" t="s">
        <v>11485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11092</v>
      </c>
      <c r="K395" t="s">
        <v>11486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11092</v>
      </c>
      <c r="K396" t="s">
        <v>11487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11092</v>
      </c>
      <c r="K397" t="s">
        <v>11488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11092</v>
      </c>
      <c r="K398" t="s">
        <v>11489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11092</v>
      </c>
      <c r="K399" t="s">
        <v>11490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11092</v>
      </c>
      <c r="K400" t="s">
        <v>11491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11092</v>
      </c>
      <c r="K401" t="s">
        <v>11492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11092</v>
      </c>
      <c r="K402" t="s">
        <v>11493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11092</v>
      </c>
      <c r="K403" t="s">
        <v>11494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11092</v>
      </c>
      <c r="K404" t="s">
        <v>11495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11092</v>
      </c>
      <c r="K405" t="s">
        <v>11496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11092</v>
      </c>
      <c r="K406" t="s">
        <v>11497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11092</v>
      </c>
      <c r="K407" t="s">
        <v>11498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11092</v>
      </c>
      <c r="K408" t="s">
        <v>11499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11092</v>
      </c>
      <c r="K409" t="s">
        <v>11500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11092</v>
      </c>
      <c r="K410" t="s">
        <v>11501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11092</v>
      </c>
      <c r="K411" t="s">
        <v>11502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11092</v>
      </c>
      <c r="K412" t="s">
        <v>11503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11092</v>
      </c>
      <c r="K413" t="s">
        <v>11504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11092</v>
      </c>
      <c r="K414" t="s">
        <v>11505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11092</v>
      </c>
      <c r="K415" t="s">
        <v>11506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11092</v>
      </c>
      <c r="K416" t="s">
        <v>11507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11092</v>
      </c>
      <c r="K417" t="s">
        <v>11508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11092</v>
      </c>
      <c r="K418" t="s">
        <v>11509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11092</v>
      </c>
      <c r="K419" t="s">
        <v>11510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11092</v>
      </c>
      <c r="K420" t="s">
        <v>11511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11092</v>
      </c>
      <c r="K421" t="s">
        <v>11512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11092</v>
      </c>
      <c r="K422" t="s">
        <v>11513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11092</v>
      </c>
      <c r="K423" t="s">
        <v>11514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11092</v>
      </c>
      <c r="K424" t="s">
        <v>11515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11092</v>
      </c>
      <c r="K425" t="s">
        <v>11516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11092</v>
      </c>
      <c r="K426" t="s">
        <v>11517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11092</v>
      </c>
      <c r="K427" t="s">
        <v>11518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11092</v>
      </c>
      <c r="K428" t="s">
        <v>11519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11092</v>
      </c>
      <c r="K429" t="s">
        <v>11520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11092</v>
      </c>
      <c r="K430" t="s">
        <v>11521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11092</v>
      </c>
      <c r="K431" t="s">
        <v>11522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11092</v>
      </c>
      <c r="K432" t="s">
        <v>11523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11092</v>
      </c>
      <c r="K433" t="s">
        <v>11524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11092</v>
      </c>
      <c r="K434" t="s">
        <v>11525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11092</v>
      </c>
      <c r="K435" t="s">
        <v>11526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11092</v>
      </c>
      <c r="K436" t="s">
        <v>11527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11092</v>
      </c>
      <c r="K437" t="s">
        <v>11528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11092</v>
      </c>
      <c r="K438" t="s">
        <v>11529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11092</v>
      </c>
      <c r="K439" t="s">
        <v>11530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11092</v>
      </c>
      <c r="K440" t="s">
        <v>11531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11092</v>
      </c>
      <c r="K441" t="s">
        <v>11532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11092</v>
      </c>
      <c r="K442" t="s">
        <v>11533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11092</v>
      </c>
      <c r="K443" t="s">
        <v>11534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11092</v>
      </c>
      <c r="K444" t="s">
        <v>11535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11092</v>
      </c>
      <c r="K445" t="s">
        <v>11536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11092</v>
      </c>
      <c r="K446" t="s">
        <v>11537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11092</v>
      </c>
      <c r="K447" t="s">
        <v>11538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11092</v>
      </c>
      <c r="K448" t="s">
        <v>11539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11092</v>
      </c>
      <c r="K449" t="s">
        <v>11540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11092</v>
      </c>
      <c r="K450" t="s">
        <v>11541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11092</v>
      </c>
      <c r="K451" t="s">
        <v>11542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11092</v>
      </c>
      <c r="K452" t="s">
        <v>11543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11092</v>
      </c>
      <c r="K453" t="s">
        <v>11544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11092</v>
      </c>
      <c r="K454" t="s">
        <v>11545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11092</v>
      </c>
      <c r="K455" t="s">
        <v>11546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11092</v>
      </c>
      <c r="K456" t="s">
        <v>11547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11092</v>
      </c>
      <c r="K457" t="s">
        <v>11548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11092</v>
      </c>
      <c r="K458" t="s">
        <v>11549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11092</v>
      </c>
      <c r="K459" t="s">
        <v>11550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11092</v>
      </c>
      <c r="K460" t="s">
        <v>11551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11092</v>
      </c>
      <c r="K461" t="s">
        <v>11552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11092</v>
      </c>
      <c r="K462" t="s">
        <v>11553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11092</v>
      </c>
      <c r="K463" t="s">
        <v>11554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11092</v>
      </c>
      <c r="K464" t="s">
        <v>11555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11092</v>
      </c>
      <c r="K465" t="s">
        <v>11556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11092</v>
      </c>
      <c r="K466" t="s">
        <v>11557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11092</v>
      </c>
      <c r="K467" t="s">
        <v>11558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11092</v>
      </c>
      <c r="K468" t="s">
        <v>11559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11092</v>
      </c>
      <c r="K469" t="s">
        <v>11560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11092</v>
      </c>
      <c r="K470" t="s">
        <v>11561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11092</v>
      </c>
      <c r="K471" t="s">
        <v>11562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11092</v>
      </c>
      <c r="K472" t="s">
        <v>11563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11092</v>
      </c>
      <c r="K473" t="s">
        <v>11564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11092</v>
      </c>
      <c r="K474" t="s">
        <v>11565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11092</v>
      </c>
      <c r="K475" t="s">
        <v>11566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11092</v>
      </c>
      <c r="K476" t="s">
        <v>11567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11092</v>
      </c>
      <c r="K477" t="s">
        <v>11568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11092</v>
      </c>
      <c r="K478" t="s">
        <v>11569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11092</v>
      </c>
      <c r="K479" t="s">
        <v>11570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11092</v>
      </c>
      <c r="K480" t="s">
        <v>11571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11092</v>
      </c>
      <c r="K481" t="s">
        <v>11572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11092</v>
      </c>
      <c r="K482" t="s">
        <v>11573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11092</v>
      </c>
      <c r="K483" t="s">
        <v>11574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11092</v>
      </c>
      <c r="K484" t="s">
        <v>11575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11092</v>
      </c>
      <c r="K485" t="s">
        <v>11576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11092</v>
      </c>
      <c r="K486" t="s">
        <v>11577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11092</v>
      </c>
      <c r="K487" t="s">
        <v>11578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11092</v>
      </c>
      <c r="K488" t="s">
        <v>11579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11092</v>
      </c>
      <c r="K489" t="s">
        <v>11580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11092</v>
      </c>
      <c r="K490" t="s">
        <v>11581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11092</v>
      </c>
      <c r="K491" t="s">
        <v>11582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11092</v>
      </c>
      <c r="K492" t="s">
        <v>11583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11092</v>
      </c>
      <c r="K493" t="s">
        <v>11584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11092</v>
      </c>
      <c r="K494" t="s">
        <v>11585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11092</v>
      </c>
      <c r="K495" t="s">
        <v>11586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11092</v>
      </c>
      <c r="K496" t="s">
        <v>11587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11092</v>
      </c>
      <c r="K497" t="s">
        <v>11588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11092</v>
      </c>
      <c r="K498" t="s">
        <v>11589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11092</v>
      </c>
      <c r="K499" t="s">
        <v>11590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11092</v>
      </c>
      <c r="K500" t="s">
        <v>11591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11092</v>
      </c>
      <c r="K501" t="s">
        <v>11592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11092</v>
      </c>
      <c r="K502" t="s">
        <v>11593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11092</v>
      </c>
      <c r="K503" t="s">
        <v>11594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11092</v>
      </c>
      <c r="K504" t="s">
        <v>11595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11092</v>
      </c>
      <c r="K505" t="s">
        <v>11596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11092</v>
      </c>
      <c r="K506" t="s">
        <v>11597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11092</v>
      </c>
      <c r="K507" t="s">
        <v>11598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11092</v>
      </c>
      <c r="K508" t="s">
        <v>11599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11092</v>
      </c>
      <c r="K509" t="s">
        <v>11600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11092</v>
      </c>
      <c r="K510" t="s">
        <v>11601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11092</v>
      </c>
      <c r="K511" t="s">
        <v>11602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11092</v>
      </c>
      <c r="K512" t="s">
        <v>11603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11092</v>
      </c>
      <c r="K513" t="s">
        <v>11604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11092</v>
      </c>
      <c r="K514" t="s">
        <v>11605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11092</v>
      </c>
      <c r="K515" t="s">
        <v>11606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11092</v>
      </c>
      <c r="K516" t="s">
        <v>11607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11092</v>
      </c>
      <c r="K517" t="s">
        <v>11608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11092</v>
      </c>
      <c r="K518" t="s">
        <v>11609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11092</v>
      </c>
      <c r="K519" t="s">
        <v>11610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11092</v>
      </c>
      <c r="K520" t="s">
        <v>11611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11092</v>
      </c>
      <c r="K521" t="s">
        <v>11612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11092</v>
      </c>
      <c r="K522" t="s">
        <v>11613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11092</v>
      </c>
      <c r="K523" t="s">
        <v>11614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11092</v>
      </c>
      <c r="K524" t="s">
        <v>11615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11092</v>
      </c>
      <c r="K525" t="s">
        <v>11616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11092</v>
      </c>
      <c r="K526" t="s">
        <v>11617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11092</v>
      </c>
      <c r="K527" t="s">
        <v>11618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11092</v>
      </c>
      <c r="K528" t="s">
        <v>11619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11092</v>
      </c>
      <c r="K529" t="s">
        <v>11620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11092</v>
      </c>
      <c r="K530" t="s">
        <v>11621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11092</v>
      </c>
      <c r="K531" t="s">
        <v>11622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11092</v>
      </c>
      <c r="K532" t="s">
        <v>11623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11092</v>
      </c>
      <c r="K533" t="s">
        <v>11624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11092</v>
      </c>
      <c r="K534" t="s">
        <v>11625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11092</v>
      </c>
      <c r="K535" t="s">
        <v>11626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11092</v>
      </c>
      <c r="K536" t="s">
        <v>11627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11092</v>
      </c>
      <c r="K537" t="s">
        <v>11628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11092</v>
      </c>
      <c r="K538" t="s">
        <v>11629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11092</v>
      </c>
      <c r="K539" t="s">
        <v>11630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11092</v>
      </c>
      <c r="K540" t="s">
        <v>11631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11092</v>
      </c>
      <c r="K541" t="s">
        <v>11632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11092</v>
      </c>
      <c r="K542" t="s">
        <v>11633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11092</v>
      </c>
      <c r="K543" t="s">
        <v>11634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11092</v>
      </c>
      <c r="K544" t="s">
        <v>11635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11092</v>
      </c>
      <c r="K545" t="s">
        <v>11636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11092</v>
      </c>
      <c r="K546" t="s">
        <v>11637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11092</v>
      </c>
      <c r="K547" t="s">
        <v>11638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11092</v>
      </c>
      <c r="K548" t="s">
        <v>11639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11092</v>
      </c>
      <c r="K549" t="s">
        <v>11640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11092</v>
      </c>
      <c r="K550" t="s">
        <v>11641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11092</v>
      </c>
      <c r="K551" t="s">
        <v>11642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11092</v>
      </c>
      <c r="K552" t="s">
        <v>11643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11092</v>
      </c>
      <c r="K553" t="s">
        <v>11644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11092</v>
      </c>
      <c r="K554" t="s">
        <v>11645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11092</v>
      </c>
      <c r="K555" t="s">
        <v>11646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11092</v>
      </c>
      <c r="K556" t="s">
        <v>11647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11092</v>
      </c>
      <c r="K557" t="s">
        <v>11648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11092</v>
      </c>
      <c r="K558" t="s">
        <v>11649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11092</v>
      </c>
      <c r="K559" t="s">
        <v>11650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11092</v>
      </c>
      <c r="K560" t="s">
        <v>11651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11092</v>
      </c>
      <c r="K561" t="s">
        <v>11652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11092</v>
      </c>
      <c r="K562" t="s">
        <v>11653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11092</v>
      </c>
      <c r="K563" t="s">
        <v>11654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11092</v>
      </c>
      <c r="K564" t="s">
        <v>11655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11092</v>
      </c>
      <c r="K565" t="s">
        <v>11656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11092</v>
      </c>
      <c r="K566" t="s">
        <v>11657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11092</v>
      </c>
      <c r="K567" t="s">
        <v>11658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11092</v>
      </c>
      <c r="K568" t="s">
        <v>11659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11092</v>
      </c>
      <c r="K569" t="s">
        <v>11660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11092</v>
      </c>
      <c r="K570" t="s">
        <v>11661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11092</v>
      </c>
      <c r="K571" t="s">
        <v>11662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11092</v>
      </c>
      <c r="K572" t="s">
        <v>11663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11092</v>
      </c>
      <c r="K573" t="s">
        <v>11664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11092</v>
      </c>
      <c r="K574" t="s">
        <v>11665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11092</v>
      </c>
      <c r="K575" t="s">
        <v>11666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11092</v>
      </c>
      <c r="K576" t="s">
        <v>11667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11092</v>
      </c>
      <c r="K577" t="s">
        <v>11668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11092</v>
      </c>
      <c r="K578" t="s">
        <v>11669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11092</v>
      </c>
      <c r="K579" t="s">
        <v>11670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11092</v>
      </c>
      <c r="K580" t="s">
        <v>11671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11092</v>
      </c>
      <c r="K581" t="s">
        <v>11672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11092</v>
      </c>
      <c r="K582" t="s">
        <v>11673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11092</v>
      </c>
      <c r="K583" t="s">
        <v>11674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11092</v>
      </c>
      <c r="K584" t="s">
        <v>11675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11092</v>
      </c>
      <c r="K585" t="s">
        <v>11676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11092</v>
      </c>
      <c r="K586" t="s">
        <v>11677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11092</v>
      </c>
      <c r="K587" t="s">
        <v>11678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11092</v>
      </c>
      <c r="K588" t="s">
        <v>11679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11092</v>
      </c>
      <c r="K589" t="s">
        <v>11680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11092</v>
      </c>
      <c r="K590" t="s">
        <v>11681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11092</v>
      </c>
      <c r="K591" t="s">
        <v>11682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11092</v>
      </c>
      <c r="K592" t="s">
        <v>11683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11092</v>
      </c>
      <c r="K593" t="s">
        <v>11684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11092</v>
      </c>
      <c r="K594" t="s">
        <v>11685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11092</v>
      </c>
      <c r="K595" t="s">
        <v>11686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11092</v>
      </c>
      <c r="K596" t="s">
        <v>11687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11092</v>
      </c>
      <c r="K597" t="s">
        <v>11688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11092</v>
      </c>
      <c r="K598" t="s">
        <v>11689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11092</v>
      </c>
      <c r="K599" t="s">
        <v>11690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11092</v>
      </c>
      <c r="K600" t="s">
        <v>11691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11092</v>
      </c>
      <c r="K601" t="s">
        <v>11692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11092</v>
      </c>
      <c r="K602" t="s">
        <v>11693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11092</v>
      </c>
      <c r="K603" t="s">
        <v>11694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0.3810763888888889</v>
      </c>
      <c r="I604" t="s">
        <v>10746</v>
      </c>
      <c r="J604" t="s">
        <v>11092</v>
      </c>
      <c r="K604" t="s">
        <v>11695</v>
      </c>
      <c r="L604" t="s">
        <v>10747</v>
      </c>
      <c r="M604" s="2" t="str">
        <f>HYPERLINK(склад2въезд13192021222[[#This Row],[RelativePath]])</f>
        <v>9 Ангар рейсмус\GA3948333_2_20260224T090845Z.jpg</v>
      </c>
    </row>
    <row r="605" spans="1:13" x14ac:dyDescent="0.25">
      <c r="A605" s="1" t="s">
        <v>14</v>
      </c>
      <c r="B605" s="3">
        <v>46077</v>
      </c>
      <c r="C605" s="4">
        <v>0.64776620370370375</v>
      </c>
      <c r="D605" t="s">
        <v>4</v>
      </c>
      <c r="E605" t="s">
        <v>9</v>
      </c>
      <c r="I605" t="s">
        <v>10748</v>
      </c>
      <c r="J605" t="s">
        <v>11092</v>
      </c>
      <c r="K605" t="s">
        <v>11696</v>
      </c>
      <c r="L605" t="s">
        <v>10749</v>
      </c>
      <c r="M605" s="2" t="str">
        <f>HYPERLINK(склад2въезд13192021222[[#This Row],[RelativePath]])</f>
        <v>9 Ангар рейсмус\GA3948333_2_20260224T153247Z.jpg</v>
      </c>
    </row>
    <row r="606" spans="1:13" x14ac:dyDescent="0.25">
      <c r="A606" s="1" t="s">
        <v>14</v>
      </c>
      <c r="B606" s="3">
        <v>46077</v>
      </c>
      <c r="C606" s="4">
        <v>0.75173611111111116</v>
      </c>
      <c r="D606" t="s">
        <v>4</v>
      </c>
      <c r="E606" t="s">
        <v>9</v>
      </c>
      <c r="I606" t="s">
        <v>10750</v>
      </c>
      <c r="J606" t="s">
        <v>11092</v>
      </c>
      <c r="K606" t="s">
        <v>11697</v>
      </c>
      <c r="L606" t="s">
        <v>10751</v>
      </c>
      <c r="M606" s="2" t="str">
        <f>HYPERLINK(склад2въезд13192021222[[#This Row],[RelativePath]])</f>
        <v>9 Ангар рейсмус\GA3948333_2_20260224T180230Z.jpg</v>
      </c>
    </row>
    <row r="607" spans="1:13" x14ac:dyDescent="0.25">
      <c r="A607" s="1" t="s">
        <v>15</v>
      </c>
      <c r="B607" s="3">
        <v>46078</v>
      </c>
      <c r="C607" s="4">
        <v>0.42092592592592593</v>
      </c>
      <c r="D607" t="s">
        <v>4</v>
      </c>
      <c r="E607" t="s">
        <v>9</v>
      </c>
      <c r="I607" t="s">
        <v>10752</v>
      </c>
      <c r="J607" t="s">
        <v>11092</v>
      </c>
      <c r="K607" t="s">
        <v>11698</v>
      </c>
      <c r="L607" t="s">
        <v>10753</v>
      </c>
      <c r="M607" s="2" t="str">
        <f>HYPERLINK(склад2въезд13192021222[[#This Row],[RelativePath]])</f>
        <v>9 Ангар рейсмус\GA3948333_2_20260225T100608Z.jpg</v>
      </c>
    </row>
    <row r="608" spans="1:13" x14ac:dyDescent="0.25">
      <c r="A608" s="1" t="s">
        <v>15</v>
      </c>
      <c r="B608" s="3">
        <v>46078</v>
      </c>
      <c r="C608" s="4">
        <v>0.43320601851851853</v>
      </c>
      <c r="D608" t="s">
        <v>1627</v>
      </c>
      <c r="E608" t="s">
        <v>1058</v>
      </c>
      <c r="I608" t="s">
        <v>10754</v>
      </c>
      <c r="J608" t="s">
        <v>11092</v>
      </c>
      <c r="K608" t="s">
        <v>11699</v>
      </c>
      <c r="L608" t="s">
        <v>10755</v>
      </c>
      <c r="M608" s="2" t="str">
        <f>HYPERLINK(склад2въезд13192021222[[#This Row],[RelativePath]])</f>
        <v>9 Ангар рейсмус\GA3948333_2_20260225T102349Z.jpg</v>
      </c>
    </row>
    <row r="609" spans="1:13" x14ac:dyDescent="0.25">
      <c r="A609" s="1" t="s">
        <v>15</v>
      </c>
      <c r="B609" s="3">
        <v>46078</v>
      </c>
      <c r="C609" s="4">
        <v>0.4346875</v>
      </c>
      <c r="D609" t="s">
        <v>1627</v>
      </c>
      <c r="E609" t="s">
        <v>1058</v>
      </c>
      <c r="I609" t="s">
        <v>10756</v>
      </c>
      <c r="J609" t="s">
        <v>11092</v>
      </c>
      <c r="K609" t="s">
        <v>11700</v>
      </c>
      <c r="L609" t="s">
        <v>10757</v>
      </c>
      <c r="M609" s="2" t="str">
        <f>HYPERLINK(склад2въезд13192021222[[#This Row],[RelativePath]])</f>
        <v>9 Ангар рейсмус\GA3948333_2_20260225T102557Z.jpg</v>
      </c>
    </row>
    <row r="610" spans="1:13" x14ac:dyDescent="0.25">
      <c r="A610" s="1" t="s">
        <v>15</v>
      </c>
      <c r="B610" s="3">
        <v>46078</v>
      </c>
      <c r="C610" s="4">
        <v>0.47596064814814815</v>
      </c>
      <c r="D610" t="s">
        <v>1627</v>
      </c>
      <c r="E610" t="s">
        <v>1058</v>
      </c>
      <c r="I610" t="s">
        <v>10758</v>
      </c>
      <c r="J610" t="s">
        <v>11092</v>
      </c>
      <c r="K610" t="s">
        <v>11701</v>
      </c>
      <c r="L610" t="s">
        <v>10759</v>
      </c>
      <c r="M610" s="2" t="str">
        <f>HYPERLINK(склад2въезд13192021222[[#This Row],[RelativePath]])</f>
        <v>9 Ангар рейсмус\GA3948333_2_20260225T112523Z.jpg</v>
      </c>
    </row>
    <row r="611" spans="1:13" x14ac:dyDescent="0.25">
      <c r="A611" s="1" t="s">
        <v>15</v>
      </c>
      <c r="B611" s="3">
        <v>46078</v>
      </c>
      <c r="C611" s="4">
        <v>0.6471527777777778</v>
      </c>
      <c r="D611" t="s">
        <v>1627</v>
      </c>
      <c r="E611" t="s">
        <v>1058</v>
      </c>
      <c r="I611" t="s">
        <v>10760</v>
      </c>
      <c r="J611" t="s">
        <v>11092</v>
      </c>
      <c r="K611" t="s">
        <v>11702</v>
      </c>
      <c r="L611" t="s">
        <v>10761</v>
      </c>
      <c r="M611" s="2" t="str">
        <f>HYPERLINK(склад2въезд13192021222[[#This Row],[RelativePath]])</f>
        <v>9 Ангар рейсмус\GA3948333_2_20260225T153154Z.jpg</v>
      </c>
    </row>
    <row r="612" spans="1:13" x14ac:dyDescent="0.25">
      <c r="A612" s="1" t="s">
        <v>15</v>
      </c>
      <c r="B612" s="3">
        <v>46078</v>
      </c>
      <c r="C612" s="4">
        <v>0.99686342592592592</v>
      </c>
      <c r="D612" t="s">
        <v>4</v>
      </c>
      <c r="E612" t="s">
        <v>9</v>
      </c>
      <c r="I612" t="s">
        <v>10762</v>
      </c>
      <c r="J612" t="s">
        <v>11092</v>
      </c>
      <c r="K612" t="s">
        <v>11703</v>
      </c>
      <c r="L612" t="s">
        <v>10763</v>
      </c>
      <c r="M612" s="2" t="str">
        <f>HYPERLINK(склад2въезд13192021222[[#This Row],[RelativePath]])</f>
        <v>9 Ангар рейсмус\GA3948333_2_20260225T235529Z.jpg</v>
      </c>
    </row>
  </sheetData>
  <conditionalFormatting sqref="D613:D623 E613:E626 G2:H612 D2:E612">
    <cfRule type="containsText" dxfId="886" priority="14" operator="containsText" text="Выезд с территории">
      <formula>NOT(ISERROR(SEARCH("Выезд с территории",D2)))</formula>
    </cfRule>
  </conditionalFormatting>
  <conditionalFormatting sqref="F2:F612">
    <cfRule type="notContainsText" dxfId="885" priority="13" operator="notContains" text="порожний">
      <formula>ISERROR(SEARCH("порожний",F2))</formula>
    </cfRule>
  </conditionalFormatting>
  <conditionalFormatting sqref="E2:E626">
    <cfRule type="containsText" dxfId="884" priority="11" operator="containsText" text="Газель базы">
      <formula>NOT(ISERROR(SEARCH("Газель базы",E2)))</formula>
    </cfRule>
    <cfRule type="containsText" dxfId="883" priority="12" operator="containsText" text="Погрузчик базы">
      <formula>NOT(ISERROR(SEARCH("Погрузчик базы",E2)))</formula>
    </cfRule>
  </conditionalFormatting>
  <conditionalFormatting sqref="E2:E626">
    <cfRule type="containsText" dxfId="882" priority="10" operator="containsText" text="Трактор базы">
      <formula>NOT(ISERROR(SEARCH("Трактор базы",E2)))</formula>
    </cfRule>
  </conditionalFormatting>
  <conditionalFormatting sqref="A2:C612">
    <cfRule type="expression" dxfId="881" priority="9">
      <formula>$A2="пн"</formula>
    </cfRule>
  </conditionalFormatting>
  <conditionalFormatting sqref="A2:C614">
    <cfRule type="expression" dxfId="880" priority="3">
      <formula>$A2="вс"</formula>
    </cfRule>
    <cfRule type="expression" dxfId="879" priority="4">
      <formula>$A2="сб"</formula>
    </cfRule>
    <cfRule type="expression" dxfId="878" priority="5">
      <formula>$A2="пт"</formula>
    </cfRule>
    <cfRule type="expression" dxfId="877" priority="6">
      <formula>$A2="чт"</formula>
    </cfRule>
    <cfRule type="expression" dxfId="876" priority="7">
      <formula>$A2="ср"</formula>
    </cfRule>
    <cfRule type="expression" dxfId="875" priority="8">
      <formula>$A2="вт"</formula>
    </cfRule>
  </conditionalFormatting>
  <conditionalFormatting sqref="D2:D623">
    <cfRule type="containsText" dxfId="8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8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33"/>
  <sheetViews>
    <sheetView zoomScale="90" zoomScaleNormal="90" workbookViewId="0">
      <pane ySplit="1" topLeftCell="A614" activePane="bottomLeft" state="frozen"/>
      <selection pane="bottomLeft" activeCell="I623" sqref="I623:I6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12014</v>
      </c>
      <c r="K2" t="s">
        <v>12015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12014</v>
      </c>
      <c r="K3" t="s">
        <v>12016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12014</v>
      </c>
      <c r="K4" t="s">
        <v>12017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12014</v>
      </c>
      <c r="K5" t="s">
        <v>12018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12014</v>
      </c>
      <c r="K6" t="s">
        <v>12019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12014</v>
      </c>
      <c r="K7" t="s">
        <v>12020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12014</v>
      </c>
      <c r="K8" t="s">
        <v>12021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12014</v>
      </c>
      <c r="K9" t="s">
        <v>12022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12014</v>
      </c>
      <c r="K10" t="s">
        <v>12023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12014</v>
      </c>
      <c r="K11" t="s">
        <v>12024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12014</v>
      </c>
      <c r="K12" t="s">
        <v>12025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12014</v>
      </c>
      <c r="K13" t="s">
        <v>12026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12014</v>
      </c>
      <c r="K14" t="s">
        <v>12027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12014</v>
      </c>
      <c r="K15" t="s">
        <v>12028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12014</v>
      </c>
      <c r="K16" t="s">
        <v>12029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12014</v>
      </c>
      <c r="K17" t="s">
        <v>12030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12014</v>
      </c>
      <c r="K18" t="s">
        <v>12031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12014</v>
      </c>
      <c r="K19" t="s">
        <v>12032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12014</v>
      </c>
      <c r="K20" t="s">
        <v>12033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12014</v>
      </c>
      <c r="K21" t="s">
        <v>12034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12014</v>
      </c>
      <c r="K22" t="s">
        <v>12035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12014</v>
      </c>
      <c r="K23" t="s">
        <v>12036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12014</v>
      </c>
      <c r="K24" t="s">
        <v>12037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12014</v>
      </c>
      <c r="K25" t="s">
        <v>12038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12014</v>
      </c>
      <c r="K26" t="s">
        <v>12039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12014</v>
      </c>
      <c r="K27" t="s">
        <v>12040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12014</v>
      </c>
      <c r="K28" t="s">
        <v>12041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12014</v>
      </c>
      <c r="K29" t="s">
        <v>12042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12014</v>
      </c>
      <c r="K30" t="s">
        <v>12043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12014</v>
      </c>
      <c r="K31" t="s">
        <v>12044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12014</v>
      </c>
      <c r="K32" t="s">
        <v>12045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12014</v>
      </c>
      <c r="K33" t="s">
        <v>12046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12014</v>
      </c>
      <c r="K34" t="s">
        <v>12047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12014</v>
      </c>
      <c r="K35" t="s">
        <v>12048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12014</v>
      </c>
      <c r="K36" t="s">
        <v>12049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12014</v>
      </c>
      <c r="K37" t="s">
        <v>12050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12014</v>
      </c>
      <c r="K38" t="s">
        <v>12051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12014</v>
      </c>
      <c r="K39" t="s">
        <v>12052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12014</v>
      </c>
      <c r="K40" t="s">
        <v>12053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12014</v>
      </c>
      <c r="K41" t="s">
        <v>12054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12014</v>
      </c>
      <c r="K42" t="s">
        <v>12055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12014</v>
      </c>
      <c r="K43" t="s">
        <v>12056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12014</v>
      </c>
      <c r="K44" t="s">
        <v>12057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12014</v>
      </c>
      <c r="K45" t="s">
        <v>12058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12014</v>
      </c>
      <c r="K46" t="s">
        <v>12059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12014</v>
      </c>
      <c r="K47" t="s">
        <v>12060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12014</v>
      </c>
      <c r="K48" t="s">
        <v>12061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12014</v>
      </c>
      <c r="K49" t="s">
        <v>12062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12014</v>
      </c>
      <c r="K50" t="s">
        <v>12063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12014</v>
      </c>
      <c r="K51" t="s">
        <v>12064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12014</v>
      </c>
      <c r="K52" t="s">
        <v>12065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12014</v>
      </c>
      <c r="K53" t="s">
        <v>12066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12014</v>
      </c>
      <c r="K54" t="s">
        <v>12067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12014</v>
      </c>
      <c r="K55" t="s">
        <v>12068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12014</v>
      </c>
      <c r="K56" t="s">
        <v>12069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12014</v>
      </c>
      <c r="K57" t="s">
        <v>12070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12014</v>
      </c>
      <c r="K58" t="s">
        <v>12071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12014</v>
      </c>
      <c r="K59" t="s">
        <v>12072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12014</v>
      </c>
      <c r="K60" t="s">
        <v>12073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12014</v>
      </c>
      <c r="K61" t="s">
        <v>12074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12014</v>
      </c>
      <c r="K62" t="s">
        <v>12075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12014</v>
      </c>
      <c r="K63" t="s">
        <v>12076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12014</v>
      </c>
      <c r="K64" t="s">
        <v>12077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12014</v>
      </c>
      <c r="K65" t="s">
        <v>12078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12014</v>
      </c>
      <c r="K66" t="s">
        <v>12079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12014</v>
      </c>
      <c r="K67" t="s">
        <v>12080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12014</v>
      </c>
      <c r="K68" t="s">
        <v>12081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12014</v>
      </c>
      <c r="K69" t="s">
        <v>12082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12014</v>
      </c>
      <c r="K70" t="s">
        <v>12083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12014</v>
      </c>
      <c r="K71" t="s">
        <v>12084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12014</v>
      </c>
      <c r="K72" t="s">
        <v>12085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12014</v>
      </c>
      <c r="K73" t="s">
        <v>12086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12014</v>
      </c>
      <c r="K74" t="s">
        <v>12087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12014</v>
      </c>
      <c r="K75" t="s">
        <v>12088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12014</v>
      </c>
      <c r="K76" t="s">
        <v>12089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12014</v>
      </c>
      <c r="K77" t="s">
        <v>12090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12014</v>
      </c>
      <c r="K78" t="s">
        <v>12091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12014</v>
      </c>
      <c r="K79" t="s">
        <v>12092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12014</v>
      </c>
      <c r="K80" t="s">
        <v>12093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12014</v>
      </c>
      <c r="K81" t="s">
        <v>12094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12014</v>
      </c>
      <c r="K82" t="s">
        <v>12095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12014</v>
      </c>
      <c r="K83" t="s">
        <v>12096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12014</v>
      </c>
      <c r="K84" t="s">
        <v>12097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12014</v>
      </c>
      <c r="K85" t="s">
        <v>12098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12014</v>
      </c>
      <c r="K86" t="s">
        <v>12099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12014</v>
      </c>
      <c r="K87" t="s">
        <v>12100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12014</v>
      </c>
      <c r="K88" t="s">
        <v>12101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12014</v>
      </c>
      <c r="K89" t="s">
        <v>12102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12014</v>
      </c>
      <c r="K90" t="s">
        <v>12103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12014</v>
      </c>
      <c r="K91" t="s">
        <v>12104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12014</v>
      </c>
      <c r="K92" t="s">
        <v>12105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12014</v>
      </c>
      <c r="K93" t="s">
        <v>12106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12014</v>
      </c>
      <c r="K94" t="s">
        <v>12107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12014</v>
      </c>
      <c r="K95" t="s">
        <v>12108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12014</v>
      </c>
      <c r="K96" t="s">
        <v>12109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12014</v>
      </c>
      <c r="K97" t="s">
        <v>12110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12014</v>
      </c>
      <c r="K98" t="s">
        <v>12111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12014</v>
      </c>
      <c r="K99" t="s">
        <v>12112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12014</v>
      </c>
      <c r="K100" t="s">
        <v>12113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12014</v>
      </c>
      <c r="K101" t="s">
        <v>12114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12014</v>
      </c>
      <c r="K102" t="s">
        <v>12115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12014</v>
      </c>
      <c r="K103" t="s">
        <v>12116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12014</v>
      </c>
      <c r="K104" t="s">
        <v>12117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12014</v>
      </c>
      <c r="K105" t="s">
        <v>12118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12014</v>
      </c>
      <c r="K106" t="s">
        <v>12119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12014</v>
      </c>
      <c r="K107" t="s">
        <v>12120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12014</v>
      </c>
      <c r="K108" t="s">
        <v>12121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12014</v>
      </c>
      <c r="K109" t="s">
        <v>12122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12014</v>
      </c>
      <c r="K110" t="s">
        <v>12123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12014</v>
      </c>
      <c r="K111" t="s">
        <v>12124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12014</v>
      </c>
      <c r="K112" t="s">
        <v>12125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12014</v>
      </c>
      <c r="K113" t="s">
        <v>12126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12014</v>
      </c>
      <c r="K114" t="s">
        <v>12127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12014</v>
      </c>
      <c r="K115" t="s">
        <v>12128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12014</v>
      </c>
      <c r="K116" t="s">
        <v>12129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12014</v>
      </c>
      <c r="K117" t="s">
        <v>12130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12014</v>
      </c>
      <c r="K118" t="s">
        <v>12131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12014</v>
      </c>
      <c r="K119" t="s">
        <v>12132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12014</v>
      </c>
      <c r="K120" t="s">
        <v>12133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12014</v>
      </c>
      <c r="K121" t="s">
        <v>12134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12014</v>
      </c>
      <c r="K122" t="s">
        <v>12135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12014</v>
      </c>
      <c r="K123" t="s">
        <v>12136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12014</v>
      </c>
      <c r="K124" t="s">
        <v>12137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12014</v>
      </c>
      <c r="K125" t="s">
        <v>12138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12014</v>
      </c>
      <c r="K126" t="s">
        <v>12139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12014</v>
      </c>
      <c r="K127" t="s">
        <v>12140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12014</v>
      </c>
      <c r="K128" t="s">
        <v>12141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12014</v>
      </c>
      <c r="K129" t="s">
        <v>12142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12014</v>
      </c>
      <c r="K130" t="s">
        <v>12143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12014</v>
      </c>
      <c r="K131" t="s">
        <v>12144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12014</v>
      </c>
      <c r="K132" t="s">
        <v>12145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12014</v>
      </c>
      <c r="K133" t="s">
        <v>12146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12014</v>
      </c>
      <c r="K134" t="s">
        <v>12147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12014</v>
      </c>
      <c r="K135" t="s">
        <v>12148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12014</v>
      </c>
      <c r="K136" t="s">
        <v>12149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12014</v>
      </c>
      <c r="K137" t="s">
        <v>12150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12014</v>
      </c>
      <c r="K138" t="s">
        <v>12151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12014</v>
      </c>
      <c r="K139" t="s">
        <v>12152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12014</v>
      </c>
      <c r="K140" t="s">
        <v>12153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12014</v>
      </c>
      <c r="K141" t="s">
        <v>12154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12014</v>
      </c>
      <c r="K142" t="s">
        <v>12155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12014</v>
      </c>
      <c r="K143" t="s">
        <v>12156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12014</v>
      </c>
      <c r="K144" t="s">
        <v>12157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12014</v>
      </c>
      <c r="K145" t="s">
        <v>12158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12014</v>
      </c>
      <c r="K146" t="s">
        <v>12159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12014</v>
      </c>
      <c r="K147" t="s">
        <v>12160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12014</v>
      </c>
      <c r="K148" t="s">
        <v>12161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12014</v>
      </c>
      <c r="K149" t="s">
        <v>12162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12014</v>
      </c>
      <c r="K150" t="s">
        <v>12163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12014</v>
      </c>
      <c r="K151" t="s">
        <v>12164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12014</v>
      </c>
      <c r="K152" t="s">
        <v>12165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12014</v>
      </c>
      <c r="K153" t="s">
        <v>12166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12014</v>
      </c>
      <c r="K154" t="s">
        <v>12167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12014</v>
      </c>
      <c r="K155" t="s">
        <v>12168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12014</v>
      </c>
      <c r="K156" t="s">
        <v>12169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12014</v>
      </c>
      <c r="K157" t="s">
        <v>12170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12014</v>
      </c>
      <c r="K158" t="s">
        <v>12171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12014</v>
      </c>
      <c r="K159" t="s">
        <v>12172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12014</v>
      </c>
      <c r="K160" t="s">
        <v>12173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12014</v>
      </c>
      <c r="K161" t="s">
        <v>12174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12014</v>
      </c>
      <c r="K162" t="s">
        <v>12175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12014</v>
      </c>
      <c r="K163" t="s">
        <v>12176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12014</v>
      </c>
      <c r="K164" t="s">
        <v>12177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12014</v>
      </c>
      <c r="K165" t="s">
        <v>12178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12014</v>
      </c>
      <c r="K166" t="s">
        <v>12179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12014</v>
      </c>
      <c r="K167" t="s">
        <v>12180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12014</v>
      </c>
      <c r="K168" t="s">
        <v>12181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12014</v>
      </c>
      <c r="K169" t="s">
        <v>12182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12014</v>
      </c>
      <c r="K170" t="s">
        <v>12183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12014</v>
      </c>
      <c r="K171" t="s">
        <v>12184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12014</v>
      </c>
      <c r="K172" t="s">
        <v>12185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12014</v>
      </c>
      <c r="K173" t="s">
        <v>12186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12014</v>
      </c>
      <c r="K174" t="s">
        <v>12187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12014</v>
      </c>
      <c r="K175" t="s">
        <v>12188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12014</v>
      </c>
      <c r="K176" t="s">
        <v>12189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12014</v>
      </c>
      <c r="K177" t="s">
        <v>12190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12014</v>
      </c>
      <c r="K178" t="s">
        <v>12191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12014</v>
      </c>
      <c r="K179" t="s">
        <v>12192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12014</v>
      </c>
      <c r="K180" t="s">
        <v>12193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12014</v>
      </c>
      <c r="K181" t="s">
        <v>12194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12014</v>
      </c>
      <c r="K182" t="s">
        <v>12195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12014</v>
      </c>
      <c r="K183" t="s">
        <v>12196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12014</v>
      </c>
      <c r="K184" t="s">
        <v>12197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12014</v>
      </c>
      <c r="K185" t="s">
        <v>12198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12014</v>
      </c>
      <c r="K186" t="s">
        <v>12199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12014</v>
      </c>
      <c r="K187" t="s">
        <v>12200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12014</v>
      </c>
      <c r="K188" t="s">
        <v>12201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12014</v>
      </c>
      <c r="K189" t="s">
        <v>12202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12014</v>
      </c>
      <c r="K190" t="s">
        <v>12203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12014</v>
      </c>
      <c r="K191" t="s">
        <v>12204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12014</v>
      </c>
      <c r="K192" t="s">
        <v>12205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12014</v>
      </c>
      <c r="K193" t="s">
        <v>12206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12014</v>
      </c>
      <c r="K194" t="s">
        <v>12207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12014</v>
      </c>
      <c r="K195" t="s">
        <v>12208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12014</v>
      </c>
      <c r="K196" t="s">
        <v>12209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12014</v>
      </c>
      <c r="K197" t="s">
        <v>12210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12014</v>
      </c>
      <c r="K198" t="s">
        <v>12211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12014</v>
      </c>
      <c r="K199" t="s">
        <v>12212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12014</v>
      </c>
      <c r="K200" t="s">
        <v>12213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12014</v>
      </c>
      <c r="K201" t="s">
        <v>12214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12014</v>
      </c>
      <c r="K202" t="s">
        <v>12215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12014</v>
      </c>
      <c r="K203" t="s">
        <v>12216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12014</v>
      </c>
      <c r="K204" t="s">
        <v>12217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12014</v>
      </c>
      <c r="K205" t="s">
        <v>12218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12014</v>
      </c>
      <c r="K206" t="s">
        <v>12219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12014</v>
      </c>
      <c r="K207" t="s">
        <v>12220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12014</v>
      </c>
      <c r="K208" t="s">
        <v>12221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12014</v>
      </c>
      <c r="K209" t="s">
        <v>12222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12014</v>
      </c>
      <c r="K210" t="s">
        <v>12223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12014</v>
      </c>
      <c r="K211" t="s">
        <v>12224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12014</v>
      </c>
      <c r="K212" t="s">
        <v>12225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12014</v>
      </c>
      <c r="K213" t="s">
        <v>12226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12014</v>
      </c>
      <c r="K214" t="s">
        <v>12227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12014</v>
      </c>
      <c r="K215" t="s">
        <v>12228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12014</v>
      </c>
      <c r="K216" t="s">
        <v>12229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12014</v>
      </c>
      <c r="K217" t="s">
        <v>12230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12014</v>
      </c>
      <c r="K218" t="s">
        <v>12231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12014</v>
      </c>
      <c r="K219" t="s">
        <v>12232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12014</v>
      </c>
      <c r="K220" t="s">
        <v>12233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12014</v>
      </c>
      <c r="K221" t="s">
        <v>12234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12014</v>
      </c>
      <c r="K222" t="s">
        <v>12235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12014</v>
      </c>
      <c r="K223" t="s">
        <v>12236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12014</v>
      </c>
      <c r="K224" t="s">
        <v>12237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12014</v>
      </c>
      <c r="K225" t="s">
        <v>12238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12014</v>
      </c>
      <c r="K226" t="s">
        <v>12239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12014</v>
      </c>
      <c r="K227" t="s">
        <v>12240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12014</v>
      </c>
      <c r="K228" t="s">
        <v>12241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12014</v>
      </c>
      <c r="K229" t="s">
        <v>12242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12014</v>
      </c>
      <c r="K230" t="s">
        <v>12243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12014</v>
      </c>
      <c r="K231" t="s">
        <v>12244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12014</v>
      </c>
      <c r="K232" t="s">
        <v>12245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12014</v>
      </c>
      <c r="K233" t="s">
        <v>12246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12014</v>
      </c>
      <c r="K234" t="s">
        <v>12247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12014</v>
      </c>
      <c r="K235" t="s">
        <v>12248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12014</v>
      </c>
      <c r="K236" t="s">
        <v>12249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12014</v>
      </c>
      <c r="K237" t="s">
        <v>12250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12014</v>
      </c>
      <c r="K238" t="s">
        <v>12251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12014</v>
      </c>
      <c r="K239" t="s">
        <v>12252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12014</v>
      </c>
      <c r="K240" t="s">
        <v>12253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12014</v>
      </c>
      <c r="K241" t="s">
        <v>12254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12014</v>
      </c>
      <c r="K242" t="s">
        <v>12255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12014</v>
      </c>
      <c r="K243" t="s">
        <v>12256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12014</v>
      </c>
      <c r="K244" t="s">
        <v>12257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12014</v>
      </c>
      <c r="K245" t="s">
        <v>12258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12014</v>
      </c>
      <c r="K246" t="s">
        <v>12259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12014</v>
      </c>
      <c r="K247" t="s">
        <v>12260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12014</v>
      </c>
      <c r="K248" t="s">
        <v>12261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12014</v>
      </c>
      <c r="K249" t="s">
        <v>12262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12014</v>
      </c>
      <c r="K250" t="s">
        <v>12263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12014</v>
      </c>
      <c r="K251" t="s">
        <v>12264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12014</v>
      </c>
      <c r="K252" t="s">
        <v>12265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12014</v>
      </c>
      <c r="K253" t="s">
        <v>12266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12014</v>
      </c>
      <c r="K254" t="s">
        <v>12267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12014</v>
      </c>
      <c r="K255" t="s">
        <v>12268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12014</v>
      </c>
      <c r="K256" t="s">
        <v>12269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12014</v>
      </c>
      <c r="K257" t="s">
        <v>12270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12014</v>
      </c>
      <c r="K258" t="s">
        <v>12271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12014</v>
      </c>
      <c r="K259" t="s">
        <v>12272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12014</v>
      </c>
      <c r="K260" t="s">
        <v>12273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12014</v>
      </c>
      <c r="K261" t="s">
        <v>12274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12014</v>
      </c>
      <c r="K262" t="s">
        <v>12275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12014</v>
      </c>
      <c r="K263" t="s">
        <v>12276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12014</v>
      </c>
      <c r="K264" t="s">
        <v>12277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12014</v>
      </c>
      <c r="K265" t="s">
        <v>12278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12014</v>
      </c>
      <c r="K266" t="s">
        <v>12279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12014</v>
      </c>
      <c r="K267" t="s">
        <v>12280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12014</v>
      </c>
      <c r="K268" t="s">
        <v>12281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12014</v>
      </c>
      <c r="K269" t="s">
        <v>12282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12014</v>
      </c>
      <c r="K270" t="s">
        <v>12283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12014</v>
      </c>
      <c r="K271" t="s">
        <v>12284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12014</v>
      </c>
      <c r="K272" t="s">
        <v>12285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12014</v>
      </c>
      <c r="K273" t="s">
        <v>12286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12014</v>
      </c>
      <c r="K274" t="s">
        <v>12287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12014</v>
      </c>
      <c r="K275" t="s">
        <v>12288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12014</v>
      </c>
      <c r="K276" t="s">
        <v>12289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12014</v>
      </c>
      <c r="K277" t="s">
        <v>12290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12014</v>
      </c>
      <c r="K278" t="s">
        <v>12291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12014</v>
      </c>
      <c r="K279" t="s">
        <v>12292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12014</v>
      </c>
      <c r="K280" t="s">
        <v>12293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12014</v>
      </c>
      <c r="K281" t="s">
        <v>12294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12014</v>
      </c>
      <c r="K282" t="s">
        <v>12295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12014</v>
      </c>
      <c r="K283" t="s">
        <v>12296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12014</v>
      </c>
      <c r="K284" t="s">
        <v>12297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12014</v>
      </c>
      <c r="K285" t="s">
        <v>12298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12014</v>
      </c>
      <c r="K286" t="s">
        <v>12299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12014</v>
      </c>
      <c r="K287" t="s">
        <v>12300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12014</v>
      </c>
      <c r="K288" t="s">
        <v>12301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12014</v>
      </c>
      <c r="K289" t="s">
        <v>12302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12014</v>
      </c>
      <c r="K290" t="s">
        <v>12303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12014</v>
      </c>
      <c r="K291" t="s">
        <v>12304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12014</v>
      </c>
      <c r="K292" t="s">
        <v>12305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12014</v>
      </c>
      <c r="K293" t="s">
        <v>12306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12014</v>
      </c>
      <c r="K294" t="s">
        <v>12307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12014</v>
      </c>
      <c r="K295" t="s">
        <v>12308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12014</v>
      </c>
      <c r="K296" t="s">
        <v>12309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12014</v>
      </c>
      <c r="K297" t="s">
        <v>12310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12014</v>
      </c>
      <c r="K298" t="s">
        <v>12311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12014</v>
      </c>
      <c r="K299" t="s">
        <v>12312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12014</v>
      </c>
      <c r="K300" t="s">
        <v>12313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12014</v>
      </c>
      <c r="K301" t="s">
        <v>12314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12014</v>
      </c>
      <c r="K302" t="s">
        <v>12315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12014</v>
      </c>
      <c r="K303" t="s">
        <v>12316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12014</v>
      </c>
      <c r="K304" t="s">
        <v>12317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12014</v>
      </c>
      <c r="K305" t="s">
        <v>12318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12014</v>
      </c>
      <c r="K306" t="s">
        <v>12319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12014</v>
      </c>
      <c r="K307" t="s">
        <v>12320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12014</v>
      </c>
      <c r="K308" t="s">
        <v>12321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12014</v>
      </c>
      <c r="K309" t="s">
        <v>12322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12014</v>
      </c>
      <c r="K310" t="s">
        <v>12323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12014</v>
      </c>
      <c r="K311" t="s">
        <v>12324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12014</v>
      </c>
      <c r="K312" t="s">
        <v>12325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12014</v>
      </c>
      <c r="K313" t="s">
        <v>12326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12014</v>
      </c>
      <c r="K314" t="s">
        <v>12327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12014</v>
      </c>
      <c r="K315" t="s">
        <v>12328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12014</v>
      </c>
      <c r="K316" t="s">
        <v>12329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12014</v>
      </c>
      <c r="K317" t="s">
        <v>12330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12014</v>
      </c>
      <c r="K318" t="s">
        <v>12331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12014</v>
      </c>
      <c r="K319" t="s">
        <v>12332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12014</v>
      </c>
      <c r="K320" t="s">
        <v>12333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12014</v>
      </c>
      <c r="K321" t="s">
        <v>12334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12014</v>
      </c>
      <c r="K322" t="s">
        <v>12335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12014</v>
      </c>
      <c r="K323" t="s">
        <v>12336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12014</v>
      </c>
      <c r="K324" t="s">
        <v>12337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12014</v>
      </c>
      <c r="K325" t="s">
        <v>12338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12014</v>
      </c>
      <c r="K326" t="s">
        <v>12339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12014</v>
      </c>
      <c r="K327" t="s">
        <v>12340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12014</v>
      </c>
      <c r="K328" t="s">
        <v>12341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12014</v>
      </c>
      <c r="K329" t="s">
        <v>12342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12014</v>
      </c>
      <c r="K330" t="s">
        <v>12343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12014</v>
      </c>
      <c r="K331" t="s">
        <v>12344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12014</v>
      </c>
      <c r="K332" t="s">
        <v>12345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12014</v>
      </c>
      <c r="K333" t="s">
        <v>12346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12014</v>
      </c>
      <c r="K334" t="s">
        <v>12347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12014</v>
      </c>
      <c r="K335" t="s">
        <v>12348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12014</v>
      </c>
      <c r="K336" t="s">
        <v>12349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12014</v>
      </c>
      <c r="K337" t="s">
        <v>12350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12014</v>
      </c>
      <c r="K338" t="s">
        <v>12351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12014</v>
      </c>
      <c r="K339" t="s">
        <v>12352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12014</v>
      </c>
      <c r="K340" t="s">
        <v>12353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12014</v>
      </c>
      <c r="K341" t="s">
        <v>12354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12014</v>
      </c>
      <c r="K342" t="s">
        <v>12355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12014</v>
      </c>
      <c r="K343" t="s">
        <v>12356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12014</v>
      </c>
      <c r="K344" t="s">
        <v>12357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12014</v>
      </c>
      <c r="K345" t="s">
        <v>12358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12014</v>
      </c>
      <c r="K346" t="s">
        <v>12359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12014</v>
      </c>
      <c r="K347" t="s">
        <v>12360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12014</v>
      </c>
      <c r="K348" t="s">
        <v>12361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12014</v>
      </c>
      <c r="K349" t="s">
        <v>12362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12014</v>
      </c>
      <c r="K350" t="s">
        <v>12363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12014</v>
      </c>
      <c r="K351" t="s">
        <v>12364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12014</v>
      </c>
      <c r="K352" t="s">
        <v>12365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12014</v>
      </c>
      <c r="K353" t="s">
        <v>12366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12014</v>
      </c>
      <c r="K354" t="s">
        <v>12367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12014</v>
      </c>
      <c r="K355" t="s">
        <v>12368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12014</v>
      </c>
      <c r="K356" t="s">
        <v>12369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12014</v>
      </c>
      <c r="K357" t="s">
        <v>12370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12014</v>
      </c>
      <c r="K358" t="s">
        <v>12371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12014</v>
      </c>
      <c r="K359" t="s">
        <v>12372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12014</v>
      </c>
      <c r="K360" t="s">
        <v>12373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12014</v>
      </c>
      <c r="K361" t="s">
        <v>12374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12014</v>
      </c>
      <c r="K362" t="s">
        <v>12375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12014</v>
      </c>
      <c r="K363" t="s">
        <v>12376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12014</v>
      </c>
      <c r="K364" t="s">
        <v>12377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12014</v>
      </c>
      <c r="K365" t="s">
        <v>12378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12014</v>
      </c>
      <c r="K366" t="s">
        <v>12379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12014</v>
      </c>
      <c r="K367" t="s">
        <v>12380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12014</v>
      </c>
      <c r="K368" t="s">
        <v>12381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12014</v>
      </c>
      <c r="K369" t="s">
        <v>12382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12014</v>
      </c>
      <c r="K370" t="s">
        <v>12383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12014</v>
      </c>
      <c r="K371" t="s">
        <v>12384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12014</v>
      </c>
      <c r="K372" t="s">
        <v>12385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12014</v>
      </c>
      <c r="K373" t="s">
        <v>12386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12014</v>
      </c>
      <c r="K374" t="s">
        <v>12387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12014</v>
      </c>
      <c r="K375" t="s">
        <v>12388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12014</v>
      </c>
      <c r="K376" t="s">
        <v>12389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12014</v>
      </c>
      <c r="K377" t="s">
        <v>12390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12014</v>
      </c>
      <c r="K378" t="s">
        <v>12391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12014</v>
      </c>
      <c r="K379" t="s">
        <v>12392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12014</v>
      </c>
      <c r="K380" t="s">
        <v>12393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12014</v>
      </c>
      <c r="K381" t="s">
        <v>12394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12014</v>
      </c>
      <c r="K382" t="s">
        <v>12395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12014</v>
      </c>
      <c r="K383" t="s">
        <v>12396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12014</v>
      </c>
      <c r="K384" t="s">
        <v>12397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12014</v>
      </c>
      <c r="K385" t="s">
        <v>12398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12014</v>
      </c>
      <c r="K386" t="s">
        <v>12399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12014</v>
      </c>
      <c r="K387" t="s">
        <v>12400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12014</v>
      </c>
      <c r="K388" t="s">
        <v>12401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12014</v>
      </c>
      <c r="K389" t="s">
        <v>12402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12014</v>
      </c>
      <c r="K390" t="s">
        <v>12403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12014</v>
      </c>
      <c r="K391" t="s">
        <v>12404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12014</v>
      </c>
      <c r="K392" t="s">
        <v>12405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12014</v>
      </c>
      <c r="K393" t="s">
        <v>12406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12014</v>
      </c>
      <c r="K394" t="s">
        <v>12407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12014</v>
      </c>
      <c r="K395" t="s">
        <v>12408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12014</v>
      </c>
      <c r="K396" t="s">
        <v>12409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12014</v>
      </c>
      <c r="K397" t="s">
        <v>12410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12014</v>
      </c>
      <c r="K398" t="s">
        <v>12411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12014</v>
      </c>
      <c r="K399" t="s">
        <v>12412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12014</v>
      </c>
      <c r="K400" t="s">
        <v>12413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12014</v>
      </c>
      <c r="K401" t="s">
        <v>12414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12014</v>
      </c>
      <c r="K402" t="s">
        <v>12415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12014</v>
      </c>
      <c r="K403" t="s">
        <v>12416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12014</v>
      </c>
      <c r="K404" t="s">
        <v>12417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12014</v>
      </c>
      <c r="K405" t="s">
        <v>12418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12014</v>
      </c>
      <c r="K406" t="s">
        <v>12419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12014</v>
      </c>
      <c r="K407" t="s">
        <v>12420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12014</v>
      </c>
      <c r="K408" t="s">
        <v>12421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12014</v>
      </c>
      <c r="K409" t="s">
        <v>12422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12014</v>
      </c>
      <c r="K410" t="s">
        <v>12423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12014</v>
      </c>
      <c r="K411" t="s">
        <v>12424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12014</v>
      </c>
      <c r="K412" t="s">
        <v>12425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12014</v>
      </c>
      <c r="K413" t="s">
        <v>12426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12014</v>
      </c>
      <c r="K414" t="s">
        <v>12427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12014</v>
      </c>
      <c r="K415" t="s">
        <v>12428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12014</v>
      </c>
      <c r="K416" t="s">
        <v>12429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12014</v>
      </c>
      <c r="K417" t="s">
        <v>12430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12014</v>
      </c>
      <c r="K418" t="s">
        <v>12431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12014</v>
      </c>
      <c r="K419" t="s">
        <v>12432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12014</v>
      </c>
      <c r="K420" t="s">
        <v>12433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12014</v>
      </c>
      <c r="K421" t="s">
        <v>12434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12014</v>
      </c>
      <c r="K422" t="s">
        <v>12435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12014</v>
      </c>
      <c r="K423" t="s">
        <v>12436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12014</v>
      </c>
      <c r="K424" t="s">
        <v>12437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12014</v>
      </c>
      <c r="K425" t="s">
        <v>12438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12014</v>
      </c>
      <c r="K426" t="s">
        <v>12439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12014</v>
      </c>
      <c r="K427" t="s">
        <v>12440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12014</v>
      </c>
      <c r="K428" t="s">
        <v>12441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12014</v>
      </c>
      <c r="K429" t="s">
        <v>12442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12014</v>
      </c>
      <c r="K430" t="s">
        <v>12443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12014</v>
      </c>
      <c r="K431" t="s">
        <v>12444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12014</v>
      </c>
      <c r="K432" t="s">
        <v>12445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12014</v>
      </c>
      <c r="K433" t="s">
        <v>12446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12014</v>
      </c>
      <c r="K434" t="s">
        <v>12447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12014</v>
      </c>
      <c r="K435" t="s">
        <v>12448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12014</v>
      </c>
      <c r="K436" t="s">
        <v>12449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12014</v>
      </c>
      <c r="K437" t="s">
        <v>12450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12014</v>
      </c>
      <c r="K438" t="s">
        <v>12451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12014</v>
      </c>
      <c r="K439" t="s">
        <v>12452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12014</v>
      </c>
      <c r="K440" t="s">
        <v>12453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12014</v>
      </c>
      <c r="K441" t="s">
        <v>12454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12014</v>
      </c>
      <c r="K442" t="s">
        <v>12455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12014</v>
      </c>
      <c r="K443" t="s">
        <v>12456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12014</v>
      </c>
      <c r="K444" t="s">
        <v>12457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12014</v>
      </c>
      <c r="K445" t="s">
        <v>12458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12014</v>
      </c>
      <c r="K446" t="s">
        <v>12459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12014</v>
      </c>
      <c r="K447" t="s">
        <v>12460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12014</v>
      </c>
      <c r="K448" t="s">
        <v>12461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12014</v>
      </c>
      <c r="K449" t="s">
        <v>12462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12014</v>
      </c>
      <c r="K450" t="s">
        <v>12463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12014</v>
      </c>
      <c r="K451" t="s">
        <v>12464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12014</v>
      </c>
      <c r="K452" t="s">
        <v>12465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12014</v>
      </c>
      <c r="K453" t="s">
        <v>12466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12014</v>
      </c>
      <c r="K454" t="s">
        <v>12467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12014</v>
      </c>
      <c r="K455" t="s">
        <v>12468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12014</v>
      </c>
      <c r="K456" t="s">
        <v>12469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12014</v>
      </c>
      <c r="K457" t="s">
        <v>12470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12014</v>
      </c>
      <c r="K458" t="s">
        <v>12471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12014</v>
      </c>
      <c r="K459" t="s">
        <v>12472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12014</v>
      </c>
      <c r="K460" t="s">
        <v>12473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12014</v>
      </c>
      <c r="K461" t="s">
        <v>12474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12014</v>
      </c>
      <c r="K462" t="s">
        <v>12475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12014</v>
      </c>
      <c r="K463" t="s">
        <v>12476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12014</v>
      </c>
      <c r="K464" t="s">
        <v>12477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12014</v>
      </c>
      <c r="K465" t="s">
        <v>12478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12014</v>
      </c>
      <c r="K466" t="s">
        <v>12479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12014</v>
      </c>
      <c r="K467" t="s">
        <v>12480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12014</v>
      </c>
      <c r="K468" t="s">
        <v>12481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12014</v>
      </c>
      <c r="K469" t="s">
        <v>12482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12014</v>
      </c>
      <c r="K470" t="s">
        <v>12483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12014</v>
      </c>
      <c r="K471" t="s">
        <v>12484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12014</v>
      </c>
      <c r="K472" t="s">
        <v>12485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12014</v>
      </c>
      <c r="K473" t="s">
        <v>12486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12014</v>
      </c>
      <c r="K474" t="s">
        <v>12487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12014</v>
      </c>
      <c r="K475" t="s">
        <v>12488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12014</v>
      </c>
      <c r="K476" t="s">
        <v>12489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12014</v>
      </c>
      <c r="K477" t="s">
        <v>12490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12014</v>
      </c>
      <c r="K478" t="s">
        <v>12491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12014</v>
      </c>
      <c r="K479" t="s">
        <v>12492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12014</v>
      </c>
      <c r="K480" t="s">
        <v>12493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12014</v>
      </c>
      <c r="K481" t="s">
        <v>12494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12014</v>
      </c>
      <c r="K482" t="s">
        <v>12495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12014</v>
      </c>
      <c r="K483" t="s">
        <v>12496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12014</v>
      </c>
      <c r="K484" t="s">
        <v>12497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12014</v>
      </c>
      <c r="K485" t="s">
        <v>12498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12014</v>
      </c>
      <c r="K486" t="s">
        <v>12499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12014</v>
      </c>
      <c r="K487" t="s">
        <v>12500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12014</v>
      </c>
      <c r="K488" t="s">
        <v>12501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12014</v>
      </c>
      <c r="K489" t="s">
        <v>12502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12014</v>
      </c>
      <c r="K490" t="s">
        <v>12503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12014</v>
      </c>
      <c r="K491" t="s">
        <v>12504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12014</v>
      </c>
      <c r="K492" t="s">
        <v>12505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12014</v>
      </c>
      <c r="K493" t="s">
        <v>12506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12014</v>
      </c>
      <c r="K494" t="s">
        <v>12507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12014</v>
      </c>
      <c r="K495" t="s">
        <v>12508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12014</v>
      </c>
      <c r="K496" t="s">
        <v>12509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12014</v>
      </c>
      <c r="K497" t="s">
        <v>12510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12014</v>
      </c>
      <c r="K498" t="s">
        <v>12511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12014</v>
      </c>
      <c r="K499" t="s">
        <v>12512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12014</v>
      </c>
      <c r="K500" t="s">
        <v>12513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12014</v>
      </c>
      <c r="K501" t="s">
        <v>12514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12014</v>
      </c>
      <c r="K502" t="s">
        <v>12515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12014</v>
      </c>
      <c r="K503" t="s">
        <v>12516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12014</v>
      </c>
      <c r="K504" t="s">
        <v>12517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12014</v>
      </c>
      <c r="K505" t="s">
        <v>12518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12014</v>
      </c>
      <c r="K506" t="s">
        <v>12519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12014</v>
      </c>
      <c r="K507" t="s">
        <v>12520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12014</v>
      </c>
      <c r="K508" t="s">
        <v>12521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12014</v>
      </c>
      <c r="K509" t="s">
        <v>12522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12014</v>
      </c>
      <c r="K510" t="s">
        <v>12523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12014</v>
      </c>
      <c r="K511" t="s">
        <v>12524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12014</v>
      </c>
      <c r="K512" t="s">
        <v>12525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12014</v>
      </c>
      <c r="K513" t="s">
        <v>12526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12014</v>
      </c>
      <c r="K514" t="s">
        <v>12527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12014</v>
      </c>
      <c r="K515" t="s">
        <v>12528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12014</v>
      </c>
      <c r="K516" t="s">
        <v>12529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12014</v>
      </c>
      <c r="K517" t="s">
        <v>12530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12014</v>
      </c>
      <c r="K518" t="s">
        <v>12531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12014</v>
      </c>
      <c r="K519" t="s">
        <v>12532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12014</v>
      </c>
      <c r="K520" t="s">
        <v>12533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12014</v>
      </c>
      <c r="K521" t="s">
        <v>12534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12014</v>
      </c>
      <c r="K522" t="s">
        <v>12535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12014</v>
      </c>
      <c r="K523" t="s">
        <v>12536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12014</v>
      </c>
      <c r="K524" t="s">
        <v>12537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12014</v>
      </c>
      <c r="K525" t="s">
        <v>12538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12014</v>
      </c>
      <c r="K526" t="s">
        <v>12539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12014</v>
      </c>
      <c r="K527" t="s">
        <v>12540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12014</v>
      </c>
      <c r="K528" t="s">
        <v>12541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12014</v>
      </c>
      <c r="K529" t="s">
        <v>12542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12014</v>
      </c>
      <c r="K530" t="s">
        <v>12543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12014</v>
      </c>
      <c r="K531" t="s">
        <v>12544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12014</v>
      </c>
      <c r="K532" t="s">
        <v>12545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12014</v>
      </c>
      <c r="K533" t="s">
        <v>12546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12014</v>
      </c>
      <c r="K534" t="s">
        <v>12547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12014</v>
      </c>
      <c r="K535" t="s">
        <v>12548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12014</v>
      </c>
      <c r="K536" t="s">
        <v>12549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12014</v>
      </c>
      <c r="K537" t="s">
        <v>12550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12014</v>
      </c>
      <c r="K538" t="s">
        <v>12551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12014</v>
      </c>
      <c r="K539" t="s">
        <v>12552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12014</v>
      </c>
      <c r="K540" t="s">
        <v>12553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12014</v>
      </c>
      <c r="K541" t="s">
        <v>12554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12014</v>
      </c>
      <c r="K542" t="s">
        <v>12555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12014</v>
      </c>
      <c r="K543" t="s">
        <v>12556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12014</v>
      </c>
      <c r="K544" t="s">
        <v>12557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12014</v>
      </c>
      <c r="K545" t="s">
        <v>12558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12014</v>
      </c>
      <c r="K546" t="s">
        <v>12559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12014</v>
      </c>
      <c r="K547" t="s">
        <v>12560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12014</v>
      </c>
      <c r="K548" t="s">
        <v>12561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12014</v>
      </c>
      <c r="K549" t="s">
        <v>12562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12014</v>
      </c>
      <c r="K550" t="s">
        <v>12563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12014</v>
      </c>
      <c r="K551" t="s">
        <v>12564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12014</v>
      </c>
      <c r="K552" t="s">
        <v>12565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12014</v>
      </c>
      <c r="K553" t="s">
        <v>12566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12014</v>
      </c>
      <c r="K554" t="s">
        <v>12567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12014</v>
      </c>
      <c r="K555" t="s">
        <v>12568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12014</v>
      </c>
      <c r="K556" t="s">
        <v>12569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12014</v>
      </c>
      <c r="K557" t="s">
        <v>12570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12014</v>
      </c>
      <c r="K558" t="s">
        <v>12571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12014</v>
      </c>
      <c r="K559" t="s">
        <v>12572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12014</v>
      </c>
      <c r="K560" t="s">
        <v>12573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12014</v>
      </c>
      <c r="K561" t="s">
        <v>12574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12014</v>
      </c>
      <c r="K562" t="s">
        <v>12575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12014</v>
      </c>
      <c r="K563" t="s">
        <v>12576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12014</v>
      </c>
      <c r="K564" t="s">
        <v>12577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12014</v>
      </c>
      <c r="K565" t="s">
        <v>12578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12014</v>
      </c>
      <c r="K566" t="s">
        <v>12579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12014</v>
      </c>
      <c r="K567" t="s">
        <v>12580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12014</v>
      </c>
      <c r="K568" t="s">
        <v>12581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12014</v>
      </c>
      <c r="K569" t="s">
        <v>12582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12014</v>
      </c>
      <c r="K570" t="s">
        <v>12583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12014</v>
      </c>
      <c r="K571" t="s">
        <v>12584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12014</v>
      </c>
      <c r="K572" t="s">
        <v>12585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12014</v>
      </c>
      <c r="K573" t="s">
        <v>12586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12014</v>
      </c>
      <c r="K574" t="s">
        <v>12587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12014</v>
      </c>
      <c r="K575" t="s">
        <v>12588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12014</v>
      </c>
      <c r="K576" t="s">
        <v>12589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12014</v>
      </c>
      <c r="K577" t="s">
        <v>12590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12014</v>
      </c>
      <c r="K578" t="s">
        <v>12591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12014</v>
      </c>
      <c r="K579" t="s">
        <v>12592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12014</v>
      </c>
      <c r="K580" t="s">
        <v>12593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12014</v>
      </c>
      <c r="K581" t="s">
        <v>12594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12014</v>
      </c>
      <c r="K582" t="s">
        <v>12595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12014</v>
      </c>
      <c r="K583" t="s">
        <v>12596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12014</v>
      </c>
      <c r="K584" t="s">
        <v>12597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12014</v>
      </c>
      <c r="K585" t="s">
        <v>12598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12014</v>
      </c>
      <c r="K586" t="s">
        <v>12599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12014</v>
      </c>
      <c r="K587" t="s">
        <v>12600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12014</v>
      </c>
      <c r="K588" t="s">
        <v>12601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12014</v>
      </c>
      <c r="K589" t="s">
        <v>12602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12014</v>
      </c>
      <c r="K590" t="s">
        <v>12603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12014</v>
      </c>
      <c r="K591" t="s">
        <v>12604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12014</v>
      </c>
      <c r="K592" t="s">
        <v>12605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12014</v>
      </c>
      <c r="K593" t="s">
        <v>12606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12014</v>
      </c>
      <c r="K594" t="s">
        <v>12607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12014</v>
      </c>
      <c r="K595" t="s">
        <v>12608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12014</v>
      </c>
      <c r="K596" t="s">
        <v>12609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12014</v>
      </c>
      <c r="K597" t="s">
        <v>12610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12014</v>
      </c>
      <c r="K598" t="s">
        <v>12611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12014</v>
      </c>
      <c r="K599" t="s">
        <v>12612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12014</v>
      </c>
      <c r="K600" t="s">
        <v>12613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12014</v>
      </c>
      <c r="K601" t="s">
        <v>12614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12014</v>
      </c>
      <c r="K602" t="s">
        <v>12615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12014</v>
      </c>
      <c r="K603" t="s">
        <v>12616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12014</v>
      </c>
      <c r="K604" t="s">
        <v>12617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12014</v>
      </c>
      <c r="K605" t="s">
        <v>12618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12014</v>
      </c>
      <c r="K606" t="s">
        <v>12619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12014</v>
      </c>
      <c r="K607" t="s">
        <v>12620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12014</v>
      </c>
      <c r="K608" t="s">
        <v>12621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12014</v>
      </c>
      <c r="K609" t="s">
        <v>12622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12014</v>
      </c>
      <c r="K610" t="s">
        <v>12623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12014</v>
      </c>
      <c r="K611" t="s">
        <v>12624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12014</v>
      </c>
      <c r="K612" t="s">
        <v>12625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12014</v>
      </c>
      <c r="K613" t="s">
        <v>12626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12014</v>
      </c>
      <c r="K614" t="s">
        <v>12627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12014</v>
      </c>
      <c r="K615" t="s">
        <v>12628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12014</v>
      </c>
      <c r="K616" t="s">
        <v>12629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12014</v>
      </c>
      <c r="K617" t="s">
        <v>12630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12014</v>
      </c>
      <c r="K618" t="s">
        <v>12631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12014</v>
      </c>
      <c r="K619" t="s">
        <v>12632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12014</v>
      </c>
      <c r="K620" t="s">
        <v>12633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12014</v>
      </c>
      <c r="K621" t="s">
        <v>12634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12014</v>
      </c>
      <c r="K622" t="s">
        <v>12635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10801</v>
      </c>
      <c r="J623" t="s">
        <v>12014</v>
      </c>
      <c r="K623" t="s">
        <v>12636</v>
      </c>
      <c r="L623" t="s">
        <v>10802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10803</v>
      </c>
      <c r="J624" t="s">
        <v>12014</v>
      </c>
      <c r="K624" t="s">
        <v>12637</v>
      </c>
      <c r="L624" t="s">
        <v>10804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10805</v>
      </c>
      <c r="J625" t="s">
        <v>12014</v>
      </c>
      <c r="K625" t="s">
        <v>12638</v>
      </c>
      <c r="L625" t="s">
        <v>10806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11075</v>
      </c>
      <c r="I626" t="s">
        <v>10807</v>
      </c>
      <c r="J626" t="s">
        <v>12014</v>
      </c>
      <c r="K626" t="s">
        <v>12639</v>
      </c>
      <c r="L626" t="s">
        <v>10808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11075</v>
      </c>
      <c r="F627" t="s">
        <v>58</v>
      </c>
      <c r="G627">
        <v>1</v>
      </c>
      <c r="I627" t="s">
        <v>10809</v>
      </c>
      <c r="J627" t="s">
        <v>12014</v>
      </c>
      <c r="K627" t="s">
        <v>12640</v>
      </c>
      <c r="L627" t="s">
        <v>10811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11075</v>
      </c>
      <c r="F628" t="s">
        <v>58</v>
      </c>
      <c r="G628">
        <v>2</v>
      </c>
      <c r="I628" t="s">
        <v>10812</v>
      </c>
      <c r="J628" t="s">
        <v>12014</v>
      </c>
      <c r="K628" t="s">
        <v>12641</v>
      </c>
      <c r="L628" t="s">
        <v>10814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11075</v>
      </c>
      <c r="I629" t="s">
        <v>10815</v>
      </c>
      <c r="J629" t="s">
        <v>12014</v>
      </c>
      <c r="K629" t="s">
        <v>12642</v>
      </c>
      <c r="L629" t="s">
        <v>10816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10817</v>
      </c>
      <c r="J630" t="s">
        <v>12014</v>
      </c>
      <c r="K630" t="s">
        <v>12643</v>
      </c>
      <c r="L630" t="s">
        <v>10818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10819</v>
      </c>
      <c r="J631" t="s">
        <v>12014</v>
      </c>
      <c r="K631" t="s">
        <v>12644</v>
      </c>
      <c r="L631" t="s">
        <v>10820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10821</v>
      </c>
      <c r="J632" t="s">
        <v>12014</v>
      </c>
      <c r="K632" t="s">
        <v>12645</v>
      </c>
      <c r="L632" t="s">
        <v>10822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10823</v>
      </c>
      <c r="J633" t="s">
        <v>12014</v>
      </c>
      <c r="K633" t="s">
        <v>12646</v>
      </c>
      <c r="L633" t="s">
        <v>10824</v>
      </c>
      <c r="M633" s="2" t="str">
        <f>HYPERLINK(склад2въезд131920212223[[#This Row],[RelativePath]])</f>
        <v>10 Въезд ангар\GA3948333_6_20260225T185714Z.jpg</v>
      </c>
    </row>
  </sheetData>
  <conditionalFormatting sqref="D634:D644 E634:E647 G2:H633 D2:E633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633">
    <cfRule type="notContainsText" dxfId="865" priority="13" operator="notContains" text="порожний">
      <formula>ISERROR(SEARCH("порожний",F2))</formula>
    </cfRule>
  </conditionalFormatting>
  <conditionalFormatting sqref="E2:E647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647">
    <cfRule type="containsText" dxfId="862" priority="10" operator="containsText" text="Трактор базы">
      <formula>NOT(ISERROR(SEARCH("Трактор базы",E2)))</formula>
    </cfRule>
  </conditionalFormatting>
  <conditionalFormatting sqref="A2:C633">
    <cfRule type="expression" dxfId="861" priority="9">
      <formula>$A2="пн"</formula>
    </cfRule>
  </conditionalFormatting>
  <conditionalFormatting sqref="A2:C635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644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4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10"/>
  <sheetViews>
    <sheetView zoomScale="90" zoomScaleNormal="90" workbookViewId="0">
      <pane ySplit="1" topLeftCell="A302" activePane="bottomLeft" state="frozen"/>
      <selection pane="bottomLeft" activeCell="E322" sqref="E3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11704</v>
      </c>
      <c r="K2" t="s">
        <v>11705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11704</v>
      </c>
      <c r="K3" t="s">
        <v>11706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11704</v>
      </c>
      <c r="K4" t="s">
        <v>11707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11704</v>
      </c>
      <c r="K5" t="s">
        <v>11708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11704</v>
      </c>
      <c r="K6" t="s">
        <v>11709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11704</v>
      </c>
      <c r="K7" t="s">
        <v>11710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11704</v>
      </c>
      <c r="K8" t="s">
        <v>11711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11704</v>
      </c>
      <c r="K9" t="s">
        <v>11712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11704</v>
      </c>
      <c r="K10" t="s">
        <v>11713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11704</v>
      </c>
      <c r="K11" t="s">
        <v>11714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11704</v>
      </c>
      <c r="K12" t="s">
        <v>11715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11704</v>
      </c>
      <c r="K13" t="s">
        <v>11716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11704</v>
      </c>
      <c r="K14" t="s">
        <v>11717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11704</v>
      </c>
      <c r="K15" t="s">
        <v>11718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11704</v>
      </c>
      <c r="K16" t="s">
        <v>11719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11704</v>
      </c>
      <c r="K17" t="s">
        <v>11720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11704</v>
      </c>
      <c r="K18" t="s">
        <v>11721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11704</v>
      </c>
      <c r="K19" t="s">
        <v>11722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11704</v>
      </c>
      <c r="K20" t="s">
        <v>11723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11704</v>
      </c>
      <c r="K21" t="s">
        <v>11724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11704</v>
      </c>
      <c r="K22" t="s">
        <v>11725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11704</v>
      </c>
      <c r="K23" t="s">
        <v>11726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11704</v>
      </c>
      <c r="K24" t="s">
        <v>11727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11704</v>
      </c>
      <c r="K25" t="s">
        <v>11728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11704</v>
      </c>
      <c r="K26" t="s">
        <v>11729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11704</v>
      </c>
      <c r="K27" t="s">
        <v>11730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11704</v>
      </c>
      <c r="K28" t="s">
        <v>11731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11704</v>
      </c>
      <c r="K29" t="s">
        <v>11732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11704</v>
      </c>
      <c r="K30" t="s">
        <v>11733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11704</v>
      </c>
      <c r="K31" t="s">
        <v>11734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11704</v>
      </c>
      <c r="K32" t="s">
        <v>11735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11704</v>
      </c>
      <c r="K33" t="s">
        <v>11736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11704</v>
      </c>
      <c r="K34" t="s">
        <v>11737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11704</v>
      </c>
      <c r="K35" t="s">
        <v>11738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11704</v>
      </c>
      <c r="K36" t="s">
        <v>11739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11704</v>
      </c>
      <c r="K37" t="s">
        <v>11740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11704</v>
      </c>
      <c r="K38" t="s">
        <v>11741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11704</v>
      </c>
      <c r="K39" t="s">
        <v>11742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11704</v>
      </c>
      <c r="K40" t="s">
        <v>11743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11704</v>
      </c>
      <c r="K41" t="s">
        <v>11744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11704</v>
      </c>
      <c r="K42" t="s">
        <v>11745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11704</v>
      </c>
      <c r="K43" t="s">
        <v>11746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11704</v>
      </c>
      <c r="K44" t="s">
        <v>11747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11704</v>
      </c>
      <c r="K45" t="s">
        <v>11748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11704</v>
      </c>
      <c r="K46" t="s">
        <v>11749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11704</v>
      </c>
      <c r="K47" t="s">
        <v>11750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11704</v>
      </c>
      <c r="K48" t="s">
        <v>11751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11704</v>
      </c>
      <c r="K49" t="s">
        <v>11752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11704</v>
      </c>
      <c r="K50" t="s">
        <v>11753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11704</v>
      </c>
      <c r="K51" t="s">
        <v>11754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11704</v>
      </c>
      <c r="K52" t="s">
        <v>11755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11704</v>
      </c>
      <c r="K53" t="s">
        <v>11756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11704</v>
      </c>
      <c r="K54" t="s">
        <v>11757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11704</v>
      </c>
      <c r="K55" t="s">
        <v>11758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11704</v>
      </c>
      <c r="K56" t="s">
        <v>11759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11704</v>
      </c>
      <c r="K57" t="s">
        <v>11760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11704</v>
      </c>
      <c r="K58" t="s">
        <v>11761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11704</v>
      </c>
      <c r="K59" t="s">
        <v>11762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11704</v>
      </c>
      <c r="K60" t="s">
        <v>11763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11704</v>
      </c>
      <c r="K61" t="s">
        <v>11764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11704</v>
      </c>
      <c r="K62" t="s">
        <v>11765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11704</v>
      </c>
      <c r="K63" t="s">
        <v>11766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11704</v>
      </c>
      <c r="K64" t="s">
        <v>11767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11704</v>
      </c>
      <c r="K65" t="s">
        <v>11768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11704</v>
      </c>
      <c r="K66" t="s">
        <v>11769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11704</v>
      </c>
      <c r="K67" t="s">
        <v>11770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11704</v>
      </c>
      <c r="K68" t="s">
        <v>11771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11704</v>
      </c>
      <c r="K69" t="s">
        <v>11772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11704</v>
      </c>
      <c r="K70" t="s">
        <v>11773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11704</v>
      </c>
      <c r="K71" t="s">
        <v>11774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11704</v>
      </c>
      <c r="K72" t="s">
        <v>11775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11704</v>
      </c>
      <c r="K73" t="s">
        <v>11776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11704</v>
      </c>
      <c r="K74" t="s">
        <v>11777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11704</v>
      </c>
      <c r="K75" t="s">
        <v>11778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11704</v>
      </c>
      <c r="K76" t="s">
        <v>11779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11704</v>
      </c>
      <c r="K77" t="s">
        <v>11780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11704</v>
      </c>
      <c r="K78" t="s">
        <v>11781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11704</v>
      </c>
      <c r="K79" t="s">
        <v>11782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11704</v>
      </c>
      <c r="K80" t="s">
        <v>11783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11704</v>
      </c>
      <c r="K81" t="s">
        <v>11784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11704</v>
      </c>
      <c r="K82" t="s">
        <v>11785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11704</v>
      </c>
      <c r="K83" t="s">
        <v>11786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11704</v>
      </c>
      <c r="K84" t="s">
        <v>11787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11704</v>
      </c>
      <c r="K85" t="s">
        <v>11788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11704</v>
      </c>
      <c r="K86" t="s">
        <v>11789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11704</v>
      </c>
      <c r="K87" t="s">
        <v>11790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11704</v>
      </c>
      <c r="K88" t="s">
        <v>11791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11704</v>
      </c>
      <c r="K89" t="s">
        <v>11792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11704</v>
      </c>
      <c r="K90" t="s">
        <v>11793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11704</v>
      </c>
      <c r="K91" t="s">
        <v>11794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11704</v>
      </c>
      <c r="K92" t="s">
        <v>11795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11704</v>
      </c>
      <c r="K93" t="s">
        <v>11796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11704</v>
      </c>
      <c r="K94" t="s">
        <v>11797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11704</v>
      </c>
      <c r="K95" t="s">
        <v>11798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11704</v>
      </c>
      <c r="K96" t="s">
        <v>11799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11704</v>
      </c>
      <c r="K97" t="s">
        <v>11800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11704</v>
      </c>
      <c r="K98" t="s">
        <v>11801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11704</v>
      </c>
      <c r="K99" t="s">
        <v>11802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11704</v>
      </c>
      <c r="K100" t="s">
        <v>11803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11704</v>
      </c>
      <c r="K101" t="s">
        <v>11804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11704</v>
      </c>
      <c r="K102" t="s">
        <v>11805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11704</v>
      </c>
      <c r="K103" t="s">
        <v>11806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11704</v>
      </c>
      <c r="K104" t="s">
        <v>11807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11704</v>
      </c>
      <c r="K105" t="s">
        <v>11808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11704</v>
      </c>
      <c r="K106" t="s">
        <v>11809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11704</v>
      </c>
      <c r="K107" t="s">
        <v>11810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11704</v>
      </c>
      <c r="K108" t="s">
        <v>11811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11704</v>
      </c>
      <c r="K109" t="s">
        <v>11812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11704</v>
      </c>
      <c r="K110" t="s">
        <v>11813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11704</v>
      </c>
      <c r="K111" t="s">
        <v>11814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11704</v>
      </c>
      <c r="K112" t="s">
        <v>11815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11704</v>
      </c>
      <c r="K113" t="s">
        <v>11816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11704</v>
      </c>
      <c r="K114" t="s">
        <v>11817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11704</v>
      </c>
      <c r="K115" t="s">
        <v>11818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11704</v>
      </c>
      <c r="K116" t="s">
        <v>11819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11704</v>
      </c>
      <c r="K117" t="s">
        <v>11820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11704</v>
      </c>
      <c r="K118" t="s">
        <v>11821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11704</v>
      </c>
      <c r="K119" t="s">
        <v>11822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11704</v>
      </c>
      <c r="K120" t="s">
        <v>11823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11704</v>
      </c>
      <c r="K121" t="s">
        <v>11824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11704</v>
      </c>
      <c r="K122" t="s">
        <v>11825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11704</v>
      </c>
      <c r="K123" t="s">
        <v>11826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11704</v>
      </c>
      <c r="K124" t="s">
        <v>11827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11704</v>
      </c>
      <c r="K125" t="s">
        <v>11828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11704</v>
      </c>
      <c r="K126" t="s">
        <v>11829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11704</v>
      </c>
      <c r="K127" t="s">
        <v>11830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11704</v>
      </c>
      <c r="K128" t="s">
        <v>11831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11704</v>
      </c>
      <c r="K129" t="s">
        <v>11832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11704</v>
      </c>
      <c r="K130" t="s">
        <v>11833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11704</v>
      </c>
      <c r="K131" t="s">
        <v>11834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11704</v>
      </c>
      <c r="K132" t="s">
        <v>11835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11704</v>
      </c>
      <c r="K133" t="s">
        <v>11836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11704</v>
      </c>
      <c r="K134" t="s">
        <v>11837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11704</v>
      </c>
      <c r="K135" t="s">
        <v>11838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11704</v>
      </c>
      <c r="K136" t="s">
        <v>11839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11704</v>
      </c>
      <c r="K137" t="s">
        <v>11840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11704</v>
      </c>
      <c r="K138" t="s">
        <v>11841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11704</v>
      </c>
      <c r="K139" t="s">
        <v>11842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11704</v>
      </c>
      <c r="K140" t="s">
        <v>11843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11704</v>
      </c>
      <c r="K141" t="s">
        <v>11844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11704</v>
      </c>
      <c r="K142" t="s">
        <v>11845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11704</v>
      </c>
      <c r="K143" t="s">
        <v>11846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11704</v>
      </c>
      <c r="K144" t="s">
        <v>11847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11704</v>
      </c>
      <c r="K145" t="s">
        <v>11848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11704</v>
      </c>
      <c r="K146" t="s">
        <v>11849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11704</v>
      </c>
      <c r="K147" t="s">
        <v>11850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11704</v>
      </c>
      <c r="K148" t="s">
        <v>11851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11704</v>
      </c>
      <c r="K149" t="s">
        <v>11852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11704</v>
      </c>
      <c r="K150" t="s">
        <v>11853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11704</v>
      </c>
      <c r="K151" t="s">
        <v>11854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11704</v>
      </c>
      <c r="K152" t="s">
        <v>11855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11704</v>
      </c>
      <c r="K153" t="s">
        <v>11856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11704</v>
      </c>
      <c r="K154" t="s">
        <v>11857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11704</v>
      </c>
      <c r="K155" t="s">
        <v>11858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11704</v>
      </c>
      <c r="K156" t="s">
        <v>11859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11704</v>
      </c>
      <c r="K157" t="s">
        <v>11860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11704</v>
      </c>
      <c r="K158" t="s">
        <v>11861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11704</v>
      </c>
      <c r="K159" t="s">
        <v>11862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11704</v>
      </c>
      <c r="K160" t="s">
        <v>11863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11704</v>
      </c>
      <c r="K161" t="s">
        <v>11864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11704</v>
      </c>
      <c r="K162" t="s">
        <v>11865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11704</v>
      </c>
      <c r="K163" t="s">
        <v>11866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11704</v>
      </c>
      <c r="K164" t="s">
        <v>11867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11704</v>
      </c>
      <c r="K165" t="s">
        <v>11868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11704</v>
      </c>
      <c r="K166" t="s">
        <v>11869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11704</v>
      </c>
      <c r="K167" t="s">
        <v>11870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11704</v>
      </c>
      <c r="K168" t="s">
        <v>11871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11704</v>
      </c>
      <c r="K169" t="s">
        <v>11872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11704</v>
      </c>
      <c r="K170" t="s">
        <v>11873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11704</v>
      </c>
      <c r="K171" t="s">
        <v>11874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11704</v>
      </c>
      <c r="K172" t="s">
        <v>11875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11704</v>
      </c>
      <c r="K173" t="s">
        <v>11876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11704</v>
      </c>
      <c r="K174" t="s">
        <v>11877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11704</v>
      </c>
      <c r="K175" t="s">
        <v>11878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11704</v>
      </c>
      <c r="K176" t="s">
        <v>11879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11704</v>
      </c>
      <c r="K177" t="s">
        <v>11880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11704</v>
      </c>
      <c r="K178" t="s">
        <v>11881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11704</v>
      </c>
      <c r="K179" t="s">
        <v>11882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11704</v>
      </c>
      <c r="K180" t="s">
        <v>11883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11704</v>
      </c>
      <c r="K181" t="s">
        <v>11884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11704</v>
      </c>
      <c r="K182" t="s">
        <v>11885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11704</v>
      </c>
      <c r="K183" t="s">
        <v>11886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11704</v>
      </c>
      <c r="K184" t="s">
        <v>11887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11704</v>
      </c>
      <c r="K185" t="s">
        <v>11888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11704</v>
      </c>
      <c r="K186" t="s">
        <v>11889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11704</v>
      </c>
      <c r="K187" t="s">
        <v>11890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11704</v>
      </c>
      <c r="K188" t="s">
        <v>11891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11704</v>
      </c>
      <c r="K189" t="s">
        <v>11892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11704</v>
      </c>
      <c r="K190" t="s">
        <v>11893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11704</v>
      </c>
      <c r="K191" t="s">
        <v>11894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11704</v>
      </c>
      <c r="K192" t="s">
        <v>11895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11704</v>
      </c>
      <c r="K193" t="s">
        <v>11896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11704</v>
      </c>
      <c r="K194" t="s">
        <v>11897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11704</v>
      </c>
      <c r="K195" t="s">
        <v>11898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11704</v>
      </c>
      <c r="K196" t="s">
        <v>11899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11704</v>
      </c>
      <c r="K197" t="s">
        <v>11900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11704</v>
      </c>
      <c r="K198" t="s">
        <v>11901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11704</v>
      </c>
      <c r="K199" t="s">
        <v>11902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11704</v>
      </c>
      <c r="K200" t="s">
        <v>11903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11704</v>
      </c>
      <c r="K201" t="s">
        <v>11904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11704</v>
      </c>
      <c r="K202" t="s">
        <v>11905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11704</v>
      </c>
      <c r="K203" t="s">
        <v>11906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11704</v>
      </c>
      <c r="K204" t="s">
        <v>11907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11704</v>
      </c>
      <c r="K205" t="s">
        <v>11908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11704</v>
      </c>
      <c r="K206" t="s">
        <v>11909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11704</v>
      </c>
      <c r="K207" t="s">
        <v>11910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11704</v>
      </c>
      <c r="K208" t="s">
        <v>11911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11704</v>
      </c>
      <c r="K209" t="s">
        <v>11912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11704</v>
      </c>
      <c r="K210" t="s">
        <v>11913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11704</v>
      </c>
      <c r="K211" t="s">
        <v>11914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11704</v>
      </c>
      <c r="K212" t="s">
        <v>11915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11704</v>
      </c>
      <c r="K213" t="s">
        <v>11916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11704</v>
      </c>
      <c r="K214" t="s">
        <v>11917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11704</v>
      </c>
      <c r="K215" t="s">
        <v>11918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11704</v>
      </c>
      <c r="K216" t="s">
        <v>11919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11704</v>
      </c>
      <c r="K217" t="s">
        <v>11920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11704</v>
      </c>
      <c r="K218" t="s">
        <v>11921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11704</v>
      </c>
      <c r="K219" t="s">
        <v>11922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11704</v>
      </c>
      <c r="K220" t="s">
        <v>11923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11704</v>
      </c>
      <c r="K221" t="s">
        <v>11924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11704</v>
      </c>
      <c r="K222" t="s">
        <v>11925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11704</v>
      </c>
      <c r="K223" t="s">
        <v>11926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11704</v>
      </c>
      <c r="K224" t="s">
        <v>11927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11704</v>
      </c>
      <c r="K225" t="s">
        <v>11928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11704</v>
      </c>
      <c r="K226" t="s">
        <v>11929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11704</v>
      </c>
      <c r="K227" t="s">
        <v>11930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11704</v>
      </c>
      <c r="K228" t="s">
        <v>11931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11704</v>
      </c>
      <c r="K229" t="s">
        <v>11932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11704</v>
      </c>
      <c r="K230" t="s">
        <v>11933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11704</v>
      </c>
      <c r="K231" t="s">
        <v>11934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11704</v>
      </c>
      <c r="K232" t="s">
        <v>11935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11704</v>
      </c>
      <c r="K233" t="s">
        <v>11936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11704</v>
      </c>
      <c r="K234" t="s">
        <v>11937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11704</v>
      </c>
      <c r="K235" t="s">
        <v>11938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11704</v>
      </c>
      <c r="K236" t="s">
        <v>11939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11704</v>
      </c>
      <c r="K237" t="s">
        <v>11940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11704</v>
      </c>
      <c r="K238" t="s">
        <v>11941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11704</v>
      </c>
      <c r="K239" t="s">
        <v>11942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11704</v>
      </c>
      <c r="K240" t="s">
        <v>11943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11704</v>
      </c>
      <c r="K241" t="s">
        <v>11944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11704</v>
      </c>
      <c r="K242" t="s">
        <v>11945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11704</v>
      </c>
      <c r="K243" t="s">
        <v>11946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11704</v>
      </c>
      <c r="K244" t="s">
        <v>11947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11704</v>
      </c>
      <c r="K245" t="s">
        <v>11948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11704</v>
      </c>
      <c r="K246" t="s">
        <v>11949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11704</v>
      </c>
      <c r="K247" t="s">
        <v>11950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11704</v>
      </c>
      <c r="K248" t="s">
        <v>11951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11704</v>
      </c>
      <c r="K249" t="s">
        <v>11952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11704</v>
      </c>
      <c r="K250" t="s">
        <v>11953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11704</v>
      </c>
      <c r="K251" t="s">
        <v>11954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11704</v>
      </c>
      <c r="K252" t="s">
        <v>11955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11704</v>
      </c>
      <c r="K253" t="s">
        <v>11956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11704</v>
      </c>
      <c r="K254" t="s">
        <v>11957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11704</v>
      </c>
      <c r="K255" t="s">
        <v>11958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11704</v>
      </c>
      <c r="K256" t="s">
        <v>11959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11704</v>
      </c>
      <c r="K257" t="s">
        <v>11960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11704</v>
      </c>
      <c r="K258" t="s">
        <v>11961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11704</v>
      </c>
      <c r="K259" t="s">
        <v>11962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11704</v>
      </c>
      <c r="K260" t="s">
        <v>11963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11704</v>
      </c>
      <c r="K261" t="s">
        <v>11964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11704</v>
      </c>
      <c r="K262" t="s">
        <v>11965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11704</v>
      </c>
      <c r="K263" t="s">
        <v>11966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11704</v>
      </c>
      <c r="K264" t="s">
        <v>11967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11704</v>
      </c>
      <c r="K265" t="s">
        <v>11968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11704</v>
      </c>
      <c r="K266" t="s">
        <v>11969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11704</v>
      </c>
      <c r="K267" t="s">
        <v>11970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11704</v>
      </c>
      <c r="K268" t="s">
        <v>11971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11704</v>
      </c>
      <c r="K269" t="s">
        <v>11972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11704</v>
      </c>
      <c r="K270" t="s">
        <v>11973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11704</v>
      </c>
      <c r="K271" t="s">
        <v>11974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11704</v>
      </c>
      <c r="K272" t="s">
        <v>11975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11704</v>
      </c>
      <c r="K273" t="s">
        <v>11976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11704</v>
      </c>
      <c r="K274" t="s">
        <v>11977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11704</v>
      </c>
      <c r="K275" t="s">
        <v>11978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11704</v>
      </c>
      <c r="K276" t="s">
        <v>11979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11704</v>
      </c>
      <c r="K277" t="s">
        <v>11980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11704</v>
      </c>
      <c r="K278" t="s">
        <v>11981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11704</v>
      </c>
      <c r="K279" t="s">
        <v>11982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11704</v>
      </c>
      <c r="K280" t="s">
        <v>11983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11704</v>
      </c>
      <c r="K281" t="s">
        <v>11984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11704</v>
      </c>
      <c r="K282" t="s">
        <v>11985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11704</v>
      </c>
      <c r="K283" t="s">
        <v>11986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11704</v>
      </c>
      <c r="K284" t="s">
        <v>11987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11704</v>
      </c>
      <c r="K285" t="s">
        <v>11988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11704</v>
      </c>
      <c r="K286" t="s">
        <v>11989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11704</v>
      </c>
      <c r="K287" t="s">
        <v>11990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11704</v>
      </c>
      <c r="K288" t="s">
        <v>11991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11704</v>
      </c>
      <c r="K289" t="s">
        <v>11992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11704</v>
      </c>
      <c r="K290" t="s">
        <v>11993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11704</v>
      </c>
      <c r="K291" t="s">
        <v>11994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11704</v>
      </c>
      <c r="K292" t="s">
        <v>11995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11704</v>
      </c>
      <c r="K293" t="s">
        <v>11996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11704</v>
      </c>
      <c r="K294" t="s">
        <v>11997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11704</v>
      </c>
      <c r="K295" t="s">
        <v>11998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11704</v>
      </c>
      <c r="K296" t="s">
        <v>11999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11704</v>
      </c>
      <c r="K297" t="s">
        <v>12000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11704</v>
      </c>
      <c r="K298" t="s">
        <v>12001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11704</v>
      </c>
      <c r="K299" t="s">
        <v>12002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11704</v>
      </c>
      <c r="K300" t="s">
        <v>12003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11704</v>
      </c>
      <c r="K301" t="s">
        <v>12004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11704</v>
      </c>
      <c r="K302" t="s">
        <v>12005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11704</v>
      </c>
      <c r="K303" t="s">
        <v>12006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11082</v>
      </c>
      <c r="E304" t="s">
        <v>86</v>
      </c>
      <c r="I304" t="s">
        <v>10788</v>
      </c>
      <c r="J304" t="s">
        <v>11704</v>
      </c>
      <c r="K304" t="s">
        <v>12007</v>
      </c>
      <c r="L304" t="s">
        <v>10789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11082</v>
      </c>
      <c r="E305" t="s">
        <v>86</v>
      </c>
      <c r="I305" t="s">
        <v>10790</v>
      </c>
      <c r="J305" t="s">
        <v>11704</v>
      </c>
      <c r="K305" t="s">
        <v>12008</v>
      </c>
      <c r="L305" t="s">
        <v>10791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10792</v>
      </c>
      <c r="J306" t="s">
        <v>11704</v>
      </c>
      <c r="K306" t="s">
        <v>12009</v>
      </c>
      <c r="L306" t="s">
        <v>10793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11078</v>
      </c>
      <c r="E307" t="s">
        <v>86</v>
      </c>
      <c r="I307" t="s">
        <v>10794</v>
      </c>
      <c r="J307" t="s">
        <v>11704</v>
      </c>
      <c r="K307" t="s">
        <v>12010</v>
      </c>
      <c r="L307" t="s">
        <v>10795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11078</v>
      </c>
      <c r="E308" t="s">
        <v>86</v>
      </c>
      <c r="I308" t="s">
        <v>10796</v>
      </c>
      <c r="J308" t="s">
        <v>11704</v>
      </c>
      <c r="K308" t="s">
        <v>12011</v>
      </c>
      <c r="L308" t="s">
        <v>10797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11078</v>
      </c>
      <c r="E309" t="s">
        <v>86</v>
      </c>
      <c r="I309" t="s">
        <v>10798</v>
      </c>
      <c r="J309" t="s">
        <v>11704</v>
      </c>
      <c r="K309" t="s">
        <v>12012</v>
      </c>
      <c r="L309" t="s">
        <v>10799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10800</v>
      </c>
      <c r="J310" t="s">
        <v>11704</v>
      </c>
      <c r="K310" t="s">
        <v>12013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</sheetData>
  <conditionalFormatting sqref="D311:D321 E311:E324 G2:H310 D2:E310">
    <cfRule type="containsText" dxfId="846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45" priority="13" operator="notContains" text="порожний">
      <formula>ISERROR(SEARCH("порожний",F2))</formula>
    </cfRule>
  </conditionalFormatting>
  <conditionalFormatting sqref="E2:E324">
    <cfRule type="containsText" dxfId="844" priority="11" operator="containsText" text="Газель базы">
      <formula>NOT(ISERROR(SEARCH("Газель базы",E2)))</formula>
    </cfRule>
    <cfRule type="containsText" dxfId="843" priority="12" operator="containsText" text="Погрузчик базы">
      <formula>NOT(ISERROR(SEARCH("Погрузчик базы",E2)))</formula>
    </cfRule>
  </conditionalFormatting>
  <conditionalFormatting sqref="E2:E324">
    <cfRule type="containsText" dxfId="842" priority="10" operator="containsText" text="Трактор базы">
      <formula>NOT(ISERROR(SEARCH("Трактор базы",E2)))</formula>
    </cfRule>
  </conditionalFormatting>
  <conditionalFormatting sqref="A2:C310">
    <cfRule type="expression" dxfId="841" priority="9">
      <formula>$A2="пн"</formula>
    </cfRule>
  </conditionalFormatting>
  <conditionalFormatting sqref="A2:C312">
    <cfRule type="expression" dxfId="840" priority="3">
      <formula>$A2="вс"</formula>
    </cfRule>
    <cfRule type="expression" dxfId="839" priority="4">
      <formula>$A2="сб"</formula>
    </cfRule>
    <cfRule type="expression" dxfId="838" priority="5">
      <formula>$A2="пт"</formula>
    </cfRule>
    <cfRule type="expression" dxfId="837" priority="6">
      <formula>$A2="чт"</formula>
    </cfRule>
    <cfRule type="expression" dxfId="836" priority="7">
      <formula>$A2="ср"</formula>
    </cfRule>
    <cfRule type="expression" dxfId="835" priority="8">
      <formula>$A2="вт"</formula>
    </cfRule>
  </conditionalFormatting>
  <conditionalFormatting sqref="D2:D321">
    <cfRule type="containsText" dxfId="8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45"/>
  <sheetViews>
    <sheetView zoomScale="90" zoomScaleNormal="90" workbookViewId="0">
      <pane ySplit="1" topLeftCell="A230" activePane="bottomLeft" state="frozen"/>
      <selection pane="bottomLeft" activeCell="I240" sqref="I240:I2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10825</v>
      </c>
      <c r="J240" t="s">
        <v>2399</v>
      </c>
      <c r="K240" t="s">
        <v>10826</v>
      </c>
      <c r="L240" t="s">
        <v>10827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10828</v>
      </c>
      <c r="J241" t="s">
        <v>2399</v>
      </c>
      <c r="K241" t="s">
        <v>10829</v>
      </c>
      <c r="L241" t="s">
        <v>10830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10831</v>
      </c>
      <c r="J242" t="s">
        <v>2399</v>
      </c>
      <c r="K242" t="s">
        <v>10832</v>
      </c>
      <c r="L242" t="s">
        <v>10833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10834</v>
      </c>
      <c r="J243" t="s">
        <v>2399</v>
      </c>
      <c r="K243" t="s">
        <v>10835</v>
      </c>
      <c r="L243" t="s">
        <v>10836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10837</v>
      </c>
      <c r="J244" t="s">
        <v>2399</v>
      </c>
      <c r="K244" t="s">
        <v>10838</v>
      </c>
      <c r="L244" t="s">
        <v>10839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10840</v>
      </c>
      <c r="J245" t="s">
        <v>2399</v>
      </c>
      <c r="K245" t="s">
        <v>10841</v>
      </c>
      <c r="L245" t="s">
        <v>10842</v>
      </c>
      <c r="M245" s="2" t="str">
        <f>HYPERLINK(склад2въезд13192021222378[[#This Row],[RelativePath]])</f>
        <v>12 Площадка 3 кран\K07156189_20_20260225T191228Z.jpg</v>
      </c>
    </row>
  </sheetData>
  <conditionalFormatting sqref="D246:D256 E246:E259 G2:H245 D2:E245">
    <cfRule type="containsText" dxfId="826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825" priority="13" operator="notContains" text="порожний">
      <formula>ISERROR(SEARCH("порожний",F2))</formula>
    </cfRule>
  </conditionalFormatting>
  <conditionalFormatting sqref="E2:E259">
    <cfRule type="containsText" dxfId="824" priority="11" operator="containsText" text="Газель базы">
      <formula>NOT(ISERROR(SEARCH("Газель базы",E2)))</formula>
    </cfRule>
    <cfRule type="containsText" dxfId="823" priority="12" operator="containsText" text="Погрузчик базы">
      <formula>NOT(ISERROR(SEARCH("Погрузчик базы",E2)))</formula>
    </cfRule>
  </conditionalFormatting>
  <conditionalFormatting sqref="E2:E259">
    <cfRule type="containsText" dxfId="822" priority="10" operator="containsText" text="Трактор базы">
      <formula>NOT(ISERROR(SEARCH("Трактор базы",E2)))</formula>
    </cfRule>
  </conditionalFormatting>
  <conditionalFormatting sqref="A2:C245">
    <cfRule type="expression" dxfId="821" priority="9">
      <formula>$A2="пн"</formula>
    </cfRule>
  </conditionalFormatting>
  <conditionalFormatting sqref="A2:C247">
    <cfRule type="expression" dxfId="820" priority="3">
      <formula>$A2="вс"</formula>
    </cfRule>
    <cfRule type="expression" dxfId="819" priority="4">
      <formula>$A2="сб"</formula>
    </cfRule>
    <cfRule type="expression" dxfId="818" priority="5">
      <formula>$A2="пт"</formula>
    </cfRule>
    <cfRule type="expression" dxfId="817" priority="6">
      <formula>$A2="чт"</formula>
    </cfRule>
    <cfRule type="expression" dxfId="816" priority="7">
      <formula>$A2="ср"</formula>
    </cfRule>
    <cfRule type="expression" dxfId="815" priority="8">
      <formula>$A2="вт"</formula>
    </cfRule>
  </conditionalFormatting>
  <conditionalFormatting sqref="D2:D256">
    <cfRule type="containsText" dxfId="8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8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07"/>
  <sheetViews>
    <sheetView zoomScale="90" zoomScaleNormal="90" workbookViewId="0">
      <pane ySplit="1" topLeftCell="A194" activePane="bottomLeft" state="frozen"/>
      <selection pane="bottomLeft" activeCell="I204" sqref="I204:I2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10858</v>
      </c>
      <c r="J204" t="s">
        <v>2400</v>
      </c>
      <c r="K204" t="s">
        <v>10859</v>
      </c>
      <c r="L204" t="s">
        <v>10860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11078</v>
      </c>
      <c r="E205" t="s">
        <v>86</v>
      </c>
      <c r="I205" t="s">
        <v>10861</v>
      </c>
      <c r="J205" t="s">
        <v>2400</v>
      </c>
      <c r="K205" t="s">
        <v>10862</v>
      </c>
      <c r="L205" t="s">
        <v>10863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11078</v>
      </c>
      <c r="E206" t="s">
        <v>86</v>
      </c>
      <c r="I206" t="s">
        <v>10864</v>
      </c>
      <c r="J206" t="s">
        <v>2400</v>
      </c>
      <c r="K206" t="s">
        <v>10865</v>
      </c>
      <c r="L206" t="s">
        <v>10866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10867</v>
      </c>
      <c r="J207" t="s">
        <v>2400</v>
      </c>
      <c r="K207" t="s">
        <v>10868</v>
      </c>
      <c r="L207" t="s">
        <v>10869</v>
      </c>
      <c r="M207" s="2" t="str">
        <f>HYPERLINK(склад2въезд131920212223789[[#This Row],[RelativePath]])</f>
        <v>13 Склад хол\K07156189_23_20260225T173135Z.jpg</v>
      </c>
    </row>
  </sheetData>
  <conditionalFormatting sqref="D208:D218 E208:E221 G2:H207 D2:E207">
    <cfRule type="containsText" dxfId="806" priority="14" operator="containsText" text="Выезд с территории">
      <formula>NOT(ISERROR(SEARCH("Выезд с территории",D2)))</formula>
    </cfRule>
  </conditionalFormatting>
  <conditionalFormatting sqref="F2:F207">
    <cfRule type="notContainsText" dxfId="805" priority="13" operator="notContains" text="порожний">
      <formula>ISERROR(SEARCH("порожний",F2))</formula>
    </cfRule>
  </conditionalFormatting>
  <conditionalFormatting sqref="E2:E221">
    <cfRule type="containsText" dxfId="804" priority="11" operator="containsText" text="Газель базы">
      <formula>NOT(ISERROR(SEARCH("Газель базы",E2)))</formula>
    </cfRule>
    <cfRule type="containsText" dxfId="803" priority="12" operator="containsText" text="Погрузчик базы">
      <formula>NOT(ISERROR(SEARCH("Погрузчик базы",E2)))</formula>
    </cfRule>
  </conditionalFormatting>
  <conditionalFormatting sqref="E2:E221">
    <cfRule type="containsText" dxfId="802" priority="10" operator="containsText" text="Трактор базы">
      <formula>NOT(ISERROR(SEARCH("Трактор базы",E2)))</formula>
    </cfRule>
  </conditionalFormatting>
  <conditionalFormatting sqref="A2:C207">
    <cfRule type="expression" dxfId="801" priority="9">
      <formula>$A2="пн"</formula>
    </cfRule>
  </conditionalFormatting>
  <conditionalFormatting sqref="A2:C209">
    <cfRule type="expression" dxfId="800" priority="3">
      <formula>$A2="вс"</formula>
    </cfRule>
    <cfRule type="expression" dxfId="799" priority="4">
      <formula>$A2="сб"</formula>
    </cfRule>
    <cfRule type="expression" dxfId="798" priority="5">
      <formula>$A2="пт"</formula>
    </cfRule>
    <cfRule type="expression" dxfId="797" priority="6">
      <formula>$A2="чт"</formula>
    </cfRule>
    <cfRule type="expression" dxfId="796" priority="7">
      <formula>$A2="ср"</formula>
    </cfRule>
    <cfRule type="expression" dxfId="795" priority="8">
      <formula>$A2="вт"</formula>
    </cfRule>
  </conditionalFormatting>
  <conditionalFormatting sqref="D2:D218">
    <cfRule type="containsText" dxfId="7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7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6"/>
  <sheetViews>
    <sheetView zoomScale="90" zoomScaleNormal="90" workbookViewId="0">
      <pane ySplit="1" topLeftCell="A23" activePane="bottomLeft" state="frozen"/>
      <selection pane="bottomLeft" activeCell="I32" sqref="I32:I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10843</v>
      </c>
      <c r="J32" t="s">
        <v>10066</v>
      </c>
      <c r="K32" t="s">
        <v>10844</v>
      </c>
      <c r="L32" t="s">
        <v>10845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10846</v>
      </c>
      <c r="J33" t="s">
        <v>10066</v>
      </c>
      <c r="K33" t="s">
        <v>10847</v>
      </c>
      <c r="L33" t="s">
        <v>10848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10849</v>
      </c>
      <c r="J34" t="s">
        <v>10066</v>
      </c>
      <c r="K34" t="s">
        <v>10850</v>
      </c>
      <c r="L34" t="s">
        <v>10851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10852</v>
      </c>
      <c r="J35" t="s">
        <v>10066</v>
      </c>
      <c r="K35" t="s">
        <v>10853</v>
      </c>
      <c r="L35" t="s">
        <v>10854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10855</v>
      </c>
      <c r="J36" t="s">
        <v>10066</v>
      </c>
      <c r="K36" t="s">
        <v>10856</v>
      </c>
      <c r="L36" t="s">
        <v>10857</v>
      </c>
      <c r="M36" s="2" t="str">
        <f>HYPERLINK(склад2въезд131920212223789106[[#This Row],[RelativePath]])</f>
        <v>14 На гаражи\GD7678666_1_20260225T185007Z.jpg</v>
      </c>
    </row>
  </sheetData>
  <conditionalFormatting sqref="D37:D47 E37:E50 D2:E36 G2:H36">
    <cfRule type="containsText" dxfId="786" priority="14" operator="containsText" text="Выезд с территории">
      <formula>NOT(ISERROR(SEARCH("Выезд с территории",D2)))</formula>
    </cfRule>
  </conditionalFormatting>
  <conditionalFormatting sqref="F2:F36">
    <cfRule type="notContainsText" dxfId="785" priority="13" operator="notContains" text="порожний">
      <formula>ISERROR(SEARCH("порожний",F2))</formula>
    </cfRule>
  </conditionalFormatting>
  <conditionalFormatting sqref="E2:E50">
    <cfRule type="containsText" dxfId="784" priority="11" operator="containsText" text="Газель базы">
      <formula>NOT(ISERROR(SEARCH("Газель базы",E2)))</formula>
    </cfRule>
    <cfRule type="containsText" dxfId="783" priority="12" operator="containsText" text="Погрузчик базы">
      <formula>NOT(ISERROR(SEARCH("Погрузчик базы",E2)))</formula>
    </cfRule>
  </conditionalFormatting>
  <conditionalFormatting sqref="E2:E50">
    <cfRule type="containsText" dxfId="782" priority="10" operator="containsText" text="Трактор базы">
      <formula>NOT(ISERROR(SEARCH("Трактор базы",E2)))</formula>
    </cfRule>
  </conditionalFormatting>
  <conditionalFormatting sqref="A2:C36">
    <cfRule type="expression" dxfId="781" priority="9">
      <formula>$A2="пн"</formula>
    </cfRule>
  </conditionalFormatting>
  <conditionalFormatting sqref="A2:C38">
    <cfRule type="expression" dxfId="780" priority="3">
      <formula>$A2="вс"</formula>
    </cfRule>
    <cfRule type="expression" dxfId="779" priority="4">
      <formula>$A2="сб"</formula>
    </cfRule>
    <cfRule type="expression" dxfId="778" priority="5">
      <formula>$A2="пт"</formula>
    </cfRule>
    <cfRule type="expression" dxfId="777" priority="6">
      <formula>$A2="чт"</formula>
    </cfRule>
    <cfRule type="expression" dxfId="776" priority="7">
      <formula>$A2="ср"</formula>
    </cfRule>
    <cfRule type="expression" dxfId="775" priority="8">
      <formula>$A2="вт"</formula>
    </cfRule>
  </conditionalFormatting>
  <conditionalFormatting sqref="D2:D47">
    <cfRule type="containsText" dxfId="7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">
    <cfRule type="containsText" dxfId="7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5"/>
  <sheetViews>
    <sheetView zoomScale="90" zoomScaleNormal="90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11084</v>
      </c>
      <c r="I2" t="s">
        <v>10870</v>
      </c>
      <c r="J2" t="s">
        <v>11091</v>
      </c>
      <c r="K2" t="s">
        <v>10871</v>
      </c>
      <c r="L2" t="s">
        <v>10872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11084</v>
      </c>
      <c r="I3" t="s">
        <v>10573</v>
      </c>
      <c r="J3" t="s">
        <v>11091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11071</v>
      </c>
      <c r="I4" t="s">
        <v>10576</v>
      </c>
      <c r="J4" t="s">
        <v>11091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11084</v>
      </c>
      <c r="I5" t="s">
        <v>10579</v>
      </c>
      <c r="J5" t="s">
        <v>11091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</sheetData>
  <conditionalFormatting sqref="D6:D16 E6:E19 D2:E5 G2:H5">
    <cfRule type="containsText" dxfId="766" priority="14" operator="containsText" text="Выезд с территории">
      <formula>NOT(ISERROR(SEARCH("Выезд с территории",D2)))</formula>
    </cfRule>
  </conditionalFormatting>
  <conditionalFormatting sqref="F2:F5">
    <cfRule type="notContainsText" dxfId="765" priority="13" operator="notContains" text="порожний">
      <formula>ISERROR(SEARCH("порожний",F2))</formula>
    </cfRule>
  </conditionalFormatting>
  <conditionalFormatting sqref="E2:E19">
    <cfRule type="containsText" dxfId="764" priority="11" operator="containsText" text="Газель базы">
      <formula>NOT(ISERROR(SEARCH("Газель базы",E2)))</formula>
    </cfRule>
    <cfRule type="containsText" dxfId="763" priority="12" operator="containsText" text="Погрузчик базы">
      <formula>NOT(ISERROR(SEARCH("Погрузчик базы",E2)))</formula>
    </cfRule>
  </conditionalFormatting>
  <conditionalFormatting sqref="E2:E19">
    <cfRule type="containsText" dxfId="762" priority="10" operator="containsText" text="Трактор базы">
      <formula>NOT(ISERROR(SEARCH("Трактор базы",E2)))</formula>
    </cfRule>
  </conditionalFormatting>
  <conditionalFormatting sqref="A2:C5">
    <cfRule type="expression" dxfId="761" priority="9">
      <formula>$A2="пн"</formula>
    </cfRule>
  </conditionalFormatting>
  <conditionalFormatting sqref="A2:C7">
    <cfRule type="expression" dxfId="760" priority="3">
      <formula>$A2="вс"</formula>
    </cfRule>
    <cfRule type="expression" dxfId="759" priority="4">
      <formula>$A2="сб"</formula>
    </cfRule>
    <cfRule type="expression" dxfId="758" priority="5">
      <formula>$A2="пт"</formula>
    </cfRule>
    <cfRule type="expression" dxfId="757" priority="6">
      <formula>$A2="чт"</formula>
    </cfRule>
    <cfRule type="expression" dxfId="756" priority="7">
      <formula>$A2="ср"</formula>
    </cfRule>
    <cfRule type="expression" dxfId="755" priority="8">
      <formula>$A2="вт"</formula>
    </cfRule>
  </conditionalFormatting>
  <conditionalFormatting sqref="D2:D16">
    <cfRule type="containsText" dxfId="7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">
    <cfRule type="containsText" dxfId="7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"/>
  <sheetViews>
    <sheetView tabSelected="1" zoomScale="90" zoomScaleNormal="90" workbookViewId="0">
      <pane ySplit="1" topLeftCell="A2" activePane="bottomLeft" state="frozen"/>
      <selection pane="bottomLeft" activeCell="H19" sqref="H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11086</v>
      </c>
      <c r="I2" t="s">
        <v>10873</v>
      </c>
      <c r="J2" t="s">
        <v>13491</v>
      </c>
      <c r="K2" t="s">
        <v>10874</v>
      </c>
      <c r="L2" t="s">
        <v>10875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11086</v>
      </c>
      <c r="H3" t="s">
        <v>11087</v>
      </c>
      <c r="I3" t="s">
        <v>10876</v>
      </c>
      <c r="J3" t="s">
        <v>13491</v>
      </c>
      <c r="K3" t="s">
        <v>10877</v>
      </c>
      <c r="L3" t="s">
        <v>10878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11086</v>
      </c>
      <c r="H4" t="s">
        <v>11087</v>
      </c>
      <c r="I4" t="s">
        <v>10879</v>
      </c>
      <c r="J4" t="s">
        <v>13491</v>
      </c>
      <c r="K4" t="s">
        <v>10880</v>
      </c>
      <c r="L4" t="s">
        <v>10881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11086</v>
      </c>
      <c r="I5" t="s">
        <v>10882</v>
      </c>
      <c r="J5" t="s">
        <v>13491</v>
      </c>
      <c r="K5" t="s">
        <v>10883</v>
      </c>
      <c r="L5" t="s">
        <v>10884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10885</v>
      </c>
      <c r="J6" t="s">
        <v>13491</v>
      </c>
      <c r="K6" t="s">
        <v>10886</v>
      </c>
      <c r="L6" t="s">
        <v>10887</v>
      </c>
      <c r="M6" s="2" t="str">
        <f>HYPERLINK(столярка[[#This Row],[RelativePath]])</f>
        <v>16 Столярка\GA3948333_11_20260225T202934Z.jpg</v>
      </c>
    </row>
  </sheetData>
  <conditionalFormatting sqref="D7:D17 E7:E20 D2:E6 G2:H6">
    <cfRule type="containsText" dxfId="746" priority="14" operator="containsText" text="Выезд с территории">
      <formula>NOT(ISERROR(SEARCH("Выезд с территории",D2)))</formula>
    </cfRule>
  </conditionalFormatting>
  <conditionalFormatting sqref="F2:F6">
    <cfRule type="notContainsText" dxfId="745" priority="13" operator="notContains" text="порожний">
      <formula>ISERROR(SEARCH("порожний",F2))</formula>
    </cfRule>
  </conditionalFormatting>
  <conditionalFormatting sqref="E2:E20">
    <cfRule type="containsText" dxfId="744" priority="11" operator="containsText" text="Газель базы">
      <formula>NOT(ISERROR(SEARCH("Газель базы",E2)))</formula>
    </cfRule>
    <cfRule type="containsText" dxfId="743" priority="12" operator="containsText" text="Погрузчик базы">
      <formula>NOT(ISERROR(SEARCH("Погрузчик базы",E2)))</formula>
    </cfRule>
  </conditionalFormatting>
  <conditionalFormatting sqref="E2:E20">
    <cfRule type="containsText" dxfId="742" priority="10" operator="containsText" text="Трактор базы">
      <formula>NOT(ISERROR(SEARCH("Трактор базы",E2)))</formula>
    </cfRule>
  </conditionalFormatting>
  <conditionalFormatting sqref="A2:C6">
    <cfRule type="expression" dxfId="741" priority="9">
      <formula>$A2="пн"</formula>
    </cfRule>
  </conditionalFormatting>
  <conditionalFormatting sqref="A2:C8">
    <cfRule type="expression" dxfId="740" priority="3">
      <formula>$A2="вс"</formula>
    </cfRule>
    <cfRule type="expression" dxfId="739" priority="4">
      <formula>$A2="сб"</formula>
    </cfRule>
    <cfRule type="expression" dxfId="738" priority="5">
      <formula>$A2="пт"</formula>
    </cfRule>
    <cfRule type="expression" dxfId="737" priority="6">
      <formula>$A2="чт"</formula>
    </cfRule>
    <cfRule type="expression" dxfId="736" priority="7">
      <formula>$A2="ср"</formula>
    </cfRule>
    <cfRule type="expression" dxfId="735" priority="8">
      <formula>$A2="вт"</formula>
    </cfRule>
  </conditionalFormatting>
  <conditionalFormatting sqref="D2:D17">
    <cfRule type="containsText" dxfId="7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">
    <cfRule type="containsText" dxfId="7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8"/>
  <sheetViews>
    <sheetView zoomScale="90" zoomScaleNormal="90" workbookViewId="0">
      <pane ySplit="1" topLeftCell="A2" activePane="bottomLeft" state="frozen"/>
      <selection pane="bottomLeft" sqref="A1:M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11089</v>
      </c>
      <c r="E2" t="s">
        <v>11071</v>
      </c>
      <c r="I2" t="s">
        <v>10888</v>
      </c>
      <c r="J2" t="s">
        <v>10889</v>
      </c>
      <c r="K2" t="s">
        <v>10890</v>
      </c>
      <c r="L2" t="s">
        <v>10891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10889</v>
      </c>
      <c r="K3" t="s">
        <v>10892</v>
      </c>
      <c r="L3" t="s">
        <v>10893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10889</v>
      </c>
      <c r="K4" t="s">
        <v>10894</v>
      </c>
      <c r="L4" t="s">
        <v>10895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10896</v>
      </c>
      <c r="J5" t="s">
        <v>10889</v>
      </c>
      <c r="K5" t="s">
        <v>10897</v>
      </c>
      <c r="L5" t="s">
        <v>10898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11078</v>
      </c>
      <c r="E6" t="s">
        <v>86</v>
      </c>
      <c r="I6" t="s">
        <v>10899</v>
      </c>
      <c r="J6" t="s">
        <v>10889</v>
      </c>
      <c r="K6" t="s">
        <v>10900</v>
      </c>
      <c r="L6" t="s">
        <v>10901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11089</v>
      </c>
      <c r="E7" t="s">
        <v>11071</v>
      </c>
      <c r="I7" t="s">
        <v>10902</v>
      </c>
      <c r="J7" t="s">
        <v>10889</v>
      </c>
      <c r="K7" t="s">
        <v>10903</v>
      </c>
      <c r="L7" t="s">
        <v>10904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11090</v>
      </c>
      <c r="E8" t="s">
        <v>11071</v>
      </c>
      <c r="I8" t="s">
        <v>10905</v>
      </c>
      <c r="J8" t="s">
        <v>10889</v>
      </c>
      <c r="K8" t="s">
        <v>10906</v>
      </c>
      <c r="L8" t="s">
        <v>10907</v>
      </c>
      <c r="M8" s="2" t="str">
        <f>HYPERLINK(площадкаСнавесом[[#This Row],[RelativePath]])</f>
        <v>17 Площадка с навесом\GA3948333_10_20260225T121603Z.jpg</v>
      </c>
    </row>
  </sheetData>
  <conditionalFormatting sqref="D9:D19 E9:E22 D2:E8 G2:H8">
    <cfRule type="containsText" dxfId="726" priority="14" operator="containsText" text="Выезд с территории">
      <formula>NOT(ISERROR(SEARCH("Выезд с территории",D2)))</formula>
    </cfRule>
  </conditionalFormatting>
  <conditionalFormatting sqref="F2:F8">
    <cfRule type="notContainsText" dxfId="725" priority="13" operator="notContains" text="порожний">
      <formula>ISERROR(SEARCH("порожний",F2))</formula>
    </cfRule>
  </conditionalFormatting>
  <conditionalFormatting sqref="E2:E22">
    <cfRule type="containsText" dxfId="724" priority="11" operator="containsText" text="Газель базы">
      <formula>NOT(ISERROR(SEARCH("Газель базы",E2)))</formula>
    </cfRule>
    <cfRule type="containsText" dxfId="723" priority="12" operator="containsText" text="Погрузчик базы">
      <formula>NOT(ISERROR(SEARCH("Погрузчик базы",E2)))</formula>
    </cfRule>
  </conditionalFormatting>
  <conditionalFormatting sqref="E2:E22">
    <cfRule type="containsText" dxfId="722" priority="10" operator="containsText" text="Трактор базы">
      <formula>NOT(ISERROR(SEARCH("Трактор базы",E2)))</formula>
    </cfRule>
  </conditionalFormatting>
  <conditionalFormatting sqref="A2:C8">
    <cfRule type="expression" dxfId="721" priority="9">
      <formula>$A2="пн"</formula>
    </cfRule>
  </conditionalFormatting>
  <conditionalFormatting sqref="A2:C10">
    <cfRule type="expression" dxfId="720" priority="3">
      <formula>$A2="вс"</formula>
    </cfRule>
    <cfRule type="expression" dxfId="719" priority="4">
      <formula>$A2="сб"</formula>
    </cfRule>
    <cfRule type="expression" dxfId="718" priority="5">
      <formula>$A2="пт"</formula>
    </cfRule>
    <cfRule type="expression" dxfId="717" priority="6">
      <formula>$A2="чт"</formula>
    </cfRule>
    <cfRule type="expression" dxfId="716" priority="7">
      <formula>$A2="ср"</formula>
    </cfRule>
    <cfRule type="expression" dxfId="715" priority="8">
      <formula>$A2="вт"</formula>
    </cfRule>
  </conditionalFormatting>
  <conditionalFormatting sqref="D2:D19">
    <cfRule type="containsText" dxfId="7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">
    <cfRule type="containsText" dxfId="7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234"/>
  <sheetViews>
    <sheetView zoomScale="90" zoomScaleNormal="90" workbookViewId="0">
      <selection activeCell="C12" sqref="C1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x14ac:dyDescent="0.25">
      <c r="A40" t="s">
        <v>4</v>
      </c>
      <c r="B40" t="s">
        <v>8</v>
      </c>
      <c r="F40" t="s">
        <v>92</v>
      </c>
      <c r="G40" t="s">
        <v>12647</v>
      </c>
    </row>
    <row r="41" spans="1:7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12647</v>
      </c>
    </row>
    <row r="42" spans="1:7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12647</v>
      </c>
    </row>
    <row r="43" spans="1:7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12647</v>
      </c>
    </row>
    <row r="44" spans="1:7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12647</v>
      </c>
    </row>
    <row r="45" spans="1:7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12647</v>
      </c>
    </row>
    <row r="46" spans="1:7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12647</v>
      </c>
    </row>
    <row r="47" spans="1:7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12647</v>
      </c>
    </row>
    <row r="48" spans="1:7" x14ac:dyDescent="0.25">
      <c r="A48" t="s">
        <v>4</v>
      </c>
      <c r="B48" t="s">
        <v>8</v>
      </c>
      <c r="F48" t="s">
        <v>108</v>
      </c>
      <c r="G48" t="s">
        <v>12647</v>
      </c>
    </row>
    <row r="49" spans="1:7" x14ac:dyDescent="0.25">
      <c r="A49" t="s">
        <v>4</v>
      </c>
      <c r="B49" t="s">
        <v>8</v>
      </c>
      <c r="F49" t="s">
        <v>110</v>
      </c>
      <c r="G49" t="s">
        <v>12647</v>
      </c>
    </row>
    <row r="50" spans="1:7" x14ac:dyDescent="0.25">
      <c r="A50" t="s">
        <v>137</v>
      </c>
      <c r="B50" t="s">
        <v>63</v>
      </c>
      <c r="C50" t="s">
        <v>51</v>
      </c>
      <c r="F50" t="s">
        <v>112</v>
      </c>
      <c r="G50" t="s">
        <v>12647</v>
      </c>
    </row>
    <row r="51" spans="1:7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12647</v>
      </c>
    </row>
    <row r="52" spans="1:7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12647</v>
      </c>
    </row>
    <row r="53" spans="1:7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12647</v>
      </c>
    </row>
    <row r="54" spans="1:7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12647</v>
      </c>
    </row>
    <row r="55" spans="1:7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12647</v>
      </c>
    </row>
    <row r="56" spans="1:7" x14ac:dyDescent="0.25">
      <c r="A56" t="s">
        <v>4</v>
      </c>
      <c r="B56" t="s">
        <v>8</v>
      </c>
      <c r="F56" t="s">
        <v>124</v>
      </c>
      <c r="G56" t="s">
        <v>12647</v>
      </c>
    </row>
    <row r="57" spans="1:7" x14ac:dyDescent="0.25">
      <c r="A57" t="s">
        <v>4</v>
      </c>
      <c r="B57" t="s">
        <v>8</v>
      </c>
      <c r="F57" t="s">
        <v>126</v>
      </c>
      <c r="G57" t="s">
        <v>12647</v>
      </c>
    </row>
    <row r="58" spans="1:7" x14ac:dyDescent="0.25">
      <c r="A58" t="s">
        <v>137</v>
      </c>
      <c r="B58" t="s">
        <v>70</v>
      </c>
      <c r="F58" t="s">
        <v>128</v>
      </c>
      <c r="G58" t="s">
        <v>12647</v>
      </c>
    </row>
    <row r="59" spans="1:7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12647</v>
      </c>
    </row>
    <row r="60" spans="1:7" x14ac:dyDescent="0.25">
      <c r="A60" t="s">
        <v>4</v>
      </c>
      <c r="B60" t="s">
        <v>138</v>
      </c>
      <c r="F60" t="s">
        <v>132</v>
      </c>
      <c r="G60" t="s">
        <v>12647</v>
      </c>
    </row>
    <row r="61" spans="1:7" x14ac:dyDescent="0.25">
      <c r="A61" t="s">
        <v>4</v>
      </c>
      <c r="B61" t="s">
        <v>8</v>
      </c>
      <c r="F61" t="s">
        <v>134</v>
      </c>
      <c r="G61" t="s">
        <v>12647</v>
      </c>
    </row>
    <row r="62" spans="1:7" x14ac:dyDescent="0.25">
      <c r="A62" t="s">
        <v>4</v>
      </c>
      <c r="B62" t="s">
        <v>8</v>
      </c>
      <c r="F62" t="s">
        <v>139</v>
      </c>
      <c r="G62" t="s">
        <v>12647</v>
      </c>
    </row>
    <row r="63" spans="1:7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12647</v>
      </c>
    </row>
    <row r="64" spans="1:7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12647</v>
      </c>
    </row>
    <row r="65" spans="1:7" x14ac:dyDescent="0.25">
      <c r="A65" t="s">
        <v>166</v>
      </c>
      <c r="B65" t="s">
        <v>86</v>
      </c>
      <c r="C65" t="s">
        <v>51</v>
      </c>
      <c r="F65" t="s">
        <v>145</v>
      </c>
      <c r="G65" t="s">
        <v>12647</v>
      </c>
    </row>
    <row r="66" spans="1:7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12647</v>
      </c>
    </row>
    <row r="67" spans="1:7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12647</v>
      </c>
    </row>
    <row r="68" spans="1:7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12647</v>
      </c>
    </row>
    <row r="69" spans="1:7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12647</v>
      </c>
    </row>
    <row r="70" spans="1:7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12647</v>
      </c>
    </row>
    <row r="71" spans="1:7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12647</v>
      </c>
    </row>
    <row r="72" spans="1:7" x14ac:dyDescent="0.25">
      <c r="A72" t="s">
        <v>167</v>
      </c>
      <c r="B72" t="s">
        <v>86</v>
      </c>
      <c r="C72" t="s">
        <v>51</v>
      </c>
      <c r="F72" t="s">
        <v>159</v>
      </c>
      <c r="G72" t="s">
        <v>12647</v>
      </c>
    </row>
    <row r="73" spans="1:7" x14ac:dyDescent="0.25">
      <c r="A73" t="s">
        <v>137</v>
      </c>
      <c r="B73" t="s">
        <v>86</v>
      </c>
      <c r="C73" t="s">
        <v>87</v>
      </c>
      <c r="F73" t="s">
        <v>161</v>
      </c>
      <c r="G73" t="s">
        <v>12647</v>
      </c>
    </row>
    <row r="74" spans="1:7" x14ac:dyDescent="0.25">
      <c r="A74" t="s">
        <v>4</v>
      </c>
      <c r="B74" t="s">
        <v>8</v>
      </c>
      <c r="F74" t="s">
        <v>163</v>
      </c>
      <c r="G74" t="s">
        <v>12647</v>
      </c>
    </row>
    <row r="75" spans="1:7" x14ac:dyDescent="0.25">
      <c r="A75" t="s">
        <v>4</v>
      </c>
      <c r="B75" t="s">
        <v>8</v>
      </c>
      <c r="F75" t="s">
        <v>168</v>
      </c>
      <c r="G75" t="s">
        <v>11076</v>
      </c>
    </row>
    <row r="76" spans="1:7" x14ac:dyDescent="0.25">
      <c r="A76" t="s">
        <v>4</v>
      </c>
      <c r="B76" t="s">
        <v>8</v>
      </c>
      <c r="F76" t="s">
        <v>171</v>
      </c>
      <c r="G76" t="s">
        <v>11076</v>
      </c>
    </row>
    <row r="77" spans="1:7" x14ac:dyDescent="0.25">
      <c r="A77" t="s">
        <v>4</v>
      </c>
      <c r="B77" t="s">
        <v>8</v>
      </c>
      <c r="F77" t="s">
        <v>173</v>
      </c>
      <c r="G77" t="s">
        <v>11076</v>
      </c>
    </row>
    <row r="78" spans="1:7" x14ac:dyDescent="0.25">
      <c r="A78" t="s">
        <v>4</v>
      </c>
      <c r="B78" t="s">
        <v>8</v>
      </c>
      <c r="F78" t="s">
        <v>175</v>
      </c>
      <c r="G78" t="s">
        <v>11076</v>
      </c>
    </row>
    <row r="79" spans="1:7" x14ac:dyDescent="0.25">
      <c r="A79" t="s">
        <v>4</v>
      </c>
      <c r="B79" t="s">
        <v>8</v>
      </c>
      <c r="F79" t="s">
        <v>177</v>
      </c>
      <c r="G79" t="s">
        <v>11076</v>
      </c>
    </row>
    <row r="80" spans="1:7" x14ac:dyDescent="0.25">
      <c r="A80" t="s">
        <v>4</v>
      </c>
      <c r="B80" t="s">
        <v>8</v>
      </c>
      <c r="F80" t="s">
        <v>179</v>
      </c>
      <c r="G80" t="s">
        <v>11076</v>
      </c>
    </row>
    <row r="81" spans="1:7" x14ac:dyDescent="0.25">
      <c r="A81" t="s">
        <v>4</v>
      </c>
      <c r="B81" t="s">
        <v>8</v>
      </c>
      <c r="F81" t="s">
        <v>181</v>
      </c>
      <c r="G81" t="s">
        <v>11076</v>
      </c>
    </row>
    <row r="82" spans="1:7" x14ac:dyDescent="0.25">
      <c r="A82" t="s">
        <v>4</v>
      </c>
      <c r="B82" t="s">
        <v>8</v>
      </c>
      <c r="F82" t="s">
        <v>183</v>
      </c>
      <c r="G82" t="s">
        <v>11076</v>
      </c>
    </row>
    <row r="83" spans="1:7" x14ac:dyDescent="0.25">
      <c r="A83" t="s">
        <v>4</v>
      </c>
      <c r="B83" t="s">
        <v>8</v>
      </c>
      <c r="F83" t="s">
        <v>185</v>
      </c>
      <c r="G83" t="s">
        <v>11076</v>
      </c>
    </row>
    <row r="84" spans="1:7" x14ac:dyDescent="0.25">
      <c r="A84" t="s">
        <v>4</v>
      </c>
      <c r="B84" t="s">
        <v>8</v>
      </c>
      <c r="F84" t="s">
        <v>187</v>
      </c>
      <c r="G84" t="s">
        <v>11076</v>
      </c>
    </row>
    <row r="85" spans="1:7" x14ac:dyDescent="0.25">
      <c r="A85" t="s">
        <v>4</v>
      </c>
      <c r="B85" t="s">
        <v>8</v>
      </c>
      <c r="F85" t="s">
        <v>189</v>
      </c>
      <c r="G85" t="s">
        <v>11076</v>
      </c>
    </row>
    <row r="86" spans="1:7" x14ac:dyDescent="0.25">
      <c r="A86" t="s">
        <v>4</v>
      </c>
      <c r="B86" t="s">
        <v>8</v>
      </c>
      <c r="F86" t="s">
        <v>191</v>
      </c>
      <c r="G86" t="s">
        <v>11076</v>
      </c>
    </row>
    <row r="87" spans="1:7" x14ac:dyDescent="0.25">
      <c r="A87" t="s">
        <v>4</v>
      </c>
      <c r="B87" t="s">
        <v>8</v>
      </c>
      <c r="F87" t="s">
        <v>193</v>
      </c>
      <c r="G87" t="s">
        <v>11076</v>
      </c>
    </row>
    <row r="88" spans="1:7" x14ac:dyDescent="0.25">
      <c r="A88" t="s">
        <v>4</v>
      </c>
      <c r="B88" t="s">
        <v>8</v>
      </c>
      <c r="F88" t="s">
        <v>195</v>
      </c>
      <c r="G88" t="s">
        <v>11076</v>
      </c>
    </row>
    <row r="89" spans="1:7" x14ac:dyDescent="0.25">
      <c r="A89" t="s">
        <v>4</v>
      </c>
      <c r="B89" t="s">
        <v>8</v>
      </c>
      <c r="F89" t="s">
        <v>197</v>
      </c>
      <c r="G89" t="s">
        <v>11076</v>
      </c>
    </row>
    <row r="90" spans="1:7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11076</v>
      </c>
    </row>
    <row r="91" spans="1:7" x14ac:dyDescent="0.25">
      <c r="A91" t="s">
        <v>4</v>
      </c>
      <c r="B91" t="s">
        <v>8</v>
      </c>
      <c r="F91" t="s">
        <v>201</v>
      </c>
      <c r="G91" t="s">
        <v>11076</v>
      </c>
    </row>
    <row r="92" spans="1:7" x14ac:dyDescent="0.25">
      <c r="A92" t="s">
        <v>4</v>
      </c>
      <c r="B92" t="s">
        <v>8</v>
      </c>
      <c r="F92" t="s">
        <v>203</v>
      </c>
      <c r="G92" t="s">
        <v>11076</v>
      </c>
    </row>
    <row r="93" spans="1:7" x14ac:dyDescent="0.25">
      <c r="A93" t="s">
        <v>4</v>
      </c>
      <c r="B93" t="s">
        <v>8</v>
      </c>
      <c r="F93" t="s">
        <v>205</v>
      </c>
      <c r="G93" t="s">
        <v>11076</v>
      </c>
    </row>
    <row r="94" spans="1:7" x14ac:dyDescent="0.25">
      <c r="A94" t="s">
        <v>4</v>
      </c>
      <c r="B94" t="s">
        <v>8</v>
      </c>
      <c r="F94" t="s">
        <v>207</v>
      </c>
      <c r="G94" t="s">
        <v>11076</v>
      </c>
    </row>
    <row r="95" spans="1:7" x14ac:dyDescent="0.25">
      <c r="A95" t="s">
        <v>4</v>
      </c>
      <c r="B95" t="s">
        <v>8</v>
      </c>
      <c r="F95" t="s">
        <v>209</v>
      </c>
      <c r="G95" t="s">
        <v>11076</v>
      </c>
    </row>
    <row r="96" spans="1:7" x14ac:dyDescent="0.25">
      <c r="A96" t="s">
        <v>4</v>
      </c>
      <c r="B96" t="s">
        <v>8</v>
      </c>
      <c r="F96" t="s">
        <v>211</v>
      </c>
      <c r="G96" t="s">
        <v>11076</v>
      </c>
    </row>
    <row r="97" spans="1:7" x14ac:dyDescent="0.25">
      <c r="A97" t="s">
        <v>4</v>
      </c>
      <c r="B97" t="s">
        <v>8</v>
      </c>
      <c r="F97" t="s">
        <v>213</v>
      </c>
      <c r="G97" t="s">
        <v>11076</v>
      </c>
    </row>
    <row r="98" spans="1:7" x14ac:dyDescent="0.25">
      <c r="A98" t="s">
        <v>4</v>
      </c>
      <c r="B98" t="s">
        <v>8</v>
      </c>
      <c r="F98" t="s">
        <v>215</v>
      </c>
      <c r="G98" t="s">
        <v>11076</v>
      </c>
    </row>
    <row r="99" spans="1:7" x14ac:dyDescent="0.25">
      <c r="A99" t="s">
        <v>4</v>
      </c>
      <c r="B99" t="s">
        <v>8</v>
      </c>
      <c r="F99" t="s">
        <v>217</v>
      </c>
      <c r="G99" t="s">
        <v>11076</v>
      </c>
    </row>
    <row r="100" spans="1:7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11076</v>
      </c>
    </row>
    <row r="101" spans="1:7" x14ac:dyDescent="0.25">
      <c r="A101" t="s">
        <v>4</v>
      </c>
      <c r="B101" t="s">
        <v>8</v>
      </c>
      <c r="F101" t="s">
        <v>221</v>
      </c>
      <c r="G101" t="s">
        <v>11076</v>
      </c>
    </row>
    <row r="102" spans="1:7" x14ac:dyDescent="0.25">
      <c r="A102" t="s">
        <v>4</v>
      </c>
      <c r="B102" t="s">
        <v>8</v>
      </c>
      <c r="F102" t="s">
        <v>223</v>
      </c>
      <c r="G102" t="s">
        <v>11076</v>
      </c>
    </row>
    <row r="103" spans="1:7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x14ac:dyDescent="0.25">
      <c r="A212" t="s">
        <v>4</v>
      </c>
      <c r="B212" t="s">
        <v>9</v>
      </c>
      <c r="F212" t="s">
        <v>591</v>
      </c>
      <c r="G212" t="s">
        <v>12648</v>
      </c>
    </row>
    <row r="213" spans="1:7" x14ac:dyDescent="0.25">
      <c r="A213" t="s">
        <v>885</v>
      </c>
      <c r="B213" t="s">
        <v>886</v>
      </c>
      <c r="F213" t="s">
        <v>593</v>
      </c>
      <c r="G213" t="s">
        <v>12648</v>
      </c>
    </row>
    <row r="214" spans="1:7" x14ac:dyDescent="0.25">
      <c r="A214" t="s">
        <v>885</v>
      </c>
      <c r="B214" t="s">
        <v>886</v>
      </c>
      <c r="F214" t="s">
        <v>595</v>
      </c>
      <c r="G214" t="s">
        <v>12648</v>
      </c>
    </row>
    <row r="215" spans="1:7" x14ac:dyDescent="0.25">
      <c r="A215" t="s">
        <v>4</v>
      </c>
      <c r="B215" t="s">
        <v>683</v>
      </c>
      <c r="F215" t="s">
        <v>597</v>
      </c>
      <c r="G215" t="s">
        <v>12648</v>
      </c>
    </row>
    <row r="216" spans="1:7" x14ac:dyDescent="0.25">
      <c r="A216" t="s">
        <v>4</v>
      </c>
      <c r="B216" t="s">
        <v>9</v>
      </c>
      <c r="F216" t="s">
        <v>599</v>
      </c>
      <c r="G216" t="s">
        <v>12648</v>
      </c>
    </row>
    <row r="217" spans="1:7" x14ac:dyDescent="0.25">
      <c r="A217" t="s">
        <v>684</v>
      </c>
      <c r="B217" t="s">
        <v>468</v>
      </c>
      <c r="F217" t="s">
        <v>601</v>
      </c>
      <c r="G217" t="s">
        <v>12648</v>
      </c>
    </row>
    <row r="218" spans="1:7" x14ac:dyDescent="0.25">
      <c r="A218" t="s">
        <v>684</v>
      </c>
      <c r="B218" t="s">
        <v>468</v>
      </c>
      <c r="F218" t="s">
        <v>603</v>
      </c>
      <c r="G218" t="s">
        <v>12648</v>
      </c>
    </row>
    <row r="219" spans="1:7" x14ac:dyDescent="0.25">
      <c r="A219" t="s">
        <v>4</v>
      </c>
      <c r="B219" t="s">
        <v>9</v>
      </c>
      <c r="F219" t="s">
        <v>605</v>
      </c>
      <c r="G219" t="s">
        <v>12648</v>
      </c>
    </row>
    <row r="220" spans="1:7" x14ac:dyDescent="0.25">
      <c r="A220" t="s">
        <v>685</v>
      </c>
      <c r="F220" t="s">
        <v>607</v>
      </c>
      <c r="G220" t="s">
        <v>12648</v>
      </c>
    </row>
    <row r="221" spans="1:7" x14ac:dyDescent="0.25">
      <c r="A221" t="s">
        <v>889</v>
      </c>
      <c r="B221" t="s">
        <v>468</v>
      </c>
      <c r="F221" t="s">
        <v>609</v>
      </c>
      <c r="G221" t="s">
        <v>12648</v>
      </c>
    </row>
    <row r="222" spans="1:7" x14ac:dyDescent="0.25">
      <c r="A222" t="s">
        <v>4</v>
      </c>
      <c r="B222" t="s">
        <v>9</v>
      </c>
      <c r="F222" t="s">
        <v>611</v>
      </c>
      <c r="G222" t="s">
        <v>12648</v>
      </c>
    </row>
    <row r="223" spans="1:7" x14ac:dyDescent="0.25">
      <c r="A223" t="s">
        <v>4</v>
      </c>
      <c r="B223" t="s">
        <v>9</v>
      </c>
      <c r="F223" t="s">
        <v>613</v>
      </c>
      <c r="G223" t="s">
        <v>12648</v>
      </c>
    </row>
    <row r="224" spans="1:7" x14ac:dyDescent="0.25">
      <c r="A224" t="s">
        <v>686</v>
      </c>
      <c r="B224" t="s">
        <v>687</v>
      </c>
      <c r="F224" t="s">
        <v>615</v>
      </c>
      <c r="G224" t="s">
        <v>12648</v>
      </c>
    </row>
    <row r="225" spans="1:7" x14ac:dyDescent="0.25">
      <c r="A225" t="s">
        <v>686</v>
      </c>
      <c r="B225" t="s">
        <v>687</v>
      </c>
      <c r="F225" t="s">
        <v>617</v>
      </c>
      <c r="G225" t="s">
        <v>12648</v>
      </c>
    </row>
    <row r="226" spans="1:7" x14ac:dyDescent="0.25">
      <c r="A226" t="s">
        <v>686</v>
      </c>
      <c r="B226" t="s">
        <v>687</v>
      </c>
      <c r="F226" t="s">
        <v>619</v>
      </c>
      <c r="G226" t="s">
        <v>12648</v>
      </c>
    </row>
    <row r="227" spans="1:7" x14ac:dyDescent="0.25">
      <c r="A227" t="s">
        <v>4</v>
      </c>
      <c r="B227" t="s">
        <v>9</v>
      </c>
      <c r="F227" t="s">
        <v>621</v>
      </c>
      <c r="G227" t="s">
        <v>12648</v>
      </c>
    </row>
    <row r="228" spans="1:7" x14ac:dyDescent="0.25">
      <c r="A228" t="s">
        <v>4</v>
      </c>
      <c r="B228" t="s">
        <v>9</v>
      </c>
      <c r="F228" t="s">
        <v>623</v>
      </c>
      <c r="G228" t="s">
        <v>12648</v>
      </c>
    </row>
    <row r="229" spans="1:7" x14ac:dyDescent="0.25">
      <c r="A229" t="s">
        <v>4</v>
      </c>
      <c r="B229" t="s">
        <v>9</v>
      </c>
      <c r="F229" t="s">
        <v>625</v>
      </c>
      <c r="G229" t="s">
        <v>12648</v>
      </c>
    </row>
    <row r="230" spans="1:7" x14ac:dyDescent="0.25">
      <c r="A230" t="s">
        <v>4</v>
      </c>
      <c r="B230" t="s">
        <v>9</v>
      </c>
      <c r="F230" t="s">
        <v>627</v>
      </c>
      <c r="G230" t="s">
        <v>12648</v>
      </c>
    </row>
    <row r="231" spans="1:7" x14ac:dyDescent="0.25">
      <c r="A231" t="s">
        <v>4</v>
      </c>
      <c r="B231" t="s">
        <v>9</v>
      </c>
      <c r="F231" t="s">
        <v>629</v>
      </c>
      <c r="G231" t="s">
        <v>12648</v>
      </c>
    </row>
    <row r="232" spans="1:7" x14ac:dyDescent="0.25">
      <c r="A232" t="s">
        <v>4</v>
      </c>
      <c r="B232" t="s">
        <v>9</v>
      </c>
      <c r="F232" t="s">
        <v>631</v>
      </c>
      <c r="G232" t="s">
        <v>12648</v>
      </c>
    </row>
    <row r="233" spans="1:7" x14ac:dyDescent="0.25">
      <c r="A233" t="s">
        <v>686</v>
      </c>
      <c r="B233" t="s">
        <v>687</v>
      </c>
      <c r="F233" t="s">
        <v>633</v>
      </c>
      <c r="G233" t="s">
        <v>12648</v>
      </c>
    </row>
    <row r="234" spans="1:7" x14ac:dyDescent="0.25">
      <c r="A234" t="s">
        <v>4</v>
      </c>
      <c r="B234" t="s">
        <v>9</v>
      </c>
      <c r="F234" t="s">
        <v>635</v>
      </c>
      <c r="G234" t="s">
        <v>12648</v>
      </c>
    </row>
    <row r="235" spans="1:7" x14ac:dyDescent="0.25">
      <c r="A235" t="s">
        <v>4</v>
      </c>
      <c r="B235" t="s">
        <v>9</v>
      </c>
      <c r="F235" t="s">
        <v>637</v>
      </c>
      <c r="G235" t="s">
        <v>12648</v>
      </c>
    </row>
    <row r="236" spans="1:7" x14ac:dyDescent="0.25">
      <c r="A236" t="s">
        <v>4</v>
      </c>
      <c r="B236" t="s">
        <v>9</v>
      </c>
      <c r="F236" t="s">
        <v>639</v>
      </c>
      <c r="G236" t="s">
        <v>12648</v>
      </c>
    </row>
    <row r="237" spans="1:7" x14ac:dyDescent="0.25">
      <c r="A237" t="s">
        <v>4</v>
      </c>
      <c r="B237" t="s">
        <v>9</v>
      </c>
      <c r="F237" t="s">
        <v>641</v>
      </c>
      <c r="G237" t="s">
        <v>12648</v>
      </c>
    </row>
    <row r="238" spans="1:7" x14ac:dyDescent="0.25">
      <c r="A238" t="s">
        <v>4</v>
      </c>
      <c r="B238" t="s">
        <v>9</v>
      </c>
      <c r="F238" t="s">
        <v>643</v>
      </c>
      <c r="G238" t="s">
        <v>12648</v>
      </c>
    </row>
    <row r="239" spans="1:7" x14ac:dyDescent="0.25">
      <c r="A239" t="s">
        <v>4</v>
      </c>
      <c r="B239" t="s">
        <v>9</v>
      </c>
      <c r="F239" t="s">
        <v>645</v>
      </c>
      <c r="G239" t="s">
        <v>12648</v>
      </c>
    </row>
    <row r="240" spans="1:7" x14ac:dyDescent="0.25">
      <c r="A240" t="s">
        <v>4</v>
      </c>
      <c r="B240" t="s">
        <v>9</v>
      </c>
      <c r="F240" t="s">
        <v>647</v>
      </c>
      <c r="G240" t="s">
        <v>12648</v>
      </c>
    </row>
    <row r="241" spans="1:7" x14ac:dyDescent="0.25">
      <c r="A241" t="s">
        <v>4</v>
      </c>
      <c r="B241" t="s">
        <v>9</v>
      </c>
      <c r="F241" t="s">
        <v>649</v>
      </c>
      <c r="G241" t="s">
        <v>12648</v>
      </c>
    </row>
    <row r="242" spans="1:7" x14ac:dyDescent="0.25">
      <c r="A242" t="s">
        <v>4</v>
      </c>
      <c r="B242" t="s">
        <v>9</v>
      </c>
      <c r="F242" t="s">
        <v>651</v>
      </c>
      <c r="G242" t="s">
        <v>12648</v>
      </c>
    </row>
    <row r="243" spans="1:7" x14ac:dyDescent="0.25">
      <c r="A243" t="s">
        <v>4</v>
      </c>
      <c r="B243" t="s">
        <v>9</v>
      </c>
      <c r="F243" t="s">
        <v>653</v>
      </c>
      <c r="G243" t="s">
        <v>12648</v>
      </c>
    </row>
    <row r="244" spans="1:7" x14ac:dyDescent="0.25">
      <c r="A244" t="s">
        <v>686</v>
      </c>
      <c r="B244" t="s">
        <v>687</v>
      </c>
      <c r="F244" t="s">
        <v>655</v>
      </c>
      <c r="G244" t="s">
        <v>12648</v>
      </c>
    </row>
    <row r="245" spans="1:7" x14ac:dyDescent="0.25">
      <c r="A245" t="s">
        <v>686</v>
      </c>
      <c r="B245" t="s">
        <v>687</v>
      </c>
      <c r="F245" t="s">
        <v>657</v>
      </c>
      <c r="G245" t="s">
        <v>12648</v>
      </c>
    </row>
    <row r="246" spans="1:7" x14ac:dyDescent="0.25">
      <c r="A246" t="s">
        <v>4</v>
      </c>
      <c r="B246" t="s">
        <v>9</v>
      </c>
      <c r="F246" t="s">
        <v>659</v>
      </c>
      <c r="G246" t="s">
        <v>12648</v>
      </c>
    </row>
    <row r="247" spans="1:7" x14ac:dyDescent="0.25">
      <c r="A247" t="s">
        <v>4</v>
      </c>
      <c r="B247" t="s">
        <v>9</v>
      </c>
      <c r="F247" t="s">
        <v>661</v>
      </c>
      <c r="G247" t="s">
        <v>12648</v>
      </c>
    </row>
    <row r="248" spans="1:7" x14ac:dyDescent="0.25">
      <c r="A248" t="s">
        <v>686</v>
      </c>
      <c r="B248" t="s">
        <v>687</v>
      </c>
      <c r="F248" t="s">
        <v>663</v>
      </c>
      <c r="G248" t="s">
        <v>12648</v>
      </c>
    </row>
    <row r="249" spans="1:7" x14ac:dyDescent="0.25">
      <c r="A249" t="s">
        <v>686</v>
      </c>
      <c r="B249" t="s">
        <v>687</v>
      </c>
      <c r="F249" t="s">
        <v>665</v>
      </c>
      <c r="G249" t="s">
        <v>12648</v>
      </c>
    </row>
    <row r="250" spans="1:7" x14ac:dyDescent="0.25">
      <c r="A250" t="s">
        <v>686</v>
      </c>
      <c r="B250" t="s">
        <v>687</v>
      </c>
      <c r="F250" t="s">
        <v>667</v>
      </c>
      <c r="G250" t="s">
        <v>12648</v>
      </c>
    </row>
    <row r="251" spans="1:7" x14ac:dyDescent="0.25">
      <c r="A251" t="s">
        <v>4</v>
      </c>
      <c r="B251" t="s">
        <v>9</v>
      </c>
      <c r="F251" t="s">
        <v>669</v>
      </c>
      <c r="G251" t="s">
        <v>12648</v>
      </c>
    </row>
    <row r="252" spans="1:7" x14ac:dyDescent="0.25">
      <c r="A252" t="s">
        <v>686</v>
      </c>
      <c r="B252" t="s">
        <v>687</v>
      </c>
      <c r="F252" t="s">
        <v>671</v>
      </c>
      <c r="G252" t="s">
        <v>12648</v>
      </c>
    </row>
    <row r="253" spans="1:7" x14ac:dyDescent="0.25">
      <c r="A253" t="s">
        <v>686</v>
      </c>
      <c r="B253" t="s">
        <v>687</v>
      </c>
      <c r="F253" t="s">
        <v>673</v>
      </c>
      <c r="G253" t="s">
        <v>12648</v>
      </c>
    </row>
    <row r="254" spans="1:7" x14ac:dyDescent="0.25">
      <c r="A254" t="s">
        <v>686</v>
      </c>
      <c r="B254" t="s">
        <v>687</v>
      </c>
      <c r="F254" t="s">
        <v>675</v>
      </c>
      <c r="G254" t="s">
        <v>12648</v>
      </c>
    </row>
    <row r="255" spans="1:7" x14ac:dyDescent="0.25">
      <c r="A255" t="s">
        <v>4</v>
      </c>
      <c r="B255" t="s">
        <v>9</v>
      </c>
      <c r="F255" t="s">
        <v>677</v>
      </c>
      <c r="G255" t="s">
        <v>12648</v>
      </c>
    </row>
    <row r="256" spans="1:7" x14ac:dyDescent="0.25">
      <c r="A256" t="s">
        <v>4</v>
      </c>
      <c r="B256" t="s">
        <v>9</v>
      </c>
      <c r="F256" t="s">
        <v>679</v>
      </c>
      <c r="G256" t="s">
        <v>12648</v>
      </c>
    </row>
    <row r="257" spans="1:7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12648</v>
      </c>
    </row>
    <row r="258" spans="1:7" x14ac:dyDescent="0.25">
      <c r="A258" t="s">
        <v>4</v>
      </c>
      <c r="B258" t="s">
        <v>9</v>
      </c>
      <c r="F258" t="s">
        <v>688</v>
      </c>
      <c r="G258" t="s">
        <v>12649</v>
      </c>
    </row>
    <row r="259" spans="1:7" x14ac:dyDescent="0.25">
      <c r="A259" t="s">
        <v>884</v>
      </c>
      <c r="B259" t="s">
        <v>890</v>
      </c>
      <c r="F259" t="s">
        <v>690</v>
      </c>
      <c r="G259" t="s">
        <v>12649</v>
      </c>
    </row>
    <row r="260" spans="1:7" x14ac:dyDescent="0.25">
      <c r="A260" t="s">
        <v>684</v>
      </c>
      <c r="B260" t="s">
        <v>468</v>
      </c>
      <c r="F260" t="s">
        <v>692</v>
      </c>
      <c r="G260" t="s">
        <v>12649</v>
      </c>
    </row>
    <row r="261" spans="1:7" x14ac:dyDescent="0.25">
      <c r="A261" t="s">
        <v>684</v>
      </c>
      <c r="B261" t="s">
        <v>468</v>
      </c>
      <c r="F261" t="s">
        <v>694</v>
      </c>
      <c r="G261" t="s">
        <v>12649</v>
      </c>
    </row>
    <row r="262" spans="1:7" x14ac:dyDescent="0.25">
      <c r="A262" t="s">
        <v>4</v>
      </c>
      <c r="B262" t="s">
        <v>9</v>
      </c>
      <c r="F262" t="s">
        <v>696</v>
      </c>
      <c r="G262" t="s">
        <v>12649</v>
      </c>
    </row>
    <row r="263" spans="1:7" x14ac:dyDescent="0.25">
      <c r="A263" t="s">
        <v>891</v>
      </c>
      <c r="B263" t="s">
        <v>468</v>
      </c>
      <c r="F263" t="s">
        <v>698</v>
      </c>
      <c r="G263" t="s">
        <v>12649</v>
      </c>
    </row>
    <row r="264" spans="1:7" x14ac:dyDescent="0.25">
      <c r="A264" t="s">
        <v>226</v>
      </c>
      <c r="B264" t="s">
        <v>892</v>
      </c>
      <c r="F264" t="s">
        <v>700</v>
      </c>
      <c r="G264" t="s">
        <v>12649</v>
      </c>
    </row>
    <row r="265" spans="1:7" x14ac:dyDescent="0.25">
      <c r="A265" t="s">
        <v>4</v>
      </c>
      <c r="B265" t="s">
        <v>9</v>
      </c>
      <c r="F265" t="s">
        <v>702</v>
      </c>
      <c r="G265" t="s">
        <v>12649</v>
      </c>
    </row>
    <row r="266" spans="1:7" x14ac:dyDescent="0.25">
      <c r="A266" t="s">
        <v>4</v>
      </c>
      <c r="B266" t="s">
        <v>9</v>
      </c>
      <c r="F266" t="s">
        <v>704</v>
      </c>
      <c r="G266" t="s">
        <v>12649</v>
      </c>
    </row>
    <row r="267" spans="1:7" x14ac:dyDescent="0.25">
      <c r="A267" t="s">
        <v>4</v>
      </c>
      <c r="B267" t="s">
        <v>9</v>
      </c>
      <c r="F267" t="s">
        <v>706</v>
      </c>
      <c r="G267" t="s">
        <v>12649</v>
      </c>
    </row>
    <row r="268" spans="1:7" x14ac:dyDescent="0.25">
      <c r="A268" t="s">
        <v>1627</v>
      </c>
      <c r="B268" t="s">
        <v>1058</v>
      </c>
      <c r="F268" t="s">
        <v>708</v>
      </c>
      <c r="G268" t="s">
        <v>12649</v>
      </c>
    </row>
    <row r="269" spans="1:7" x14ac:dyDescent="0.25">
      <c r="A269" t="s">
        <v>4</v>
      </c>
      <c r="B269" t="s">
        <v>9</v>
      </c>
      <c r="F269" t="s">
        <v>710</v>
      </c>
      <c r="G269" t="s">
        <v>12649</v>
      </c>
    </row>
    <row r="270" spans="1:7" x14ac:dyDescent="0.25">
      <c r="A270" t="s">
        <v>4</v>
      </c>
      <c r="B270" t="s">
        <v>9</v>
      </c>
      <c r="F270" t="s">
        <v>712</v>
      </c>
      <c r="G270" t="s">
        <v>12649</v>
      </c>
    </row>
    <row r="271" spans="1:7" x14ac:dyDescent="0.25">
      <c r="A271" t="s">
        <v>4</v>
      </c>
      <c r="B271" t="s">
        <v>9</v>
      </c>
      <c r="F271" t="s">
        <v>714</v>
      </c>
      <c r="G271" t="s">
        <v>12649</v>
      </c>
    </row>
    <row r="272" spans="1:7" x14ac:dyDescent="0.25">
      <c r="A272" t="s">
        <v>4</v>
      </c>
      <c r="B272" t="s">
        <v>9</v>
      </c>
      <c r="F272" t="s">
        <v>716</v>
      </c>
      <c r="G272" t="s">
        <v>12649</v>
      </c>
    </row>
    <row r="273" spans="1:7" x14ac:dyDescent="0.25">
      <c r="A273" t="s">
        <v>4</v>
      </c>
      <c r="B273" t="s">
        <v>9</v>
      </c>
      <c r="F273" t="s">
        <v>718</v>
      </c>
      <c r="G273" t="s">
        <v>12649</v>
      </c>
    </row>
    <row r="274" spans="1:7" x14ac:dyDescent="0.25">
      <c r="A274" t="s">
        <v>4</v>
      </c>
      <c r="B274" t="s">
        <v>9</v>
      </c>
      <c r="F274" t="s">
        <v>720</v>
      </c>
      <c r="G274" t="s">
        <v>12649</v>
      </c>
    </row>
    <row r="275" spans="1:7" x14ac:dyDescent="0.25">
      <c r="A275" t="s">
        <v>4</v>
      </c>
      <c r="B275" t="s">
        <v>9</v>
      </c>
      <c r="F275" t="s">
        <v>722</v>
      </c>
      <c r="G275" t="s">
        <v>12649</v>
      </c>
    </row>
    <row r="276" spans="1:7" x14ac:dyDescent="0.25">
      <c r="A276" t="s">
        <v>4</v>
      </c>
      <c r="B276" t="s">
        <v>9</v>
      </c>
      <c r="F276" t="s">
        <v>724</v>
      </c>
      <c r="G276" t="s">
        <v>12649</v>
      </c>
    </row>
    <row r="277" spans="1:7" x14ac:dyDescent="0.25">
      <c r="A277" t="s">
        <v>4</v>
      </c>
      <c r="B277" t="s">
        <v>9</v>
      </c>
      <c r="F277" t="s">
        <v>726</v>
      </c>
      <c r="G277" t="s">
        <v>12649</v>
      </c>
    </row>
    <row r="278" spans="1:7" x14ac:dyDescent="0.25">
      <c r="A278" t="s">
        <v>4</v>
      </c>
      <c r="B278" t="s">
        <v>9</v>
      </c>
      <c r="F278" t="s">
        <v>728</v>
      </c>
      <c r="G278" t="s">
        <v>12649</v>
      </c>
    </row>
    <row r="279" spans="1:7" x14ac:dyDescent="0.25">
      <c r="A279" t="s">
        <v>4</v>
      </c>
      <c r="B279" t="s">
        <v>9</v>
      </c>
      <c r="F279" t="s">
        <v>730</v>
      </c>
      <c r="G279" t="s">
        <v>12649</v>
      </c>
    </row>
    <row r="280" spans="1:7" x14ac:dyDescent="0.25">
      <c r="A280" t="s">
        <v>4</v>
      </c>
      <c r="B280" t="s">
        <v>9</v>
      </c>
      <c r="F280" t="s">
        <v>732</v>
      </c>
      <c r="G280" t="s">
        <v>12649</v>
      </c>
    </row>
    <row r="281" spans="1:7" x14ac:dyDescent="0.25">
      <c r="A281" t="s">
        <v>4</v>
      </c>
      <c r="B281" t="s">
        <v>9</v>
      </c>
      <c r="F281" t="s">
        <v>734</v>
      </c>
      <c r="G281" t="s">
        <v>12649</v>
      </c>
    </row>
    <row r="282" spans="1:7" x14ac:dyDescent="0.25">
      <c r="A282" t="s">
        <v>4</v>
      </c>
      <c r="B282" t="s">
        <v>9</v>
      </c>
      <c r="F282" t="s">
        <v>736</v>
      </c>
      <c r="G282" t="s">
        <v>12649</v>
      </c>
    </row>
    <row r="283" spans="1:7" x14ac:dyDescent="0.25">
      <c r="A283" t="s">
        <v>4</v>
      </c>
      <c r="B283" t="s">
        <v>9</v>
      </c>
      <c r="F283" t="s">
        <v>738</v>
      </c>
      <c r="G283" t="s">
        <v>12649</v>
      </c>
    </row>
    <row r="284" spans="1:7" x14ac:dyDescent="0.25">
      <c r="A284" t="s">
        <v>4</v>
      </c>
      <c r="B284" t="s">
        <v>9</v>
      </c>
      <c r="F284" t="s">
        <v>740</v>
      </c>
      <c r="G284" t="s">
        <v>12649</v>
      </c>
    </row>
    <row r="285" spans="1:7" x14ac:dyDescent="0.25">
      <c r="A285" t="s">
        <v>1627</v>
      </c>
      <c r="B285" t="s">
        <v>1058</v>
      </c>
      <c r="F285" t="s">
        <v>742</v>
      </c>
      <c r="G285" t="s">
        <v>12649</v>
      </c>
    </row>
    <row r="286" spans="1:7" x14ac:dyDescent="0.25">
      <c r="A286" t="s">
        <v>1627</v>
      </c>
      <c r="B286" t="s">
        <v>1058</v>
      </c>
      <c r="F286" t="s">
        <v>744</v>
      </c>
      <c r="G286" t="s">
        <v>12649</v>
      </c>
    </row>
    <row r="287" spans="1:7" x14ac:dyDescent="0.25">
      <c r="A287" t="s">
        <v>1627</v>
      </c>
      <c r="B287" t="s">
        <v>1058</v>
      </c>
      <c r="F287" t="s">
        <v>746</v>
      </c>
      <c r="G287" t="s">
        <v>12649</v>
      </c>
    </row>
    <row r="288" spans="1:7" x14ac:dyDescent="0.25">
      <c r="A288" t="s">
        <v>4</v>
      </c>
      <c r="B288" t="s">
        <v>9</v>
      </c>
      <c r="F288" t="s">
        <v>748</v>
      </c>
      <c r="G288" t="s">
        <v>12649</v>
      </c>
    </row>
    <row r="289" spans="1:7" x14ac:dyDescent="0.25">
      <c r="A289" t="s">
        <v>4</v>
      </c>
      <c r="B289" t="s">
        <v>9</v>
      </c>
      <c r="F289" t="s">
        <v>750</v>
      </c>
      <c r="G289" t="s">
        <v>12649</v>
      </c>
    </row>
    <row r="290" spans="1:7" x14ac:dyDescent="0.25">
      <c r="A290" t="s">
        <v>4</v>
      </c>
      <c r="B290" t="s">
        <v>9</v>
      </c>
      <c r="F290" t="s">
        <v>752</v>
      </c>
      <c r="G290" t="s">
        <v>12649</v>
      </c>
    </row>
    <row r="291" spans="1:7" x14ac:dyDescent="0.25">
      <c r="A291" t="s">
        <v>4</v>
      </c>
      <c r="B291" t="s">
        <v>9</v>
      </c>
      <c r="F291" t="s">
        <v>754</v>
      </c>
      <c r="G291" t="s">
        <v>12649</v>
      </c>
    </row>
    <row r="292" spans="1:7" x14ac:dyDescent="0.25">
      <c r="A292" t="s">
        <v>1627</v>
      </c>
      <c r="B292" t="s">
        <v>1058</v>
      </c>
      <c r="F292" t="s">
        <v>756</v>
      </c>
      <c r="G292" t="s">
        <v>12649</v>
      </c>
    </row>
    <row r="293" spans="1:7" x14ac:dyDescent="0.25">
      <c r="A293" t="s">
        <v>4</v>
      </c>
      <c r="B293" t="s">
        <v>9</v>
      </c>
      <c r="F293" t="s">
        <v>758</v>
      </c>
      <c r="G293" t="s">
        <v>12649</v>
      </c>
    </row>
    <row r="294" spans="1:7" x14ac:dyDescent="0.25">
      <c r="A294" t="s">
        <v>686</v>
      </c>
      <c r="B294" t="s">
        <v>1058</v>
      </c>
      <c r="F294" t="s">
        <v>760</v>
      </c>
      <c r="G294" t="s">
        <v>12649</v>
      </c>
    </row>
    <row r="295" spans="1:7" x14ac:dyDescent="0.25">
      <c r="A295" t="s">
        <v>4</v>
      </c>
      <c r="B295" t="s">
        <v>9</v>
      </c>
      <c r="F295" t="s">
        <v>762</v>
      </c>
      <c r="G295" t="s">
        <v>12649</v>
      </c>
    </row>
    <row r="296" spans="1:7" x14ac:dyDescent="0.25">
      <c r="A296" t="s">
        <v>4</v>
      </c>
      <c r="B296" t="s">
        <v>9</v>
      </c>
      <c r="F296" t="s">
        <v>764</v>
      </c>
      <c r="G296" t="s">
        <v>12649</v>
      </c>
    </row>
    <row r="297" spans="1:7" x14ac:dyDescent="0.25">
      <c r="A297" t="s">
        <v>4</v>
      </c>
      <c r="B297" t="s">
        <v>9</v>
      </c>
      <c r="F297" t="s">
        <v>766</v>
      </c>
      <c r="G297" t="s">
        <v>12649</v>
      </c>
    </row>
    <row r="298" spans="1:7" x14ac:dyDescent="0.25">
      <c r="A298" t="s">
        <v>4</v>
      </c>
      <c r="B298" t="s">
        <v>9</v>
      </c>
      <c r="F298" t="s">
        <v>768</v>
      </c>
      <c r="G298" t="s">
        <v>12649</v>
      </c>
    </row>
    <row r="299" spans="1:7" x14ac:dyDescent="0.25">
      <c r="A299" t="s">
        <v>4</v>
      </c>
      <c r="B299" t="s">
        <v>9</v>
      </c>
      <c r="F299" t="s">
        <v>770</v>
      </c>
      <c r="G299" t="s">
        <v>12649</v>
      </c>
    </row>
    <row r="300" spans="1:7" x14ac:dyDescent="0.25">
      <c r="A300" t="s">
        <v>884</v>
      </c>
      <c r="B300" t="s">
        <v>886</v>
      </c>
      <c r="F300" t="s">
        <v>772</v>
      </c>
      <c r="G300" t="s">
        <v>12649</v>
      </c>
    </row>
    <row r="301" spans="1:7" x14ac:dyDescent="0.25">
      <c r="A301" t="s">
        <v>4</v>
      </c>
      <c r="B301" t="s">
        <v>9</v>
      </c>
      <c r="F301" t="s">
        <v>774</v>
      </c>
      <c r="G301" t="s">
        <v>12649</v>
      </c>
    </row>
    <row r="302" spans="1:7" x14ac:dyDescent="0.25">
      <c r="A302" t="s">
        <v>686</v>
      </c>
      <c r="B302" t="s">
        <v>1058</v>
      </c>
      <c r="F302" t="s">
        <v>776</v>
      </c>
      <c r="G302" t="s">
        <v>12649</v>
      </c>
    </row>
    <row r="303" spans="1:7" x14ac:dyDescent="0.25">
      <c r="A303" t="s">
        <v>1059</v>
      </c>
      <c r="B303" t="s">
        <v>890</v>
      </c>
      <c r="F303" t="s">
        <v>778</v>
      </c>
      <c r="G303" t="s">
        <v>12649</v>
      </c>
    </row>
    <row r="304" spans="1:7" x14ac:dyDescent="0.25">
      <c r="A304" t="s">
        <v>4</v>
      </c>
      <c r="B304" t="s">
        <v>9</v>
      </c>
      <c r="F304" t="s">
        <v>780</v>
      </c>
      <c r="G304" t="s">
        <v>12649</v>
      </c>
    </row>
    <row r="305" spans="1:7" x14ac:dyDescent="0.25">
      <c r="A305" t="s">
        <v>4</v>
      </c>
      <c r="B305" t="s">
        <v>9</v>
      </c>
      <c r="F305" t="s">
        <v>782</v>
      </c>
      <c r="G305" t="s">
        <v>12649</v>
      </c>
    </row>
    <row r="306" spans="1:7" x14ac:dyDescent="0.25">
      <c r="A306" t="s">
        <v>884</v>
      </c>
      <c r="B306" t="s">
        <v>888</v>
      </c>
      <c r="F306" t="s">
        <v>784</v>
      </c>
      <c r="G306" t="s">
        <v>12649</v>
      </c>
    </row>
    <row r="307" spans="1:7" x14ac:dyDescent="0.25">
      <c r="A307" t="s">
        <v>4</v>
      </c>
      <c r="B307" t="s">
        <v>9</v>
      </c>
      <c r="F307" t="s">
        <v>786</v>
      </c>
      <c r="G307" t="s">
        <v>12649</v>
      </c>
    </row>
    <row r="308" spans="1:7" x14ac:dyDescent="0.25">
      <c r="A308" t="s">
        <v>4</v>
      </c>
      <c r="B308" t="s">
        <v>1060</v>
      </c>
      <c r="F308" t="s">
        <v>788</v>
      </c>
      <c r="G308" t="s">
        <v>12649</v>
      </c>
    </row>
    <row r="309" spans="1:7" x14ac:dyDescent="0.25">
      <c r="A309" t="s">
        <v>884</v>
      </c>
      <c r="B309" t="s">
        <v>1060</v>
      </c>
      <c r="F309" t="s">
        <v>790</v>
      </c>
      <c r="G309" t="s">
        <v>12649</v>
      </c>
    </row>
    <row r="310" spans="1:7" x14ac:dyDescent="0.25">
      <c r="A310" t="s">
        <v>4</v>
      </c>
      <c r="B310" t="s">
        <v>9</v>
      </c>
      <c r="F310" t="s">
        <v>792</v>
      </c>
      <c r="G310" t="s">
        <v>12649</v>
      </c>
    </row>
    <row r="311" spans="1:7" x14ac:dyDescent="0.25">
      <c r="A311" t="s">
        <v>4</v>
      </c>
      <c r="B311" t="s">
        <v>9</v>
      </c>
      <c r="F311" t="s">
        <v>794</v>
      </c>
      <c r="G311" t="s">
        <v>12649</v>
      </c>
    </row>
    <row r="312" spans="1:7" x14ac:dyDescent="0.25">
      <c r="A312" t="s">
        <v>4</v>
      </c>
      <c r="B312" t="s">
        <v>9</v>
      </c>
      <c r="F312" t="s">
        <v>796</v>
      </c>
      <c r="G312" t="s">
        <v>12649</v>
      </c>
    </row>
    <row r="313" spans="1:7" x14ac:dyDescent="0.25">
      <c r="A313" t="s">
        <v>4</v>
      </c>
      <c r="B313" t="s">
        <v>9</v>
      </c>
      <c r="F313" t="s">
        <v>798</v>
      </c>
      <c r="G313" t="s">
        <v>12649</v>
      </c>
    </row>
    <row r="314" spans="1:7" x14ac:dyDescent="0.25">
      <c r="A314" t="s">
        <v>4</v>
      </c>
      <c r="B314" t="s">
        <v>9</v>
      </c>
      <c r="F314" t="s">
        <v>800</v>
      </c>
      <c r="G314" t="s">
        <v>12649</v>
      </c>
    </row>
    <row r="315" spans="1:7" x14ac:dyDescent="0.25">
      <c r="A315" t="s">
        <v>4</v>
      </c>
      <c r="B315" t="s">
        <v>9</v>
      </c>
      <c r="F315" t="s">
        <v>802</v>
      </c>
      <c r="G315" t="s">
        <v>12649</v>
      </c>
    </row>
    <row r="316" spans="1:7" x14ac:dyDescent="0.25">
      <c r="A316" t="s">
        <v>4</v>
      </c>
      <c r="B316" t="s">
        <v>9</v>
      </c>
      <c r="F316" t="s">
        <v>804</v>
      </c>
      <c r="G316" t="s">
        <v>12649</v>
      </c>
    </row>
    <row r="317" spans="1:7" x14ac:dyDescent="0.25">
      <c r="A317" t="s">
        <v>4</v>
      </c>
      <c r="B317" t="s">
        <v>9</v>
      </c>
      <c r="F317" t="s">
        <v>806</v>
      </c>
      <c r="G317" t="s">
        <v>12649</v>
      </c>
    </row>
    <row r="318" spans="1:7" x14ac:dyDescent="0.25">
      <c r="A318" t="s">
        <v>4</v>
      </c>
      <c r="B318" t="s">
        <v>9</v>
      </c>
      <c r="F318" t="s">
        <v>808</v>
      </c>
      <c r="G318" t="s">
        <v>12649</v>
      </c>
    </row>
    <row r="319" spans="1:7" x14ac:dyDescent="0.25">
      <c r="A319" t="s">
        <v>4</v>
      </c>
      <c r="B319" t="s">
        <v>9</v>
      </c>
      <c r="F319" t="s">
        <v>810</v>
      </c>
      <c r="G319" t="s">
        <v>12649</v>
      </c>
    </row>
    <row r="320" spans="1:7" x14ac:dyDescent="0.25">
      <c r="A320" t="s">
        <v>4</v>
      </c>
      <c r="B320" t="s">
        <v>9</v>
      </c>
      <c r="F320" t="s">
        <v>812</v>
      </c>
      <c r="G320" t="s">
        <v>12649</v>
      </c>
    </row>
    <row r="321" spans="1:7" x14ac:dyDescent="0.25">
      <c r="A321" t="s">
        <v>4</v>
      </c>
      <c r="B321" t="s">
        <v>9</v>
      </c>
      <c r="F321" t="s">
        <v>814</v>
      </c>
      <c r="G321" t="s">
        <v>12649</v>
      </c>
    </row>
    <row r="322" spans="1:7" x14ac:dyDescent="0.25">
      <c r="A322" t="s">
        <v>4</v>
      </c>
      <c r="B322" t="s">
        <v>9</v>
      </c>
      <c r="F322" t="s">
        <v>816</v>
      </c>
      <c r="G322" t="s">
        <v>12649</v>
      </c>
    </row>
    <row r="323" spans="1:7" x14ac:dyDescent="0.25">
      <c r="A323" t="s">
        <v>4</v>
      </c>
      <c r="B323" t="s">
        <v>9</v>
      </c>
      <c r="F323" t="s">
        <v>818</v>
      </c>
      <c r="G323" t="s">
        <v>12649</v>
      </c>
    </row>
    <row r="324" spans="1:7" x14ac:dyDescent="0.25">
      <c r="A324" t="s">
        <v>4</v>
      </c>
      <c r="B324" t="s">
        <v>9</v>
      </c>
      <c r="F324" t="s">
        <v>820</v>
      </c>
      <c r="G324" t="s">
        <v>12649</v>
      </c>
    </row>
    <row r="325" spans="1:7" x14ac:dyDescent="0.25">
      <c r="A325" t="s">
        <v>4</v>
      </c>
      <c r="B325" t="s">
        <v>9</v>
      </c>
      <c r="F325" t="s">
        <v>822</v>
      </c>
      <c r="G325" t="s">
        <v>12649</v>
      </c>
    </row>
    <row r="326" spans="1:7" x14ac:dyDescent="0.25">
      <c r="A326" t="s">
        <v>4</v>
      </c>
      <c r="B326" t="s">
        <v>9</v>
      </c>
      <c r="F326" t="s">
        <v>824</v>
      </c>
      <c r="G326" t="s">
        <v>12649</v>
      </c>
    </row>
    <row r="327" spans="1:7" x14ac:dyDescent="0.25">
      <c r="A327" t="s">
        <v>4</v>
      </c>
      <c r="B327" t="s">
        <v>9</v>
      </c>
      <c r="F327" t="s">
        <v>826</v>
      </c>
      <c r="G327" t="s">
        <v>12649</v>
      </c>
    </row>
    <row r="328" spans="1:7" x14ac:dyDescent="0.25">
      <c r="A328" t="s">
        <v>4</v>
      </c>
      <c r="B328" t="s">
        <v>9</v>
      </c>
      <c r="F328" t="s">
        <v>828</v>
      </c>
      <c r="G328" t="s">
        <v>12649</v>
      </c>
    </row>
    <row r="329" spans="1:7" x14ac:dyDescent="0.25">
      <c r="A329" t="s">
        <v>1627</v>
      </c>
      <c r="B329" t="s">
        <v>1058</v>
      </c>
      <c r="F329" t="s">
        <v>830</v>
      </c>
      <c r="G329" t="s">
        <v>12649</v>
      </c>
    </row>
    <row r="330" spans="1:7" x14ac:dyDescent="0.25">
      <c r="A330" t="s">
        <v>4</v>
      </c>
      <c r="B330" t="s">
        <v>9</v>
      </c>
      <c r="F330" t="s">
        <v>832</v>
      </c>
      <c r="G330" t="s">
        <v>12649</v>
      </c>
    </row>
    <row r="331" spans="1:7" x14ac:dyDescent="0.25">
      <c r="A331" t="s">
        <v>4</v>
      </c>
      <c r="B331" t="s">
        <v>9</v>
      </c>
      <c r="F331" t="s">
        <v>834</v>
      </c>
      <c r="G331" t="s">
        <v>12649</v>
      </c>
    </row>
    <row r="332" spans="1:7" x14ac:dyDescent="0.25">
      <c r="A332" t="s">
        <v>4</v>
      </c>
      <c r="B332" t="s">
        <v>9</v>
      </c>
      <c r="F332" t="s">
        <v>836</v>
      </c>
      <c r="G332" t="s">
        <v>12649</v>
      </c>
    </row>
    <row r="333" spans="1:7" x14ac:dyDescent="0.25">
      <c r="A333" t="s">
        <v>884</v>
      </c>
      <c r="B333" t="s">
        <v>888</v>
      </c>
      <c r="F333" t="s">
        <v>838</v>
      </c>
      <c r="G333" t="s">
        <v>12649</v>
      </c>
    </row>
    <row r="334" spans="1:7" x14ac:dyDescent="0.25">
      <c r="A334" t="s">
        <v>884</v>
      </c>
      <c r="B334" t="s">
        <v>888</v>
      </c>
      <c r="F334" t="s">
        <v>840</v>
      </c>
      <c r="G334" t="s">
        <v>12649</v>
      </c>
    </row>
    <row r="335" spans="1:7" x14ac:dyDescent="0.25">
      <c r="A335" t="s">
        <v>4</v>
      </c>
      <c r="B335" t="s">
        <v>9</v>
      </c>
      <c r="F335" t="s">
        <v>842</v>
      </c>
      <c r="G335" t="s">
        <v>12649</v>
      </c>
    </row>
    <row r="336" spans="1:7" x14ac:dyDescent="0.25">
      <c r="A336" t="s">
        <v>4</v>
      </c>
      <c r="B336" t="s">
        <v>9</v>
      </c>
      <c r="F336" t="s">
        <v>844</v>
      </c>
      <c r="G336" t="s">
        <v>12649</v>
      </c>
    </row>
    <row r="337" spans="1:7" x14ac:dyDescent="0.25">
      <c r="A337" t="s">
        <v>4</v>
      </c>
      <c r="B337" t="s">
        <v>9</v>
      </c>
      <c r="F337" t="s">
        <v>846</v>
      </c>
      <c r="G337" t="s">
        <v>12649</v>
      </c>
    </row>
    <row r="338" spans="1:7" x14ac:dyDescent="0.25">
      <c r="A338" t="s">
        <v>4</v>
      </c>
      <c r="B338" t="s">
        <v>9</v>
      </c>
      <c r="F338" t="s">
        <v>848</v>
      </c>
      <c r="G338" t="s">
        <v>12649</v>
      </c>
    </row>
    <row r="339" spans="1:7" x14ac:dyDescent="0.25">
      <c r="A339" t="s">
        <v>4</v>
      </c>
      <c r="B339" t="s">
        <v>9</v>
      </c>
      <c r="F339" t="s">
        <v>850</v>
      </c>
      <c r="G339" t="s">
        <v>12649</v>
      </c>
    </row>
    <row r="340" spans="1:7" x14ac:dyDescent="0.25">
      <c r="A340" t="s">
        <v>4</v>
      </c>
      <c r="B340" t="s">
        <v>9</v>
      </c>
      <c r="F340" t="s">
        <v>852</v>
      </c>
      <c r="G340" t="s">
        <v>12649</v>
      </c>
    </row>
    <row r="341" spans="1:7" x14ac:dyDescent="0.25">
      <c r="A341" t="s">
        <v>4</v>
      </c>
      <c r="B341" t="s">
        <v>9</v>
      </c>
      <c r="F341" t="s">
        <v>854</v>
      </c>
      <c r="G341" t="s">
        <v>12649</v>
      </c>
    </row>
    <row r="342" spans="1:7" x14ac:dyDescent="0.25">
      <c r="A342" t="s">
        <v>1627</v>
      </c>
      <c r="B342" t="s">
        <v>1058</v>
      </c>
      <c r="F342" t="s">
        <v>856</v>
      </c>
      <c r="G342" t="s">
        <v>12649</v>
      </c>
    </row>
    <row r="343" spans="1:7" x14ac:dyDescent="0.25">
      <c r="A343" t="s">
        <v>4</v>
      </c>
      <c r="B343" t="s">
        <v>9</v>
      </c>
      <c r="F343" t="s">
        <v>858</v>
      </c>
      <c r="G343" t="s">
        <v>12649</v>
      </c>
    </row>
    <row r="344" spans="1:7" x14ac:dyDescent="0.25">
      <c r="A344" t="s">
        <v>686</v>
      </c>
      <c r="B344" t="s">
        <v>1058</v>
      </c>
      <c r="F344" t="s">
        <v>860</v>
      </c>
      <c r="G344" t="s">
        <v>12649</v>
      </c>
    </row>
    <row r="345" spans="1:7" x14ac:dyDescent="0.25">
      <c r="A345" t="s">
        <v>4</v>
      </c>
      <c r="B345" t="s">
        <v>9</v>
      </c>
      <c r="F345" t="s">
        <v>862</v>
      </c>
      <c r="G345" t="s">
        <v>12649</v>
      </c>
    </row>
    <row r="346" spans="1:7" x14ac:dyDescent="0.25">
      <c r="A346" t="s">
        <v>4</v>
      </c>
      <c r="B346" t="s">
        <v>9</v>
      </c>
      <c r="F346" t="s">
        <v>864</v>
      </c>
      <c r="G346" t="s">
        <v>12649</v>
      </c>
    </row>
    <row r="347" spans="1:7" x14ac:dyDescent="0.25">
      <c r="A347" t="s">
        <v>4</v>
      </c>
      <c r="B347" t="s">
        <v>9</v>
      </c>
      <c r="F347" t="s">
        <v>866</v>
      </c>
      <c r="G347" t="s">
        <v>12649</v>
      </c>
    </row>
    <row r="348" spans="1:7" x14ac:dyDescent="0.25">
      <c r="A348" t="s">
        <v>4</v>
      </c>
      <c r="B348" t="s">
        <v>9</v>
      </c>
      <c r="F348" t="s">
        <v>868</v>
      </c>
      <c r="G348" t="s">
        <v>12649</v>
      </c>
    </row>
    <row r="349" spans="1:7" x14ac:dyDescent="0.25">
      <c r="A349" t="s">
        <v>4</v>
      </c>
      <c r="B349" t="s">
        <v>9</v>
      </c>
      <c r="F349" t="s">
        <v>870</v>
      </c>
      <c r="G349" t="s">
        <v>12649</v>
      </c>
    </row>
    <row r="350" spans="1:7" x14ac:dyDescent="0.25">
      <c r="A350" t="s">
        <v>4</v>
      </c>
      <c r="B350" t="s">
        <v>9</v>
      </c>
      <c r="F350" t="s">
        <v>872</v>
      </c>
      <c r="G350" t="s">
        <v>12649</v>
      </c>
    </row>
    <row r="351" spans="1:7" x14ac:dyDescent="0.25">
      <c r="A351" t="s">
        <v>4</v>
      </c>
      <c r="B351" t="s">
        <v>9</v>
      </c>
      <c r="F351" t="s">
        <v>874</v>
      </c>
      <c r="G351" t="s">
        <v>12649</v>
      </c>
    </row>
    <row r="352" spans="1:7" x14ac:dyDescent="0.25">
      <c r="A352" t="s">
        <v>4</v>
      </c>
      <c r="B352" t="s">
        <v>9</v>
      </c>
      <c r="F352" t="s">
        <v>876</v>
      </c>
      <c r="G352" t="s">
        <v>12649</v>
      </c>
    </row>
    <row r="353" spans="1:7" x14ac:dyDescent="0.25">
      <c r="A353" t="s">
        <v>4</v>
      </c>
      <c r="B353" t="s">
        <v>9</v>
      </c>
      <c r="F353" t="s">
        <v>878</v>
      </c>
      <c r="G353" t="s">
        <v>12649</v>
      </c>
    </row>
    <row r="354" spans="1:7" x14ac:dyDescent="0.25">
      <c r="A354" t="s">
        <v>4</v>
      </c>
      <c r="B354" t="s">
        <v>9</v>
      </c>
      <c r="F354" t="s">
        <v>880</v>
      </c>
      <c r="G354" t="s">
        <v>12649</v>
      </c>
    </row>
    <row r="355" spans="1:7" x14ac:dyDescent="0.25">
      <c r="A355" t="s">
        <v>4</v>
      </c>
      <c r="B355" t="s">
        <v>9</v>
      </c>
      <c r="F355" t="s">
        <v>882</v>
      </c>
      <c r="G355" t="s">
        <v>12649</v>
      </c>
    </row>
    <row r="356" spans="1:7" x14ac:dyDescent="0.25">
      <c r="A356" t="s">
        <v>1627</v>
      </c>
      <c r="B356" t="s">
        <v>1058</v>
      </c>
      <c r="F356" t="s">
        <v>960</v>
      </c>
      <c r="G356" t="s">
        <v>12649</v>
      </c>
    </row>
    <row r="357" spans="1:7" x14ac:dyDescent="0.25">
      <c r="A357" t="s">
        <v>4</v>
      </c>
      <c r="B357" t="s">
        <v>9</v>
      </c>
      <c r="F357" t="s">
        <v>962</v>
      </c>
      <c r="G357" t="s">
        <v>12649</v>
      </c>
    </row>
    <row r="358" spans="1:7" x14ac:dyDescent="0.25">
      <c r="A358" t="s">
        <v>4</v>
      </c>
      <c r="B358" t="s">
        <v>9</v>
      </c>
      <c r="F358" t="s">
        <v>964</v>
      </c>
      <c r="G358" t="s">
        <v>12649</v>
      </c>
    </row>
    <row r="359" spans="1:7" x14ac:dyDescent="0.25">
      <c r="A359" t="s">
        <v>4</v>
      </c>
      <c r="B359" t="s">
        <v>9</v>
      </c>
      <c r="F359" t="s">
        <v>966</v>
      </c>
      <c r="G359" t="s">
        <v>12649</v>
      </c>
    </row>
    <row r="360" spans="1:7" x14ac:dyDescent="0.25">
      <c r="A360" t="s">
        <v>4</v>
      </c>
      <c r="B360" t="s">
        <v>9</v>
      </c>
      <c r="F360" t="s">
        <v>968</v>
      </c>
      <c r="G360" t="s">
        <v>12649</v>
      </c>
    </row>
    <row r="361" spans="1:7" x14ac:dyDescent="0.25">
      <c r="A361" t="s">
        <v>4</v>
      </c>
      <c r="B361" t="s">
        <v>9</v>
      </c>
      <c r="F361" t="s">
        <v>970</v>
      </c>
      <c r="G361" t="s">
        <v>12649</v>
      </c>
    </row>
    <row r="362" spans="1:7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12649</v>
      </c>
    </row>
    <row r="363" spans="1:7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12650</v>
      </c>
    </row>
    <row r="364" spans="1:7" x14ac:dyDescent="0.25">
      <c r="A364" t="s">
        <v>4</v>
      </c>
      <c r="B364" t="s">
        <v>8</v>
      </c>
      <c r="F364" t="s">
        <v>1064</v>
      </c>
      <c r="G364" t="s">
        <v>12650</v>
      </c>
    </row>
    <row r="365" spans="1:7" x14ac:dyDescent="0.25">
      <c r="A365" t="s">
        <v>4</v>
      </c>
      <c r="B365" t="s">
        <v>8</v>
      </c>
      <c r="F365" t="s">
        <v>1066</v>
      </c>
      <c r="G365" t="s">
        <v>12650</v>
      </c>
    </row>
    <row r="366" spans="1:7" x14ac:dyDescent="0.25">
      <c r="A366" t="s">
        <v>1271</v>
      </c>
      <c r="B366" t="s">
        <v>890</v>
      </c>
      <c r="F366" t="s">
        <v>1068</v>
      </c>
      <c r="G366" t="s">
        <v>12650</v>
      </c>
    </row>
    <row r="367" spans="1:7" x14ac:dyDescent="0.25">
      <c r="A367" t="s">
        <v>1271</v>
      </c>
      <c r="B367" t="s">
        <v>890</v>
      </c>
      <c r="F367" t="s">
        <v>1070</v>
      </c>
      <c r="G367" t="s">
        <v>12650</v>
      </c>
    </row>
    <row r="368" spans="1:7" x14ac:dyDescent="0.25">
      <c r="A368" t="s">
        <v>1271</v>
      </c>
      <c r="B368" t="s">
        <v>890</v>
      </c>
      <c r="F368" t="s">
        <v>1072</v>
      </c>
      <c r="G368" t="s">
        <v>12650</v>
      </c>
    </row>
    <row r="369" spans="1:7" x14ac:dyDescent="0.25">
      <c r="A369" t="s">
        <v>1271</v>
      </c>
      <c r="B369" t="s">
        <v>890</v>
      </c>
      <c r="F369" t="s">
        <v>1074</v>
      </c>
      <c r="G369" t="s">
        <v>12650</v>
      </c>
    </row>
    <row r="370" spans="1:7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12650</v>
      </c>
    </row>
    <row r="371" spans="1:7" x14ac:dyDescent="0.25">
      <c r="A371" t="s">
        <v>887</v>
      </c>
      <c r="B371" t="s">
        <v>888</v>
      </c>
      <c r="F371" t="s">
        <v>1078</v>
      </c>
      <c r="G371" t="s">
        <v>12650</v>
      </c>
    </row>
    <row r="372" spans="1:7" x14ac:dyDescent="0.25">
      <c r="A372" t="s">
        <v>887</v>
      </c>
      <c r="B372" t="s">
        <v>888</v>
      </c>
      <c r="F372" t="s">
        <v>1080</v>
      </c>
      <c r="G372" t="s">
        <v>12650</v>
      </c>
    </row>
    <row r="373" spans="1:7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12650</v>
      </c>
    </row>
    <row r="374" spans="1:7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12650</v>
      </c>
    </row>
    <row r="375" spans="1:7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12650</v>
      </c>
    </row>
    <row r="376" spans="1:7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12650</v>
      </c>
    </row>
    <row r="377" spans="1:7" x14ac:dyDescent="0.25">
      <c r="A377" t="s">
        <v>4</v>
      </c>
      <c r="B377" t="s">
        <v>8</v>
      </c>
      <c r="F377" t="s">
        <v>1090</v>
      </c>
      <c r="G377" t="s">
        <v>12650</v>
      </c>
    </row>
    <row r="378" spans="1:7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12650</v>
      </c>
    </row>
    <row r="379" spans="1:7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12650</v>
      </c>
    </row>
    <row r="380" spans="1:7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12650</v>
      </c>
    </row>
    <row r="381" spans="1:7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12650</v>
      </c>
    </row>
    <row r="382" spans="1:7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12650</v>
      </c>
    </row>
    <row r="383" spans="1:7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12650</v>
      </c>
    </row>
    <row r="384" spans="1:7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12650</v>
      </c>
    </row>
    <row r="385" spans="1:7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12650</v>
      </c>
    </row>
    <row r="386" spans="1:7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12650</v>
      </c>
    </row>
    <row r="387" spans="1:7" x14ac:dyDescent="0.25">
      <c r="A387" t="s">
        <v>4</v>
      </c>
      <c r="B387" t="s">
        <v>8</v>
      </c>
      <c r="F387" t="s">
        <v>1110</v>
      </c>
      <c r="G387" t="s">
        <v>12650</v>
      </c>
    </row>
    <row r="388" spans="1:7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12650</v>
      </c>
    </row>
    <row r="389" spans="1:7" x14ac:dyDescent="0.25">
      <c r="A389" t="s">
        <v>4</v>
      </c>
      <c r="B389" t="s">
        <v>8</v>
      </c>
      <c r="F389" t="s">
        <v>1114</v>
      </c>
      <c r="G389" t="s">
        <v>12650</v>
      </c>
    </row>
    <row r="390" spans="1:7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12650</v>
      </c>
    </row>
    <row r="391" spans="1:7" x14ac:dyDescent="0.25">
      <c r="A391" t="s">
        <v>4</v>
      </c>
      <c r="B391" t="s">
        <v>8</v>
      </c>
      <c r="F391" t="s">
        <v>1118</v>
      </c>
      <c r="G391" t="s">
        <v>12650</v>
      </c>
    </row>
    <row r="392" spans="1:7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12650</v>
      </c>
    </row>
    <row r="393" spans="1:7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12650</v>
      </c>
    </row>
    <row r="394" spans="1:7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12650</v>
      </c>
    </row>
    <row r="395" spans="1:7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12650</v>
      </c>
    </row>
    <row r="396" spans="1:7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12650</v>
      </c>
    </row>
    <row r="397" spans="1:7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12650</v>
      </c>
    </row>
    <row r="398" spans="1:7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12650</v>
      </c>
    </row>
    <row r="399" spans="1:7" x14ac:dyDescent="0.25">
      <c r="A399" t="s">
        <v>4</v>
      </c>
      <c r="B399" t="s">
        <v>8</v>
      </c>
      <c r="F399" t="s">
        <v>1135</v>
      </c>
      <c r="G399" t="s">
        <v>12650</v>
      </c>
    </row>
    <row r="400" spans="1:7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12650</v>
      </c>
    </row>
    <row r="401" spans="1:7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12650</v>
      </c>
    </row>
    <row r="402" spans="1:7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12650</v>
      </c>
    </row>
    <row r="403" spans="1:7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12650</v>
      </c>
    </row>
    <row r="404" spans="1:7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12650</v>
      </c>
    </row>
    <row r="405" spans="1:7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12650</v>
      </c>
    </row>
    <row r="406" spans="1:7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12650</v>
      </c>
    </row>
    <row r="407" spans="1:7" x14ac:dyDescent="0.25">
      <c r="A407" t="s">
        <v>4</v>
      </c>
      <c r="B407" t="s">
        <v>8</v>
      </c>
      <c r="F407" t="s">
        <v>1150</v>
      </c>
      <c r="G407" t="s">
        <v>12650</v>
      </c>
    </row>
    <row r="408" spans="1:7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12650</v>
      </c>
    </row>
    <row r="409" spans="1:7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12650</v>
      </c>
    </row>
    <row r="410" spans="1:7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12650</v>
      </c>
    </row>
    <row r="411" spans="1:7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12650</v>
      </c>
    </row>
    <row r="412" spans="1:7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12650</v>
      </c>
    </row>
    <row r="413" spans="1:7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12650</v>
      </c>
    </row>
    <row r="414" spans="1:7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12650</v>
      </c>
    </row>
    <row r="415" spans="1:7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12650</v>
      </c>
    </row>
    <row r="416" spans="1:7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12650</v>
      </c>
    </row>
    <row r="417" spans="1:7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12650</v>
      </c>
    </row>
    <row r="418" spans="1:7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12650</v>
      </c>
    </row>
    <row r="419" spans="1:7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12650</v>
      </c>
    </row>
    <row r="420" spans="1:7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12650</v>
      </c>
    </row>
    <row r="421" spans="1:7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12650</v>
      </c>
    </row>
    <row r="422" spans="1:7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12650</v>
      </c>
    </row>
    <row r="423" spans="1:7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12650</v>
      </c>
    </row>
    <row r="424" spans="1:7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12650</v>
      </c>
    </row>
    <row r="425" spans="1:7" x14ac:dyDescent="0.25">
      <c r="A425" t="s">
        <v>4</v>
      </c>
      <c r="B425" t="s">
        <v>8</v>
      </c>
      <c r="F425" t="s">
        <v>1195</v>
      </c>
      <c r="G425" t="s">
        <v>12650</v>
      </c>
    </row>
    <row r="426" spans="1:7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12650</v>
      </c>
    </row>
    <row r="427" spans="1:7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12650</v>
      </c>
    </row>
    <row r="428" spans="1:7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12650</v>
      </c>
    </row>
    <row r="429" spans="1:7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12650</v>
      </c>
    </row>
    <row r="430" spans="1:7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12650</v>
      </c>
    </row>
    <row r="431" spans="1:7" x14ac:dyDescent="0.25">
      <c r="A431" t="s">
        <v>4</v>
      </c>
      <c r="B431" t="s">
        <v>8</v>
      </c>
      <c r="F431" t="s">
        <v>1207</v>
      </c>
      <c r="G431" t="s">
        <v>12650</v>
      </c>
    </row>
    <row r="432" spans="1:7" x14ac:dyDescent="0.25">
      <c r="A432" t="s">
        <v>1290</v>
      </c>
      <c r="F432" t="s">
        <v>1209</v>
      </c>
      <c r="G432" t="s">
        <v>12650</v>
      </c>
    </row>
    <row r="433" spans="1:7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12650</v>
      </c>
    </row>
    <row r="434" spans="1:7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12650</v>
      </c>
    </row>
    <row r="435" spans="1:7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12650</v>
      </c>
    </row>
    <row r="436" spans="1:7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12650</v>
      </c>
    </row>
    <row r="437" spans="1:7" x14ac:dyDescent="0.25">
      <c r="A437" t="s">
        <v>4</v>
      </c>
      <c r="B437" t="s">
        <v>8</v>
      </c>
      <c r="F437" t="s">
        <v>1221</v>
      </c>
      <c r="G437" t="s">
        <v>12650</v>
      </c>
    </row>
    <row r="438" spans="1:7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12650</v>
      </c>
    </row>
    <row r="439" spans="1:7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12650</v>
      </c>
    </row>
    <row r="440" spans="1:7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12650</v>
      </c>
    </row>
    <row r="441" spans="1:7" x14ac:dyDescent="0.25">
      <c r="A441" t="s">
        <v>1290</v>
      </c>
      <c r="F441" t="s">
        <v>1229</v>
      </c>
      <c r="G441" t="s">
        <v>12650</v>
      </c>
    </row>
    <row r="442" spans="1:7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12650</v>
      </c>
    </row>
    <row r="443" spans="1:7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12650</v>
      </c>
    </row>
    <row r="444" spans="1:7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12650</v>
      </c>
    </row>
    <row r="445" spans="1:7" x14ac:dyDescent="0.25">
      <c r="A445" t="s">
        <v>4</v>
      </c>
      <c r="B445" t="s">
        <v>8</v>
      </c>
      <c r="F445" t="s">
        <v>1237</v>
      </c>
      <c r="G445" t="s">
        <v>12650</v>
      </c>
    </row>
    <row r="446" spans="1:7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12650</v>
      </c>
    </row>
    <row r="447" spans="1:7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12650</v>
      </c>
    </row>
    <row r="448" spans="1:7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12650</v>
      </c>
    </row>
    <row r="449" spans="1:7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12650</v>
      </c>
    </row>
    <row r="450" spans="1:7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12650</v>
      </c>
    </row>
    <row r="451" spans="1:7" x14ac:dyDescent="0.25">
      <c r="A451" t="s">
        <v>1290</v>
      </c>
      <c r="F451" t="s">
        <v>1249</v>
      </c>
      <c r="G451" t="s">
        <v>12650</v>
      </c>
    </row>
    <row r="452" spans="1:7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12650</v>
      </c>
    </row>
    <row r="453" spans="1:7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12650</v>
      </c>
    </row>
    <row r="454" spans="1:7" x14ac:dyDescent="0.25">
      <c r="A454" t="s">
        <v>1290</v>
      </c>
      <c r="F454" t="s">
        <v>1255</v>
      </c>
      <c r="G454" t="s">
        <v>12650</v>
      </c>
    </row>
    <row r="455" spans="1:7" x14ac:dyDescent="0.25">
      <c r="A455" t="s">
        <v>4</v>
      </c>
      <c r="B455" t="s">
        <v>8</v>
      </c>
      <c r="F455" t="s">
        <v>1257</v>
      </c>
      <c r="G455" t="s">
        <v>12650</v>
      </c>
    </row>
    <row r="456" spans="1:7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12650</v>
      </c>
    </row>
    <row r="457" spans="1:7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12650</v>
      </c>
    </row>
    <row r="458" spans="1:7" x14ac:dyDescent="0.25">
      <c r="A458" t="s">
        <v>1290</v>
      </c>
      <c r="F458" t="s">
        <v>1263</v>
      </c>
      <c r="G458" t="s">
        <v>12650</v>
      </c>
    </row>
    <row r="459" spans="1:7" x14ac:dyDescent="0.25">
      <c r="A459" t="s">
        <v>4</v>
      </c>
      <c r="B459" t="s">
        <v>8</v>
      </c>
      <c r="F459" t="s">
        <v>1265</v>
      </c>
      <c r="G459" t="s">
        <v>12650</v>
      </c>
    </row>
    <row r="460" spans="1:7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12650</v>
      </c>
    </row>
    <row r="461" spans="1:7" x14ac:dyDescent="0.25">
      <c r="A461" t="s">
        <v>1290</v>
      </c>
      <c r="F461" t="s">
        <v>1269</v>
      </c>
      <c r="G461" t="s">
        <v>12650</v>
      </c>
    </row>
    <row r="462" spans="1:7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12651</v>
      </c>
    </row>
    <row r="463" spans="1:7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12651</v>
      </c>
    </row>
    <row r="464" spans="1:7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12651</v>
      </c>
    </row>
    <row r="465" spans="1:7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12651</v>
      </c>
    </row>
    <row r="466" spans="1:7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12651</v>
      </c>
    </row>
    <row r="467" spans="1:7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12651</v>
      </c>
    </row>
    <row r="468" spans="1:7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12651</v>
      </c>
    </row>
    <row r="469" spans="1:7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12651</v>
      </c>
    </row>
    <row r="470" spans="1:7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12651</v>
      </c>
    </row>
    <row r="471" spans="1:7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12651</v>
      </c>
    </row>
    <row r="472" spans="1:7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12651</v>
      </c>
    </row>
    <row r="473" spans="1:7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12651</v>
      </c>
    </row>
    <row r="474" spans="1:7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12651</v>
      </c>
    </row>
    <row r="475" spans="1:7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12651</v>
      </c>
    </row>
    <row r="476" spans="1:7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12651</v>
      </c>
    </row>
    <row r="477" spans="1:7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12651</v>
      </c>
    </row>
    <row r="478" spans="1:7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12651</v>
      </c>
    </row>
    <row r="479" spans="1:7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12651</v>
      </c>
    </row>
    <row r="480" spans="1:7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12651</v>
      </c>
    </row>
    <row r="481" spans="1:7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12651</v>
      </c>
    </row>
    <row r="482" spans="1:7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12651</v>
      </c>
    </row>
    <row r="483" spans="1:7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12651</v>
      </c>
    </row>
    <row r="484" spans="1:7" x14ac:dyDescent="0.25">
      <c r="A484" t="s">
        <v>1424</v>
      </c>
      <c r="B484" t="s">
        <v>55</v>
      </c>
      <c r="F484" t="s">
        <v>1339</v>
      </c>
      <c r="G484" t="s">
        <v>12651</v>
      </c>
    </row>
    <row r="485" spans="1:7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12651</v>
      </c>
    </row>
    <row r="486" spans="1:7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12651</v>
      </c>
    </row>
    <row r="487" spans="1:7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12651</v>
      </c>
    </row>
    <row r="488" spans="1:7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12651</v>
      </c>
    </row>
    <row r="489" spans="1:7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12651</v>
      </c>
    </row>
    <row r="490" spans="1:7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12651</v>
      </c>
    </row>
    <row r="491" spans="1:7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12651</v>
      </c>
    </row>
    <row r="492" spans="1:7" x14ac:dyDescent="0.25">
      <c r="A492" t="s">
        <v>4</v>
      </c>
      <c r="B492" t="s">
        <v>8</v>
      </c>
      <c r="F492" t="s">
        <v>1355</v>
      </c>
      <c r="G492" t="s">
        <v>12651</v>
      </c>
    </row>
    <row r="493" spans="1:7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12651</v>
      </c>
    </row>
    <row r="494" spans="1:7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12651</v>
      </c>
    </row>
    <row r="495" spans="1:7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12651</v>
      </c>
    </row>
    <row r="496" spans="1:7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12651</v>
      </c>
    </row>
    <row r="497" spans="1:7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12651</v>
      </c>
    </row>
    <row r="498" spans="1:7" x14ac:dyDescent="0.25">
      <c r="A498" t="s">
        <v>4</v>
      </c>
      <c r="B498" t="s">
        <v>8</v>
      </c>
      <c r="F498" t="s">
        <v>1367</v>
      </c>
      <c r="G498" t="s">
        <v>12651</v>
      </c>
    </row>
    <row r="499" spans="1:7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12651</v>
      </c>
    </row>
    <row r="500" spans="1:7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12651</v>
      </c>
    </row>
    <row r="501" spans="1:7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12651</v>
      </c>
    </row>
    <row r="502" spans="1:7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12651</v>
      </c>
    </row>
    <row r="503" spans="1:7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12651</v>
      </c>
    </row>
    <row r="504" spans="1:7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12651</v>
      </c>
    </row>
    <row r="505" spans="1:7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12651</v>
      </c>
    </row>
    <row r="506" spans="1:7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12651</v>
      </c>
    </row>
    <row r="507" spans="1:7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12651</v>
      </c>
    </row>
    <row r="508" spans="1:7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12651</v>
      </c>
    </row>
    <row r="509" spans="1:7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12651</v>
      </c>
    </row>
    <row r="510" spans="1:7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12651</v>
      </c>
    </row>
    <row r="511" spans="1:7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12651</v>
      </c>
    </row>
    <row r="512" spans="1:7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12651</v>
      </c>
    </row>
    <row r="513" spans="1:7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12651</v>
      </c>
    </row>
    <row r="514" spans="1:7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12651</v>
      </c>
    </row>
    <row r="515" spans="1:7" x14ac:dyDescent="0.25">
      <c r="A515" t="s">
        <v>4</v>
      </c>
      <c r="B515" t="s">
        <v>8</v>
      </c>
      <c r="F515" t="s">
        <v>1401</v>
      </c>
      <c r="G515" t="s">
        <v>12651</v>
      </c>
    </row>
    <row r="516" spans="1:7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12651</v>
      </c>
    </row>
    <row r="517" spans="1:7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12651</v>
      </c>
    </row>
    <row r="518" spans="1:7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12651</v>
      </c>
    </row>
    <row r="519" spans="1:7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12651</v>
      </c>
    </row>
    <row r="520" spans="1:7" x14ac:dyDescent="0.25">
      <c r="A520" t="s">
        <v>4</v>
      </c>
      <c r="B520" t="s">
        <v>8</v>
      </c>
      <c r="F520" t="s">
        <v>1411</v>
      </c>
      <c r="G520" t="s">
        <v>12651</v>
      </c>
    </row>
    <row r="521" spans="1:7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12651</v>
      </c>
    </row>
    <row r="522" spans="1:7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12651</v>
      </c>
    </row>
    <row r="523" spans="1:7" x14ac:dyDescent="0.25">
      <c r="A523" t="s">
        <v>4</v>
      </c>
      <c r="B523" t="s">
        <v>8</v>
      </c>
      <c r="F523" t="s">
        <v>1417</v>
      </c>
      <c r="G523" t="s">
        <v>12651</v>
      </c>
    </row>
    <row r="524" spans="1:7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12651</v>
      </c>
    </row>
    <row r="525" spans="1:7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12647</v>
      </c>
    </row>
    <row r="590" spans="1:7" x14ac:dyDescent="0.25">
      <c r="A590" t="s">
        <v>4</v>
      </c>
      <c r="B590" t="s">
        <v>8</v>
      </c>
      <c r="F590" t="s">
        <v>954</v>
      </c>
      <c r="G590" t="s">
        <v>12647</v>
      </c>
    </row>
    <row r="591" spans="1:7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12647</v>
      </c>
    </row>
    <row r="592" spans="1:7" x14ac:dyDescent="0.25">
      <c r="A592" t="s">
        <v>4</v>
      </c>
      <c r="B592" t="s">
        <v>8</v>
      </c>
      <c r="F592" t="s">
        <v>958</v>
      </c>
      <c r="G592" t="s">
        <v>12647</v>
      </c>
    </row>
    <row r="593" spans="1:7" x14ac:dyDescent="0.25">
      <c r="A593" t="s">
        <v>4</v>
      </c>
      <c r="B593" t="s">
        <v>8</v>
      </c>
      <c r="F593" t="s">
        <v>974</v>
      </c>
      <c r="G593" t="s">
        <v>11076</v>
      </c>
    </row>
    <row r="594" spans="1:7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11076</v>
      </c>
    </row>
    <row r="595" spans="1:7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11076</v>
      </c>
    </row>
    <row r="596" spans="1:7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11076</v>
      </c>
    </row>
    <row r="597" spans="1:7" x14ac:dyDescent="0.25">
      <c r="A597" t="s">
        <v>4</v>
      </c>
      <c r="B597" t="s">
        <v>8</v>
      </c>
      <c r="F597" t="s">
        <v>982</v>
      </c>
      <c r="G597" t="s">
        <v>11076</v>
      </c>
    </row>
    <row r="598" spans="1:7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11076</v>
      </c>
    </row>
    <row r="599" spans="1:7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11076</v>
      </c>
    </row>
    <row r="600" spans="1:7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11076</v>
      </c>
    </row>
    <row r="601" spans="1:7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11076</v>
      </c>
    </row>
    <row r="602" spans="1:7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x14ac:dyDescent="0.25">
      <c r="A632" t="s">
        <v>4</v>
      </c>
      <c r="B632" t="s">
        <v>9</v>
      </c>
      <c r="F632" t="s">
        <v>920</v>
      </c>
      <c r="G632" t="s">
        <v>12648</v>
      </c>
    </row>
    <row r="633" spans="1:7" x14ac:dyDescent="0.25">
      <c r="A633" t="s">
        <v>4</v>
      </c>
      <c r="B633" t="s">
        <v>9</v>
      </c>
      <c r="F633" t="s">
        <v>922</v>
      </c>
      <c r="G633" t="s">
        <v>12648</v>
      </c>
    </row>
    <row r="634" spans="1:7" x14ac:dyDescent="0.25">
      <c r="A634" t="s">
        <v>4</v>
      </c>
      <c r="B634" t="s">
        <v>9</v>
      </c>
      <c r="F634" t="s">
        <v>924</v>
      </c>
      <c r="G634" t="s">
        <v>12648</v>
      </c>
    </row>
    <row r="635" spans="1:7" x14ac:dyDescent="0.25">
      <c r="A635" t="s">
        <v>1627</v>
      </c>
      <c r="B635" t="s">
        <v>687</v>
      </c>
      <c r="F635" t="s">
        <v>926</v>
      </c>
      <c r="G635" t="s">
        <v>12648</v>
      </c>
    </row>
    <row r="636" spans="1:7" x14ac:dyDescent="0.25">
      <c r="A636" t="s">
        <v>4</v>
      </c>
      <c r="B636" t="s">
        <v>9</v>
      </c>
      <c r="F636" t="s">
        <v>928</v>
      </c>
      <c r="G636" t="s">
        <v>12648</v>
      </c>
    </row>
    <row r="637" spans="1:7" x14ac:dyDescent="0.25">
      <c r="A637" t="s">
        <v>1627</v>
      </c>
      <c r="B637" t="s">
        <v>687</v>
      </c>
      <c r="F637" t="s">
        <v>930</v>
      </c>
      <c r="G637" t="s">
        <v>12648</v>
      </c>
    </row>
    <row r="638" spans="1:7" x14ac:dyDescent="0.25">
      <c r="A638" t="s">
        <v>1627</v>
      </c>
      <c r="B638" t="s">
        <v>687</v>
      </c>
      <c r="F638" t="s">
        <v>932</v>
      </c>
      <c r="G638" t="s">
        <v>12648</v>
      </c>
    </row>
    <row r="639" spans="1:7" x14ac:dyDescent="0.25">
      <c r="A639" t="s">
        <v>1627</v>
      </c>
      <c r="B639" t="s">
        <v>687</v>
      </c>
      <c r="F639" t="s">
        <v>934</v>
      </c>
      <c r="G639" t="s">
        <v>12648</v>
      </c>
    </row>
    <row r="640" spans="1:7" x14ac:dyDescent="0.25">
      <c r="A640" t="s">
        <v>1627</v>
      </c>
      <c r="B640" t="s">
        <v>687</v>
      </c>
      <c r="F640" t="s">
        <v>936</v>
      </c>
      <c r="G640" t="s">
        <v>12648</v>
      </c>
    </row>
    <row r="641" spans="1:7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12648</v>
      </c>
    </row>
    <row r="642" spans="1:7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12648</v>
      </c>
    </row>
    <row r="643" spans="1:7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12648</v>
      </c>
    </row>
    <row r="644" spans="1:7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12648</v>
      </c>
    </row>
    <row r="645" spans="1:7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12648</v>
      </c>
    </row>
    <row r="646" spans="1:7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12648</v>
      </c>
    </row>
    <row r="647" spans="1:7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12648</v>
      </c>
    </row>
    <row r="648" spans="1:7" x14ac:dyDescent="0.25">
      <c r="A648" t="s">
        <v>1607</v>
      </c>
      <c r="F648" t="s">
        <v>1644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x14ac:dyDescent="0.25">
      <c r="A658" t="s">
        <v>1607</v>
      </c>
      <c r="F658" t="s">
        <v>1654</v>
      </c>
      <c r="G658" t="s">
        <v>91</v>
      </c>
    </row>
    <row r="659" spans="1:7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x14ac:dyDescent="0.25">
      <c r="A661" t="s">
        <v>1607</v>
      </c>
      <c r="F661" t="s">
        <v>1657</v>
      </c>
      <c r="G661" t="s">
        <v>91</v>
      </c>
    </row>
    <row r="662" spans="1:7" x14ac:dyDescent="0.25">
      <c r="A662" t="s">
        <v>1607</v>
      </c>
      <c r="F662" t="s">
        <v>1658</v>
      </c>
      <c r="G662" t="s">
        <v>91</v>
      </c>
    </row>
    <row r="663" spans="1:7" x14ac:dyDescent="0.25">
      <c r="A663" t="s">
        <v>1607</v>
      </c>
      <c r="F663" t="s">
        <v>1628</v>
      </c>
      <c r="G663" t="s">
        <v>12647</v>
      </c>
    </row>
    <row r="664" spans="1:7" x14ac:dyDescent="0.25">
      <c r="A664" t="s">
        <v>1607</v>
      </c>
      <c r="F664" t="s">
        <v>1630</v>
      </c>
      <c r="G664" t="s">
        <v>12647</v>
      </c>
    </row>
    <row r="665" spans="1:7" x14ac:dyDescent="0.25">
      <c r="A665" t="s">
        <v>1607</v>
      </c>
      <c r="F665" t="s">
        <v>1632</v>
      </c>
      <c r="G665" t="s">
        <v>12647</v>
      </c>
    </row>
    <row r="666" spans="1:7" x14ac:dyDescent="0.25">
      <c r="A666" t="s">
        <v>2342</v>
      </c>
      <c r="F666" t="s">
        <v>1634</v>
      </c>
      <c r="G666" t="s">
        <v>12647</v>
      </c>
    </row>
    <row r="667" spans="1:7" x14ac:dyDescent="0.25">
      <c r="A667" t="s">
        <v>4</v>
      </c>
      <c r="B667" t="s">
        <v>8</v>
      </c>
      <c r="F667" t="s">
        <v>1636</v>
      </c>
      <c r="G667" t="s">
        <v>12647</v>
      </c>
    </row>
    <row r="668" spans="1:7" x14ac:dyDescent="0.25">
      <c r="A668" t="s">
        <v>1607</v>
      </c>
      <c r="F668" t="s">
        <v>1638</v>
      </c>
      <c r="G668" t="s">
        <v>12647</v>
      </c>
    </row>
    <row r="669" spans="1:7" x14ac:dyDescent="0.25">
      <c r="A669" t="s">
        <v>1607</v>
      </c>
      <c r="F669" t="s">
        <v>1640</v>
      </c>
      <c r="G669" t="s">
        <v>12647</v>
      </c>
    </row>
    <row r="670" spans="1:7" x14ac:dyDescent="0.25">
      <c r="A670" t="s">
        <v>1607</v>
      </c>
      <c r="F670" t="s">
        <v>1642</v>
      </c>
      <c r="G670" t="s">
        <v>12647</v>
      </c>
    </row>
    <row r="671" spans="1:7" x14ac:dyDescent="0.25">
      <c r="A671" t="s">
        <v>1607</v>
      </c>
      <c r="F671" t="s">
        <v>1659</v>
      </c>
      <c r="G671" t="s">
        <v>11076</v>
      </c>
    </row>
    <row r="672" spans="1:7" x14ac:dyDescent="0.25">
      <c r="A672" t="s">
        <v>4</v>
      </c>
      <c r="B672" t="s">
        <v>8</v>
      </c>
      <c r="F672" t="s">
        <v>1661</v>
      </c>
      <c r="G672" t="s">
        <v>11076</v>
      </c>
    </row>
    <row r="673" spans="1:7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11076</v>
      </c>
    </row>
    <row r="674" spans="1:7" x14ac:dyDescent="0.25">
      <c r="A674" t="s">
        <v>4</v>
      </c>
      <c r="B674" t="s">
        <v>8</v>
      </c>
      <c r="F674" t="s">
        <v>1666</v>
      </c>
      <c r="G674" t="s">
        <v>11076</v>
      </c>
    </row>
    <row r="675" spans="1:7" x14ac:dyDescent="0.25">
      <c r="A675" t="s">
        <v>4</v>
      </c>
      <c r="B675" t="s">
        <v>8</v>
      </c>
      <c r="F675" t="s">
        <v>1668</v>
      </c>
      <c r="G675" t="s">
        <v>11076</v>
      </c>
    </row>
    <row r="676" spans="1:7" x14ac:dyDescent="0.25">
      <c r="A676" t="s">
        <v>4</v>
      </c>
      <c r="B676" t="s">
        <v>8</v>
      </c>
      <c r="F676" t="s">
        <v>1670</v>
      </c>
      <c r="G676" t="s">
        <v>11076</v>
      </c>
    </row>
    <row r="677" spans="1:7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11076</v>
      </c>
    </row>
    <row r="678" spans="1:7" x14ac:dyDescent="0.25">
      <c r="A678" t="s">
        <v>4</v>
      </c>
      <c r="B678" t="s">
        <v>8</v>
      </c>
      <c r="F678" t="s">
        <v>1675</v>
      </c>
      <c r="G678" t="s">
        <v>11076</v>
      </c>
    </row>
    <row r="679" spans="1:7" x14ac:dyDescent="0.25">
      <c r="A679" t="s">
        <v>1607</v>
      </c>
      <c r="F679" t="s">
        <v>1677</v>
      </c>
      <c r="G679" t="s">
        <v>11076</v>
      </c>
    </row>
    <row r="680" spans="1:7" x14ac:dyDescent="0.25">
      <c r="A680" t="s">
        <v>1607</v>
      </c>
      <c r="F680" t="s">
        <v>1679</v>
      </c>
      <c r="G680" t="s">
        <v>11076</v>
      </c>
    </row>
    <row r="681" spans="1:7" x14ac:dyDescent="0.25">
      <c r="A681" t="s">
        <v>1607</v>
      </c>
      <c r="F681" t="s">
        <v>1720</v>
      </c>
      <c r="G681" t="s">
        <v>894</v>
      </c>
    </row>
    <row r="682" spans="1:7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x14ac:dyDescent="0.25">
      <c r="A684" t="s">
        <v>1607</v>
      </c>
      <c r="F684" t="s">
        <v>1729</v>
      </c>
      <c r="G684" t="s">
        <v>894</v>
      </c>
    </row>
    <row r="685" spans="1:7" x14ac:dyDescent="0.25">
      <c r="A685" t="s">
        <v>1607</v>
      </c>
      <c r="F685" t="s">
        <v>1732</v>
      </c>
      <c r="G685" t="s">
        <v>894</v>
      </c>
    </row>
    <row r="686" spans="1:7" x14ac:dyDescent="0.25">
      <c r="A686" t="s">
        <v>1607</v>
      </c>
      <c r="F686" t="s">
        <v>1735</v>
      </c>
      <c r="G686" t="s">
        <v>894</v>
      </c>
    </row>
    <row r="687" spans="1:7" x14ac:dyDescent="0.25">
      <c r="A687" t="s">
        <v>1607</v>
      </c>
      <c r="F687" t="s">
        <v>1738</v>
      </c>
      <c r="G687" t="s">
        <v>894</v>
      </c>
    </row>
    <row r="688" spans="1:7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x14ac:dyDescent="0.25">
      <c r="A695" t="s">
        <v>1607</v>
      </c>
      <c r="F695" t="s">
        <v>1702</v>
      </c>
      <c r="G695" t="s">
        <v>896</v>
      </c>
    </row>
    <row r="696" spans="1:7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x14ac:dyDescent="0.25">
      <c r="A697" t="s">
        <v>1607</v>
      </c>
      <c r="F697" t="s">
        <v>1705</v>
      </c>
      <c r="G697" t="s">
        <v>896</v>
      </c>
    </row>
    <row r="698" spans="1:7" x14ac:dyDescent="0.25">
      <c r="A698" t="s">
        <v>1607</v>
      </c>
      <c r="F698" t="s">
        <v>1708</v>
      </c>
      <c r="G698" t="s">
        <v>896</v>
      </c>
    </row>
    <row r="699" spans="1:7" x14ac:dyDescent="0.25">
      <c r="A699" t="s">
        <v>1607</v>
      </c>
      <c r="F699" t="s">
        <v>1711</v>
      </c>
      <c r="G699" t="s">
        <v>896</v>
      </c>
    </row>
    <row r="700" spans="1:7" x14ac:dyDescent="0.25">
      <c r="A700" t="s">
        <v>1607</v>
      </c>
      <c r="F700" t="s">
        <v>1714</v>
      </c>
      <c r="G700" t="s">
        <v>896</v>
      </c>
    </row>
    <row r="701" spans="1:7" x14ac:dyDescent="0.25">
      <c r="A701" t="s">
        <v>1607</v>
      </c>
      <c r="F701" t="s">
        <v>1717</v>
      </c>
      <c r="G701" t="s">
        <v>896</v>
      </c>
    </row>
    <row r="702" spans="1:7" x14ac:dyDescent="0.25">
      <c r="A702" t="s">
        <v>11</v>
      </c>
      <c r="F702" t="s">
        <v>1741</v>
      </c>
      <c r="G702" t="s">
        <v>897</v>
      </c>
    </row>
    <row r="703" spans="1:7" x14ac:dyDescent="0.25">
      <c r="A703" t="s">
        <v>11</v>
      </c>
      <c r="F703" t="s">
        <v>1744</v>
      </c>
      <c r="G703" t="s">
        <v>897</v>
      </c>
    </row>
    <row r="704" spans="1:7" x14ac:dyDescent="0.25">
      <c r="A704" t="s">
        <v>11</v>
      </c>
      <c r="F704" t="s">
        <v>1747</v>
      </c>
      <c r="G704" t="s">
        <v>897</v>
      </c>
    </row>
    <row r="705" spans="1:7" x14ac:dyDescent="0.25">
      <c r="A705" t="s">
        <v>11</v>
      </c>
      <c r="F705" t="s">
        <v>1750</v>
      </c>
      <c r="G705" t="s">
        <v>897</v>
      </c>
    </row>
    <row r="706" spans="1:7" x14ac:dyDescent="0.25">
      <c r="A706" t="s">
        <v>11</v>
      </c>
      <c r="F706" t="s">
        <v>1753</v>
      </c>
      <c r="G706" t="s">
        <v>897</v>
      </c>
    </row>
    <row r="707" spans="1:7" x14ac:dyDescent="0.25">
      <c r="A707" t="s">
        <v>11</v>
      </c>
      <c r="F707" t="s">
        <v>1756</v>
      </c>
      <c r="G707" t="s">
        <v>897</v>
      </c>
    </row>
    <row r="708" spans="1:7" x14ac:dyDescent="0.25">
      <c r="A708" t="s">
        <v>11</v>
      </c>
      <c r="F708" t="s">
        <v>1759</v>
      </c>
      <c r="G708" t="s">
        <v>897</v>
      </c>
    </row>
    <row r="709" spans="1:7" x14ac:dyDescent="0.25">
      <c r="A709" t="s">
        <v>11</v>
      </c>
      <c r="F709" t="s">
        <v>1762</v>
      </c>
      <c r="G709" t="s">
        <v>897</v>
      </c>
    </row>
    <row r="710" spans="1:7" x14ac:dyDescent="0.25">
      <c r="A710" t="s">
        <v>11</v>
      </c>
      <c r="F710" t="s">
        <v>1765</v>
      </c>
      <c r="G710" t="s">
        <v>897</v>
      </c>
    </row>
    <row r="711" spans="1:7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x14ac:dyDescent="0.25">
      <c r="A712" t="s">
        <v>11</v>
      </c>
      <c r="F712" t="s">
        <v>1771</v>
      </c>
      <c r="G712" t="s">
        <v>897</v>
      </c>
    </row>
    <row r="713" spans="1:7" x14ac:dyDescent="0.25">
      <c r="A713" t="s">
        <v>11</v>
      </c>
      <c r="F713" t="s">
        <v>1774</v>
      </c>
      <c r="G713" t="s">
        <v>897</v>
      </c>
    </row>
    <row r="714" spans="1:7" x14ac:dyDescent="0.25">
      <c r="A714" t="s">
        <v>11</v>
      </c>
      <c r="F714" t="s">
        <v>1777</v>
      </c>
      <c r="G714" t="s">
        <v>897</v>
      </c>
    </row>
    <row r="715" spans="1:7" x14ac:dyDescent="0.25">
      <c r="A715" t="s">
        <v>11</v>
      </c>
      <c r="F715" t="s">
        <v>1780</v>
      </c>
      <c r="G715" t="s">
        <v>897</v>
      </c>
    </row>
    <row r="716" spans="1:7" x14ac:dyDescent="0.25">
      <c r="A716" t="s">
        <v>11</v>
      </c>
      <c r="F716" t="s">
        <v>1783</v>
      </c>
      <c r="G716" t="s">
        <v>897</v>
      </c>
    </row>
    <row r="717" spans="1:7" x14ac:dyDescent="0.25">
      <c r="A717" t="s">
        <v>11</v>
      </c>
      <c r="F717" t="s">
        <v>1786</v>
      </c>
      <c r="G717" t="s">
        <v>897</v>
      </c>
    </row>
    <row r="718" spans="1:7" x14ac:dyDescent="0.25">
      <c r="A718" t="s">
        <v>11</v>
      </c>
      <c r="F718" t="s">
        <v>1789</v>
      </c>
      <c r="G718" t="s">
        <v>897</v>
      </c>
    </row>
    <row r="719" spans="1:7" x14ac:dyDescent="0.25">
      <c r="A719" t="s">
        <v>11</v>
      </c>
      <c r="F719" t="s">
        <v>1792</v>
      </c>
      <c r="G719" t="s">
        <v>897</v>
      </c>
    </row>
    <row r="720" spans="1:7" x14ac:dyDescent="0.25">
      <c r="A720" t="s">
        <v>11</v>
      </c>
      <c r="F720" t="s">
        <v>1795</v>
      </c>
      <c r="G720" t="s">
        <v>897</v>
      </c>
    </row>
    <row r="721" spans="1:7" x14ac:dyDescent="0.25">
      <c r="A721" t="s">
        <v>11</v>
      </c>
      <c r="F721" t="s">
        <v>1798</v>
      </c>
      <c r="G721" t="s">
        <v>897</v>
      </c>
    </row>
    <row r="722" spans="1:7" x14ac:dyDescent="0.25">
      <c r="A722" t="s">
        <v>11</v>
      </c>
      <c r="F722" t="s">
        <v>1801</v>
      </c>
      <c r="G722" t="s">
        <v>897</v>
      </c>
    </row>
    <row r="723" spans="1:7" x14ac:dyDescent="0.25">
      <c r="A723" t="s">
        <v>11</v>
      </c>
      <c r="F723" t="s">
        <v>1804</v>
      </c>
      <c r="G723" t="s">
        <v>897</v>
      </c>
    </row>
    <row r="724" spans="1:7" x14ac:dyDescent="0.25">
      <c r="A724" t="s">
        <v>11</v>
      </c>
      <c r="F724" t="s">
        <v>1807</v>
      </c>
      <c r="G724" t="s">
        <v>897</v>
      </c>
    </row>
    <row r="725" spans="1:7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x14ac:dyDescent="0.25">
      <c r="A726" t="s">
        <v>1607</v>
      </c>
      <c r="F726" t="s">
        <v>1813</v>
      </c>
      <c r="G726" t="s">
        <v>897</v>
      </c>
    </row>
    <row r="727" spans="1:7" x14ac:dyDescent="0.25">
      <c r="A727" t="s">
        <v>1607</v>
      </c>
      <c r="F727" t="s">
        <v>1816</v>
      </c>
      <c r="G727" t="s">
        <v>897</v>
      </c>
    </row>
    <row r="728" spans="1:7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12648</v>
      </c>
    </row>
    <row r="729" spans="1:7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12648</v>
      </c>
    </row>
    <row r="730" spans="1:7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12648</v>
      </c>
    </row>
    <row r="731" spans="1:7" x14ac:dyDescent="0.25">
      <c r="A731" t="s">
        <v>1627</v>
      </c>
      <c r="B731" t="s">
        <v>687</v>
      </c>
      <c r="F731" t="s">
        <v>1825</v>
      </c>
      <c r="G731" t="s">
        <v>12648</v>
      </c>
    </row>
    <row r="732" spans="1:7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12648</v>
      </c>
    </row>
    <row r="733" spans="1:7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12648</v>
      </c>
    </row>
    <row r="734" spans="1:7" x14ac:dyDescent="0.25">
      <c r="A734" t="s">
        <v>1627</v>
      </c>
      <c r="B734" t="s">
        <v>687</v>
      </c>
      <c r="F734" t="s">
        <v>1831</v>
      </c>
      <c r="G734" t="s">
        <v>12648</v>
      </c>
    </row>
    <row r="735" spans="1:7" x14ac:dyDescent="0.25">
      <c r="A735" t="s">
        <v>1627</v>
      </c>
      <c r="B735" t="s">
        <v>687</v>
      </c>
      <c r="F735" t="s">
        <v>1833</v>
      </c>
      <c r="G735" t="s">
        <v>12648</v>
      </c>
    </row>
    <row r="736" spans="1:7" x14ac:dyDescent="0.25">
      <c r="A736" t="s">
        <v>1627</v>
      </c>
      <c r="B736" t="s">
        <v>687</v>
      </c>
      <c r="F736" t="s">
        <v>1835</v>
      </c>
      <c r="G736" t="s">
        <v>12648</v>
      </c>
    </row>
    <row r="737" spans="1:7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12648</v>
      </c>
    </row>
    <row r="738" spans="1:7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12648</v>
      </c>
    </row>
    <row r="739" spans="1:7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12648</v>
      </c>
    </row>
    <row r="740" spans="1:7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12648</v>
      </c>
    </row>
    <row r="741" spans="1:7" x14ac:dyDescent="0.25">
      <c r="A741" t="s">
        <v>1627</v>
      </c>
      <c r="B741" t="s">
        <v>1058</v>
      </c>
      <c r="F741" t="s">
        <v>1845</v>
      </c>
      <c r="G741" t="s">
        <v>12648</v>
      </c>
    </row>
    <row r="742" spans="1:7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12648</v>
      </c>
    </row>
    <row r="743" spans="1:7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12648</v>
      </c>
    </row>
    <row r="744" spans="1:7" x14ac:dyDescent="0.25">
      <c r="A744" t="s">
        <v>1627</v>
      </c>
      <c r="B744" t="s">
        <v>1058</v>
      </c>
      <c r="F744" t="s">
        <v>1851</v>
      </c>
      <c r="G744" t="s">
        <v>12648</v>
      </c>
    </row>
    <row r="745" spans="1:7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12648</v>
      </c>
    </row>
    <row r="746" spans="1:7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12648</v>
      </c>
    </row>
    <row r="747" spans="1:7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12648</v>
      </c>
    </row>
    <row r="748" spans="1:7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12648</v>
      </c>
    </row>
    <row r="749" spans="1:7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12648</v>
      </c>
    </row>
    <row r="750" spans="1:7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12648</v>
      </c>
    </row>
    <row r="751" spans="1:7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12648</v>
      </c>
    </row>
    <row r="752" spans="1:7" x14ac:dyDescent="0.25">
      <c r="A752" t="s">
        <v>1627</v>
      </c>
      <c r="B752" t="s">
        <v>687</v>
      </c>
      <c r="F752" t="s">
        <v>1867</v>
      </c>
      <c r="G752" t="s">
        <v>12648</v>
      </c>
    </row>
    <row r="753" spans="1:7" x14ac:dyDescent="0.25">
      <c r="A753" t="s">
        <v>684</v>
      </c>
      <c r="B753" t="s">
        <v>468</v>
      </c>
      <c r="F753" t="s">
        <v>1869</v>
      </c>
      <c r="G753" t="s">
        <v>12648</v>
      </c>
    </row>
    <row r="754" spans="1:7" x14ac:dyDescent="0.25">
      <c r="A754" t="s">
        <v>1607</v>
      </c>
      <c r="B754" t="s">
        <v>8</v>
      </c>
      <c r="F754" t="s">
        <v>1871</v>
      </c>
      <c r="G754" t="s">
        <v>12648</v>
      </c>
    </row>
    <row r="755" spans="1:7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12648</v>
      </c>
    </row>
    <row r="756" spans="1:7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12648</v>
      </c>
    </row>
    <row r="757" spans="1:7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12648</v>
      </c>
    </row>
    <row r="758" spans="1:7" x14ac:dyDescent="0.25">
      <c r="A758" t="s">
        <v>1627</v>
      </c>
      <c r="B758" t="s">
        <v>687</v>
      </c>
      <c r="F758" t="s">
        <v>1879</v>
      </c>
      <c r="G758" t="s">
        <v>12648</v>
      </c>
    </row>
    <row r="759" spans="1:7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12648</v>
      </c>
    </row>
    <row r="760" spans="1:7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12648</v>
      </c>
    </row>
    <row r="761" spans="1:7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12648</v>
      </c>
    </row>
    <row r="762" spans="1:7" x14ac:dyDescent="0.25">
      <c r="A762" t="s">
        <v>1607</v>
      </c>
      <c r="B762" t="s">
        <v>8</v>
      </c>
      <c r="F762" t="s">
        <v>1887</v>
      </c>
      <c r="G762" t="s">
        <v>12648</v>
      </c>
    </row>
    <row r="763" spans="1:7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12648</v>
      </c>
    </row>
    <row r="764" spans="1:7" x14ac:dyDescent="0.25">
      <c r="A764" t="s">
        <v>4</v>
      </c>
      <c r="B764" t="s">
        <v>9</v>
      </c>
      <c r="F764" t="s">
        <v>1891</v>
      </c>
      <c r="G764" t="s">
        <v>12649</v>
      </c>
    </row>
    <row r="765" spans="1:7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12649</v>
      </c>
    </row>
    <row r="766" spans="1:7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12649</v>
      </c>
    </row>
    <row r="767" spans="1:7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12649</v>
      </c>
    </row>
    <row r="768" spans="1:7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12649</v>
      </c>
    </row>
    <row r="769" spans="1:7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12649</v>
      </c>
    </row>
    <row r="770" spans="1:7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12649</v>
      </c>
    </row>
    <row r="771" spans="1:7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12649</v>
      </c>
    </row>
    <row r="772" spans="1:7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12649</v>
      </c>
    </row>
    <row r="773" spans="1:7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12649</v>
      </c>
    </row>
    <row r="774" spans="1:7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12649</v>
      </c>
    </row>
    <row r="775" spans="1:7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12649</v>
      </c>
    </row>
    <row r="776" spans="1:7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12649</v>
      </c>
    </row>
    <row r="777" spans="1:7" x14ac:dyDescent="0.25">
      <c r="A777" t="s">
        <v>4</v>
      </c>
      <c r="B777" t="s">
        <v>9</v>
      </c>
      <c r="F777" t="s">
        <v>1917</v>
      </c>
      <c r="G777" t="s">
        <v>12649</v>
      </c>
    </row>
    <row r="778" spans="1:7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12649</v>
      </c>
    </row>
    <row r="779" spans="1:7" x14ac:dyDescent="0.25">
      <c r="A779" t="s">
        <v>1627</v>
      </c>
      <c r="B779" t="s">
        <v>1058</v>
      </c>
      <c r="F779" t="s">
        <v>1921</v>
      </c>
      <c r="G779" t="s">
        <v>12649</v>
      </c>
    </row>
    <row r="780" spans="1:7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12649</v>
      </c>
    </row>
    <row r="781" spans="1:7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12649</v>
      </c>
    </row>
    <row r="782" spans="1:7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12649</v>
      </c>
    </row>
    <row r="783" spans="1:7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12649</v>
      </c>
    </row>
    <row r="784" spans="1:7" x14ac:dyDescent="0.25">
      <c r="A784" t="s">
        <v>4</v>
      </c>
      <c r="B784" t="s">
        <v>9</v>
      </c>
      <c r="F784" t="s">
        <v>1931</v>
      </c>
      <c r="G784" t="s">
        <v>12649</v>
      </c>
    </row>
    <row r="785" spans="1:7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12649</v>
      </c>
    </row>
    <row r="786" spans="1:7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12649</v>
      </c>
    </row>
    <row r="787" spans="1:7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12649</v>
      </c>
    </row>
    <row r="788" spans="1:7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12649</v>
      </c>
    </row>
    <row r="789" spans="1:7" x14ac:dyDescent="0.25">
      <c r="A789" t="s">
        <v>2359</v>
      </c>
      <c r="E789" t="s">
        <v>2358</v>
      </c>
      <c r="F789" t="s">
        <v>1941</v>
      </c>
      <c r="G789" t="s">
        <v>12649</v>
      </c>
    </row>
    <row r="790" spans="1:7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12649</v>
      </c>
    </row>
    <row r="791" spans="1:7" x14ac:dyDescent="0.25">
      <c r="A791" t="s">
        <v>4</v>
      </c>
      <c r="B791" t="s">
        <v>9</v>
      </c>
      <c r="F791" t="s">
        <v>1945</v>
      </c>
      <c r="G791" t="s">
        <v>12649</v>
      </c>
    </row>
    <row r="792" spans="1:7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12649</v>
      </c>
    </row>
    <row r="793" spans="1:7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12649</v>
      </c>
    </row>
    <row r="794" spans="1:7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12649</v>
      </c>
    </row>
    <row r="795" spans="1:7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12649</v>
      </c>
    </row>
    <row r="796" spans="1:7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12649</v>
      </c>
    </row>
    <row r="797" spans="1:7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12649</v>
      </c>
    </row>
    <row r="798" spans="1:7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12649</v>
      </c>
    </row>
    <row r="799" spans="1:7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12649</v>
      </c>
    </row>
    <row r="800" spans="1:7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12649</v>
      </c>
    </row>
    <row r="801" spans="1:7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12649</v>
      </c>
    </row>
    <row r="802" spans="1:7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12649</v>
      </c>
    </row>
    <row r="803" spans="1:7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12649</v>
      </c>
    </row>
    <row r="804" spans="1:7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12649</v>
      </c>
    </row>
    <row r="805" spans="1:7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12649</v>
      </c>
    </row>
    <row r="806" spans="1:7" x14ac:dyDescent="0.25">
      <c r="A806" t="s">
        <v>4</v>
      </c>
      <c r="B806" t="s">
        <v>9</v>
      </c>
      <c r="F806" t="s">
        <v>1975</v>
      </c>
      <c r="G806" t="s">
        <v>12649</v>
      </c>
    </row>
    <row r="807" spans="1:7" x14ac:dyDescent="0.25">
      <c r="A807" t="s">
        <v>2361</v>
      </c>
      <c r="B807" t="s">
        <v>1274</v>
      </c>
      <c r="F807" t="s">
        <v>1977</v>
      </c>
      <c r="G807" t="s">
        <v>12649</v>
      </c>
    </row>
    <row r="808" spans="1:7" x14ac:dyDescent="0.25">
      <c r="A808" t="s">
        <v>2362</v>
      </c>
      <c r="B808" t="s">
        <v>1274</v>
      </c>
      <c r="F808" t="s">
        <v>1979</v>
      </c>
      <c r="G808" t="s">
        <v>12649</v>
      </c>
    </row>
    <row r="809" spans="1:7" x14ac:dyDescent="0.25">
      <c r="A809" t="s">
        <v>4</v>
      </c>
      <c r="B809" t="s">
        <v>9</v>
      </c>
      <c r="F809" t="s">
        <v>1981</v>
      </c>
      <c r="G809" t="s">
        <v>12649</v>
      </c>
    </row>
    <row r="810" spans="1:7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12649</v>
      </c>
    </row>
    <row r="811" spans="1:7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12649</v>
      </c>
    </row>
    <row r="812" spans="1:7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12649</v>
      </c>
    </row>
    <row r="813" spans="1:7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12649</v>
      </c>
    </row>
    <row r="814" spans="1:7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12649</v>
      </c>
    </row>
    <row r="815" spans="1:7" x14ac:dyDescent="0.25">
      <c r="A815" t="s">
        <v>4</v>
      </c>
      <c r="B815" t="s">
        <v>2363</v>
      </c>
      <c r="F815" t="s">
        <v>1993</v>
      </c>
      <c r="G815" t="s">
        <v>12649</v>
      </c>
    </row>
    <row r="816" spans="1:7" x14ac:dyDescent="0.25">
      <c r="A816" t="s">
        <v>4</v>
      </c>
      <c r="B816" t="s">
        <v>9</v>
      </c>
      <c r="F816" t="s">
        <v>1995</v>
      </c>
      <c r="G816" t="s">
        <v>12649</v>
      </c>
    </row>
    <row r="817" spans="1:7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12649</v>
      </c>
    </row>
    <row r="818" spans="1:7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12649</v>
      </c>
    </row>
    <row r="819" spans="1:7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12649</v>
      </c>
    </row>
    <row r="820" spans="1:7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12649</v>
      </c>
    </row>
    <row r="821" spans="1:7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12649</v>
      </c>
    </row>
    <row r="822" spans="1:7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12649</v>
      </c>
    </row>
    <row r="823" spans="1:7" x14ac:dyDescent="0.25">
      <c r="A823" t="s">
        <v>4</v>
      </c>
      <c r="B823" t="s">
        <v>9</v>
      </c>
      <c r="F823" t="s">
        <v>2009</v>
      </c>
      <c r="G823" t="s">
        <v>12649</v>
      </c>
    </row>
    <row r="824" spans="1:7" x14ac:dyDescent="0.25">
      <c r="A824" t="s">
        <v>1607</v>
      </c>
      <c r="F824" t="s">
        <v>2011</v>
      </c>
      <c r="G824" t="s">
        <v>12649</v>
      </c>
    </row>
    <row r="825" spans="1:7" x14ac:dyDescent="0.25">
      <c r="A825" t="s">
        <v>1607</v>
      </c>
      <c r="F825" t="s">
        <v>2013</v>
      </c>
      <c r="G825" t="s">
        <v>12649</v>
      </c>
    </row>
    <row r="826" spans="1:7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12650</v>
      </c>
    </row>
    <row r="827" spans="1:7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12650</v>
      </c>
    </row>
    <row r="828" spans="1:7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12650</v>
      </c>
    </row>
    <row r="829" spans="1:7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12650</v>
      </c>
    </row>
    <row r="830" spans="1:7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12650</v>
      </c>
    </row>
    <row r="831" spans="1:7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12650</v>
      </c>
    </row>
    <row r="832" spans="1:7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12650</v>
      </c>
    </row>
    <row r="833" spans="1:7" x14ac:dyDescent="0.25">
      <c r="A833" t="s">
        <v>4</v>
      </c>
      <c r="B833" t="s">
        <v>8</v>
      </c>
      <c r="F833" t="s">
        <v>2118</v>
      </c>
      <c r="G833" t="s">
        <v>12650</v>
      </c>
    </row>
    <row r="834" spans="1:7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12650</v>
      </c>
    </row>
    <row r="835" spans="1:7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12650</v>
      </c>
    </row>
    <row r="836" spans="1:7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12650</v>
      </c>
    </row>
    <row r="837" spans="1:7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12650</v>
      </c>
    </row>
    <row r="838" spans="1:7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12650</v>
      </c>
    </row>
    <row r="839" spans="1:7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12650</v>
      </c>
    </row>
    <row r="840" spans="1:7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12650</v>
      </c>
    </row>
    <row r="841" spans="1:7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12650</v>
      </c>
    </row>
    <row r="842" spans="1:7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12650</v>
      </c>
    </row>
    <row r="843" spans="1:7" x14ac:dyDescent="0.25">
      <c r="A843" t="s">
        <v>2369</v>
      </c>
      <c r="B843" t="s">
        <v>70</v>
      </c>
      <c r="F843" t="s">
        <v>2146</v>
      </c>
      <c r="G843" t="s">
        <v>12650</v>
      </c>
    </row>
    <row r="844" spans="1:7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12650</v>
      </c>
    </row>
    <row r="845" spans="1:7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12650</v>
      </c>
    </row>
    <row r="846" spans="1:7" x14ac:dyDescent="0.25">
      <c r="A846" t="s">
        <v>137</v>
      </c>
      <c r="B846" t="s">
        <v>2336</v>
      </c>
      <c r="F846" t="s">
        <v>2152</v>
      </c>
      <c r="G846" t="s">
        <v>12650</v>
      </c>
    </row>
    <row r="847" spans="1:7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12650</v>
      </c>
    </row>
    <row r="848" spans="1:7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12650</v>
      </c>
    </row>
    <row r="849" spans="1:7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12650</v>
      </c>
    </row>
    <row r="850" spans="1:7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12650</v>
      </c>
    </row>
    <row r="851" spans="1:7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12650</v>
      </c>
    </row>
    <row r="852" spans="1:7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12650</v>
      </c>
    </row>
    <row r="853" spans="1:7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12650</v>
      </c>
    </row>
    <row r="854" spans="1:7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12650</v>
      </c>
    </row>
    <row r="855" spans="1:7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12650</v>
      </c>
    </row>
    <row r="856" spans="1:7" x14ac:dyDescent="0.25">
      <c r="A856" t="s">
        <v>4</v>
      </c>
      <c r="B856" t="s">
        <v>8</v>
      </c>
      <c r="F856" t="s">
        <v>2171</v>
      </c>
      <c r="G856" t="s">
        <v>12650</v>
      </c>
    </row>
    <row r="857" spans="1:7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12650</v>
      </c>
    </row>
    <row r="858" spans="1:7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12650</v>
      </c>
    </row>
    <row r="859" spans="1:7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12650</v>
      </c>
    </row>
    <row r="860" spans="1:7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12650</v>
      </c>
    </row>
    <row r="861" spans="1:7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12650</v>
      </c>
    </row>
    <row r="862" spans="1:7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12650</v>
      </c>
    </row>
    <row r="863" spans="1:7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12650</v>
      </c>
    </row>
    <row r="864" spans="1:7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12650</v>
      </c>
    </row>
    <row r="865" spans="1:7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12650</v>
      </c>
    </row>
    <row r="866" spans="1:7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12650</v>
      </c>
    </row>
    <row r="867" spans="1:7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12650</v>
      </c>
    </row>
    <row r="868" spans="1:7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12650</v>
      </c>
    </row>
    <row r="869" spans="1:7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12650</v>
      </c>
    </row>
    <row r="870" spans="1:7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12650</v>
      </c>
    </row>
    <row r="871" spans="1:7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12650</v>
      </c>
    </row>
    <row r="872" spans="1:7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12650</v>
      </c>
    </row>
    <row r="873" spans="1:7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12650</v>
      </c>
    </row>
    <row r="874" spans="1:7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12650</v>
      </c>
    </row>
    <row r="875" spans="1:7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12650</v>
      </c>
    </row>
    <row r="876" spans="1:7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12650</v>
      </c>
    </row>
    <row r="877" spans="1:7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12650</v>
      </c>
    </row>
    <row r="878" spans="1:7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12650</v>
      </c>
    </row>
    <row r="879" spans="1:7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12650</v>
      </c>
    </row>
    <row r="880" spans="1:7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12650</v>
      </c>
    </row>
    <row r="881" spans="1:7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12650</v>
      </c>
    </row>
    <row r="882" spans="1:7" x14ac:dyDescent="0.25">
      <c r="A882" t="s">
        <v>2369</v>
      </c>
      <c r="B882" t="s">
        <v>70</v>
      </c>
      <c r="F882" t="s">
        <v>2244</v>
      </c>
      <c r="G882" t="s">
        <v>12650</v>
      </c>
    </row>
    <row r="883" spans="1:7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12650</v>
      </c>
    </row>
    <row r="884" spans="1:7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12650</v>
      </c>
    </row>
    <row r="885" spans="1:7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12650</v>
      </c>
    </row>
    <row r="886" spans="1:7" x14ac:dyDescent="0.25">
      <c r="A886" t="s">
        <v>4</v>
      </c>
      <c r="B886" t="s">
        <v>8</v>
      </c>
      <c r="F886" t="s">
        <v>2252</v>
      </c>
      <c r="G886" t="s">
        <v>12650</v>
      </c>
    </row>
    <row r="887" spans="1:7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12650</v>
      </c>
    </row>
    <row r="888" spans="1:7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12650</v>
      </c>
    </row>
    <row r="889" spans="1:7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12650</v>
      </c>
    </row>
    <row r="890" spans="1:7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12650</v>
      </c>
    </row>
    <row r="891" spans="1:7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12650</v>
      </c>
    </row>
    <row r="892" spans="1:7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12650</v>
      </c>
    </row>
    <row r="893" spans="1:7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12650</v>
      </c>
    </row>
    <row r="894" spans="1:7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12650</v>
      </c>
    </row>
    <row r="895" spans="1:7" x14ac:dyDescent="0.25">
      <c r="A895" t="s">
        <v>2380</v>
      </c>
      <c r="F895" t="s">
        <v>2270</v>
      </c>
      <c r="G895" t="s">
        <v>12650</v>
      </c>
    </row>
    <row r="896" spans="1:7" x14ac:dyDescent="0.25">
      <c r="A896" t="s">
        <v>2380</v>
      </c>
      <c r="F896" t="s">
        <v>2272</v>
      </c>
      <c r="G896" t="s">
        <v>12650</v>
      </c>
    </row>
    <row r="897" spans="1:7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12650</v>
      </c>
    </row>
    <row r="898" spans="1:7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12650</v>
      </c>
    </row>
    <row r="899" spans="1:7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12650</v>
      </c>
    </row>
    <row r="900" spans="1:7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12650</v>
      </c>
    </row>
    <row r="901" spans="1:7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12650</v>
      </c>
    </row>
    <row r="902" spans="1:7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12650</v>
      </c>
    </row>
    <row r="903" spans="1:7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12650</v>
      </c>
    </row>
    <row r="904" spans="1:7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12650</v>
      </c>
    </row>
    <row r="905" spans="1:7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12650</v>
      </c>
    </row>
    <row r="906" spans="1:7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12650</v>
      </c>
    </row>
    <row r="907" spans="1:7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12650</v>
      </c>
    </row>
    <row r="908" spans="1:7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12650</v>
      </c>
    </row>
    <row r="909" spans="1:7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12650</v>
      </c>
    </row>
    <row r="910" spans="1:7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12650</v>
      </c>
    </row>
    <row r="911" spans="1:7" x14ac:dyDescent="0.25">
      <c r="A911" t="s">
        <v>4</v>
      </c>
      <c r="B911" t="s">
        <v>8</v>
      </c>
      <c r="F911" t="s">
        <v>2302</v>
      </c>
      <c r="G911" t="s">
        <v>12650</v>
      </c>
    </row>
    <row r="912" spans="1:7" x14ac:dyDescent="0.25">
      <c r="A912" t="s">
        <v>4</v>
      </c>
      <c r="B912" t="s">
        <v>8</v>
      </c>
      <c r="F912" t="s">
        <v>2304</v>
      </c>
      <c r="G912" t="s">
        <v>12650</v>
      </c>
    </row>
    <row r="913" spans="1:7" x14ac:dyDescent="0.25">
      <c r="A913" t="s">
        <v>1607</v>
      </c>
      <c r="F913" t="s">
        <v>2306</v>
      </c>
      <c r="G913" t="s">
        <v>12650</v>
      </c>
    </row>
    <row r="914" spans="1:7" x14ac:dyDescent="0.25">
      <c r="A914" t="s">
        <v>4</v>
      </c>
      <c r="B914" t="s">
        <v>8</v>
      </c>
      <c r="F914" t="s">
        <v>2308</v>
      </c>
      <c r="G914" t="s">
        <v>12650</v>
      </c>
    </row>
    <row r="915" spans="1:7" x14ac:dyDescent="0.25">
      <c r="A915" t="s">
        <v>1607</v>
      </c>
      <c r="F915" t="s">
        <v>2310</v>
      </c>
      <c r="G915" t="s">
        <v>12650</v>
      </c>
    </row>
    <row r="916" spans="1:7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12651</v>
      </c>
    </row>
    <row r="917" spans="1:7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12651</v>
      </c>
    </row>
    <row r="918" spans="1:7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12651</v>
      </c>
    </row>
    <row r="919" spans="1:7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12651</v>
      </c>
    </row>
    <row r="920" spans="1:7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12651</v>
      </c>
    </row>
    <row r="921" spans="1:7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12651</v>
      </c>
    </row>
    <row r="922" spans="1:7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12651</v>
      </c>
    </row>
    <row r="923" spans="1:7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12651</v>
      </c>
    </row>
    <row r="924" spans="1:7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12651</v>
      </c>
    </row>
    <row r="925" spans="1:7" x14ac:dyDescent="0.25">
      <c r="A925" t="s">
        <v>4</v>
      </c>
      <c r="B925" t="s">
        <v>8</v>
      </c>
      <c r="F925" t="s">
        <v>2038</v>
      </c>
      <c r="G925" t="s">
        <v>12651</v>
      </c>
    </row>
    <row r="926" spans="1:7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12651</v>
      </c>
    </row>
    <row r="927" spans="1:7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12651</v>
      </c>
    </row>
    <row r="928" spans="1:7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12651</v>
      </c>
    </row>
    <row r="929" spans="1:7" x14ac:dyDescent="0.25">
      <c r="A929" t="s">
        <v>4</v>
      </c>
      <c r="B929" t="s">
        <v>8</v>
      </c>
      <c r="F929" t="s">
        <v>2046</v>
      </c>
      <c r="G929" t="s">
        <v>12651</v>
      </c>
    </row>
    <row r="930" spans="1:7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12651</v>
      </c>
    </row>
    <row r="931" spans="1:7" x14ac:dyDescent="0.25">
      <c r="A931" t="s">
        <v>4</v>
      </c>
      <c r="B931" t="s">
        <v>8</v>
      </c>
      <c r="F931" t="s">
        <v>2050</v>
      </c>
      <c r="G931" t="s">
        <v>12651</v>
      </c>
    </row>
    <row r="932" spans="1:7" x14ac:dyDescent="0.25">
      <c r="A932" t="s">
        <v>1607</v>
      </c>
      <c r="F932" t="s">
        <v>2052</v>
      </c>
      <c r="G932" t="s">
        <v>12651</v>
      </c>
    </row>
    <row r="933" spans="1:7" x14ac:dyDescent="0.25">
      <c r="A933" t="s">
        <v>4</v>
      </c>
      <c r="B933" t="s">
        <v>8</v>
      </c>
      <c r="F933" t="s">
        <v>2384</v>
      </c>
      <c r="G933" t="s">
        <v>12651</v>
      </c>
    </row>
    <row r="934" spans="1:7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12651</v>
      </c>
    </row>
    <row r="935" spans="1:7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12651</v>
      </c>
    </row>
    <row r="936" spans="1:7" x14ac:dyDescent="0.25">
      <c r="A936" t="s">
        <v>4</v>
      </c>
      <c r="B936" t="s">
        <v>8</v>
      </c>
      <c r="F936" t="s">
        <v>2056</v>
      </c>
      <c r="G936" t="s">
        <v>12651</v>
      </c>
    </row>
    <row r="937" spans="1:7" x14ac:dyDescent="0.25">
      <c r="A937" t="s">
        <v>1607</v>
      </c>
      <c r="F937" t="s">
        <v>2058</v>
      </c>
      <c r="G937" t="s">
        <v>12651</v>
      </c>
    </row>
    <row r="938" spans="1:7" x14ac:dyDescent="0.25">
      <c r="A938" t="s">
        <v>1607</v>
      </c>
      <c r="F938" t="s">
        <v>2060</v>
      </c>
      <c r="G938" t="s">
        <v>12651</v>
      </c>
    </row>
    <row r="939" spans="1:7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x14ac:dyDescent="0.25">
      <c r="A940" t="s">
        <v>7</v>
      </c>
      <c r="F940" t="s">
        <v>2065</v>
      </c>
      <c r="G940" t="s">
        <v>1537</v>
      </c>
    </row>
    <row r="941" spans="1:7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x14ac:dyDescent="0.25">
      <c r="A942" t="s">
        <v>11</v>
      </c>
      <c r="F942" t="s">
        <v>2071</v>
      </c>
      <c r="G942" t="s">
        <v>1537</v>
      </c>
    </row>
    <row r="943" spans="1:7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x14ac:dyDescent="0.25">
      <c r="A944" t="s">
        <v>1607</v>
      </c>
      <c r="F944" t="s">
        <v>2077</v>
      </c>
      <c r="G944" t="s">
        <v>1537</v>
      </c>
    </row>
    <row r="945" spans="1:7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x14ac:dyDescent="0.25">
      <c r="A946" t="s">
        <v>1607</v>
      </c>
      <c r="F946" t="s">
        <v>2083</v>
      </c>
      <c r="G946" t="s">
        <v>1537</v>
      </c>
    </row>
    <row r="947" spans="1:7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x14ac:dyDescent="0.25">
      <c r="A948" t="s">
        <v>1607</v>
      </c>
      <c r="F948" t="s">
        <v>2089</v>
      </c>
      <c r="G948" t="s">
        <v>1537</v>
      </c>
    </row>
    <row r="949" spans="1:7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x14ac:dyDescent="0.25">
      <c r="A950" t="s">
        <v>1607</v>
      </c>
      <c r="F950" t="s">
        <v>2095</v>
      </c>
      <c r="G950" t="s">
        <v>1537</v>
      </c>
    </row>
    <row r="951" spans="1:7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x14ac:dyDescent="0.25">
      <c r="A952" t="s">
        <v>1607</v>
      </c>
      <c r="F952" t="s">
        <v>2101</v>
      </c>
      <c r="G952" t="s">
        <v>1537</v>
      </c>
    </row>
    <row r="953" spans="1:7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x14ac:dyDescent="0.25">
      <c r="A957" t="s">
        <v>1607</v>
      </c>
      <c r="F957" t="s">
        <v>2321</v>
      </c>
      <c r="G957" t="s">
        <v>1600</v>
      </c>
    </row>
    <row r="958" spans="1:7" x14ac:dyDescent="0.25">
      <c r="A958" t="s">
        <v>1607</v>
      </c>
      <c r="F958" t="s">
        <v>2324</v>
      </c>
      <c r="G958" t="s">
        <v>1600</v>
      </c>
    </row>
    <row r="959" spans="1:7" x14ac:dyDescent="0.25">
      <c r="A959" t="s">
        <v>1617</v>
      </c>
      <c r="F959" t="s">
        <v>2327</v>
      </c>
      <c r="G959" t="s">
        <v>1600</v>
      </c>
    </row>
    <row r="960" spans="1:7" x14ac:dyDescent="0.25">
      <c r="A960" t="s">
        <v>1607</v>
      </c>
      <c r="F960" t="s">
        <v>2330</v>
      </c>
      <c r="G960" t="s">
        <v>1600</v>
      </c>
    </row>
    <row r="961" spans="1:7" x14ac:dyDescent="0.25">
      <c r="A961" t="s">
        <v>1607</v>
      </c>
      <c r="F961" t="s">
        <v>2333</v>
      </c>
      <c r="G961" t="s">
        <v>1600</v>
      </c>
    </row>
    <row r="962" spans="1:7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12647</v>
      </c>
    </row>
    <row r="971" spans="1:7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12647</v>
      </c>
    </row>
    <row r="972" spans="1:7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12647</v>
      </c>
    </row>
    <row r="973" spans="1:7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12647</v>
      </c>
    </row>
    <row r="974" spans="1:7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12647</v>
      </c>
    </row>
    <row r="975" spans="1:7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12647</v>
      </c>
    </row>
    <row r="976" spans="1:7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12647</v>
      </c>
    </row>
    <row r="977" spans="1:7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12647</v>
      </c>
    </row>
    <row r="978" spans="1:7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12647</v>
      </c>
    </row>
    <row r="979" spans="1:7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12647</v>
      </c>
    </row>
    <row r="980" spans="1:7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12647</v>
      </c>
    </row>
    <row r="981" spans="1:7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12647</v>
      </c>
    </row>
    <row r="982" spans="1:7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12647</v>
      </c>
    </row>
    <row r="983" spans="1:7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12647</v>
      </c>
    </row>
    <row r="984" spans="1:7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12647</v>
      </c>
    </row>
    <row r="985" spans="1:7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12647</v>
      </c>
    </row>
    <row r="986" spans="1:7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12647</v>
      </c>
    </row>
    <row r="987" spans="1:7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12647</v>
      </c>
    </row>
    <row r="1000" spans="1:7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12647</v>
      </c>
    </row>
    <row r="1001" spans="1:7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12647</v>
      </c>
    </row>
    <row r="1002" spans="1:7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12647</v>
      </c>
    </row>
    <row r="1003" spans="1:7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12647</v>
      </c>
    </row>
    <row r="1004" spans="1:7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12647</v>
      </c>
    </row>
    <row r="1005" spans="1:7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12647</v>
      </c>
    </row>
    <row r="1006" spans="1:7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12647</v>
      </c>
    </row>
    <row r="1007" spans="1:7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12647</v>
      </c>
    </row>
    <row r="1008" spans="1:7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12647</v>
      </c>
    </row>
    <row r="1009" spans="1:7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12647</v>
      </c>
    </row>
    <row r="1010" spans="1:7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12647</v>
      </c>
    </row>
    <row r="1011" spans="1:7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12647</v>
      </c>
    </row>
    <row r="1012" spans="1:7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12647</v>
      </c>
    </row>
    <row r="1013" spans="1:7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12647</v>
      </c>
    </row>
    <row r="1014" spans="1:7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12647</v>
      </c>
    </row>
    <row r="1015" spans="1:7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12647</v>
      </c>
    </row>
    <row r="1016" spans="1:7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12647</v>
      </c>
    </row>
    <row r="1017" spans="1:7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12647</v>
      </c>
    </row>
    <row r="1018" spans="1:7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12647</v>
      </c>
    </row>
    <row r="1019" spans="1:7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12647</v>
      </c>
    </row>
    <row r="1020" spans="1:7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12647</v>
      </c>
    </row>
    <row r="1021" spans="1:7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12647</v>
      </c>
    </row>
    <row r="1022" spans="1:7" x14ac:dyDescent="0.25">
      <c r="A1022" t="s">
        <v>3366</v>
      </c>
      <c r="B1022" t="s">
        <v>3358</v>
      </c>
      <c r="F1022" t="s">
        <v>2620</v>
      </c>
      <c r="G1022" t="s">
        <v>12647</v>
      </c>
    </row>
    <row r="1023" spans="1:7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12647</v>
      </c>
    </row>
    <row r="1024" spans="1:7" x14ac:dyDescent="0.25">
      <c r="A1024" t="s">
        <v>4</v>
      </c>
      <c r="B1024" t="s">
        <v>8</v>
      </c>
      <c r="F1024" t="s">
        <v>2624</v>
      </c>
      <c r="G1024" t="s">
        <v>11076</v>
      </c>
    </row>
    <row r="1025" spans="1:7" x14ac:dyDescent="0.25">
      <c r="A1025" t="s">
        <v>4</v>
      </c>
      <c r="B1025" t="s">
        <v>8</v>
      </c>
      <c r="F1025" t="s">
        <v>2626</v>
      </c>
      <c r="G1025" t="s">
        <v>11076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11076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11076</v>
      </c>
    </row>
    <row r="1028" spans="1:7" x14ac:dyDescent="0.25">
      <c r="A1028" t="s">
        <v>4</v>
      </c>
      <c r="B1028" t="s">
        <v>8</v>
      </c>
      <c r="F1028" t="s">
        <v>2632</v>
      </c>
      <c r="G1028" t="s">
        <v>11076</v>
      </c>
    </row>
    <row r="1029" spans="1:7" x14ac:dyDescent="0.25">
      <c r="A1029" t="s">
        <v>1607</v>
      </c>
      <c r="F1029" t="s">
        <v>2634</v>
      </c>
      <c r="G1029" t="s">
        <v>11076</v>
      </c>
    </row>
    <row r="1030" spans="1:7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11076</v>
      </c>
    </row>
    <row r="1031" spans="1:7" x14ac:dyDescent="0.25">
      <c r="A1031" t="s">
        <v>4</v>
      </c>
      <c r="B1031" t="s">
        <v>8</v>
      </c>
      <c r="F1031" t="s">
        <v>2638</v>
      </c>
      <c r="G1031" t="s">
        <v>11076</v>
      </c>
    </row>
    <row r="1032" spans="1:7" x14ac:dyDescent="0.25">
      <c r="A1032" t="s">
        <v>4</v>
      </c>
      <c r="B1032" t="s">
        <v>8</v>
      </c>
      <c r="F1032" t="s">
        <v>2640</v>
      </c>
      <c r="G1032" t="s">
        <v>11076</v>
      </c>
    </row>
    <row r="1033" spans="1:7" x14ac:dyDescent="0.25">
      <c r="A1033" t="s">
        <v>1607</v>
      </c>
      <c r="F1033" t="s">
        <v>2642</v>
      </c>
      <c r="G1033" t="s">
        <v>11076</v>
      </c>
    </row>
    <row r="1034" spans="1:7" x14ac:dyDescent="0.25">
      <c r="A1034" t="s">
        <v>4</v>
      </c>
      <c r="B1034" t="s">
        <v>8</v>
      </c>
      <c r="F1034" t="s">
        <v>2644</v>
      </c>
      <c r="G1034" t="s">
        <v>11076</v>
      </c>
    </row>
    <row r="1035" spans="1:7" x14ac:dyDescent="0.25">
      <c r="A1035" t="s">
        <v>1607</v>
      </c>
      <c r="F1035" t="s">
        <v>2646</v>
      </c>
      <c r="G1035" t="s">
        <v>11076</v>
      </c>
    </row>
    <row r="1036" spans="1:7" x14ac:dyDescent="0.25">
      <c r="A1036" t="s">
        <v>4</v>
      </c>
      <c r="B1036" t="s">
        <v>8</v>
      </c>
      <c r="F1036" t="s">
        <v>2648</v>
      </c>
      <c r="G1036" t="s">
        <v>11076</v>
      </c>
    </row>
    <row r="1037" spans="1:7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11076</v>
      </c>
    </row>
    <row r="1038" spans="1:7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11076</v>
      </c>
    </row>
    <row r="1039" spans="1:7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x14ac:dyDescent="0.25">
      <c r="A1080" t="s">
        <v>3377</v>
      </c>
      <c r="F1080" t="s">
        <v>3378</v>
      </c>
      <c r="G1080" t="s">
        <v>897</v>
      </c>
    </row>
    <row r="1081" spans="1:7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x14ac:dyDescent="0.25">
      <c r="A1162" t="s">
        <v>1607</v>
      </c>
      <c r="B1162" t="s">
        <v>8</v>
      </c>
      <c r="F1162" t="s">
        <v>2992</v>
      </c>
      <c r="G1162" t="s">
        <v>12648</v>
      </c>
    </row>
    <row r="1163" spans="1:7" x14ac:dyDescent="0.25">
      <c r="A1163" t="s">
        <v>1607</v>
      </c>
      <c r="B1163" t="s">
        <v>8</v>
      </c>
      <c r="F1163" t="s">
        <v>2994</v>
      </c>
      <c r="G1163" t="s">
        <v>12648</v>
      </c>
    </row>
    <row r="1164" spans="1:7" x14ac:dyDescent="0.25">
      <c r="A1164" t="s">
        <v>1607</v>
      </c>
      <c r="B1164" t="s">
        <v>8</v>
      </c>
      <c r="F1164" t="s">
        <v>2996</v>
      </c>
      <c r="G1164" t="s">
        <v>12648</v>
      </c>
    </row>
    <row r="1165" spans="1:7" x14ac:dyDescent="0.25">
      <c r="A1165" t="s">
        <v>1607</v>
      </c>
      <c r="B1165" t="s">
        <v>8</v>
      </c>
      <c r="F1165" t="s">
        <v>2998</v>
      </c>
      <c r="G1165" t="s">
        <v>12648</v>
      </c>
    </row>
    <row r="1166" spans="1:7" x14ac:dyDescent="0.25">
      <c r="A1166" t="s">
        <v>1607</v>
      </c>
      <c r="B1166" t="s">
        <v>8</v>
      </c>
      <c r="F1166" t="s">
        <v>3000</v>
      </c>
      <c r="G1166" t="s">
        <v>12648</v>
      </c>
    </row>
    <row r="1167" spans="1:7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12648</v>
      </c>
    </row>
    <row r="1168" spans="1:7" x14ac:dyDescent="0.25">
      <c r="A1168" t="s">
        <v>4</v>
      </c>
      <c r="B1168" t="s">
        <v>9</v>
      </c>
      <c r="F1168" t="s">
        <v>3004</v>
      </c>
      <c r="G1168" t="s">
        <v>12649</v>
      </c>
    </row>
    <row r="1169" spans="1:7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12649</v>
      </c>
    </row>
    <row r="1170" spans="1:7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12649</v>
      </c>
    </row>
    <row r="1171" spans="1:7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12649</v>
      </c>
    </row>
    <row r="1172" spans="1:7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12649</v>
      </c>
    </row>
    <row r="1173" spans="1:7" x14ac:dyDescent="0.25">
      <c r="A1173" t="s">
        <v>4</v>
      </c>
      <c r="B1173" t="s">
        <v>9</v>
      </c>
      <c r="F1173" t="s">
        <v>3014</v>
      </c>
      <c r="G1173" t="s">
        <v>12649</v>
      </c>
    </row>
    <row r="1174" spans="1:7" x14ac:dyDescent="0.25">
      <c r="A1174" t="s">
        <v>1627</v>
      </c>
      <c r="B1174" t="s">
        <v>1058</v>
      </c>
      <c r="F1174" t="s">
        <v>3016</v>
      </c>
      <c r="G1174" t="s">
        <v>12649</v>
      </c>
    </row>
    <row r="1175" spans="1:7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12649</v>
      </c>
    </row>
    <row r="1176" spans="1:7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12649</v>
      </c>
    </row>
    <row r="1177" spans="1:7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12649</v>
      </c>
    </row>
    <row r="1178" spans="1:7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12649</v>
      </c>
    </row>
    <row r="1179" spans="1:7" x14ac:dyDescent="0.25">
      <c r="A1179" t="s">
        <v>4</v>
      </c>
      <c r="B1179" t="s">
        <v>9</v>
      </c>
      <c r="F1179" t="s">
        <v>3026</v>
      </c>
      <c r="G1179" t="s">
        <v>12649</v>
      </c>
    </row>
    <row r="1180" spans="1:7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12649</v>
      </c>
    </row>
    <row r="1181" spans="1:7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12649</v>
      </c>
    </row>
    <row r="1182" spans="1:7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12649</v>
      </c>
    </row>
    <row r="1183" spans="1:7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12649</v>
      </c>
    </row>
    <row r="1184" spans="1:7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12649</v>
      </c>
    </row>
    <row r="1185" spans="1:7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12649</v>
      </c>
    </row>
    <row r="1186" spans="1:7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12649</v>
      </c>
    </row>
    <row r="1187" spans="1:7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12649</v>
      </c>
    </row>
    <row r="1188" spans="1:7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12649</v>
      </c>
    </row>
    <row r="1189" spans="1:7" x14ac:dyDescent="0.25">
      <c r="A1189" t="s">
        <v>4</v>
      </c>
      <c r="B1189" t="s">
        <v>9</v>
      </c>
      <c r="F1189" t="s">
        <v>3046</v>
      </c>
      <c r="G1189" t="s">
        <v>12649</v>
      </c>
    </row>
    <row r="1190" spans="1:7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12649</v>
      </c>
    </row>
    <row r="1191" spans="1:7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12649</v>
      </c>
    </row>
    <row r="1192" spans="1:7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12649</v>
      </c>
    </row>
    <row r="1193" spans="1:7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12649</v>
      </c>
    </row>
    <row r="1194" spans="1:7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12649</v>
      </c>
    </row>
    <row r="1195" spans="1:7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12649</v>
      </c>
    </row>
    <row r="1196" spans="1:7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12649</v>
      </c>
    </row>
    <row r="1197" spans="1:7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12649</v>
      </c>
    </row>
    <row r="1198" spans="1:7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12649</v>
      </c>
    </row>
    <row r="1199" spans="1:7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12649</v>
      </c>
    </row>
    <row r="1200" spans="1:7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12649</v>
      </c>
    </row>
    <row r="1201" spans="1:7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12649</v>
      </c>
    </row>
    <row r="1202" spans="1:7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12649</v>
      </c>
    </row>
    <row r="1203" spans="1:7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12649</v>
      </c>
    </row>
    <row r="1204" spans="1:7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12649</v>
      </c>
    </row>
    <row r="1205" spans="1:7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12649</v>
      </c>
    </row>
    <row r="1206" spans="1:7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12649</v>
      </c>
    </row>
    <row r="1207" spans="1:7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12649</v>
      </c>
    </row>
    <row r="1208" spans="1:7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12649</v>
      </c>
    </row>
    <row r="1209" spans="1:7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12649</v>
      </c>
    </row>
    <row r="1210" spans="1:7" x14ac:dyDescent="0.25">
      <c r="A1210" t="s">
        <v>4</v>
      </c>
      <c r="B1210" t="s">
        <v>9</v>
      </c>
      <c r="F1210" t="s">
        <v>3088</v>
      </c>
      <c r="G1210" t="s">
        <v>12649</v>
      </c>
    </row>
    <row r="1211" spans="1:7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12649</v>
      </c>
    </row>
    <row r="1212" spans="1:7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12650</v>
      </c>
    </row>
    <row r="1213" spans="1:7" x14ac:dyDescent="0.25">
      <c r="A1213" t="s">
        <v>3390</v>
      </c>
      <c r="B1213" t="s">
        <v>86</v>
      </c>
      <c r="F1213" t="s">
        <v>3094</v>
      </c>
      <c r="G1213" t="s">
        <v>12650</v>
      </c>
    </row>
    <row r="1214" spans="1:7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12650</v>
      </c>
    </row>
    <row r="1215" spans="1:7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12650</v>
      </c>
    </row>
    <row r="1216" spans="1:7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12650</v>
      </c>
    </row>
    <row r="1217" spans="1:7" x14ac:dyDescent="0.25">
      <c r="A1217" t="s">
        <v>587</v>
      </c>
      <c r="B1217" t="s">
        <v>70</v>
      </c>
      <c r="F1217" t="s">
        <v>3102</v>
      </c>
      <c r="G1217" t="s">
        <v>12650</v>
      </c>
    </row>
    <row r="1218" spans="1:7" x14ac:dyDescent="0.25">
      <c r="A1218" t="s">
        <v>4</v>
      </c>
      <c r="B1218" t="s">
        <v>8</v>
      </c>
      <c r="F1218" t="s">
        <v>3104</v>
      </c>
      <c r="G1218" t="s">
        <v>12650</v>
      </c>
    </row>
    <row r="1219" spans="1:7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12650</v>
      </c>
    </row>
    <row r="1220" spans="1:7" x14ac:dyDescent="0.25">
      <c r="A1220" t="s">
        <v>4</v>
      </c>
      <c r="B1220" t="s">
        <v>8</v>
      </c>
      <c r="F1220" t="s">
        <v>3108</v>
      </c>
      <c r="G1220" t="s">
        <v>12650</v>
      </c>
    </row>
    <row r="1221" spans="1:7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12650</v>
      </c>
    </row>
    <row r="1222" spans="1:7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12650</v>
      </c>
    </row>
    <row r="1223" spans="1:7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12650</v>
      </c>
    </row>
    <row r="1224" spans="1:7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12650</v>
      </c>
    </row>
    <row r="1225" spans="1:7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12650</v>
      </c>
    </row>
    <row r="1226" spans="1:7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12650</v>
      </c>
    </row>
    <row r="1227" spans="1:7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12650</v>
      </c>
    </row>
    <row r="1228" spans="1:7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12650</v>
      </c>
    </row>
    <row r="1229" spans="1:7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12650</v>
      </c>
    </row>
    <row r="1230" spans="1:7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12650</v>
      </c>
    </row>
    <row r="1231" spans="1:7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12650</v>
      </c>
    </row>
    <row r="1232" spans="1:7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12650</v>
      </c>
    </row>
    <row r="1233" spans="1:7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12650</v>
      </c>
    </row>
    <row r="1234" spans="1:7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12650</v>
      </c>
    </row>
    <row r="1235" spans="1:7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12650</v>
      </c>
    </row>
    <row r="1236" spans="1:7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12650</v>
      </c>
    </row>
    <row r="1237" spans="1:7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12650</v>
      </c>
    </row>
    <row r="1238" spans="1:7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12650</v>
      </c>
    </row>
    <row r="1239" spans="1:7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12650</v>
      </c>
    </row>
    <row r="1240" spans="1:7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12650</v>
      </c>
    </row>
    <row r="1241" spans="1:7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12650</v>
      </c>
    </row>
    <row r="1242" spans="1:7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12650</v>
      </c>
    </row>
    <row r="1243" spans="1:7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12650</v>
      </c>
    </row>
    <row r="1244" spans="1:7" x14ac:dyDescent="0.25">
      <c r="A1244" t="s">
        <v>1273</v>
      </c>
      <c r="B1244" t="s">
        <v>3357</v>
      </c>
      <c r="F1244" t="s">
        <v>3164</v>
      </c>
      <c r="G1244" t="s">
        <v>12650</v>
      </c>
    </row>
    <row r="1245" spans="1:7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12650</v>
      </c>
    </row>
    <row r="1246" spans="1:7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12650</v>
      </c>
    </row>
    <row r="1247" spans="1:7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12650</v>
      </c>
    </row>
    <row r="1248" spans="1:7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12650</v>
      </c>
    </row>
    <row r="1249" spans="1:7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12650</v>
      </c>
    </row>
    <row r="1250" spans="1:7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12650</v>
      </c>
    </row>
    <row r="1251" spans="1:7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12650</v>
      </c>
    </row>
    <row r="1252" spans="1:7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12650</v>
      </c>
    </row>
    <row r="1253" spans="1:7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12650</v>
      </c>
    </row>
    <row r="1254" spans="1:7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12650</v>
      </c>
    </row>
    <row r="1255" spans="1:7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12650</v>
      </c>
    </row>
    <row r="1256" spans="1:7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12650</v>
      </c>
    </row>
    <row r="1257" spans="1:7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12650</v>
      </c>
    </row>
    <row r="1258" spans="1:7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12650</v>
      </c>
    </row>
    <row r="1259" spans="1:7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12650</v>
      </c>
    </row>
    <row r="1260" spans="1:7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12650</v>
      </c>
    </row>
    <row r="1261" spans="1:7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12650</v>
      </c>
    </row>
    <row r="1262" spans="1:7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12650</v>
      </c>
    </row>
    <row r="1263" spans="1:7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12650</v>
      </c>
    </row>
    <row r="1264" spans="1:7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12650</v>
      </c>
    </row>
    <row r="1265" spans="1:7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12650</v>
      </c>
    </row>
    <row r="1266" spans="1:7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12650</v>
      </c>
    </row>
    <row r="1267" spans="1:7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12650</v>
      </c>
    </row>
    <row r="1268" spans="1:7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12650</v>
      </c>
    </row>
    <row r="1269" spans="1:7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12650</v>
      </c>
    </row>
    <row r="1270" spans="1:7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12650</v>
      </c>
    </row>
    <row r="1271" spans="1:7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12650</v>
      </c>
    </row>
    <row r="1272" spans="1:7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12650</v>
      </c>
    </row>
    <row r="1273" spans="1:7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12650</v>
      </c>
    </row>
    <row r="1274" spans="1:7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12650</v>
      </c>
    </row>
    <row r="1275" spans="1:7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12650</v>
      </c>
    </row>
    <row r="1276" spans="1:7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12650</v>
      </c>
    </row>
    <row r="1277" spans="1:7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12650</v>
      </c>
    </row>
    <row r="1278" spans="1:7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12650</v>
      </c>
    </row>
    <row r="1279" spans="1:7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12650</v>
      </c>
    </row>
    <row r="1280" spans="1:7" x14ac:dyDescent="0.25">
      <c r="A1280" t="s">
        <v>4</v>
      </c>
      <c r="B1280" t="s">
        <v>8</v>
      </c>
      <c r="F1280" t="s">
        <v>3250</v>
      </c>
      <c r="G1280" t="s">
        <v>12651</v>
      </c>
    </row>
    <row r="1281" spans="1:7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12651</v>
      </c>
    </row>
    <row r="1282" spans="1:7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12651</v>
      </c>
    </row>
    <row r="1283" spans="1:7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12651</v>
      </c>
    </row>
    <row r="1284" spans="1:7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12651</v>
      </c>
    </row>
    <row r="1285" spans="1:7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12651</v>
      </c>
    </row>
    <row r="1286" spans="1:7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12651</v>
      </c>
    </row>
    <row r="1287" spans="1:7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12651</v>
      </c>
    </row>
    <row r="1288" spans="1:7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12651</v>
      </c>
    </row>
    <row r="1289" spans="1:7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12651</v>
      </c>
    </row>
    <row r="1290" spans="1:7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12651</v>
      </c>
    </row>
    <row r="1291" spans="1:7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12651</v>
      </c>
    </row>
    <row r="1292" spans="1:7" x14ac:dyDescent="0.25">
      <c r="A1292" t="s">
        <v>4</v>
      </c>
      <c r="B1292" t="s">
        <v>8</v>
      </c>
      <c r="F1292" t="s">
        <v>3278</v>
      </c>
      <c r="G1292" t="s">
        <v>12651</v>
      </c>
    </row>
    <row r="1293" spans="1:7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12651</v>
      </c>
    </row>
    <row r="1294" spans="1:7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12651</v>
      </c>
    </row>
    <row r="1295" spans="1:7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12651</v>
      </c>
    </row>
    <row r="1296" spans="1:7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12651</v>
      </c>
    </row>
    <row r="1297" spans="1:7" x14ac:dyDescent="0.25">
      <c r="A1297" t="s">
        <v>4</v>
      </c>
      <c r="B1297" t="s">
        <v>8</v>
      </c>
      <c r="F1297" t="s">
        <v>3288</v>
      </c>
      <c r="G1297" t="s">
        <v>12651</v>
      </c>
    </row>
    <row r="1298" spans="1:7" x14ac:dyDescent="0.25">
      <c r="A1298" t="s">
        <v>4</v>
      </c>
      <c r="B1298" t="s">
        <v>8</v>
      </c>
      <c r="F1298" t="s">
        <v>3290</v>
      </c>
      <c r="G1298" t="s">
        <v>12651</v>
      </c>
    </row>
    <row r="1299" spans="1:7" x14ac:dyDescent="0.25">
      <c r="A1299" t="s">
        <v>7</v>
      </c>
      <c r="F1299" t="s">
        <v>3292</v>
      </c>
      <c r="G1299" t="s">
        <v>1537</v>
      </c>
    </row>
    <row r="1300" spans="1:7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x14ac:dyDescent="0.25">
      <c r="A1312" t="s">
        <v>1617</v>
      </c>
      <c r="F1312" t="s">
        <v>3331</v>
      </c>
      <c r="G1312" t="s">
        <v>1600</v>
      </c>
    </row>
    <row r="1313" spans="1:7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x14ac:dyDescent="0.25">
      <c r="A1318" t="s">
        <v>3377</v>
      </c>
      <c r="F1318" t="s">
        <v>3352</v>
      </c>
      <c r="G1318" t="s">
        <v>1600</v>
      </c>
    </row>
    <row r="1319" spans="1:7" x14ac:dyDescent="0.25">
      <c r="A1319" t="s">
        <v>1607</v>
      </c>
      <c r="F1319" t="s">
        <v>3349</v>
      </c>
      <c r="G1319" t="s">
        <v>1600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x14ac:dyDescent="0.25">
      <c r="A1322" t="s">
        <v>1607</v>
      </c>
      <c r="F1322" t="s">
        <v>3421</v>
      </c>
      <c r="G1322" t="s">
        <v>12647</v>
      </c>
    </row>
    <row r="1323" spans="1:7" x14ac:dyDescent="0.25">
      <c r="A1323" t="s">
        <v>1607</v>
      </c>
      <c r="F1323" t="s">
        <v>3423</v>
      </c>
      <c r="G1323" t="s">
        <v>11076</v>
      </c>
    </row>
    <row r="1324" spans="1:7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x14ac:dyDescent="0.25">
      <c r="A1326" t="s">
        <v>1607</v>
      </c>
      <c r="F1326" t="s">
        <v>3431</v>
      </c>
      <c r="G1326" t="s">
        <v>895</v>
      </c>
    </row>
    <row r="1327" spans="1:7" x14ac:dyDescent="0.25">
      <c r="A1327" t="s">
        <v>1607</v>
      </c>
      <c r="F1327" t="s">
        <v>3434</v>
      </c>
      <c r="G1327" t="s">
        <v>896</v>
      </c>
    </row>
    <row r="1328" spans="1:7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x14ac:dyDescent="0.25">
      <c r="A1329" t="s">
        <v>1607</v>
      </c>
      <c r="B1329" t="s">
        <v>8</v>
      </c>
      <c r="F1329" t="s">
        <v>3440</v>
      </c>
      <c r="G1329" t="s">
        <v>12648</v>
      </c>
    </row>
    <row r="1330" spans="1:7" x14ac:dyDescent="0.25">
      <c r="A1330" t="s">
        <v>1607</v>
      </c>
      <c r="F1330" t="s">
        <v>3442</v>
      </c>
      <c r="G1330" t="s">
        <v>12649</v>
      </c>
    </row>
    <row r="1331" spans="1:7" x14ac:dyDescent="0.25">
      <c r="A1331" t="s">
        <v>1607</v>
      </c>
      <c r="F1331" t="s">
        <v>3444</v>
      </c>
      <c r="G1331" t="s">
        <v>12650</v>
      </c>
    </row>
    <row r="1332" spans="1:7" x14ac:dyDescent="0.25">
      <c r="A1332" t="s">
        <v>1607</v>
      </c>
      <c r="F1332" t="s">
        <v>3446</v>
      </c>
      <c r="G1332" t="s">
        <v>12651</v>
      </c>
    </row>
    <row r="1333" spans="1:7" x14ac:dyDescent="0.25">
      <c r="A1333" t="s">
        <v>1607</v>
      </c>
      <c r="F1333" t="s">
        <v>3448</v>
      </c>
      <c r="G1333" t="s">
        <v>1537</v>
      </c>
    </row>
    <row r="1334" spans="1:7" x14ac:dyDescent="0.25">
      <c r="A1334" t="s">
        <v>3455</v>
      </c>
      <c r="F1334" t="s">
        <v>3451</v>
      </c>
      <c r="G1334" t="s">
        <v>1600</v>
      </c>
    </row>
    <row r="1335" spans="1:7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x14ac:dyDescent="0.25">
      <c r="A1341" t="s">
        <v>1607</v>
      </c>
      <c r="F1341" t="s">
        <v>3537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x14ac:dyDescent="0.25">
      <c r="A1350" t="s">
        <v>1607</v>
      </c>
      <c r="F1350" t="s">
        <v>3555</v>
      </c>
      <c r="G1350" t="s">
        <v>91</v>
      </c>
    </row>
    <row r="1351" spans="1:7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12647</v>
      </c>
    </row>
    <row r="1352" spans="1:7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12647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12647</v>
      </c>
    </row>
    <row r="1354" spans="1:7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12647</v>
      </c>
    </row>
    <row r="1355" spans="1:7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12647</v>
      </c>
    </row>
    <row r="1356" spans="1:7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12647</v>
      </c>
    </row>
    <row r="1357" spans="1:7" x14ac:dyDescent="0.25">
      <c r="A1357" t="s">
        <v>4</v>
      </c>
      <c r="B1357" t="s">
        <v>8</v>
      </c>
      <c r="F1357" t="s">
        <v>3469</v>
      </c>
      <c r="G1357" t="s">
        <v>12647</v>
      </c>
    </row>
    <row r="1358" spans="1:7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12647</v>
      </c>
    </row>
    <row r="1359" spans="1:7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12647</v>
      </c>
    </row>
    <row r="1360" spans="1:7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12647</v>
      </c>
    </row>
    <row r="1361" spans="1:7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12647</v>
      </c>
    </row>
    <row r="1362" spans="1:7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12647</v>
      </c>
    </row>
    <row r="1363" spans="1:7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12647</v>
      </c>
    </row>
    <row r="1364" spans="1:7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12647</v>
      </c>
    </row>
    <row r="1365" spans="1:7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12647</v>
      </c>
    </row>
    <row r="1366" spans="1:7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12647</v>
      </c>
    </row>
    <row r="1367" spans="1:7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12647</v>
      </c>
    </row>
    <row r="1368" spans="1:7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12647</v>
      </c>
    </row>
    <row r="1369" spans="1:7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12647</v>
      </c>
    </row>
    <row r="1370" spans="1:7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12647</v>
      </c>
    </row>
    <row r="1371" spans="1:7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12647</v>
      </c>
    </row>
    <row r="1372" spans="1:7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12647</v>
      </c>
    </row>
    <row r="1373" spans="1:7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12647</v>
      </c>
    </row>
    <row r="1374" spans="1:7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12647</v>
      </c>
    </row>
    <row r="1375" spans="1:7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12647</v>
      </c>
    </row>
    <row r="1376" spans="1:7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12647</v>
      </c>
    </row>
    <row r="1377" spans="1:7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12647</v>
      </c>
    </row>
    <row r="1378" spans="1:7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12647</v>
      </c>
    </row>
    <row r="1379" spans="1:7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12647</v>
      </c>
    </row>
    <row r="1380" spans="1:7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12647</v>
      </c>
    </row>
    <row r="1381" spans="1:7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12647</v>
      </c>
    </row>
    <row r="1382" spans="1:7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12647</v>
      </c>
    </row>
    <row r="1383" spans="1:7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12647</v>
      </c>
    </row>
    <row r="1384" spans="1:7" x14ac:dyDescent="0.25">
      <c r="A1384" t="s">
        <v>1607</v>
      </c>
      <c r="F1384" t="s">
        <v>3523</v>
      </c>
      <c r="G1384" t="s">
        <v>12647</v>
      </c>
    </row>
    <row r="1385" spans="1:7" x14ac:dyDescent="0.25">
      <c r="A1385" t="s">
        <v>4</v>
      </c>
      <c r="B1385" t="s">
        <v>8</v>
      </c>
      <c r="F1385" t="s">
        <v>3665</v>
      </c>
      <c r="G1385" t="s">
        <v>11076</v>
      </c>
    </row>
    <row r="1386" spans="1:7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11076</v>
      </c>
    </row>
    <row r="1387" spans="1:7" x14ac:dyDescent="0.25">
      <c r="A1387" t="s">
        <v>4</v>
      </c>
      <c r="B1387" t="s">
        <v>8</v>
      </c>
      <c r="F1387" t="s">
        <v>3669</v>
      </c>
      <c r="G1387" t="s">
        <v>11076</v>
      </c>
    </row>
    <row r="1388" spans="1:7" x14ac:dyDescent="0.25">
      <c r="A1388" t="s">
        <v>4</v>
      </c>
      <c r="B1388" t="s">
        <v>8</v>
      </c>
      <c r="F1388" t="s">
        <v>3671</v>
      </c>
      <c r="G1388" t="s">
        <v>11076</v>
      </c>
    </row>
    <row r="1389" spans="1:7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11076</v>
      </c>
    </row>
    <row r="1390" spans="1:7" x14ac:dyDescent="0.25">
      <c r="A1390" t="s">
        <v>4</v>
      </c>
      <c r="B1390" t="s">
        <v>8</v>
      </c>
      <c r="F1390" t="s">
        <v>3673</v>
      </c>
      <c r="G1390" t="s">
        <v>11076</v>
      </c>
    </row>
    <row r="1391" spans="1:7" x14ac:dyDescent="0.25">
      <c r="A1391" t="s">
        <v>1607</v>
      </c>
      <c r="F1391" t="s">
        <v>3675</v>
      </c>
      <c r="G1391" t="s">
        <v>11076</v>
      </c>
    </row>
    <row r="1392" spans="1:7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x14ac:dyDescent="0.25">
      <c r="A1423" t="s">
        <v>4099</v>
      </c>
      <c r="F1423" t="s">
        <v>3641</v>
      </c>
      <c r="G1423" t="s">
        <v>895</v>
      </c>
    </row>
    <row r="1424" spans="1:7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x14ac:dyDescent="0.25">
      <c r="A1430" t="s">
        <v>1607</v>
      </c>
      <c r="F1430" t="s">
        <v>3662</v>
      </c>
      <c r="G1430" t="s">
        <v>895</v>
      </c>
    </row>
    <row r="1431" spans="1:7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x14ac:dyDescent="0.25">
      <c r="A1471" t="s">
        <v>4128</v>
      </c>
      <c r="F1471" t="s">
        <v>4062</v>
      </c>
      <c r="G1471" t="s">
        <v>897</v>
      </c>
    </row>
    <row r="1472" spans="1:7" x14ac:dyDescent="0.25">
      <c r="A1472" t="s">
        <v>1607</v>
      </c>
      <c r="F1472" t="s">
        <v>4065</v>
      </c>
      <c r="G1472" t="s">
        <v>897</v>
      </c>
    </row>
    <row r="1473" spans="1:7" x14ac:dyDescent="0.25">
      <c r="A1473" t="s">
        <v>4</v>
      </c>
      <c r="B1473" t="s">
        <v>9</v>
      </c>
      <c r="F1473" t="s">
        <v>3701</v>
      </c>
      <c r="G1473" t="s">
        <v>12648</v>
      </c>
    </row>
    <row r="1474" spans="1:7" x14ac:dyDescent="0.25">
      <c r="A1474" t="s">
        <v>685</v>
      </c>
      <c r="B1474" t="s">
        <v>4129</v>
      </c>
      <c r="F1474" t="s">
        <v>3703</v>
      </c>
      <c r="G1474" t="s">
        <v>12648</v>
      </c>
    </row>
    <row r="1475" spans="1:7" x14ac:dyDescent="0.25">
      <c r="A1475" t="s">
        <v>4</v>
      </c>
      <c r="B1475" t="s">
        <v>53</v>
      </c>
      <c r="F1475" t="s">
        <v>3705</v>
      </c>
      <c r="G1475" t="s">
        <v>12648</v>
      </c>
    </row>
    <row r="1476" spans="1:7" x14ac:dyDescent="0.25">
      <c r="A1476" t="s">
        <v>1607</v>
      </c>
      <c r="B1476" t="s">
        <v>8</v>
      </c>
      <c r="F1476" t="s">
        <v>3707</v>
      </c>
      <c r="G1476" t="s">
        <v>12648</v>
      </c>
    </row>
    <row r="1477" spans="1:7" x14ac:dyDescent="0.25">
      <c r="A1477" t="s">
        <v>1607</v>
      </c>
      <c r="B1477" t="s">
        <v>8</v>
      </c>
      <c r="F1477" t="s">
        <v>3709</v>
      </c>
      <c r="G1477" t="s">
        <v>12648</v>
      </c>
    </row>
    <row r="1478" spans="1:7" x14ac:dyDescent="0.25">
      <c r="A1478" t="s">
        <v>1627</v>
      </c>
      <c r="B1478" t="s">
        <v>687</v>
      </c>
      <c r="F1478" t="s">
        <v>3711</v>
      </c>
      <c r="G1478" t="s">
        <v>12648</v>
      </c>
    </row>
    <row r="1479" spans="1:7" x14ac:dyDescent="0.25">
      <c r="A1479" t="s">
        <v>1627</v>
      </c>
      <c r="B1479" t="s">
        <v>687</v>
      </c>
      <c r="F1479" t="s">
        <v>3713</v>
      </c>
      <c r="G1479" t="s">
        <v>12648</v>
      </c>
    </row>
    <row r="1480" spans="1:7" x14ac:dyDescent="0.25">
      <c r="A1480" t="s">
        <v>1607</v>
      </c>
      <c r="B1480" t="s">
        <v>8</v>
      </c>
      <c r="F1480" t="s">
        <v>3715</v>
      </c>
      <c r="G1480" t="s">
        <v>12648</v>
      </c>
    </row>
    <row r="1481" spans="1:7" x14ac:dyDescent="0.25">
      <c r="A1481" t="s">
        <v>1607</v>
      </c>
      <c r="B1481" t="s">
        <v>8</v>
      </c>
      <c r="F1481" t="s">
        <v>3717</v>
      </c>
      <c r="G1481" t="s">
        <v>12648</v>
      </c>
    </row>
    <row r="1482" spans="1:7" x14ac:dyDescent="0.25">
      <c r="A1482" t="s">
        <v>4</v>
      </c>
      <c r="B1482" t="s">
        <v>9</v>
      </c>
      <c r="F1482" t="s">
        <v>3719</v>
      </c>
      <c r="G1482" t="s">
        <v>12649</v>
      </c>
    </row>
    <row r="1483" spans="1:7" x14ac:dyDescent="0.25">
      <c r="A1483" t="s">
        <v>4130</v>
      </c>
      <c r="B1483" t="s">
        <v>4129</v>
      </c>
      <c r="F1483" t="s">
        <v>3721</v>
      </c>
      <c r="G1483" t="s">
        <v>12649</v>
      </c>
    </row>
    <row r="1484" spans="1:7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12649</v>
      </c>
    </row>
    <row r="1485" spans="1:7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12649</v>
      </c>
    </row>
    <row r="1486" spans="1:7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12649</v>
      </c>
    </row>
    <row r="1487" spans="1:7" x14ac:dyDescent="0.25">
      <c r="A1487" t="s">
        <v>4</v>
      </c>
      <c r="B1487" t="s">
        <v>9</v>
      </c>
      <c r="F1487" t="s">
        <v>3729</v>
      </c>
      <c r="G1487" t="s">
        <v>12649</v>
      </c>
    </row>
    <row r="1488" spans="1:7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12649</v>
      </c>
    </row>
    <row r="1489" spans="1:7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12649</v>
      </c>
    </row>
    <row r="1490" spans="1:7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12649</v>
      </c>
    </row>
    <row r="1491" spans="1:7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12649</v>
      </c>
    </row>
    <row r="1492" spans="1:7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12649</v>
      </c>
    </row>
    <row r="1493" spans="1:7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12649</v>
      </c>
    </row>
    <row r="1494" spans="1:7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12649</v>
      </c>
    </row>
    <row r="1495" spans="1:7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12649</v>
      </c>
    </row>
    <row r="1496" spans="1:7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12649</v>
      </c>
    </row>
    <row r="1497" spans="1:7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12649</v>
      </c>
    </row>
    <row r="1498" spans="1:7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12649</v>
      </c>
    </row>
    <row r="1499" spans="1:7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12649</v>
      </c>
    </row>
    <row r="1500" spans="1:7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12649</v>
      </c>
    </row>
    <row r="1501" spans="1:7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12649</v>
      </c>
    </row>
    <row r="1502" spans="1:7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12649</v>
      </c>
    </row>
    <row r="1503" spans="1:7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12649</v>
      </c>
    </row>
    <row r="1504" spans="1:7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12649</v>
      </c>
    </row>
    <row r="1505" spans="1:7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12649</v>
      </c>
    </row>
    <row r="1506" spans="1:7" x14ac:dyDescent="0.25">
      <c r="A1506" t="s">
        <v>4</v>
      </c>
      <c r="B1506" t="s">
        <v>9</v>
      </c>
      <c r="F1506" t="s">
        <v>3767</v>
      </c>
      <c r="G1506" t="s">
        <v>12649</v>
      </c>
    </row>
    <row r="1507" spans="1:7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12649</v>
      </c>
    </row>
    <row r="1508" spans="1:7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12649</v>
      </c>
    </row>
    <row r="1509" spans="1:7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12649</v>
      </c>
    </row>
    <row r="1510" spans="1:7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12649</v>
      </c>
    </row>
    <row r="1511" spans="1:7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12649</v>
      </c>
    </row>
    <row r="1512" spans="1:7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12649</v>
      </c>
    </row>
    <row r="1513" spans="1:7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12649</v>
      </c>
    </row>
    <row r="1514" spans="1:7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12649</v>
      </c>
    </row>
    <row r="1515" spans="1:7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12649</v>
      </c>
    </row>
    <row r="1516" spans="1:7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12649</v>
      </c>
    </row>
    <row r="1517" spans="1:7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12649</v>
      </c>
    </row>
    <row r="1518" spans="1:7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12649</v>
      </c>
    </row>
    <row r="1519" spans="1:7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12649</v>
      </c>
    </row>
    <row r="1520" spans="1:7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12649</v>
      </c>
    </row>
    <row r="1521" spans="1:7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12649</v>
      </c>
    </row>
    <row r="1522" spans="1:7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12649</v>
      </c>
    </row>
    <row r="1523" spans="1:7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12649</v>
      </c>
    </row>
    <row r="1524" spans="1:7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12649</v>
      </c>
    </row>
    <row r="1525" spans="1:7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12649</v>
      </c>
    </row>
    <row r="1526" spans="1:7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12649</v>
      </c>
    </row>
    <row r="1527" spans="1:7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12649</v>
      </c>
    </row>
    <row r="1528" spans="1:7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12649</v>
      </c>
    </row>
    <row r="1529" spans="1:7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12649</v>
      </c>
    </row>
    <row r="1530" spans="1:7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12649</v>
      </c>
    </row>
    <row r="1531" spans="1:7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12649</v>
      </c>
    </row>
    <row r="1532" spans="1:7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12649</v>
      </c>
    </row>
    <row r="1533" spans="1:7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12649</v>
      </c>
    </row>
    <row r="1534" spans="1:7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12649</v>
      </c>
    </row>
    <row r="1535" spans="1:7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12649</v>
      </c>
    </row>
    <row r="1536" spans="1:7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12649</v>
      </c>
    </row>
    <row r="1537" spans="1:7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12649</v>
      </c>
    </row>
    <row r="1538" spans="1:7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12649</v>
      </c>
    </row>
    <row r="1539" spans="1:7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12649</v>
      </c>
    </row>
    <row r="1540" spans="1:7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12649</v>
      </c>
    </row>
    <row r="1541" spans="1:7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12649</v>
      </c>
    </row>
    <row r="1542" spans="1:7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12649</v>
      </c>
    </row>
    <row r="1543" spans="1:7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12649</v>
      </c>
    </row>
    <row r="1544" spans="1:7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12649</v>
      </c>
    </row>
    <row r="1545" spans="1:7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12649</v>
      </c>
    </row>
    <row r="1546" spans="1:7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12649</v>
      </c>
    </row>
    <row r="1547" spans="1:7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12649</v>
      </c>
    </row>
    <row r="1548" spans="1:7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12649</v>
      </c>
    </row>
    <row r="1549" spans="1:7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12649</v>
      </c>
    </row>
    <row r="1550" spans="1:7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12650</v>
      </c>
    </row>
    <row r="1551" spans="1:7" x14ac:dyDescent="0.25">
      <c r="A1551" t="s">
        <v>4</v>
      </c>
      <c r="B1551" t="s">
        <v>8</v>
      </c>
      <c r="F1551" t="s">
        <v>3857</v>
      </c>
      <c r="G1551" t="s">
        <v>12650</v>
      </c>
    </row>
    <row r="1552" spans="1:7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12650</v>
      </c>
    </row>
    <row r="1553" spans="1:7" x14ac:dyDescent="0.25">
      <c r="A1553" t="s">
        <v>4</v>
      </c>
      <c r="B1553" t="s">
        <v>8</v>
      </c>
      <c r="F1553" t="s">
        <v>3861</v>
      </c>
      <c r="G1553" t="s">
        <v>12650</v>
      </c>
    </row>
    <row r="1554" spans="1:7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12650</v>
      </c>
    </row>
    <row r="1555" spans="1:7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12650</v>
      </c>
    </row>
    <row r="1556" spans="1:7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12650</v>
      </c>
    </row>
    <row r="1557" spans="1:7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12650</v>
      </c>
    </row>
    <row r="1558" spans="1:7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12650</v>
      </c>
    </row>
    <row r="1559" spans="1:7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12650</v>
      </c>
    </row>
    <row r="1560" spans="1:7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12650</v>
      </c>
    </row>
    <row r="1561" spans="1:7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12650</v>
      </c>
    </row>
    <row r="1562" spans="1:7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12650</v>
      </c>
    </row>
    <row r="1563" spans="1:7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12650</v>
      </c>
    </row>
    <row r="1564" spans="1:7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12650</v>
      </c>
    </row>
    <row r="1565" spans="1:7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12650</v>
      </c>
    </row>
    <row r="1566" spans="1:7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12650</v>
      </c>
    </row>
    <row r="1567" spans="1:7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12650</v>
      </c>
    </row>
    <row r="1568" spans="1:7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12650</v>
      </c>
    </row>
    <row r="1569" spans="1:7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12650</v>
      </c>
    </row>
    <row r="1570" spans="1:7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12650</v>
      </c>
    </row>
    <row r="1571" spans="1:7" x14ac:dyDescent="0.25">
      <c r="A1571" t="s">
        <v>4</v>
      </c>
      <c r="B1571" t="s">
        <v>8</v>
      </c>
      <c r="F1571" t="s">
        <v>3897</v>
      </c>
      <c r="G1571" t="s">
        <v>12650</v>
      </c>
    </row>
    <row r="1572" spans="1:7" x14ac:dyDescent="0.25">
      <c r="A1572" t="s">
        <v>1607</v>
      </c>
      <c r="B1572" t="s">
        <v>8</v>
      </c>
      <c r="F1572" t="s">
        <v>3899</v>
      </c>
      <c r="G1572" t="s">
        <v>12650</v>
      </c>
    </row>
    <row r="1573" spans="1:7" x14ac:dyDescent="0.25">
      <c r="A1573" t="s">
        <v>1607</v>
      </c>
      <c r="F1573" t="s">
        <v>3901</v>
      </c>
      <c r="G1573" t="s">
        <v>12651</v>
      </c>
    </row>
    <row r="1574" spans="1:7" x14ac:dyDescent="0.25">
      <c r="A1574" t="s">
        <v>1607</v>
      </c>
      <c r="F1574" t="s">
        <v>3903</v>
      </c>
      <c r="G1574" t="s">
        <v>12651</v>
      </c>
    </row>
    <row r="1575" spans="1:7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12651</v>
      </c>
    </row>
    <row r="1576" spans="1:7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12651</v>
      </c>
    </row>
    <row r="1577" spans="1:7" x14ac:dyDescent="0.25">
      <c r="A1577" t="s">
        <v>1607</v>
      </c>
      <c r="F1577" t="s">
        <v>3909</v>
      </c>
      <c r="G1577" t="s">
        <v>12651</v>
      </c>
    </row>
    <row r="1578" spans="1:7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12651</v>
      </c>
    </row>
    <row r="1579" spans="1:7" x14ac:dyDescent="0.25">
      <c r="A1579" t="s">
        <v>1607</v>
      </c>
      <c r="F1579" t="s">
        <v>3913</v>
      </c>
      <c r="G1579" t="s">
        <v>12651</v>
      </c>
    </row>
    <row r="1580" spans="1:7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x14ac:dyDescent="0.25">
      <c r="A1600" t="s">
        <v>1617</v>
      </c>
      <c r="F1600" t="s">
        <v>3975</v>
      </c>
      <c r="G1600" t="s">
        <v>1600</v>
      </c>
    </row>
    <row r="1601" spans="1:7" x14ac:dyDescent="0.25">
      <c r="A1601" t="s">
        <v>1617</v>
      </c>
      <c r="F1601" t="s">
        <v>3978</v>
      </c>
      <c r="G1601" t="s">
        <v>1600</v>
      </c>
    </row>
    <row r="1602" spans="1:7" x14ac:dyDescent="0.25">
      <c r="A1602" t="s">
        <v>1617</v>
      </c>
      <c r="F1602" t="s">
        <v>3981</v>
      </c>
      <c r="G1602" t="s">
        <v>1600</v>
      </c>
    </row>
    <row r="1603" spans="1:7" x14ac:dyDescent="0.25">
      <c r="A1603" t="s">
        <v>1617</v>
      </c>
      <c r="F1603" t="s">
        <v>3984</v>
      </c>
      <c r="G1603" t="s">
        <v>1600</v>
      </c>
    </row>
    <row r="1604" spans="1:7" x14ac:dyDescent="0.25">
      <c r="A1604" t="s">
        <v>1617</v>
      </c>
      <c r="F1604" t="s">
        <v>3987</v>
      </c>
      <c r="G1604" t="s">
        <v>1600</v>
      </c>
    </row>
    <row r="1605" spans="1:7" x14ac:dyDescent="0.25">
      <c r="A1605" t="s">
        <v>1617</v>
      </c>
      <c r="F1605" t="s">
        <v>3990</v>
      </c>
      <c r="G1605" t="s">
        <v>1600</v>
      </c>
    </row>
    <row r="1606" spans="1:7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x14ac:dyDescent="0.25">
      <c r="A1608" t="s">
        <v>1607</v>
      </c>
      <c r="F1608" t="s">
        <v>4185</v>
      </c>
      <c r="G1608" t="s">
        <v>12647</v>
      </c>
    </row>
    <row r="1609" spans="1:7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11076</v>
      </c>
    </row>
    <row r="1610" spans="1:7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x14ac:dyDescent="0.25">
      <c r="A1621" t="s">
        <v>1607</v>
      </c>
      <c r="F1621" t="s">
        <v>4211</v>
      </c>
      <c r="G1621" t="s">
        <v>897</v>
      </c>
    </row>
    <row r="1622" spans="1:7" x14ac:dyDescent="0.25">
      <c r="A1622" t="s">
        <v>1607</v>
      </c>
      <c r="B1622" t="s">
        <v>8</v>
      </c>
      <c r="F1622" t="s">
        <v>4171</v>
      </c>
      <c r="G1622" t="s">
        <v>12648</v>
      </c>
    </row>
    <row r="1623" spans="1:7" x14ac:dyDescent="0.25">
      <c r="A1623" t="s">
        <v>4</v>
      </c>
      <c r="B1623" t="s">
        <v>9</v>
      </c>
      <c r="F1623" t="s">
        <v>4214</v>
      </c>
      <c r="G1623" t="s">
        <v>12649</v>
      </c>
    </row>
    <row r="1624" spans="1:7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12649</v>
      </c>
    </row>
    <row r="1625" spans="1:7" x14ac:dyDescent="0.25">
      <c r="A1625" t="s">
        <v>1627</v>
      </c>
      <c r="B1625" t="s">
        <v>1058</v>
      </c>
      <c r="F1625" t="s">
        <v>4218</v>
      </c>
      <c r="G1625" t="s">
        <v>12649</v>
      </c>
    </row>
    <row r="1626" spans="1:7" x14ac:dyDescent="0.25">
      <c r="A1626" t="s">
        <v>1627</v>
      </c>
      <c r="B1626" t="s">
        <v>1058</v>
      </c>
      <c r="F1626" t="s">
        <v>4220</v>
      </c>
      <c r="G1626" t="s">
        <v>12649</v>
      </c>
    </row>
    <row r="1627" spans="1:7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12649</v>
      </c>
    </row>
    <row r="1628" spans="1:7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12649</v>
      </c>
    </row>
    <row r="1629" spans="1:7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12649</v>
      </c>
    </row>
    <row r="1630" spans="1:7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12649</v>
      </c>
    </row>
    <row r="1631" spans="1:7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12649</v>
      </c>
    </row>
    <row r="1632" spans="1:7" x14ac:dyDescent="0.25">
      <c r="A1632" t="s">
        <v>4</v>
      </c>
      <c r="B1632" t="s">
        <v>8</v>
      </c>
      <c r="F1632" t="s">
        <v>4173</v>
      </c>
      <c r="G1632" t="s">
        <v>12650</v>
      </c>
    </row>
    <row r="1633" spans="1:7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12650</v>
      </c>
    </row>
    <row r="1634" spans="1:7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12650</v>
      </c>
    </row>
    <row r="1635" spans="1:7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12650</v>
      </c>
    </row>
    <row r="1636" spans="1:7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12650</v>
      </c>
    </row>
    <row r="1637" spans="1:7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12651</v>
      </c>
    </row>
    <row r="1638" spans="1:7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12651</v>
      </c>
    </row>
    <row r="1639" spans="1:7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12651</v>
      </c>
    </row>
    <row r="1640" spans="1:7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12651</v>
      </c>
    </row>
    <row r="1641" spans="1:7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12651</v>
      </c>
    </row>
    <row r="1642" spans="1:7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12651</v>
      </c>
    </row>
    <row r="1643" spans="1:7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12650</v>
      </c>
    </row>
    <row r="1649" spans="1:7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12650</v>
      </c>
    </row>
    <row r="1650" spans="1:7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12650</v>
      </c>
    </row>
    <row r="1651" spans="1:7" x14ac:dyDescent="0.25">
      <c r="A1651" t="s">
        <v>4</v>
      </c>
      <c r="B1651" t="s">
        <v>8</v>
      </c>
      <c r="F1651" t="s">
        <v>4332</v>
      </c>
      <c r="G1651" t="s">
        <v>12650</v>
      </c>
    </row>
    <row r="1652" spans="1:7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12650</v>
      </c>
    </row>
    <row r="1653" spans="1:7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12650</v>
      </c>
    </row>
    <row r="1654" spans="1:7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12650</v>
      </c>
    </row>
    <row r="1655" spans="1:7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12650</v>
      </c>
    </row>
    <row r="1656" spans="1:7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12650</v>
      </c>
    </row>
    <row r="1657" spans="1:7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12650</v>
      </c>
    </row>
    <row r="1658" spans="1:7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12650</v>
      </c>
    </row>
    <row r="1659" spans="1:7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12650</v>
      </c>
    </row>
    <row r="1660" spans="1:7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12650</v>
      </c>
    </row>
    <row r="1661" spans="1:7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12650</v>
      </c>
    </row>
    <row r="1662" spans="1:7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12650</v>
      </c>
    </row>
    <row r="1663" spans="1:7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12650</v>
      </c>
    </row>
    <row r="1664" spans="1:7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12650</v>
      </c>
    </row>
    <row r="1665" spans="1:7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12650</v>
      </c>
    </row>
    <row r="1666" spans="1:7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12650</v>
      </c>
    </row>
    <row r="1667" spans="1:7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12650</v>
      </c>
    </row>
    <row r="1668" spans="1:7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12650</v>
      </c>
    </row>
    <row r="1669" spans="1:7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12650</v>
      </c>
    </row>
    <row r="1670" spans="1:7" x14ac:dyDescent="0.25">
      <c r="A1670" t="s">
        <v>4</v>
      </c>
      <c r="B1670" t="s">
        <v>8</v>
      </c>
      <c r="F1670" t="s">
        <v>4369</v>
      </c>
      <c r="G1670" t="s">
        <v>12650</v>
      </c>
    </row>
    <row r="1671" spans="1:7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12647</v>
      </c>
    </row>
    <row r="1672" spans="1:7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12647</v>
      </c>
    </row>
    <row r="1673" spans="1:7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12647</v>
      </c>
    </row>
    <row r="1674" spans="1:7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12647</v>
      </c>
    </row>
    <row r="1675" spans="1:7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12647</v>
      </c>
    </row>
    <row r="1676" spans="1:7" x14ac:dyDescent="0.25">
      <c r="A1676" t="s">
        <v>4</v>
      </c>
      <c r="B1676" t="s">
        <v>8</v>
      </c>
      <c r="F1676" t="s">
        <v>4260</v>
      </c>
      <c r="G1676" t="s">
        <v>12647</v>
      </c>
    </row>
    <row r="1677" spans="1:7" x14ac:dyDescent="0.25">
      <c r="A1677" t="s">
        <v>4</v>
      </c>
      <c r="B1677" t="s">
        <v>8</v>
      </c>
      <c r="F1677" t="s">
        <v>4248</v>
      </c>
      <c r="G1677" t="s">
        <v>11076</v>
      </c>
    </row>
    <row r="1678" spans="1:7" x14ac:dyDescent="0.25">
      <c r="A1678" t="s">
        <v>1607</v>
      </c>
      <c r="F1678" t="s">
        <v>4250</v>
      </c>
      <c r="G1678" t="s">
        <v>11076</v>
      </c>
    </row>
    <row r="1679" spans="1:7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x14ac:dyDescent="0.25">
      <c r="A1687" t="s">
        <v>1607</v>
      </c>
      <c r="B1687" t="s">
        <v>8</v>
      </c>
      <c r="F1687" t="s">
        <v>4286</v>
      </c>
      <c r="G1687" t="s">
        <v>12648</v>
      </c>
    </row>
    <row r="1688" spans="1:7" x14ac:dyDescent="0.25">
      <c r="A1688" t="s">
        <v>4</v>
      </c>
      <c r="B1688" t="s">
        <v>9</v>
      </c>
      <c r="F1688" t="s">
        <v>4288</v>
      </c>
      <c r="G1688" t="s">
        <v>12649</v>
      </c>
    </row>
    <row r="1689" spans="1:7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12649</v>
      </c>
    </row>
    <row r="1690" spans="1:7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12649</v>
      </c>
    </row>
    <row r="1691" spans="1:7" x14ac:dyDescent="0.25">
      <c r="A1691" t="s">
        <v>4130</v>
      </c>
      <c r="F1691" t="s">
        <v>4294</v>
      </c>
      <c r="G1691" t="s">
        <v>12649</v>
      </c>
    </row>
    <row r="1692" spans="1:7" x14ac:dyDescent="0.25">
      <c r="A1692" t="s">
        <v>4</v>
      </c>
      <c r="B1692" t="s">
        <v>53</v>
      </c>
      <c r="F1692" t="s">
        <v>4296</v>
      </c>
      <c r="G1692" t="s">
        <v>12649</v>
      </c>
    </row>
    <row r="1693" spans="1:7" x14ac:dyDescent="0.25">
      <c r="A1693" t="s">
        <v>884</v>
      </c>
      <c r="B1693" t="s">
        <v>53</v>
      </c>
      <c r="F1693" t="s">
        <v>4298</v>
      </c>
      <c r="G1693" t="s">
        <v>12649</v>
      </c>
    </row>
    <row r="1694" spans="1:7" x14ac:dyDescent="0.25">
      <c r="A1694" t="s">
        <v>884</v>
      </c>
      <c r="B1694" t="s">
        <v>58</v>
      </c>
      <c r="F1694" t="s">
        <v>4300</v>
      </c>
      <c r="G1694" t="s">
        <v>12649</v>
      </c>
    </row>
    <row r="1695" spans="1:7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12649</v>
      </c>
    </row>
    <row r="1696" spans="1:7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12649</v>
      </c>
    </row>
    <row r="1697" spans="1:7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12649</v>
      </c>
    </row>
    <row r="1698" spans="1:7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12649</v>
      </c>
    </row>
    <row r="1699" spans="1:7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12649</v>
      </c>
    </row>
    <row r="1700" spans="1:7" x14ac:dyDescent="0.25">
      <c r="A1700" t="s">
        <v>4</v>
      </c>
      <c r="B1700" t="s">
        <v>4393</v>
      </c>
      <c r="F1700" t="s">
        <v>4312</v>
      </c>
      <c r="G1700" t="s">
        <v>12649</v>
      </c>
    </row>
    <row r="1701" spans="1:7" x14ac:dyDescent="0.25">
      <c r="A1701" t="s">
        <v>4</v>
      </c>
      <c r="B1701" t="s">
        <v>9</v>
      </c>
      <c r="F1701" t="s">
        <v>4314</v>
      </c>
      <c r="G1701" t="s">
        <v>12649</v>
      </c>
    </row>
    <row r="1702" spans="1:7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12649</v>
      </c>
    </row>
    <row r="1703" spans="1:7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12649</v>
      </c>
    </row>
    <row r="1704" spans="1:7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12649</v>
      </c>
    </row>
    <row r="1705" spans="1:7" x14ac:dyDescent="0.25">
      <c r="A1705" t="s">
        <v>4</v>
      </c>
      <c r="B1705" t="s">
        <v>9</v>
      </c>
      <c r="F1705" t="s">
        <v>4322</v>
      </c>
      <c r="G1705" t="s">
        <v>12649</v>
      </c>
    </row>
    <row r="1706" spans="1:7" x14ac:dyDescent="0.25">
      <c r="A1706" t="s">
        <v>4</v>
      </c>
      <c r="B1706" t="s">
        <v>9</v>
      </c>
      <c r="F1706" t="s">
        <v>4324</v>
      </c>
      <c r="G1706" t="s">
        <v>12649</v>
      </c>
    </row>
    <row r="1707" spans="1:7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12651</v>
      </c>
    </row>
    <row r="1708" spans="1:7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12651</v>
      </c>
    </row>
    <row r="1709" spans="1:7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12647</v>
      </c>
    </row>
    <row r="1732" spans="1:7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12647</v>
      </c>
    </row>
    <row r="1733" spans="1:7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12647</v>
      </c>
    </row>
    <row r="1734" spans="1:7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12647</v>
      </c>
    </row>
    <row r="1735" spans="1:7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12647</v>
      </c>
    </row>
    <row r="1736" spans="1:7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12647</v>
      </c>
    </row>
    <row r="1737" spans="1:7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12647</v>
      </c>
    </row>
    <row r="1738" spans="1:7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12647</v>
      </c>
    </row>
    <row r="1739" spans="1:7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12647</v>
      </c>
    </row>
    <row r="1740" spans="1:7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12647</v>
      </c>
    </row>
    <row r="1741" spans="1:7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12647</v>
      </c>
    </row>
    <row r="1742" spans="1:7" x14ac:dyDescent="0.25">
      <c r="A1742" t="s">
        <v>4</v>
      </c>
      <c r="B1742" t="s">
        <v>8</v>
      </c>
      <c r="F1742" t="s">
        <v>4633</v>
      </c>
      <c r="G1742" t="s">
        <v>12647</v>
      </c>
    </row>
    <row r="1743" spans="1:7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12647</v>
      </c>
    </row>
    <row r="1744" spans="1:7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12647</v>
      </c>
    </row>
    <row r="1745" spans="1:7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12647</v>
      </c>
    </row>
    <row r="1746" spans="1:7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12647</v>
      </c>
    </row>
    <row r="1747" spans="1:7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12647</v>
      </c>
    </row>
    <row r="1748" spans="1:7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12647</v>
      </c>
    </row>
    <row r="1749" spans="1:7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12647</v>
      </c>
    </row>
    <row r="1750" spans="1:7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12647</v>
      </c>
    </row>
    <row r="1751" spans="1:7" x14ac:dyDescent="0.25">
      <c r="A1751" t="s">
        <v>1607</v>
      </c>
      <c r="B1751" t="s">
        <v>8</v>
      </c>
      <c r="F1751" t="s">
        <v>4800</v>
      </c>
      <c r="G1751" t="s">
        <v>12647</v>
      </c>
    </row>
    <row r="1752" spans="1:7" x14ac:dyDescent="0.25">
      <c r="A1752" t="s">
        <v>4</v>
      </c>
      <c r="B1752" t="s">
        <v>8</v>
      </c>
      <c r="F1752" t="s">
        <v>4548</v>
      </c>
      <c r="G1752" t="s">
        <v>11076</v>
      </c>
    </row>
    <row r="1753" spans="1:7" x14ac:dyDescent="0.25">
      <c r="A1753" t="s">
        <v>4</v>
      </c>
      <c r="B1753" t="s">
        <v>8</v>
      </c>
      <c r="F1753" t="s">
        <v>4550</v>
      </c>
      <c r="G1753" t="s">
        <v>11076</v>
      </c>
    </row>
    <row r="1754" spans="1:7" x14ac:dyDescent="0.25">
      <c r="A1754" t="s">
        <v>4</v>
      </c>
      <c r="B1754" t="s">
        <v>8</v>
      </c>
      <c r="F1754" t="s">
        <v>4552</v>
      </c>
      <c r="G1754" t="s">
        <v>11076</v>
      </c>
    </row>
    <row r="1755" spans="1:7" x14ac:dyDescent="0.25">
      <c r="A1755" t="s">
        <v>1607</v>
      </c>
      <c r="B1755" t="s">
        <v>8</v>
      </c>
      <c r="F1755" t="s">
        <v>4554</v>
      </c>
      <c r="G1755" t="s">
        <v>11076</v>
      </c>
    </row>
    <row r="1756" spans="1:7" x14ac:dyDescent="0.25">
      <c r="A1756" t="s">
        <v>4</v>
      </c>
      <c r="B1756" t="s">
        <v>8</v>
      </c>
      <c r="F1756" t="s">
        <v>4667</v>
      </c>
      <c r="G1756" t="s">
        <v>11076</v>
      </c>
    </row>
    <row r="1757" spans="1:7" x14ac:dyDescent="0.25">
      <c r="A1757" t="s">
        <v>1607</v>
      </c>
      <c r="B1757" t="s">
        <v>8</v>
      </c>
      <c r="F1757" t="s">
        <v>4669</v>
      </c>
      <c r="G1757" t="s">
        <v>11076</v>
      </c>
    </row>
    <row r="1758" spans="1:7" x14ac:dyDescent="0.25">
      <c r="A1758" t="s">
        <v>1607</v>
      </c>
      <c r="B1758" t="s">
        <v>8</v>
      </c>
      <c r="F1758" t="s">
        <v>4671</v>
      </c>
      <c r="G1758" t="s">
        <v>11076</v>
      </c>
    </row>
    <row r="1759" spans="1:7" x14ac:dyDescent="0.25">
      <c r="A1759" t="s">
        <v>4</v>
      </c>
      <c r="B1759" t="s">
        <v>8</v>
      </c>
      <c r="F1759" t="s">
        <v>4837</v>
      </c>
      <c r="G1759" t="s">
        <v>11076</v>
      </c>
    </row>
    <row r="1760" spans="1:7" x14ac:dyDescent="0.25">
      <c r="A1760" t="s">
        <v>4</v>
      </c>
      <c r="B1760" t="s">
        <v>8</v>
      </c>
      <c r="F1760" t="s">
        <v>4839</v>
      </c>
      <c r="G1760" t="s">
        <v>11076</v>
      </c>
    </row>
    <row r="1761" spans="1:7" x14ac:dyDescent="0.25">
      <c r="A1761" t="s">
        <v>4</v>
      </c>
      <c r="B1761" t="s">
        <v>8</v>
      </c>
      <c r="F1761" t="s">
        <v>4841</v>
      </c>
      <c r="G1761" t="s">
        <v>11076</v>
      </c>
    </row>
    <row r="1762" spans="1:7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x14ac:dyDescent="0.25">
      <c r="A1796" t="s">
        <v>1607</v>
      </c>
      <c r="B1796" t="s">
        <v>8</v>
      </c>
      <c r="F1796" t="s">
        <v>4577</v>
      </c>
      <c r="G1796" t="s">
        <v>12648</v>
      </c>
    </row>
    <row r="1797" spans="1:7" x14ac:dyDescent="0.25">
      <c r="A1797" t="s">
        <v>4</v>
      </c>
      <c r="B1797" t="s">
        <v>9</v>
      </c>
      <c r="F1797" t="s">
        <v>4579</v>
      </c>
      <c r="G1797" t="s">
        <v>12648</v>
      </c>
    </row>
    <row r="1798" spans="1:7" x14ac:dyDescent="0.25">
      <c r="A1798" t="s">
        <v>685</v>
      </c>
      <c r="F1798" t="s">
        <v>4581</v>
      </c>
      <c r="G1798" t="s">
        <v>12648</v>
      </c>
    </row>
    <row r="1799" spans="1:7" x14ac:dyDescent="0.25">
      <c r="A1799" t="s">
        <v>685</v>
      </c>
      <c r="F1799" t="s">
        <v>4583</v>
      </c>
      <c r="G1799" t="s">
        <v>12648</v>
      </c>
    </row>
    <row r="1800" spans="1:7" x14ac:dyDescent="0.25">
      <c r="A1800" t="s">
        <v>684</v>
      </c>
      <c r="B1800" t="s">
        <v>468</v>
      </c>
      <c r="F1800" t="s">
        <v>4585</v>
      </c>
      <c r="G1800" t="s">
        <v>12648</v>
      </c>
    </row>
    <row r="1801" spans="1:7" x14ac:dyDescent="0.25">
      <c r="A1801" t="s">
        <v>4</v>
      </c>
      <c r="B1801" t="s">
        <v>9</v>
      </c>
      <c r="F1801" t="s">
        <v>4587</v>
      </c>
      <c r="G1801" t="s">
        <v>12648</v>
      </c>
    </row>
    <row r="1802" spans="1:7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12648</v>
      </c>
    </row>
    <row r="1803" spans="1:7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12648</v>
      </c>
    </row>
    <row r="1804" spans="1:7" x14ac:dyDescent="0.25">
      <c r="A1804" t="s">
        <v>1607</v>
      </c>
      <c r="B1804" t="s">
        <v>8</v>
      </c>
      <c r="F1804" t="s">
        <v>4593</v>
      </c>
      <c r="G1804" t="s">
        <v>12648</v>
      </c>
    </row>
    <row r="1805" spans="1:7" x14ac:dyDescent="0.25">
      <c r="A1805" t="s">
        <v>1607</v>
      </c>
      <c r="B1805" t="s">
        <v>8</v>
      </c>
      <c r="F1805" t="s">
        <v>4694</v>
      </c>
      <c r="G1805" t="s">
        <v>12648</v>
      </c>
    </row>
    <row r="1806" spans="1:7" x14ac:dyDescent="0.25">
      <c r="A1806" t="s">
        <v>1607</v>
      </c>
      <c r="B1806" t="s">
        <v>8</v>
      </c>
      <c r="F1806" t="s">
        <v>4849</v>
      </c>
      <c r="G1806" t="s">
        <v>12648</v>
      </c>
    </row>
    <row r="1807" spans="1:7" x14ac:dyDescent="0.25">
      <c r="A1807" t="s">
        <v>4</v>
      </c>
      <c r="B1807" t="s">
        <v>9</v>
      </c>
      <c r="F1807" t="s">
        <v>4454</v>
      </c>
      <c r="G1807" t="s">
        <v>12649</v>
      </c>
    </row>
    <row r="1808" spans="1:7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12649</v>
      </c>
    </row>
    <row r="1809" spans="1:7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12649</v>
      </c>
    </row>
    <row r="1810" spans="1:7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12649</v>
      </c>
    </row>
    <row r="1811" spans="1:7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12649</v>
      </c>
    </row>
    <row r="1812" spans="1:7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12649</v>
      </c>
    </row>
    <row r="1813" spans="1:7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12649</v>
      </c>
    </row>
    <row r="1814" spans="1:7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12649</v>
      </c>
    </row>
    <row r="1815" spans="1:7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12649</v>
      </c>
    </row>
    <row r="1816" spans="1:7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12649</v>
      </c>
    </row>
    <row r="1817" spans="1:7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12649</v>
      </c>
    </row>
    <row r="1818" spans="1:7" x14ac:dyDescent="0.25">
      <c r="A1818" t="s">
        <v>4928</v>
      </c>
      <c r="F1818" t="s">
        <v>4476</v>
      </c>
      <c r="G1818" t="s">
        <v>12649</v>
      </c>
    </row>
    <row r="1819" spans="1:7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12649</v>
      </c>
    </row>
    <row r="1820" spans="1:7" x14ac:dyDescent="0.25">
      <c r="A1820" t="s">
        <v>4</v>
      </c>
      <c r="B1820" t="s">
        <v>9</v>
      </c>
      <c r="F1820" t="s">
        <v>4480</v>
      </c>
      <c r="G1820" t="s">
        <v>12649</v>
      </c>
    </row>
    <row r="1821" spans="1:7" x14ac:dyDescent="0.25">
      <c r="A1821" t="s">
        <v>4</v>
      </c>
      <c r="B1821" t="s">
        <v>9</v>
      </c>
      <c r="F1821" t="s">
        <v>4482</v>
      </c>
      <c r="G1821" t="s">
        <v>12649</v>
      </c>
    </row>
    <row r="1822" spans="1:7" x14ac:dyDescent="0.25">
      <c r="A1822" t="s">
        <v>4</v>
      </c>
      <c r="B1822" t="s">
        <v>9</v>
      </c>
      <c r="F1822" t="s">
        <v>4484</v>
      </c>
      <c r="G1822" t="s">
        <v>12649</v>
      </c>
    </row>
    <row r="1823" spans="1:7" x14ac:dyDescent="0.25">
      <c r="A1823" t="s">
        <v>4</v>
      </c>
      <c r="B1823" t="s">
        <v>9</v>
      </c>
      <c r="F1823" t="s">
        <v>4486</v>
      </c>
      <c r="G1823" t="s">
        <v>12649</v>
      </c>
    </row>
    <row r="1824" spans="1:7" x14ac:dyDescent="0.25">
      <c r="A1824" t="s">
        <v>4928</v>
      </c>
      <c r="F1824" t="s">
        <v>4488</v>
      </c>
      <c r="G1824" t="s">
        <v>12649</v>
      </c>
    </row>
    <row r="1825" spans="1:7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12649</v>
      </c>
    </row>
    <row r="1826" spans="1:7" x14ac:dyDescent="0.25">
      <c r="A1826" t="s">
        <v>4</v>
      </c>
      <c r="B1826" t="s">
        <v>9</v>
      </c>
      <c r="F1826" t="s">
        <v>4492</v>
      </c>
      <c r="G1826" t="s">
        <v>12649</v>
      </c>
    </row>
    <row r="1827" spans="1:7" x14ac:dyDescent="0.25">
      <c r="A1827" t="s">
        <v>4</v>
      </c>
      <c r="B1827" t="s">
        <v>9</v>
      </c>
      <c r="F1827" t="s">
        <v>4494</v>
      </c>
      <c r="G1827" t="s">
        <v>12649</v>
      </c>
    </row>
    <row r="1828" spans="1:7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12649</v>
      </c>
    </row>
    <row r="1829" spans="1:7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12649</v>
      </c>
    </row>
    <row r="1830" spans="1:7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12649</v>
      </c>
    </row>
    <row r="1831" spans="1:7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12649</v>
      </c>
    </row>
    <row r="1832" spans="1:7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12649</v>
      </c>
    </row>
    <row r="1833" spans="1:7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12649</v>
      </c>
    </row>
    <row r="1834" spans="1:7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12649</v>
      </c>
    </row>
    <row r="1835" spans="1:7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12649</v>
      </c>
    </row>
    <row r="1836" spans="1:7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12649</v>
      </c>
    </row>
    <row r="1837" spans="1:7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12649</v>
      </c>
    </row>
    <row r="1838" spans="1:7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12649</v>
      </c>
    </row>
    <row r="1839" spans="1:7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12649</v>
      </c>
    </row>
    <row r="1840" spans="1:7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12649</v>
      </c>
    </row>
    <row r="1841" spans="1:7" x14ac:dyDescent="0.25">
      <c r="A1841" t="s">
        <v>884</v>
      </c>
      <c r="B1841" t="s">
        <v>58</v>
      </c>
      <c r="F1841" t="s">
        <v>4750</v>
      </c>
      <c r="G1841" t="s">
        <v>12649</v>
      </c>
    </row>
    <row r="1842" spans="1:7" x14ac:dyDescent="0.25">
      <c r="A1842" t="s">
        <v>884</v>
      </c>
      <c r="B1842" t="s">
        <v>4931</v>
      </c>
      <c r="F1842" t="s">
        <v>4752</v>
      </c>
      <c r="G1842" t="s">
        <v>12649</v>
      </c>
    </row>
    <row r="1843" spans="1:7" x14ac:dyDescent="0.25">
      <c r="A1843" t="s">
        <v>4</v>
      </c>
      <c r="B1843" t="s">
        <v>9</v>
      </c>
      <c r="F1843" t="s">
        <v>4754</v>
      </c>
      <c r="G1843" t="s">
        <v>12649</v>
      </c>
    </row>
    <row r="1844" spans="1:7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12649</v>
      </c>
    </row>
    <row r="1845" spans="1:7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12649</v>
      </c>
    </row>
    <row r="1846" spans="1:7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12649</v>
      </c>
    </row>
    <row r="1847" spans="1:7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12649</v>
      </c>
    </row>
    <row r="1848" spans="1:7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12649</v>
      </c>
    </row>
    <row r="1849" spans="1:7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12649</v>
      </c>
    </row>
    <row r="1850" spans="1:7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12649</v>
      </c>
    </row>
    <row r="1851" spans="1:7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12649</v>
      </c>
    </row>
    <row r="1852" spans="1:7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12649</v>
      </c>
    </row>
    <row r="1853" spans="1:7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12649</v>
      </c>
    </row>
    <row r="1854" spans="1:7" x14ac:dyDescent="0.25">
      <c r="A1854" t="s">
        <v>4</v>
      </c>
      <c r="B1854" t="s">
        <v>9</v>
      </c>
      <c r="F1854" t="s">
        <v>4857</v>
      </c>
      <c r="G1854" t="s">
        <v>12649</v>
      </c>
    </row>
    <row r="1855" spans="1:7" x14ac:dyDescent="0.25">
      <c r="A1855" t="s">
        <v>4</v>
      </c>
      <c r="B1855" t="s">
        <v>8</v>
      </c>
      <c r="F1855" t="s">
        <v>4595</v>
      </c>
      <c r="G1855" t="s">
        <v>12650</v>
      </c>
    </row>
    <row r="1856" spans="1:7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12650</v>
      </c>
    </row>
    <row r="1857" spans="1:7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12650</v>
      </c>
    </row>
    <row r="1858" spans="1:7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12650</v>
      </c>
    </row>
    <row r="1859" spans="1:7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12650</v>
      </c>
    </row>
    <row r="1860" spans="1:7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12650</v>
      </c>
    </row>
    <row r="1861" spans="1:7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12650</v>
      </c>
    </row>
    <row r="1862" spans="1:7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12650</v>
      </c>
    </row>
    <row r="1863" spans="1:7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12650</v>
      </c>
    </row>
    <row r="1864" spans="1:7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12650</v>
      </c>
    </row>
    <row r="1865" spans="1:7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12650</v>
      </c>
    </row>
    <row r="1866" spans="1:7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12650</v>
      </c>
    </row>
    <row r="1867" spans="1:7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12650</v>
      </c>
    </row>
    <row r="1868" spans="1:7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12650</v>
      </c>
    </row>
    <row r="1869" spans="1:7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12650</v>
      </c>
    </row>
    <row r="1870" spans="1:7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12650</v>
      </c>
    </row>
    <row r="1871" spans="1:7" x14ac:dyDescent="0.25">
      <c r="A1871" t="s">
        <v>4</v>
      </c>
      <c r="B1871" t="s">
        <v>8</v>
      </c>
      <c r="F1871" t="s">
        <v>4627</v>
      </c>
      <c r="G1871" t="s">
        <v>12650</v>
      </c>
    </row>
    <row r="1872" spans="1:7" x14ac:dyDescent="0.25">
      <c r="A1872" t="s">
        <v>4</v>
      </c>
      <c r="B1872" t="s">
        <v>8</v>
      </c>
      <c r="F1872" t="s">
        <v>4629</v>
      </c>
      <c r="G1872" t="s">
        <v>12650</v>
      </c>
    </row>
    <row r="1873" spans="1:7" x14ac:dyDescent="0.25">
      <c r="A1873" t="s">
        <v>4</v>
      </c>
      <c r="B1873" t="s">
        <v>8</v>
      </c>
      <c r="F1873" t="s">
        <v>4631</v>
      </c>
      <c r="G1873" t="s">
        <v>12650</v>
      </c>
    </row>
    <row r="1874" spans="1:7" x14ac:dyDescent="0.25">
      <c r="A1874" t="s">
        <v>4</v>
      </c>
      <c r="B1874" t="s">
        <v>8</v>
      </c>
      <c r="F1874" t="s">
        <v>4696</v>
      </c>
      <c r="G1874" t="s">
        <v>12650</v>
      </c>
    </row>
    <row r="1875" spans="1:7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12650</v>
      </c>
    </row>
    <row r="1876" spans="1:7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12650</v>
      </c>
    </row>
    <row r="1877" spans="1:7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12650</v>
      </c>
    </row>
    <row r="1878" spans="1:7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12650</v>
      </c>
    </row>
    <row r="1879" spans="1:7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12650</v>
      </c>
    </row>
    <row r="1880" spans="1:7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12650</v>
      </c>
    </row>
    <row r="1881" spans="1:7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12650</v>
      </c>
    </row>
    <row r="1882" spans="1:7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12650</v>
      </c>
    </row>
    <row r="1883" spans="1:7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12650</v>
      </c>
    </row>
    <row r="1884" spans="1:7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12650</v>
      </c>
    </row>
    <row r="1885" spans="1:7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12650</v>
      </c>
    </row>
    <row r="1886" spans="1:7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12650</v>
      </c>
    </row>
    <row r="1887" spans="1:7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12650</v>
      </c>
    </row>
    <row r="1888" spans="1:7" x14ac:dyDescent="0.25">
      <c r="A1888" t="s">
        <v>4</v>
      </c>
      <c r="B1888" t="s">
        <v>8</v>
      </c>
      <c r="F1888" t="s">
        <v>4724</v>
      </c>
      <c r="G1888" t="s">
        <v>12650</v>
      </c>
    </row>
    <row r="1889" spans="1:7" x14ac:dyDescent="0.25">
      <c r="A1889" t="s">
        <v>4</v>
      </c>
      <c r="B1889" t="s">
        <v>4917</v>
      </c>
      <c r="F1889" t="s">
        <v>4859</v>
      </c>
      <c r="G1889" t="s">
        <v>12650</v>
      </c>
    </row>
    <row r="1890" spans="1:7" x14ac:dyDescent="0.25">
      <c r="A1890" t="s">
        <v>4</v>
      </c>
      <c r="B1890" t="s">
        <v>8</v>
      </c>
      <c r="F1890" t="s">
        <v>4861</v>
      </c>
      <c r="G1890" t="s">
        <v>12650</v>
      </c>
    </row>
    <row r="1891" spans="1:7" x14ac:dyDescent="0.25">
      <c r="A1891" t="s">
        <v>4</v>
      </c>
      <c r="B1891" t="s">
        <v>4917</v>
      </c>
      <c r="F1891" t="s">
        <v>4863</v>
      </c>
      <c r="G1891" t="s">
        <v>12650</v>
      </c>
    </row>
    <row r="1892" spans="1:7" x14ac:dyDescent="0.25">
      <c r="A1892" t="s">
        <v>4</v>
      </c>
      <c r="B1892" t="s">
        <v>8</v>
      </c>
      <c r="F1892" t="s">
        <v>4865</v>
      </c>
      <c r="G1892" t="s">
        <v>12650</v>
      </c>
    </row>
    <row r="1893" spans="1:7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12651</v>
      </c>
    </row>
    <row r="1894" spans="1:7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12651</v>
      </c>
    </row>
    <row r="1895" spans="1:7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12651</v>
      </c>
    </row>
    <row r="1896" spans="1:7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12651</v>
      </c>
    </row>
    <row r="1897" spans="1:7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12651</v>
      </c>
    </row>
    <row r="1898" spans="1:7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12651</v>
      </c>
    </row>
    <row r="1899" spans="1:7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12651</v>
      </c>
    </row>
    <row r="1900" spans="1:7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12651</v>
      </c>
    </row>
    <row r="1901" spans="1:7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12651</v>
      </c>
    </row>
    <row r="1902" spans="1:7" x14ac:dyDescent="0.25">
      <c r="A1902" t="s">
        <v>4</v>
      </c>
      <c r="B1902" t="s">
        <v>8</v>
      </c>
      <c r="F1902" t="s">
        <v>4728</v>
      </c>
      <c r="G1902" t="s">
        <v>12651</v>
      </c>
    </row>
    <row r="1903" spans="1:7" x14ac:dyDescent="0.25">
      <c r="A1903" t="s">
        <v>4</v>
      </c>
      <c r="B1903" t="s">
        <v>8</v>
      </c>
      <c r="F1903" t="s">
        <v>4730</v>
      </c>
      <c r="G1903" t="s">
        <v>12651</v>
      </c>
    </row>
    <row r="1904" spans="1:7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12651</v>
      </c>
    </row>
    <row r="1905" spans="1:7" x14ac:dyDescent="0.25">
      <c r="A1905" t="s">
        <v>4937</v>
      </c>
      <c r="B1905" t="s">
        <v>4917</v>
      </c>
      <c r="F1905" t="s">
        <v>4869</v>
      </c>
      <c r="G1905" t="s">
        <v>12651</v>
      </c>
    </row>
    <row r="1906" spans="1:7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12651</v>
      </c>
    </row>
    <row r="1907" spans="1:7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12651</v>
      </c>
    </row>
    <row r="1908" spans="1:7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12651</v>
      </c>
    </row>
    <row r="1909" spans="1:7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12651</v>
      </c>
    </row>
    <row r="1910" spans="1:7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12651</v>
      </c>
    </row>
    <row r="1911" spans="1:7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12651</v>
      </c>
    </row>
    <row r="1912" spans="1:7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12651</v>
      </c>
    </row>
    <row r="1913" spans="1:7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12651</v>
      </c>
    </row>
    <row r="1914" spans="1:7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12651</v>
      </c>
    </row>
    <row r="1915" spans="1:7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12651</v>
      </c>
    </row>
    <row r="1916" spans="1:7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12651</v>
      </c>
    </row>
    <row r="1917" spans="1:7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12651</v>
      </c>
    </row>
    <row r="1918" spans="1:7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12651</v>
      </c>
    </row>
    <row r="1919" spans="1:7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12651</v>
      </c>
    </row>
    <row r="1920" spans="1:7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12651</v>
      </c>
    </row>
    <row r="1921" spans="1:7" x14ac:dyDescent="0.25">
      <c r="A1921" t="s">
        <v>4</v>
      </c>
      <c r="B1921" t="s">
        <v>8</v>
      </c>
      <c r="F1921" t="s">
        <v>4909</v>
      </c>
      <c r="G1921" t="s">
        <v>12651</v>
      </c>
    </row>
    <row r="1922" spans="1:7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x14ac:dyDescent="0.25">
      <c r="A1935" t="s">
        <v>1617</v>
      </c>
      <c r="F1935" t="s">
        <v>4545</v>
      </c>
      <c r="G1935" t="s">
        <v>1600</v>
      </c>
    </row>
    <row r="1936" spans="1:7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x14ac:dyDescent="0.25">
      <c r="A1942" t="s">
        <v>1607</v>
      </c>
      <c r="B1942" t="s">
        <v>8</v>
      </c>
      <c r="F1942" t="s">
        <v>4942</v>
      </c>
      <c r="G1942" t="s">
        <v>12647</v>
      </c>
    </row>
    <row r="1943" spans="1:7" x14ac:dyDescent="0.25">
      <c r="A1943" t="s">
        <v>1607</v>
      </c>
      <c r="B1943" t="s">
        <v>8</v>
      </c>
      <c r="F1943" t="s">
        <v>4944</v>
      </c>
      <c r="G1943" t="s">
        <v>11076</v>
      </c>
    </row>
    <row r="1944" spans="1:7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x14ac:dyDescent="0.25">
      <c r="A1947" t="s">
        <v>1607</v>
      </c>
      <c r="B1947" t="s">
        <v>8</v>
      </c>
      <c r="F1947" t="s">
        <v>4957</v>
      </c>
      <c r="G1947" t="s">
        <v>12648</v>
      </c>
    </row>
    <row r="1948" spans="1:7" x14ac:dyDescent="0.25">
      <c r="A1948" t="s">
        <v>4</v>
      </c>
      <c r="B1948" t="s">
        <v>9</v>
      </c>
      <c r="F1948" t="s">
        <v>4959</v>
      </c>
      <c r="G1948" t="s">
        <v>12649</v>
      </c>
    </row>
    <row r="1949" spans="1:7" x14ac:dyDescent="0.25">
      <c r="A1949" t="s">
        <v>1627</v>
      </c>
      <c r="B1949" t="s">
        <v>1058</v>
      </c>
      <c r="F1949" t="s">
        <v>4961</v>
      </c>
      <c r="G1949" t="s">
        <v>12649</v>
      </c>
    </row>
    <row r="1950" spans="1:7" x14ac:dyDescent="0.25">
      <c r="A1950" t="s">
        <v>4</v>
      </c>
      <c r="B1950" t="s">
        <v>9</v>
      </c>
      <c r="F1950" t="s">
        <v>4963</v>
      </c>
      <c r="G1950" t="s">
        <v>12649</v>
      </c>
    </row>
    <row r="1951" spans="1:7" x14ac:dyDescent="0.25">
      <c r="A1951" t="s">
        <v>1627</v>
      </c>
      <c r="B1951" t="s">
        <v>1058</v>
      </c>
      <c r="F1951" t="s">
        <v>4965</v>
      </c>
      <c r="G1951" t="s">
        <v>12649</v>
      </c>
    </row>
    <row r="1952" spans="1:7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12649</v>
      </c>
    </row>
    <row r="1953" spans="1:7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12649</v>
      </c>
    </row>
    <row r="1954" spans="1:7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12649</v>
      </c>
    </row>
    <row r="1955" spans="1:7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12649</v>
      </c>
    </row>
    <row r="1956" spans="1:7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12649</v>
      </c>
    </row>
    <row r="1957" spans="1:7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12649</v>
      </c>
    </row>
    <row r="1958" spans="1:7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12649</v>
      </c>
    </row>
    <row r="1959" spans="1:7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12649</v>
      </c>
    </row>
    <row r="1960" spans="1:7" x14ac:dyDescent="0.25">
      <c r="A1960" t="s">
        <v>1607</v>
      </c>
      <c r="B1960" t="s">
        <v>8</v>
      </c>
      <c r="F1960" t="s">
        <v>4983</v>
      </c>
      <c r="G1960" t="s">
        <v>12650</v>
      </c>
    </row>
    <row r="1961" spans="1:7" x14ac:dyDescent="0.25">
      <c r="A1961" t="s">
        <v>1607</v>
      </c>
      <c r="B1961" t="s">
        <v>8</v>
      </c>
      <c r="F1961" t="s">
        <v>4991</v>
      </c>
      <c r="G1961" t="s">
        <v>12651</v>
      </c>
    </row>
    <row r="1962" spans="1:7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12647</v>
      </c>
    </row>
    <row r="1972" spans="1:7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12647</v>
      </c>
    </row>
    <row r="1973" spans="1:7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12647</v>
      </c>
    </row>
    <row r="1974" spans="1:7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12647</v>
      </c>
    </row>
    <row r="1975" spans="1:7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12647</v>
      </c>
    </row>
    <row r="1976" spans="1:7" x14ac:dyDescent="0.25">
      <c r="A1976" t="s">
        <v>3363</v>
      </c>
      <c r="B1976" t="s">
        <v>5045</v>
      </c>
      <c r="F1976" t="s">
        <v>5017</v>
      </c>
      <c r="G1976" t="s">
        <v>12647</v>
      </c>
    </row>
    <row r="1977" spans="1:7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12647</v>
      </c>
    </row>
    <row r="1978" spans="1:7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12647</v>
      </c>
    </row>
    <row r="1979" spans="1:7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12647</v>
      </c>
    </row>
    <row r="1980" spans="1:7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12647</v>
      </c>
    </row>
    <row r="1981" spans="1:7" x14ac:dyDescent="0.25">
      <c r="A1981" t="s">
        <v>4</v>
      </c>
      <c r="B1981" t="s">
        <v>8</v>
      </c>
      <c r="F1981" t="s">
        <v>5040</v>
      </c>
      <c r="G1981" t="s">
        <v>11076</v>
      </c>
    </row>
    <row r="1982" spans="1:7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x14ac:dyDescent="0.25">
      <c r="A1988" t="s">
        <v>3377</v>
      </c>
      <c r="F1988" t="s">
        <v>5046</v>
      </c>
      <c r="G1988" t="s">
        <v>897</v>
      </c>
    </row>
    <row r="1989" spans="1:7" x14ac:dyDescent="0.25">
      <c r="A1989" t="s">
        <v>3377</v>
      </c>
      <c r="F1989" t="s">
        <v>5049</v>
      </c>
      <c r="G1989" t="s">
        <v>897</v>
      </c>
    </row>
    <row r="1990" spans="1:7" x14ac:dyDescent="0.25">
      <c r="A1990" t="s">
        <v>3377</v>
      </c>
      <c r="F1990" t="s">
        <v>5052</v>
      </c>
      <c r="G1990" t="s">
        <v>897</v>
      </c>
    </row>
    <row r="1991" spans="1:7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x14ac:dyDescent="0.25">
      <c r="A1992" t="s">
        <v>1607</v>
      </c>
      <c r="B1992" t="s">
        <v>8</v>
      </c>
      <c r="F1992" t="s">
        <v>5064</v>
      </c>
      <c r="G1992" t="s">
        <v>12648</v>
      </c>
    </row>
    <row r="1993" spans="1:7" x14ac:dyDescent="0.25">
      <c r="A1993" t="s">
        <v>4</v>
      </c>
      <c r="B1993" t="s">
        <v>9</v>
      </c>
      <c r="F1993" t="s">
        <v>5066</v>
      </c>
      <c r="G1993" t="s">
        <v>12649</v>
      </c>
    </row>
    <row r="1994" spans="1:7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12649</v>
      </c>
    </row>
    <row r="1995" spans="1:7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12649</v>
      </c>
    </row>
    <row r="1996" spans="1:7" x14ac:dyDescent="0.25">
      <c r="A1996" t="s">
        <v>884</v>
      </c>
      <c r="B1996" t="s">
        <v>58</v>
      </c>
      <c r="F1996" t="s">
        <v>5072</v>
      </c>
      <c r="G1996" t="s">
        <v>12649</v>
      </c>
    </row>
    <row r="1997" spans="1:7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12649</v>
      </c>
    </row>
    <row r="1998" spans="1:7" x14ac:dyDescent="0.25">
      <c r="A1998" t="s">
        <v>884</v>
      </c>
      <c r="B1998" t="s">
        <v>58</v>
      </c>
      <c r="F1998" t="s">
        <v>5076</v>
      </c>
      <c r="G1998" t="s">
        <v>12649</v>
      </c>
    </row>
    <row r="1999" spans="1:7" x14ac:dyDescent="0.25">
      <c r="A1999" t="s">
        <v>884</v>
      </c>
      <c r="B1999" t="s">
        <v>58</v>
      </c>
      <c r="F1999" t="s">
        <v>5078</v>
      </c>
      <c r="G1999" t="s">
        <v>12649</v>
      </c>
    </row>
    <row r="2000" spans="1:7" x14ac:dyDescent="0.25">
      <c r="A2000" t="s">
        <v>4</v>
      </c>
      <c r="B2000" t="s">
        <v>9</v>
      </c>
      <c r="F2000" t="s">
        <v>5080</v>
      </c>
      <c r="G2000" t="s">
        <v>12649</v>
      </c>
    </row>
    <row r="2001" spans="1:7" x14ac:dyDescent="0.25">
      <c r="A2001" t="s">
        <v>884</v>
      </c>
      <c r="B2001" t="s">
        <v>53</v>
      </c>
      <c r="F2001" t="s">
        <v>5082</v>
      </c>
      <c r="G2001" t="s">
        <v>12649</v>
      </c>
    </row>
    <row r="2002" spans="1:7" x14ac:dyDescent="0.25">
      <c r="A2002" t="s">
        <v>4</v>
      </c>
      <c r="B2002" t="s">
        <v>9</v>
      </c>
      <c r="F2002" t="s">
        <v>5084</v>
      </c>
      <c r="G2002" t="s">
        <v>12649</v>
      </c>
    </row>
    <row r="2003" spans="1:7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12649</v>
      </c>
    </row>
    <row r="2004" spans="1:7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12649</v>
      </c>
    </row>
    <row r="2005" spans="1:7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12649</v>
      </c>
    </row>
    <row r="2006" spans="1:7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12650</v>
      </c>
    </row>
    <row r="2007" spans="1:7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12650</v>
      </c>
    </row>
    <row r="2008" spans="1:7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12650</v>
      </c>
    </row>
    <row r="2009" spans="1:7" x14ac:dyDescent="0.25">
      <c r="A2009" t="s">
        <v>1273</v>
      </c>
      <c r="B2009" t="s">
        <v>5045</v>
      </c>
      <c r="F2009" t="s">
        <v>5099</v>
      </c>
      <c r="G2009" t="s">
        <v>12650</v>
      </c>
    </row>
    <row r="2010" spans="1:7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12650</v>
      </c>
    </row>
    <row r="2011" spans="1:7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12650</v>
      </c>
    </row>
    <row r="2012" spans="1:7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12650</v>
      </c>
    </row>
    <row r="2013" spans="1:7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12650</v>
      </c>
    </row>
    <row r="2014" spans="1:7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12650</v>
      </c>
    </row>
    <row r="2015" spans="1:7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12650</v>
      </c>
    </row>
    <row r="2016" spans="1:7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12650</v>
      </c>
    </row>
    <row r="2017" spans="1:7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12650</v>
      </c>
    </row>
    <row r="2018" spans="1:7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12650</v>
      </c>
    </row>
    <row r="2019" spans="1:7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12650</v>
      </c>
    </row>
    <row r="2020" spans="1:7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12650</v>
      </c>
    </row>
    <row r="2021" spans="1:7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12650</v>
      </c>
    </row>
    <row r="2022" spans="1:7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12650</v>
      </c>
    </row>
    <row r="2023" spans="1:7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12650</v>
      </c>
    </row>
    <row r="2024" spans="1:7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12650</v>
      </c>
    </row>
    <row r="2025" spans="1:7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12650</v>
      </c>
    </row>
    <row r="2026" spans="1:7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12650</v>
      </c>
    </row>
    <row r="2027" spans="1:7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12650</v>
      </c>
    </row>
    <row r="2028" spans="1:7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12650</v>
      </c>
    </row>
    <row r="2029" spans="1:7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12650</v>
      </c>
    </row>
    <row r="2030" spans="1:7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12650</v>
      </c>
    </row>
    <row r="2031" spans="1:7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12650</v>
      </c>
    </row>
    <row r="2032" spans="1:7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12650</v>
      </c>
    </row>
    <row r="2033" spans="1:7" x14ac:dyDescent="0.25">
      <c r="A2033" t="s">
        <v>1273</v>
      </c>
      <c r="B2033" t="s">
        <v>5212</v>
      </c>
      <c r="F2033" t="s">
        <v>5169</v>
      </c>
      <c r="G2033" t="s">
        <v>12650</v>
      </c>
    </row>
    <row r="2034" spans="1:7" x14ac:dyDescent="0.25">
      <c r="A2034" t="s">
        <v>4</v>
      </c>
      <c r="B2034" t="s">
        <v>5213</v>
      </c>
      <c r="F2034" t="s">
        <v>5171</v>
      </c>
      <c r="G2034" t="s">
        <v>12650</v>
      </c>
    </row>
    <row r="2035" spans="1:7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12650</v>
      </c>
    </row>
    <row r="2036" spans="1:7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12650</v>
      </c>
    </row>
    <row r="2037" spans="1:7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12650</v>
      </c>
    </row>
    <row r="2038" spans="1:7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12650</v>
      </c>
    </row>
    <row r="2039" spans="1:7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12650</v>
      </c>
    </row>
    <row r="2040" spans="1:7" x14ac:dyDescent="0.25">
      <c r="A2040" t="s">
        <v>4</v>
      </c>
      <c r="B2040" t="s">
        <v>5214</v>
      </c>
      <c r="F2040" t="s">
        <v>5184</v>
      </c>
      <c r="G2040" t="s">
        <v>12650</v>
      </c>
    </row>
    <row r="2041" spans="1:7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12650</v>
      </c>
    </row>
    <row r="2042" spans="1:7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12651</v>
      </c>
    </row>
    <row r="2043" spans="1:7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12651</v>
      </c>
    </row>
    <row r="2044" spans="1:7" x14ac:dyDescent="0.25">
      <c r="A2044" t="s">
        <v>4</v>
      </c>
      <c r="B2044" t="s">
        <v>8</v>
      </c>
      <c r="F2044" t="s">
        <v>5198</v>
      </c>
      <c r="G2044" t="s">
        <v>12651</v>
      </c>
    </row>
    <row r="2045" spans="1:7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12647</v>
      </c>
    </row>
    <row r="2055" spans="1:7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12647</v>
      </c>
    </row>
    <row r="2056" spans="1:7" x14ac:dyDescent="0.25">
      <c r="A2056" t="s">
        <v>4</v>
      </c>
      <c r="B2056" t="s">
        <v>8</v>
      </c>
      <c r="F2056" t="s">
        <v>5236</v>
      </c>
      <c r="G2056" t="s">
        <v>11076</v>
      </c>
    </row>
    <row r="2057" spans="1:7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x14ac:dyDescent="0.25">
      <c r="A2062" t="s">
        <v>1627</v>
      </c>
      <c r="B2062" t="s">
        <v>687</v>
      </c>
      <c r="F2062" t="s">
        <v>5247</v>
      </c>
      <c r="G2062" t="s">
        <v>12648</v>
      </c>
    </row>
    <row r="2063" spans="1:7" x14ac:dyDescent="0.25">
      <c r="A2063" t="s">
        <v>4</v>
      </c>
      <c r="B2063" t="s">
        <v>9</v>
      </c>
      <c r="F2063" t="s">
        <v>5249</v>
      </c>
      <c r="G2063" t="s">
        <v>12648</v>
      </c>
    </row>
    <row r="2064" spans="1:7" x14ac:dyDescent="0.25">
      <c r="A2064" t="s">
        <v>1627</v>
      </c>
      <c r="B2064" t="s">
        <v>687</v>
      </c>
      <c r="F2064" t="s">
        <v>5251</v>
      </c>
      <c r="G2064" t="s">
        <v>12648</v>
      </c>
    </row>
    <row r="2065" spans="1:7" x14ac:dyDescent="0.25">
      <c r="A2065" t="s">
        <v>1627</v>
      </c>
      <c r="B2065" t="s">
        <v>687</v>
      </c>
      <c r="F2065" t="s">
        <v>5253</v>
      </c>
      <c r="G2065" t="s">
        <v>12648</v>
      </c>
    </row>
    <row r="2066" spans="1:7" x14ac:dyDescent="0.25">
      <c r="A2066" t="s">
        <v>4</v>
      </c>
      <c r="B2066" t="s">
        <v>9</v>
      </c>
      <c r="F2066" t="s">
        <v>5255</v>
      </c>
      <c r="G2066" t="s">
        <v>12648</v>
      </c>
    </row>
    <row r="2067" spans="1:7" x14ac:dyDescent="0.25">
      <c r="A2067" t="s">
        <v>4</v>
      </c>
      <c r="B2067" t="s">
        <v>9</v>
      </c>
      <c r="F2067" t="s">
        <v>5257</v>
      </c>
      <c r="G2067" t="s">
        <v>12649</v>
      </c>
    </row>
    <row r="2068" spans="1:7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12649</v>
      </c>
    </row>
    <row r="2069" spans="1:7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12649</v>
      </c>
    </row>
    <row r="2070" spans="1:7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12649</v>
      </c>
    </row>
    <row r="2071" spans="1:7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12649</v>
      </c>
    </row>
    <row r="2072" spans="1:7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12649</v>
      </c>
    </row>
    <row r="2073" spans="1:7" x14ac:dyDescent="0.25">
      <c r="A2073" t="s">
        <v>4</v>
      </c>
      <c r="B2073" t="s">
        <v>9</v>
      </c>
      <c r="F2073" t="s">
        <v>5269</v>
      </c>
      <c r="G2073" t="s">
        <v>12649</v>
      </c>
    </row>
    <row r="2074" spans="1:7" x14ac:dyDescent="0.25">
      <c r="A2074" t="s">
        <v>4</v>
      </c>
      <c r="B2074" t="s">
        <v>9</v>
      </c>
      <c r="F2074" t="s">
        <v>5271</v>
      </c>
      <c r="G2074" t="s">
        <v>12649</v>
      </c>
    </row>
    <row r="2075" spans="1:7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12650</v>
      </c>
    </row>
    <row r="2076" spans="1:7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12650</v>
      </c>
    </row>
    <row r="2077" spans="1:7" x14ac:dyDescent="0.25">
      <c r="A2077" t="s">
        <v>4</v>
      </c>
      <c r="B2077" t="s">
        <v>8</v>
      </c>
      <c r="F2077" t="s">
        <v>5277</v>
      </c>
      <c r="G2077" t="s">
        <v>12650</v>
      </c>
    </row>
    <row r="2078" spans="1:7" x14ac:dyDescent="0.25">
      <c r="A2078" t="s">
        <v>4</v>
      </c>
      <c r="B2078" t="s">
        <v>8</v>
      </c>
      <c r="F2078" t="s">
        <v>5279</v>
      </c>
      <c r="G2078" t="s">
        <v>12650</v>
      </c>
    </row>
    <row r="2079" spans="1:7" x14ac:dyDescent="0.25">
      <c r="A2079" t="s">
        <v>4</v>
      </c>
      <c r="B2079" t="s">
        <v>8</v>
      </c>
      <c r="F2079" t="s">
        <v>5281</v>
      </c>
      <c r="G2079" t="s">
        <v>12650</v>
      </c>
    </row>
    <row r="2080" spans="1:7" x14ac:dyDescent="0.25">
      <c r="A2080" t="s">
        <v>4</v>
      </c>
      <c r="B2080" t="s">
        <v>8</v>
      </c>
      <c r="F2080" t="s">
        <v>5283</v>
      </c>
      <c r="G2080" t="s">
        <v>12650</v>
      </c>
    </row>
    <row r="2081" spans="1:7" x14ac:dyDescent="0.25">
      <c r="A2081" t="s">
        <v>4</v>
      </c>
      <c r="B2081" t="s">
        <v>8</v>
      </c>
      <c r="F2081" t="s">
        <v>5285</v>
      </c>
      <c r="G2081" t="s">
        <v>12650</v>
      </c>
    </row>
    <row r="2082" spans="1:7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12650</v>
      </c>
    </row>
    <row r="2083" spans="1:7" x14ac:dyDescent="0.25">
      <c r="A2083" t="s">
        <v>4</v>
      </c>
      <c r="B2083" t="s">
        <v>8</v>
      </c>
      <c r="F2083" t="s">
        <v>5289</v>
      </c>
      <c r="G2083" t="s">
        <v>12650</v>
      </c>
    </row>
    <row r="2084" spans="1:7" x14ac:dyDescent="0.25">
      <c r="A2084" t="s">
        <v>4</v>
      </c>
      <c r="B2084" t="s">
        <v>8</v>
      </c>
      <c r="F2084" t="s">
        <v>5291</v>
      </c>
      <c r="G2084" t="s">
        <v>12650</v>
      </c>
    </row>
    <row r="2085" spans="1:7" x14ac:dyDescent="0.25">
      <c r="A2085" t="s">
        <v>1607</v>
      </c>
      <c r="B2085" t="s">
        <v>8</v>
      </c>
      <c r="F2085" t="s">
        <v>5293</v>
      </c>
      <c r="G2085" t="s">
        <v>12651</v>
      </c>
    </row>
    <row r="2086" spans="1:7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x14ac:dyDescent="0.25">
      <c r="A2091" t="s">
        <v>1607</v>
      </c>
      <c r="F2091" t="s">
        <v>5316</v>
      </c>
      <c r="G2091" t="s">
        <v>91</v>
      </c>
    </row>
    <row r="2092" spans="1:7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x14ac:dyDescent="0.25">
      <c r="A2093" t="s">
        <v>5469</v>
      </c>
      <c r="F2093" t="s">
        <v>5320</v>
      </c>
      <c r="G2093" t="s">
        <v>91</v>
      </c>
    </row>
    <row r="2094" spans="1:7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12647</v>
      </c>
    </row>
    <row r="2098" spans="1:7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12647</v>
      </c>
    </row>
    <row r="2099" spans="1:7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12647</v>
      </c>
    </row>
    <row r="2100" spans="1:7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12647</v>
      </c>
    </row>
    <row r="2101" spans="1:7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12647</v>
      </c>
    </row>
    <row r="2102" spans="1:7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12647</v>
      </c>
    </row>
    <row r="2103" spans="1:7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12647</v>
      </c>
    </row>
    <row r="2104" spans="1:7" x14ac:dyDescent="0.25">
      <c r="A2104" t="s">
        <v>1607</v>
      </c>
      <c r="B2104" t="s">
        <v>8</v>
      </c>
      <c r="F2104" t="s">
        <v>5312</v>
      </c>
      <c r="G2104" t="s">
        <v>11076</v>
      </c>
    </row>
    <row r="2105" spans="1:7" x14ac:dyDescent="0.25">
      <c r="A2105" t="s">
        <v>1607</v>
      </c>
      <c r="B2105" t="s">
        <v>8</v>
      </c>
      <c r="F2105" t="s">
        <v>5314</v>
      </c>
      <c r="G2105" t="s">
        <v>11076</v>
      </c>
    </row>
    <row r="2106" spans="1:7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x14ac:dyDescent="0.25">
      <c r="A2112" t="s">
        <v>4</v>
      </c>
      <c r="B2112" t="s">
        <v>9</v>
      </c>
      <c r="F2112" t="s">
        <v>5357</v>
      </c>
      <c r="G2112" t="s">
        <v>12648</v>
      </c>
    </row>
    <row r="2113" spans="1:7" x14ac:dyDescent="0.25">
      <c r="A2113" t="s">
        <v>1607</v>
      </c>
      <c r="B2113" t="s">
        <v>9</v>
      </c>
      <c r="F2113" t="s">
        <v>5359</v>
      </c>
      <c r="G2113" t="s">
        <v>12648</v>
      </c>
    </row>
    <row r="2114" spans="1:7" x14ac:dyDescent="0.25">
      <c r="A2114" t="s">
        <v>4</v>
      </c>
      <c r="B2114" t="s">
        <v>9</v>
      </c>
      <c r="F2114" t="s">
        <v>5361</v>
      </c>
      <c r="G2114" t="s">
        <v>12649</v>
      </c>
    </row>
    <row r="2115" spans="1:7" x14ac:dyDescent="0.25">
      <c r="A2115" t="s">
        <v>4</v>
      </c>
      <c r="B2115" t="s">
        <v>5473</v>
      </c>
      <c r="F2115" t="s">
        <v>5363</v>
      </c>
      <c r="G2115" t="s">
        <v>12649</v>
      </c>
    </row>
    <row r="2116" spans="1:7" x14ac:dyDescent="0.25">
      <c r="A2116" t="s">
        <v>884</v>
      </c>
      <c r="B2116" t="s">
        <v>58</v>
      </c>
      <c r="F2116" t="s">
        <v>5365</v>
      </c>
      <c r="G2116" t="s">
        <v>12649</v>
      </c>
    </row>
    <row r="2117" spans="1:7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12649</v>
      </c>
    </row>
    <row r="2118" spans="1:7" x14ac:dyDescent="0.25">
      <c r="A2118" t="s">
        <v>884</v>
      </c>
      <c r="B2118" t="s">
        <v>58</v>
      </c>
      <c r="F2118" t="s">
        <v>5369</v>
      </c>
      <c r="G2118" t="s">
        <v>12649</v>
      </c>
    </row>
    <row r="2119" spans="1:7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12649</v>
      </c>
    </row>
    <row r="2120" spans="1:7" x14ac:dyDescent="0.25">
      <c r="A2120" t="s">
        <v>884</v>
      </c>
      <c r="B2120" t="s">
        <v>53</v>
      </c>
      <c r="F2120" t="s">
        <v>5373</v>
      </c>
      <c r="G2120" t="s">
        <v>12649</v>
      </c>
    </row>
    <row r="2121" spans="1:7" x14ac:dyDescent="0.25">
      <c r="A2121" t="s">
        <v>884</v>
      </c>
      <c r="B2121" t="s">
        <v>58</v>
      </c>
      <c r="F2121" t="s">
        <v>5375</v>
      </c>
      <c r="G2121" t="s">
        <v>12649</v>
      </c>
    </row>
    <row r="2122" spans="1:7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12649</v>
      </c>
    </row>
    <row r="2123" spans="1:7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12649</v>
      </c>
    </row>
    <row r="2124" spans="1:7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12649</v>
      </c>
    </row>
    <row r="2125" spans="1:7" x14ac:dyDescent="0.25">
      <c r="A2125" t="s">
        <v>884</v>
      </c>
      <c r="B2125" t="s">
        <v>53</v>
      </c>
      <c r="F2125" t="s">
        <v>5383</v>
      </c>
      <c r="G2125" t="s">
        <v>12649</v>
      </c>
    </row>
    <row r="2126" spans="1:7" x14ac:dyDescent="0.25">
      <c r="A2126" t="s">
        <v>4</v>
      </c>
      <c r="B2126" t="s">
        <v>5474</v>
      </c>
      <c r="F2126" t="s">
        <v>5385</v>
      </c>
      <c r="G2126" t="s">
        <v>12649</v>
      </c>
    </row>
    <row r="2127" spans="1:7" x14ac:dyDescent="0.25">
      <c r="A2127" t="s">
        <v>884</v>
      </c>
      <c r="B2127" t="s">
        <v>53</v>
      </c>
      <c r="F2127" t="s">
        <v>5387</v>
      </c>
      <c r="G2127" t="s">
        <v>12649</v>
      </c>
    </row>
    <row r="2128" spans="1:7" x14ac:dyDescent="0.25">
      <c r="A2128" t="s">
        <v>4</v>
      </c>
      <c r="B2128" t="s">
        <v>9</v>
      </c>
      <c r="F2128" t="s">
        <v>5389</v>
      </c>
      <c r="G2128" t="s">
        <v>12649</v>
      </c>
    </row>
    <row r="2129" spans="1:7" x14ac:dyDescent="0.25">
      <c r="A2129" t="s">
        <v>884</v>
      </c>
      <c r="B2129" t="s">
        <v>58</v>
      </c>
      <c r="F2129" t="s">
        <v>5391</v>
      </c>
      <c r="G2129" t="s">
        <v>12649</v>
      </c>
    </row>
    <row r="2130" spans="1:7" x14ac:dyDescent="0.25">
      <c r="A2130" t="s">
        <v>884</v>
      </c>
      <c r="B2130" t="s">
        <v>58</v>
      </c>
      <c r="F2130" t="s">
        <v>5393</v>
      </c>
      <c r="G2130" t="s">
        <v>12649</v>
      </c>
    </row>
    <row r="2131" spans="1:7" x14ac:dyDescent="0.25">
      <c r="A2131" t="s">
        <v>884</v>
      </c>
      <c r="B2131" t="s">
        <v>58</v>
      </c>
      <c r="F2131" t="s">
        <v>5395</v>
      </c>
      <c r="G2131" t="s">
        <v>12649</v>
      </c>
    </row>
    <row r="2132" spans="1:7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12649</v>
      </c>
    </row>
    <row r="2133" spans="1:7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12650</v>
      </c>
    </row>
    <row r="2134" spans="1:7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12650</v>
      </c>
    </row>
    <row r="2135" spans="1:7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12650</v>
      </c>
    </row>
    <row r="2136" spans="1:7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12650</v>
      </c>
    </row>
    <row r="2137" spans="1:7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12650</v>
      </c>
    </row>
    <row r="2138" spans="1:7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12650</v>
      </c>
    </row>
    <row r="2139" spans="1:7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12650</v>
      </c>
    </row>
    <row r="2140" spans="1:7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12650</v>
      </c>
    </row>
    <row r="2141" spans="1:7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12650</v>
      </c>
    </row>
    <row r="2142" spans="1:7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12650</v>
      </c>
    </row>
    <row r="2143" spans="1:7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12650</v>
      </c>
    </row>
    <row r="2144" spans="1:7" x14ac:dyDescent="0.25">
      <c r="A2144" t="s">
        <v>4</v>
      </c>
      <c r="B2144" t="s">
        <v>8</v>
      </c>
      <c r="F2144" t="s">
        <v>5421</v>
      </c>
      <c r="G2144" t="s">
        <v>12650</v>
      </c>
    </row>
    <row r="2145" spans="1:7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12650</v>
      </c>
    </row>
    <row r="2146" spans="1:7" x14ac:dyDescent="0.25">
      <c r="A2146" t="s">
        <v>1607</v>
      </c>
      <c r="B2146" t="s">
        <v>8</v>
      </c>
      <c r="F2146" t="s">
        <v>5425</v>
      </c>
      <c r="G2146" t="s">
        <v>12651</v>
      </c>
    </row>
    <row r="2147" spans="1:7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x14ac:dyDescent="0.25">
      <c r="A2161" t="s">
        <v>1607</v>
      </c>
      <c r="F2161" t="s">
        <v>5496</v>
      </c>
      <c r="G2161" t="s">
        <v>91</v>
      </c>
    </row>
    <row r="2162" spans="1:7" x14ac:dyDescent="0.25">
      <c r="A2162" t="s">
        <v>1607</v>
      </c>
      <c r="F2162" t="s">
        <v>5498</v>
      </c>
      <c r="G2162" t="s">
        <v>91</v>
      </c>
    </row>
    <row r="2163" spans="1:7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12647</v>
      </c>
    </row>
    <row r="2164" spans="1:7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12647</v>
      </c>
    </row>
    <row r="2165" spans="1:7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12647</v>
      </c>
    </row>
    <row r="2166" spans="1:7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12647</v>
      </c>
    </row>
    <row r="2167" spans="1:7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12647</v>
      </c>
    </row>
    <row r="2168" spans="1:7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12647</v>
      </c>
    </row>
    <row r="2169" spans="1:7" x14ac:dyDescent="0.25">
      <c r="A2169" t="s">
        <v>1607</v>
      </c>
      <c r="B2169" t="s">
        <v>8</v>
      </c>
      <c r="F2169" t="s">
        <v>5494</v>
      </c>
      <c r="G2169" t="s">
        <v>12647</v>
      </c>
    </row>
    <row r="2170" spans="1:7" x14ac:dyDescent="0.25">
      <c r="A2170" t="s">
        <v>1607</v>
      </c>
      <c r="B2170" t="s">
        <v>8</v>
      </c>
      <c r="F2170" t="s">
        <v>5506</v>
      </c>
      <c r="G2170" t="s">
        <v>11076</v>
      </c>
    </row>
    <row r="2171" spans="1:7" x14ac:dyDescent="0.25">
      <c r="A2171" t="s">
        <v>1607</v>
      </c>
      <c r="B2171" t="s">
        <v>8</v>
      </c>
      <c r="F2171" t="s">
        <v>5508</v>
      </c>
      <c r="G2171" t="s">
        <v>11076</v>
      </c>
    </row>
    <row r="2172" spans="1:7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x14ac:dyDescent="0.25">
      <c r="A2184" t="s">
        <v>3377</v>
      </c>
      <c r="F2184" t="s">
        <v>5688</v>
      </c>
      <c r="G2184" t="s">
        <v>897</v>
      </c>
    </row>
    <row r="2185" spans="1:7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x14ac:dyDescent="0.25">
      <c r="A2186" t="s">
        <v>1607</v>
      </c>
      <c r="B2186" t="s">
        <v>9</v>
      </c>
      <c r="F2186" t="s">
        <v>5525</v>
      </c>
      <c r="G2186" t="s">
        <v>12648</v>
      </c>
    </row>
    <row r="2187" spans="1:7" x14ac:dyDescent="0.25">
      <c r="A2187" t="s">
        <v>4</v>
      </c>
      <c r="B2187" t="s">
        <v>9</v>
      </c>
      <c r="F2187" t="s">
        <v>5527</v>
      </c>
      <c r="G2187" t="s">
        <v>12648</v>
      </c>
    </row>
    <row r="2188" spans="1:7" x14ac:dyDescent="0.25">
      <c r="A2188" t="s">
        <v>5694</v>
      </c>
      <c r="F2188" t="s">
        <v>5529</v>
      </c>
      <c r="G2188" t="s">
        <v>12648</v>
      </c>
    </row>
    <row r="2189" spans="1:7" x14ac:dyDescent="0.25">
      <c r="A2189" t="s">
        <v>884</v>
      </c>
      <c r="B2189" t="s">
        <v>5695</v>
      </c>
      <c r="F2189" t="s">
        <v>5531</v>
      </c>
      <c r="G2189" t="s">
        <v>12648</v>
      </c>
    </row>
    <row r="2190" spans="1:7" x14ac:dyDescent="0.25">
      <c r="A2190" t="s">
        <v>1607</v>
      </c>
      <c r="B2190" t="s">
        <v>9</v>
      </c>
      <c r="F2190" t="s">
        <v>5533</v>
      </c>
      <c r="G2190" t="s">
        <v>12648</v>
      </c>
    </row>
    <row r="2191" spans="1:7" x14ac:dyDescent="0.25">
      <c r="A2191" t="s">
        <v>4</v>
      </c>
      <c r="B2191" t="s">
        <v>9</v>
      </c>
      <c r="F2191" t="s">
        <v>5535</v>
      </c>
      <c r="G2191" t="s">
        <v>12649</v>
      </c>
    </row>
    <row r="2192" spans="1:7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12649</v>
      </c>
    </row>
    <row r="2193" spans="1:7" x14ac:dyDescent="0.25">
      <c r="A2193" t="s">
        <v>884</v>
      </c>
      <c r="B2193" t="s">
        <v>58</v>
      </c>
      <c r="F2193" t="s">
        <v>5539</v>
      </c>
      <c r="G2193" t="s">
        <v>12649</v>
      </c>
    </row>
    <row r="2194" spans="1:7" x14ac:dyDescent="0.25">
      <c r="A2194" t="s">
        <v>884</v>
      </c>
      <c r="B2194" t="s">
        <v>58</v>
      </c>
      <c r="F2194" t="s">
        <v>5541</v>
      </c>
      <c r="G2194" t="s">
        <v>12649</v>
      </c>
    </row>
    <row r="2195" spans="1:7" x14ac:dyDescent="0.25">
      <c r="A2195" t="s">
        <v>884</v>
      </c>
      <c r="B2195" t="s">
        <v>58</v>
      </c>
      <c r="F2195" t="s">
        <v>5543</v>
      </c>
      <c r="G2195" t="s">
        <v>12649</v>
      </c>
    </row>
    <row r="2196" spans="1:7" x14ac:dyDescent="0.25">
      <c r="A2196" t="s">
        <v>884</v>
      </c>
      <c r="B2196" t="s">
        <v>58</v>
      </c>
      <c r="F2196" t="s">
        <v>5545</v>
      </c>
      <c r="G2196" t="s">
        <v>12649</v>
      </c>
    </row>
    <row r="2197" spans="1:7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12649</v>
      </c>
    </row>
    <row r="2198" spans="1:7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12649</v>
      </c>
    </row>
    <row r="2199" spans="1:7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12649</v>
      </c>
    </row>
    <row r="2200" spans="1:7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12649</v>
      </c>
    </row>
    <row r="2201" spans="1:7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12649</v>
      </c>
    </row>
    <row r="2202" spans="1:7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12649</v>
      </c>
    </row>
    <row r="2203" spans="1:7" x14ac:dyDescent="0.25">
      <c r="A2203" t="s">
        <v>4</v>
      </c>
      <c r="B2203" t="s">
        <v>9</v>
      </c>
      <c r="F2203" t="s">
        <v>5559</v>
      </c>
      <c r="G2203" t="s">
        <v>12649</v>
      </c>
    </row>
    <row r="2204" spans="1:7" x14ac:dyDescent="0.25">
      <c r="A2204" t="s">
        <v>884</v>
      </c>
      <c r="B2204" t="s">
        <v>58</v>
      </c>
      <c r="F2204" t="s">
        <v>5561</v>
      </c>
      <c r="G2204" t="s">
        <v>12649</v>
      </c>
    </row>
    <row r="2205" spans="1:7" x14ac:dyDescent="0.25">
      <c r="A2205" t="s">
        <v>4</v>
      </c>
      <c r="B2205" t="s">
        <v>9</v>
      </c>
      <c r="F2205" t="s">
        <v>5563</v>
      </c>
      <c r="G2205" t="s">
        <v>12649</v>
      </c>
    </row>
    <row r="2206" spans="1:7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12649</v>
      </c>
    </row>
    <row r="2207" spans="1:7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12649</v>
      </c>
    </row>
    <row r="2208" spans="1:7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12649</v>
      </c>
    </row>
    <row r="2209" spans="1:7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12649</v>
      </c>
    </row>
    <row r="2210" spans="1:7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12649</v>
      </c>
    </row>
    <row r="2211" spans="1:7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12649</v>
      </c>
    </row>
    <row r="2212" spans="1:7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12649</v>
      </c>
    </row>
    <row r="2213" spans="1:7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12649</v>
      </c>
    </row>
    <row r="2214" spans="1:7" x14ac:dyDescent="0.25">
      <c r="A2214" t="s">
        <v>4</v>
      </c>
      <c r="B2214" t="s">
        <v>9</v>
      </c>
      <c r="F2214" t="s">
        <v>5581</v>
      </c>
      <c r="G2214" t="s">
        <v>12649</v>
      </c>
    </row>
    <row r="2215" spans="1:7" x14ac:dyDescent="0.25">
      <c r="A2215" t="s">
        <v>1607</v>
      </c>
      <c r="B2215" t="s">
        <v>9</v>
      </c>
      <c r="F2215" t="s">
        <v>5583</v>
      </c>
      <c r="G2215" t="s">
        <v>12649</v>
      </c>
    </row>
    <row r="2216" spans="1:7" x14ac:dyDescent="0.25">
      <c r="A2216" t="s">
        <v>1607</v>
      </c>
      <c r="B2216" t="s">
        <v>9</v>
      </c>
      <c r="F2216" t="s">
        <v>5585</v>
      </c>
      <c r="G2216" t="s">
        <v>12649</v>
      </c>
    </row>
    <row r="2217" spans="1:7" x14ac:dyDescent="0.25">
      <c r="A2217" t="s">
        <v>4</v>
      </c>
      <c r="B2217" t="s">
        <v>8</v>
      </c>
      <c r="F2217" t="s">
        <v>5587</v>
      </c>
      <c r="G2217" t="s">
        <v>12650</v>
      </c>
    </row>
    <row r="2218" spans="1:7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12650</v>
      </c>
    </row>
    <row r="2219" spans="1:7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12650</v>
      </c>
    </row>
    <row r="2220" spans="1:7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12650</v>
      </c>
    </row>
    <row r="2221" spans="1:7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12650</v>
      </c>
    </row>
    <row r="2222" spans="1:7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12650</v>
      </c>
    </row>
    <row r="2223" spans="1:7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12650</v>
      </c>
    </row>
    <row r="2224" spans="1:7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12650</v>
      </c>
    </row>
    <row r="2225" spans="1:7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12650</v>
      </c>
    </row>
    <row r="2226" spans="1:7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12650</v>
      </c>
    </row>
    <row r="2227" spans="1:7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12650</v>
      </c>
    </row>
    <row r="2228" spans="1:7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12650</v>
      </c>
    </row>
    <row r="2229" spans="1:7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12650</v>
      </c>
    </row>
    <row r="2230" spans="1:7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12650</v>
      </c>
    </row>
    <row r="2231" spans="1:7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12650</v>
      </c>
    </row>
    <row r="2232" spans="1:7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12650</v>
      </c>
    </row>
    <row r="2233" spans="1:7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12650</v>
      </c>
    </row>
    <row r="2234" spans="1:7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12650</v>
      </c>
    </row>
    <row r="2235" spans="1:7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12650</v>
      </c>
    </row>
    <row r="2236" spans="1:7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12650</v>
      </c>
    </row>
    <row r="2237" spans="1:7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12650</v>
      </c>
    </row>
    <row r="2238" spans="1:7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12650</v>
      </c>
    </row>
    <row r="2239" spans="1:7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12650</v>
      </c>
    </row>
    <row r="2240" spans="1:7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12650</v>
      </c>
    </row>
    <row r="2241" spans="1:7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12650</v>
      </c>
    </row>
    <row r="2242" spans="1:7" x14ac:dyDescent="0.25">
      <c r="A2242" t="s">
        <v>4</v>
      </c>
      <c r="B2242" t="s">
        <v>8</v>
      </c>
      <c r="F2242" t="s">
        <v>5637</v>
      </c>
      <c r="G2242" t="s">
        <v>12650</v>
      </c>
    </row>
    <row r="2243" spans="1:7" x14ac:dyDescent="0.25">
      <c r="A2243" t="s">
        <v>1607</v>
      </c>
      <c r="B2243" t="s">
        <v>8</v>
      </c>
      <c r="F2243" t="s">
        <v>5639</v>
      </c>
      <c r="G2243" t="s">
        <v>12650</v>
      </c>
    </row>
    <row r="2244" spans="1:7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12651</v>
      </c>
    </row>
    <row r="2245" spans="1:7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12651</v>
      </c>
    </row>
    <row r="2246" spans="1:7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12651</v>
      </c>
    </row>
    <row r="2247" spans="1:7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12651</v>
      </c>
    </row>
    <row r="2248" spans="1:7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12651</v>
      </c>
    </row>
    <row r="2249" spans="1:7" x14ac:dyDescent="0.25">
      <c r="A2249" t="s">
        <v>4</v>
      </c>
      <c r="B2249" t="s">
        <v>8</v>
      </c>
      <c r="F2249" t="s">
        <v>5651</v>
      </c>
      <c r="G2249" t="s">
        <v>12651</v>
      </c>
    </row>
    <row r="2250" spans="1:7" x14ac:dyDescent="0.25">
      <c r="A2250" t="s">
        <v>1607</v>
      </c>
      <c r="B2250" t="s">
        <v>8</v>
      </c>
      <c r="F2250" t="s">
        <v>5653</v>
      </c>
      <c r="G2250" t="s">
        <v>12651</v>
      </c>
    </row>
    <row r="2251" spans="1:7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x14ac:dyDescent="0.25">
      <c r="A2257" t="s">
        <v>1607</v>
      </c>
      <c r="F2257" t="s">
        <v>5703</v>
      </c>
      <c r="G2257" t="s">
        <v>91</v>
      </c>
    </row>
    <row r="2258" spans="1:7" x14ac:dyDescent="0.25">
      <c r="A2258" t="s">
        <v>1607</v>
      </c>
      <c r="B2258" t="s">
        <v>8</v>
      </c>
      <c r="F2258" t="s">
        <v>5705</v>
      </c>
      <c r="G2258" t="s">
        <v>12647</v>
      </c>
    </row>
    <row r="2259" spans="1:7" x14ac:dyDescent="0.25">
      <c r="A2259" t="s">
        <v>1607</v>
      </c>
      <c r="B2259" t="s">
        <v>8</v>
      </c>
      <c r="F2259" t="s">
        <v>5707</v>
      </c>
      <c r="G2259" t="s">
        <v>11076</v>
      </c>
    </row>
    <row r="2260" spans="1:7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x14ac:dyDescent="0.25">
      <c r="A2264" t="s">
        <v>1607</v>
      </c>
      <c r="B2264" t="s">
        <v>9</v>
      </c>
      <c r="F2264" t="s">
        <v>5715</v>
      </c>
      <c r="G2264" t="s">
        <v>12648</v>
      </c>
    </row>
    <row r="2265" spans="1:7" x14ac:dyDescent="0.25">
      <c r="A2265" t="s">
        <v>4</v>
      </c>
      <c r="B2265" t="s">
        <v>9</v>
      </c>
      <c r="F2265" t="s">
        <v>5717</v>
      </c>
      <c r="G2265" t="s">
        <v>12649</v>
      </c>
    </row>
    <row r="2266" spans="1:7" x14ac:dyDescent="0.25">
      <c r="A2266" t="s">
        <v>4</v>
      </c>
      <c r="B2266" t="s">
        <v>5736</v>
      </c>
      <c r="F2266" t="s">
        <v>5719</v>
      </c>
      <c r="G2266" t="s">
        <v>12649</v>
      </c>
    </row>
    <row r="2267" spans="1:7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12649</v>
      </c>
    </row>
    <row r="2268" spans="1:7" x14ac:dyDescent="0.25">
      <c r="A2268" t="s">
        <v>1607</v>
      </c>
      <c r="B2268" t="s">
        <v>8</v>
      </c>
      <c r="F2268" t="s">
        <v>5723</v>
      </c>
      <c r="G2268" t="s">
        <v>12650</v>
      </c>
    </row>
    <row r="2269" spans="1:7" x14ac:dyDescent="0.25">
      <c r="A2269" t="s">
        <v>1607</v>
      </c>
      <c r="B2269" t="s">
        <v>8</v>
      </c>
      <c r="F2269" t="s">
        <v>5725</v>
      </c>
      <c r="G2269" t="s">
        <v>12651</v>
      </c>
    </row>
    <row r="2270" spans="1:7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12647</v>
      </c>
    </row>
    <row r="2277" spans="1:7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12647</v>
      </c>
    </row>
    <row r="2278" spans="1:7" x14ac:dyDescent="0.25">
      <c r="A2278" t="s">
        <v>1607</v>
      </c>
      <c r="B2278" t="s">
        <v>8</v>
      </c>
      <c r="F2278" t="s">
        <v>5741</v>
      </c>
      <c r="G2278" t="s">
        <v>12647</v>
      </c>
    </row>
    <row r="2279" spans="1:7" x14ac:dyDescent="0.25">
      <c r="A2279" t="s">
        <v>1607</v>
      </c>
      <c r="B2279" t="s">
        <v>8</v>
      </c>
      <c r="F2279" t="s">
        <v>5772</v>
      </c>
      <c r="G2279" t="s">
        <v>11076</v>
      </c>
    </row>
    <row r="2280" spans="1:7" x14ac:dyDescent="0.25">
      <c r="A2280" t="s">
        <v>4</v>
      </c>
      <c r="B2280" t="s">
        <v>8</v>
      </c>
      <c r="F2280" t="s">
        <v>5774</v>
      </c>
      <c r="G2280" t="s">
        <v>11076</v>
      </c>
    </row>
    <row r="2281" spans="1:7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11076</v>
      </c>
    </row>
    <row r="2282" spans="1:7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x14ac:dyDescent="0.25">
      <c r="A2317" t="s">
        <v>1607</v>
      </c>
      <c r="B2317" t="s">
        <v>9</v>
      </c>
      <c r="F2317" t="s">
        <v>5890</v>
      </c>
      <c r="G2317" t="s">
        <v>12648</v>
      </c>
    </row>
    <row r="2318" spans="1:7" x14ac:dyDescent="0.25">
      <c r="A2318" t="s">
        <v>1607</v>
      </c>
      <c r="B2318" t="s">
        <v>9</v>
      </c>
      <c r="F2318" t="s">
        <v>5892</v>
      </c>
      <c r="G2318" t="s">
        <v>12648</v>
      </c>
    </row>
    <row r="2319" spans="1:7" x14ac:dyDescent="0.25">
      <c r="A2319" t="s">
        <v>4</v>
      </c>
      <c r="B2319" t="s">
        <v>9</v>
      </c>
      <c r="F2319" t="s">
        <v>5778</v>
      </c>
      <c r="G2319" t="s">
        <v>12649</v>
      </c>
    </row>
    <row r="2320" spans="1:7" x14ac:dyDescent="0.25">
      <c r="A2320" t="s">
        <v>4</v>
      </c>
      <c r="B2320" t="s">
        <v>5736</v>
      </c>
      <c r="F2320" t="s">
        <v>5780</v>
      </c>
      <c r="G2320" t="s">
        <v>12649</v>
      </c>
    </row>
    <row r="2321" spans="1:7" x14ac:dyDescent="0.25">
      <c r="A2321" t="s">
        <v>4</v>
      </c>
      <c r="B2321" t="s">
        <v>9</v>
      </c>
      <c r="F2321" t="s">
        <v>5782</v>
      </c>
      <c r="G2321" t="s">
        <v>12649</v>
      </c>
    </row>
    <row r="2322" spans="1:7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12649</v>
      </c>
    </row>
    <row r="2323" spans="1:7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12649</v>
      </c>
    </row>
    <row r="2324" spans="1:7" x14ac:dyDescent="0.25">
      <c r="A2324" t="s">
        <v>4</v>
      </c>
      <c r="B2324" t="s">
        <v>5736</v>
      </c>
      <c r="F2324" t="s">
        <v>5788</v>
      </c>
      <c r="G2324" t="s">
        <v>12649</v>
      </c>
    </row>
    <row r="2325" spans="1:7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12649</v>
      </c>
    </row>
    <row r="2326" spans="1:7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12649</v>
      </c>
    </row>
    <row r="2327" spans="1:7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12649</v>
      </c>
    </row>
    <row r="2328" spans="1:7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12649</v>
      </c>
    </row>
    <row r="2329" spans="1:7" x14ac:dyDescent="0.25">
      <c r="A2329" t="s">
        <v>1607</v>
      </c>
      <c r="B2329" t="s">
        <v>8</v>
      </c>
      <c r="F2329" t="s">
        <v>5798</v>
      </c>
      <c r="G2329" t="s">
        <v>12650</v>
      </c>
    </row>
    <row r="2330" spans="1:7" x14ac:dyDescent="0.25">
      <c r="A2330" t="s">
        <v>1607</v>
      </c>
      <c r="B2330" t="s">
        <v>8</v>
      </c>
      <c r="F2330" t="s">
        <v>5800</v>
      </c>
      <c r="G2330" t="s">
        <v>12650</v>
      </c>
    </row>
    <row r="2331" spans="1:7" x14ac:dyDescent="0.25">
      <c r="A2331" t="s">
        <v>1607</v>
      </c>
      <c r="B2331" t="s">
        <v>8</v>
      </c>
      <c r="F2331" t="s">
        <v>5802</v>
      </c>
      <c r="G2331" t="s">
        <v>12651</v>
      </c>
    </row>
    <row r="2332" spans="1:7" x14ac:dyDescent="0.25">
      <c r="A2332" t="s">
        <v>1607</v>
      </c>
      <c r="B2332" t="s">
        <v>8</v>
      </c>
      <c r="F2332" t="s">
        <v>5804</v>
      </c>
      <c r="G2332" t="s">
        <v>12651</v>
      </c>
    </row>
    <row r="2333" spans="1:7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x14ac:dyDescent="0.25">
      <c r="A2338" t="s">
        <v>1607</v>
      </c>
      <c r="F2338" t="s">
        <v>5911</v>
      </c>
      <c r="G2338" t="s">
        <v>91</v>
      </c>
    </row>
    <row r="2339" spans="1:7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x14ac:dyDescent="0.25">
      <c r="A2345" t="s">
        <v>1607</v>
      </c>
      <c r="B2345" t="s">
        <v>8</v>
      </c>
      <c r="F2345" t="s">
        <v>5925</v>
      </c>
      <c r="G2345" t="s">
        <v>12647</v>
      </c>
    </row>
    <row r="2346" spans="1:7" x14ac:dyDescent="0.25">
      <c r="A2346" t="s">
        <v>1607</v>
      </c>
      <c r="B2346" t="s">
        <v>8</v>
      </c>
      <c r="F2346" t="s">
        <v>5927</v>
      </c>
      <c r="G2346" t="s">
        <v>12647</v>
      </c>
    </row>
    <row r="2347" spans="1:7" x14ac:dyDescent="0.25">
      <c r="A2347" t="s">
        <v>1607</v>
      </c>
      <c r="B2347" t="s">
        <v>8</v>
      </c>
      <c r="F2347" t="s">
        <v>5951</v>
      </c>
      <c r="G2347" t="s">
        <v>11076</v>
      </c>
    </row>
    <row r="2348" spans="1:7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11076</v>
      </c>
    </row>
    <row r="2349" spans="1:7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11076</v>
      </c>
    </row>
    <row r="2350" spans="1:7" x14ac:dyDescent="0.25">
      <c r="A2350" t="s">
        <v>1607</v>
      </c>
      <c r="B2350" t="s">
        <v>8</v>
      </c>
      <c r="F2350" t="s">
        <v>5957</v>
      </c>
      <c r="G2350" t="s">
        <v>11076</v>
      </c>
    </row>
    <row r="2351" spans="1:7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x14ac:dyDescent="0.25">
      <c r="A2388" t="s">
        <v>1607</v>
      </c>
      <c r="B2388" t="s">
        <v>9</v>
      </c>
      <c r="F2388" t="s">
        <v>5929</v>
      </c>
      <c r="G2388" t="s">
        <v>12648</v>
      </c>
    </row>
    <row r="2389" spans="1:7" x14ac:dyDescent="0.25">
      <c r="A2389" t="s">
        <v>1607</v>
      </c>
      <c r="B2389" t="s">
        <v>9</v>
      </c>
      <c r="F2389" t="s">
        <v>5931</v>
      </c>
      <c r="G2389" t="s">
        <v>12648</v>
      </c>
    </row>
    <row r="2390" spans="1:7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12649</v>
      </c>
    </row>
    <row r="2391" spans="1:7" x14ac:dyDescent="0.25">
      <c r="A2391" t="s">
        <v>4</v>
      </c>
      <c r="B2391" t="s">
        <v>6157</v>
      </c>
      <c r="F2391" t="s">
        <v>5935</v>
      </c>
      <c r="G2391" t="s">
        <v>12649</v>
      </c>
    </row>
    <row r="2392" spans="1:7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12649</v>
      </c>
    </row>
    <row r="2393" spans="1:7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12649</v>
      </c>
    </row>
    <row r="2394" spans="1:7" x14ac:dyDescent="0.25">
      <c r="A2394" t="s">
        <v>4</v>
      </c>
      <c r="B2394" t="s">
        <v>6157</v>
      </c>
      <c r="F2394" t="s">
        <v>5941</v>
      </c>
      <c r="G2394" t="s">
        <v>12649</v>
      </c>
    </row>
    <row r="2395" spans="1:7" x14ac:dyDescent="0.25">
      <c r="A2395" t="s">
        <v>4</v>
      </c>
      <c r="B2395" t="s">
        <v>6157</v>
      </c>
      <c r="F2395" t="s">
        <v>5943</v>
      </c>
      <c r="G2395" t="s">
        <v>12649</v>
      </c>
    </row>
    <row r="2396" spans="1:7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12649</v>
      </c>
    </row>
    <row r="2397" spans="1:7" x14ac:dyDescent="0.25">
      <c r="A2397" t="s">
        <v>4</v>
      </c>
      <c r="B2397" t="s">
        <v>6157</v>
      </c>
      <c r="F2397" t="s">
        <v>5947</v>
      </c>
      <c r="G2397" t="s">
        <v>12649</v>
      </c>
    </row>
    <row r="2398" spans="1:7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12649</v>
      </c>
    </row>
    <row r="2399" spans="1:7" x14ac:dyDescent="0.25">
      <c r="A2399" t="s">
        <v>1607</v>
      </c>
      <c r="B2399" t="s">
        <v>8</v>
      </c>
      <c r="F2399" t="s">
        <v>5959</v>
      </c>
      <c r="G2399" t="s">
        <v>12650</v>
      </c>
    </row>
    <row r="2400" spans="1:7" x14ac:dyDescent="0.25">
      <c r="A2400" t="s">
        <v>6159</v>
      </c>
      <c r="B2400" t="s">
        <v>1274</v>
      </c>
      <c r="F2400" t="s">
        <v>5961</v>
      </c>
      <c r="G2400" t="s">
        <v>12650</v>
      </c>
    </row>
    <row r="2401" spans="1:7" x14ac:dyDescent="0.25">
      <c r="A2401" t="s">
        <v>6159</v>
      </c>
      <c r="B2401" t="s">
        <v>1274</v>
      </c>
      <c r="F2401" t="s">
        <v>5963</v>
      </c>
      <c r="G2401" t="s">
        <v>12650</v>
      </c>
    </row>
    <row r="2402" spans="1:7" x14ac:dyDescent="0.25">
      <c r="A2402" t="s">
        <v>1607</v>
      </c>
      <c r="B2402" t="s">
        <v>8</v>
      </c>
      <c r="F2402" t="s">
        <v>5965</v>
      </c>
      <c r="G2402" t="s">
        <v>12650</v>
      </c>
    </row>
    <row r="2403" spans="1:7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12650</v>
      </c>
    </row>
    <row r="2404" spans="1:7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12650</v>
      </c>
    </row>
    <row r="2405" spans="1:7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12650</v>
      </c>
    </row>
    <row r="2406" spans="1:7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12650</v>
      </c>
    </row>
    <row r="2407" spans="1:7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12650</v>
      </c>
    </row>
    <row r="2408" spans="1:7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12650</v>
      </c>
    </row>
    <row r="2409" spans="1:7" x14ac:dyDescent="0.25">
      <c r="A2409" t="s">
        <v>6160</v>
      </c>
      <c r="B2409" t="s">
        <v>468</v>
      </c>
      <c r="F2409" t="s">
        <v>5984</v>
      </c>
      <c r="G2409" t="s">
        <v>12650</v>
      </c>
    </row>
    <row r="2410" spans="1:7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12650</v>
      </c>
    </row>
    <row r="2411" spans="1:7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12650</v>
      </c>
    </row>
    <row r="2412" spans="1:7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12650</v>
      </c>
    </row>
    <row r="2413" spans="1:7" x14ac:dyDescent="0.25">
      <c r="A2413" t="s">
        <v>1607</v>
      </c>
      <c r="B2413" t="s">
        <v>8</v>
      </c>
      <c r="F2413" t="s">
        <v>5992</v>
      </c>
      <c r="G2413" t="s">
        <v>12650</v>
      </c>
    </row>
    <row r="2414" spans="1:7" x14ac:dyDescent="0.25">
      <c r="A2414" t="s">
        <v>1607</v>
      </c>
      <c r="B2414" t="s">
        <v>8</v>
      </c>
      <c r="F2414" t="s">
        <v>5994</v>
      </c>
      <c r="G2414" t="s">
        <v>12650</v>
      </c>
    </row>
    <row r="2415" spans="1:7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12651</v>
      </c>
    </row>
    <row r="2416" spans="1:7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12651</v>
      </c>
    </row>
    <row r="2417" spans="1:7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12651</v>
      </c>
    </row>
    <row r="2418" spans="1:7" x14ac:dyDescent="0.25">
      <c r="A2418" t="s">
        <v>4</v>
      </c>
      <c r="B2418" t="s">
        <v>8</v>
      </c>
      <c r="F2418" t="s">
        <v>6002</v>
      </c>
      <c r="G2418" t="s">
        <v>12651</v>
      </c>
    </row>
    <row r="2419" spans="1:7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12651</v>
      </c>
    </row>
    <row r="2420" spans="1:7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12651</v>
      </c>
    </row>
    <row r="2421" spans="1:7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12651</v>
      </c>
    </row>
    <row r="2422" spans="1:7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12651</v>
      </c>
    </row>
    <row r="2423" spans="1:7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12651</v>
      </c>
    </row>
    <row r="2424" spans="1:7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12651</v>
      </c>
    </row>
    <row r="2425" spans="1:7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x14ac:dyDescent="0.25">
      <c r="A2436" t="s">
        <v>1607</v>
      </c>
      <c r="B2436" t="s">
        <v>8</v>
      </c>
      <c r="F2436" t="s">
        <v>6168</v>
      </c>
      <c r="G2436" t="s">
        <v>12647</v>
      </c>
    </row>
    <row r="2437" spans="1:7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11076</v>
      </c>
    </row>
    <row r="2438" spans="1:7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11076</v>
      </c>
    </row>
    <row r="2439" spans="1:7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11076</v>
      </c>
    </row>
    <row r="2440" spans="1:7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x14ac:dyDescent="0.25">
      <c r="A2453" t="s">
        <v>1607</v>
      </c>
      <c r="B2453" t="s">
        <v>9</v>
      </c>
      <c r="F2453" t="s">
        <v>6293</v>
      </c>
      <c r="G2453" t="s">
        <v>12648</v>
      </c>
    </row>
    <row r="2454" spans="1:7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12649</v>
      </c>
    </row>
    <row r="2455" spans="1:7" x14ac:dyDescent="0.25">
      <c r="A2455" t="s">
        <v>4</v>
      </c>
      <c r="B2455" t="s">
        <v>6157</v>
      </c>
      <c r="F2455" t="s">
        <v>6176</v>
      </c>
      <c r="G2455" t="s">
        <v>12649</v>
      </c>
    </row>
    <row r="2456" spans="1:7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12649</v>
      </c>
    </row>
    <row r="2457" spans="1:7" x14ac:dyDescent="0.25">
      <c r="A2457" t="s">
        <v>4</v>
      </c>
      <c r="B2457" t="s">
        <v>6157</v>
      </c>
      <c r="F2457" t="s">
        <v>6180</v>
      </c>
      <c r="G2457" t="s">
        <v>12649</v>
      </c>
    </row>
    <row r="2458" spans="1:7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12649</v>
      </c>
    </row>
    <row r="2459" spans="1:7" x14ac:dyDescent="0.25">
      <c r="A2459" t="s">
        <v>1607</v>
      </c>
      <c r="B2459" t="s">
        <v>8</v>
      </c>
      <c r="F2459" t="s">
        <v>6184</v>
      </c>
      <c r="G2459" t="s">
        <v>12650</v>
      </c>
    </row>
    <row r="2460" spans="1:7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12651</v>
      </c>
    </row>
    <row r="2461" spans="1:7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12651</v>
      </c>
    </row>
    <row r="2462" spans="1:7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12651</v>
      </c>
    </row>
    <row r="2463" spans="1:7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12651</v>
      </c>
    </row>
    <row r="2464" spans="1:7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12651</v>
      </c>
    </row>
    <row r="2465" spans="1:7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12651</v>
      </c>
    </row>
    <row r="2466" spans="1:7" x14ac:dyDescent="0.25">
      <c r="A2466" t="s">
        <v>6299</v>
      </c>
      <c r="B2466" t="s">
        <v>468</v>
      </c>
      <c r="F2466" t="s">
        <v>6198</v>
      </c>
      <c r="G2466" t="s">
        <v>12651</v>
      </c>
    </row>
    <row r="2467" spans="1:7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12651</v>
      </c>
    </row>
    <row r="2468" spans="1:7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12651</v>
      </c>
    </row>
    <row r="2469" spans="1:7" x14ac:dyDescent="0.25">
      <c r="A2469" t="s">
        <v>4</v>
      </c>
      <c r="B2469" t="s">
        <v>8</v>
      </c>
      <c r="F2469" t="s">
        <v>6204</v>
      </c>
      <c r="G2469" t="s">
        <v>12651</v>
      </c>
    </row>
    <row r="2470" spans="1:7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12647</v>
      </c>
    </row>
    <row r="2498" spans="1:7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12647</v>
      </c>
    </row>
    <row r="2499" spans="1:7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12647</v>
      </c>
    </row>
    <row r="2500" spans="1:7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12647</v>
      </c>
    </row>
    <row r="2501" spans="1:7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12647</v>
      </c>
    </row>
    <row r="2502" spans="1:7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12647</v>
      </c>
    </row>
    <row r="2503" spans="1:7" x14ac:dyDescent="0.25">
      <c r="A2503" t="s">
        <v>1607</v>
      </c>
      <c r="B2503" t="s">
        <v>8</v>
      </c>
      <c r="F2503" t="s">
        <v>6353</v>
      </c>
      <c r="G2503" t="s">
        <v>11076</v>
      </c>
    </row>
    <row r="2504" spans="1:7" x14ac:dyDescent="0.25">
      <c r="A2504" t="s">
        <v>1607</v>
      </c>
      <c r="B2504" t="s">
        <v>8</v>
      </c>
      <c r="F2504" t="s">
        <v>6355</v>
      </c>
      <c r="G2504" t="s">
        <v>11076</v>
      </c>
    </row>
    <row r="2505" spans="1:7" x14ac:dyDescent="0.25">
      <c r="A2505" t="s">
        <v>4</v>
      </c>
      <c r="B2505" t="s">
        <v>468</v>
      </c>
      <c r="F2505" t="s">
        <v>6357</v>
      </c>
      <c r="G2505" t="s">
        <v>11076</v>
      </c>
    </row>
    <row r="2506" spans="1:7" x14ac:dyDescent="0.25">
      <c r="A2506" t="s">
        <v>1607</v>
      </c>
      <c r="B2506" t="s">
        <v>8</v>
      </c>
      <c r="F2506" t="s">
        <v>6359</v>
      </c>
      <c r="G2506" t="s">
        <v>11076</v>
      </c>
    </row>
    <row r="2507" spans="1:7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x14ac:dyDescent="0.25">
      <c r="A2524" t="s">
        <v>1607</v>
      </c>
      <c r="B2524" t="s">
        <v>9</v>
      </c>
      <c r="F2524" t="s">
        <v>6422</v>
      </c>
      <c r="G2524" t="s">
        <v>12648</v>
      </c>
    </row>
    <row r="2525" spans="1:7" x14ac:dyDescent="0.25">
      <c r="A2525" t="s">
        <v>1607</v>
      </c>
      <c r="B2525" t="s">
        <v>9</v>
      </c>
      <c r="F2525" t="s">
        <v>6424</v>
      </c>
      <c r="G2525" t="s">
        <v>12648</v>
      </c>
    </row>
    <row r="2526" spans="1:7" x14ac:dyDescent="0.25">
      <c r="A2526" t="s">
        <v>1607</v>
      </c>
      <c r="B2526" t="s">
        <v>86</v>
      </c>
      <c r="F2526" t="s">
        <v>6361</v>
      </c>
      <c r="G2526" t="s">
        <v>12649</v>
      </c>
    </row>
    <row r="2527" spans="1:7" x14ac:dyDescent="0.25">
      <c r="A2527" t="s">
        <v>1607</v>
      </c>
      <c r="B2527" t="s">
        <v>86</v>
      </c>
      <c r="F2527" t="s">
        <v>6363</v>
      </c>
      <c r="G2527" t="s">
        <v>12649</v>
      </c>
    </row>
    <row r="2528" spans="1:7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12650</v>
      </c>
    </row>
    <row r="2529" spans="1:7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12650</v>
      </c>
    </row>
    <row r="2530" spans="1:7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12650</v>
      </c>
    </row>
    <row r="2531" spans="1:7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12650</v>
      </c>
    </row>
    <row r="2532" spans="1:7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12651</v>
      </c>
    </row>
    <row r="2533" spans="1:7" x14ac:dyDescent="0.25">
      <c r="A2533" t="s">
        <v>4</v>
      </c>
      <c r="B2533" t="s">
        <v>6439</v>
      </c>
      <c r="F2533" t="s">
        <v>6367</v>
      </c>
      <c r="G2533" t="s">
        <v>12651</v>
      </c>
    </row>
    <row r="2534" spans="1:7" x14ac:dyDescent="0.25">
      <c r="A2534" t="s">
        <v>4</v>
      </c>
      <c r="B2534" t="s">
        <v>8</v>
      </c>
      <c r="F2534" t="s">
        <v>6369</v>
      </c>
      <c r="G2534" t="s">
        <v>12651</v>
      </c>
    </row>
    <row r="2535" spans="1:7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x14ac:dyDescent="0.25">
      <c r="A2548" t="s">
        <v>1607</v>
      </c>
      <c r="F2548" t="s">
        <v>6460</v>
      </c>
      <c r="G2548" t="s">
        <v>91</v>
      </c>
    </row>
    <row r="2549" spans="1:7" x14ac:dyDescent="0.25">
      <c r="A2549" t="s">
        <v>1607</v>
      </c>
      <c r="F2549" t="s">
        <v>6462</v>
      </c>
      <c r="G2549" t="s">
        <v>91</v>
      </c>
    </row>
    <row r="2550" spans="1:7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12647</v>
      </c>
    </row>
    <row r="2551" spans="1:7" x14ac:dyDescent="0.25">
      <c r="A2551" t="s">
        <v>1607</v>
      </c>
      <c r="B2551" t="s">
        <v>8</v>
      </c>
      <c r="F2551" t="s">
        <v>6466</v>
      </c>
      <c r="G2551" t="s">
        <v>12647</v>
      </c>
    </row>
    <row r="2552" spans="1:7" x14ac:dyDescent="0.25">
      <c r="A2552" t="s">
        <v>1607</v>
      </c>
      <c r="B2552" t="s">
        <v>8</v>
      </c>
      <c r="F2552" t="s">
        <v>6468</v>
      </c>
      <c r="G2552" t="s">
        <v>12647</v>
      </c>
    </row>
    <row r="2553" spans="1:7" x14ac:dyDescent="0.25">
      <c r="A2553" t="s">
        <v>1607</v>
      </c>
      <c r="B2553" t="s">
        <v>8</v>
      </c>
      <c r="F2553" t="s">
        <v>6470</v>
      </c>
      <c r="G2553" t="s">
        <v>12647</v>
      </c>
    </row>
    <row r="2554" spans="1:7" x14ac:dyDescent="0.25">
      <c r="A2554" t="s">
        <v>1607</v>
      </c>
      <c r="B2554" t="s">
        <v>8</v>
      </c>
      <c r="F2554" t="s">
        <v>6490</v>
      </c>
      <c r="G2554" t="s">
        <v>11076</v>
      </c>
    </row>
    <row r="2555" spans="1:7" x14ac:dyDescent="0.25">
      <c r="A2555" t="s">
        <v>1607</v>
      </c>
      <c r="B2555" t="s">
        <v>8</v>
      </c>
      <c r="F2555" t="s">
        <v>6492</v>
      </c>
      <c r="G2555" t="s">
        <v>11076</v>
      </c>
    </row>
    <row r="2556" spans="1:7" x14ac:dyDescent="0.25">
      <c r="A2556" t="s">
        <v>1607</v>
      </c>
      <c r="B2556" t="s">
        <v>8</v>
      </c>
      <c r="F2556" t="s">
        <v>6494</v>
      </c>
      <c r="G2556" t="s">
        <v>11076</v>
      </c>
    </row>
    <row r="2557" spans="1:7" x14ac:dyDescent="0.25">
      <c r="A2557" t="s">
        <v>1607</v>
      </c>
      <c r="B2557" t="s">
        <v>8</v>
      </c>
      <c r="F2557" t="s">
        <v>6496</v>
      </c>
      <c r="G2557" t="s">
        <v>11076</v>
      </c>
    </row>
    <row r="2558" spans="1:7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x14ac:dyDescent="0.25">
      <c r="A2579" t="s">
        <v>5694</v>
      </c>
      <c r="F2579" t="s">
        <v>6514</v>
      </c>
      <c r="G2579" t="s">
        <v>12648</v>
      </c>
    </row>
    <row r="2580" spans="1:7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12648</v>
      </c>
    </row>
    <row r="2581" spans="1:7" x14ac:dyDescent="0.25">
      <c r="A2581" t="s">
        <v>4</v>
      </c>
      <c r="B2581" t="s">
        <v>468</v>
      </c>
      <c r="F2581" t="s">
        <v>6518</v>
      </c>
      <c r="G2581" t="s">
        <v>12648</v>
      </c>
    </row>
    <row r="2582" spans="1:7" x14ac:dyDescent="0.25">
      <c r="A2582" t="s">
        <v>1607</v>
      </c>
      <c r="B2582" t="s">
        <v>9</v>
      </c>
      <c r="F2582" t="s">
        <v>6520</v>
      </c>
      <c r="G2582" t="s">
        <v>12648</v>
      </c>
    </row>
    <row r="2583" spans="1:7" x14ac:dyDescent="0.25">
      <c r="A2583" t="s">
        <v>1607</v>
      </c>
      <c r="B2583" t="s">
        <v>9</v>
      </c>
      <c r="F2583" t="s">
        <v>6660</v>
      </c>
      <c r="G2583" t="s">
        <v>12648</v>
      </c>
    </row>
    <row r="2584" spans="1:7" x14ac:dyDescent="0.25">
      <c r="A2584" t="s">
        <v>1607</v>
      </c>
      <c r="B2584" t="s">
        <v>9</v>
      </c>
      <c r="F2584" t="s">
        <v>6522</v>
      </c>
      <c r="G2584" t="s">
        <v>12648</v>
      </c>
    </row>
    <row r="2585" spans="1:7" x14ac:dyDescent="0.25">
      <c r="A2585" t="s">
        <v>4</v>
      </c>
      <c r="B2585" t="s">
        <v>6662</v>
      </c>
      <c r="F2585" t="s">
        <v>6498</v>
      </c>
      <c r="G2585" t="s">
        <v>12649</v>
      </c>
    </row>
    <row r="2586" spans="1:7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12649</v>
      </c>
    </row>
    <row r="2587" spans="1:7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12649</v>
      </c>
    </row>
    <row r="2588" spans="1:7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12649</v>
      </c>
    </row>
    <row r="2589" spans="1:7" x14ac:dyDescent="0.25">
      <c r="A2589" t="s">
        <v>4</v>
      </c>
      <c r="B2589" t="s">
        <v>1274</v>
      </c>
      <c r="F2589" t="s">
        <v>6506</v>
      </c>
      <c r="G2589" t="s">
        <v>12649</v>
      </c>
    </row>
    <row r="2590" spans="1:7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12649</v>
      </c>
    </row>
    <row r="2591" spans="1:7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12649</v>
      </c>
    </row>
    <row r="2592" spans="1:7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12649</v>
      </c>
    </row>
    <row r="2593" spans="1:7" x14ac:dyDescent="0.25">
      <c r="A2593" t="s">
        <v>1273</v>
      </c>
      <c r="B2593" t="s">
        <v>70</v>
      </c>
      <c r="F2593" t="s">
        <v>6550</v>
      </c>
      <c r="G2593" t="s">
        <v>12650</v>
      </c>
    </row>
    <row r="2594" spans="1:7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12650</v>
      </c>
    </row>
    <row r="2595" spans="1:7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12650</v>
      </c>
    </row>
    <row r="2596" spans="1:7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12650</v>
      </c>
    </row>
    <row r="2597" spans="1:7" x14ac:dyDescent="0.25">
      <c r="A2597" t="s">
        <v>587</v>
      </c>
      <c r="B2597" t="s">
        <v>70</v>
      </c>
      <c r="F2597" t="s">
        <v>6558</v>
      </c>
      <c r="G2597" t="s">
        <v>12650</v>
      </c>
    </row>
    <row r="2598" spans="1:7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12650</v>
      </c>
    </row>
    <row r="2599" spans="1:7" x14ac:dyDescent="0.25">
      <c r="A2599" t="s">
        <v>4</v>
      </c>
      <c r="B2599" t="s">
        <v>468</v>
      </c>
      <c r="F2599" t="s">
        <v>6562</v>
      </c>
      <c r="G2599" t="s">
        <v>12650</v>
      </c>
    </row>
    <row r="2600" spans="1:7" x14ac:dyDescent="0.25">
      <c r="A2600" t="s">
        <v>4</v>
      </c>
      <c r="B2600" t="s">
        <v>6678</v>
      </c>
      <c r="F2600" t="s">
        <v>6564</v>
      </c>
      <c r="G2600" t="s">
        <v>12650</v>
      </c>
    </row>
    <row r="2601" spans="1:7" x14ac:dyDescent="0.25">
      <c r="A2601" t="s">
        <v>4</v>
      </c>
      <c r="B2601" t="s">
        <v>6678</v>
      </c>
      <c r="F2601" t="s">
        <v>6566</v>
      </c>
      <c r="G2601" t="s">
        <v>12650</v>
      </c>
    </row>
    <row r="2602" spans="1:7" x14ac:dyDescent="0.25">
      <c r="A2602" t="s">
        <v>4</v>
      </c>
      <c r="B2602" t="s">
        <v>6680</v>
      </c>
      <c r="F2602" t="s">
        <v>6568</v>
      </c>
      <c r="G2602" t="s">
        <v>12650</v>
      </c>
    </row>
    <row r="2603" spans="1:7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12650</v>
      </c>
    </row>
    <row r="2604" spans="1:7" x14ac:dyDescent="0.25">
      <c r="A2604" t="s">
        <v>4</v>
      </c>
      <c r="B2604" t="s">
        <v>8</v>
      </c>
      <c r="F2604" t="s">
        <v>6573</v>
      </c>
      <c r="G2604" t="s">
        <v>12650</v>
      </c>
    </row>
    <row r="2605" spans="1:7" x14ac:dyDescent="0.25">
      <c r="A2605" t="s">
        <v>4</v>
      </c>
      <c r="B2605" t="s">
        <v>8</v>
      </c>
      <c r="F2605" t="s">
        <v>6575</v>
      </c>
      <c r="G2605" t="s">
        <v>12650</v>
      </c>
    </row>
    <row r="2606" spans="1:7" x14ac:dyDescent="0.25">
      <c r="A2606" t="s">
        <v>4</v>
      </c>
      <c r="B2606" t="s">
        <v>8</v>
      </c>
      <c r="F2606" t="s">
        <v>6577</v>
      </c>
      <c r="G2606" t="s">
        <v>12650</v>
      </c>
    </row>
    <row r="2607" spans="1:7" x14ac:dyDescent="0.25">
      <c r="A2607" t="s">
        <v>1273</v>
      </c>
      <c r="B2607" t="s">
        <v>70</v>
      </c>
      <c r="F2607" t="s">
        <v>6579</v>
      </c>
      <c r="G2607" t="s">
        <v>12650</v>
      </c>
    </row>
    <row r="2608" spans="1:7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12650</v>
      </c>
    </row>
    <row r="2609" spans="1:7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12650</v>
      </c>
    </row>
    <row r="2610" spans="1:7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12650</v>
      </c>
    </row>
    <row r="2611" spans="1:7" x14ac:dyDescent="0.25">
      <c r="A2611" t="s">
        <v>587</v>
      </c>
      <c r="B2611" t="s">
        <v>70</v>
      </c>
      <c r="F2611" t="s">
        <v>6587</v>
      </c>
      <c r="G2611" t="s">
        <v>12650</v>
      </c>
    </row>
    <row r="2612" spans="1:7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12650</v>
      </c>
    </row>
    <row r="2613" spans="1:7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12650</v>
      </c>
    </row>
    <row r="2614" spans="1:7" x14ac:dyDescent="0.25">
      <c r="A2614" t="s">
        <v>587</v>
      </c>
      <c r="B2614" t="s">
        <v>6681</v>
      </c>
      <c r="F2614" t="s">
        <v>6593</v>
      </c>
      <c r="G2614" t="s">
        <v>12650</v>
      </c>
    </row>
    <row r="2615" spans="1:7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12650</v>
      </c>
    </row>
    <row r="2616" spans="1:7" x14ac:dyDescent="0.25">
      <c r="A2616" t="s">
        <v>1607</v>
      </c>
      <c r="B2616" t="s">
        <v>8</v>
      </c>
      <c r="F2616" t="s">
        <v>6597</v>
      </c>
      <c r="G2616" t="s">
        <v>12650</v>
      </c>
    </row>
    <row r="2617" spans="1:7" x14ac:dyDescent="0.25">
      <c r="A2617" t="s">
        <v>1607</v>
      </c>
      <c r="B2617" t="s">
        <v>8</v>
      </c>
      <c r="F2617" t="s">
        <v>6599</v>
      </c>
      <c r="G2617" t="s">
        <v>12650</v>
      </c>
    </row>
    <row r="2618" spans="1:7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12651</v>
      </c>
    </row>
    <row r="2619" spans="1:7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12651</v>
      </c>
    </row>
    <row r="2620" spans="1:7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12651</v>
      </c>
    </row>
    <row r="2621" spans="1:7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12651</v>
      </c>
    </row>
    <row r="2622" spans="1:7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12651</v>
      </c>
    </row>
    <row r="2623" spans="1:7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12651</v>
      </c>
    </row>
    <row r="2624" spans="1:7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12651</v>
      </c>
    </row>
    <row r="2625" spans="1:7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12651</v>
      </c>
    </row>
    <row r="2626" spans="1:7" x14ac:dyDescent="0.25">
      <c r="A2626" t="s">
        <v>4</v>
      </c>
      <c r="B2626" t="s">
        <v>6439</v>
      </c>
      <c r="F2626" t="s">
        <v>6540</v>
      </c>
      <c r="G2626" t="s">
        <v>12651</v>
      </c>
    </row>
    <row r="2627" spans="1:7" x14ac:dyDescent="0.25">
      <c r="A2627" t="s">
        <v>4</v>
      </c>
      <c r="B2627" t="s">
        <v>6439</v>
      </c>
      <c r="F2627" t="s">
        <v>6542</v>
      </c>
      <c r="G2627" t="s">
        <v>12651</v>
      </c>
    </row>
    <row r="2628" spans="1:7" x14ac:dyDescent="0.25">
      <c r="A2628" t="s">
        <v>1607</v>
      </c>
      <c r="B2628" t="s">
        <v>8</v>
      </c>
      <c r="F2628" t="s">
        <v>6544</v>
      </c>
      <c r="G2628" t="s">
        <v>12651</v>
      </c>
    </row>
    <row r="2629" spans="1:7" x14ac:dyDescent="0.25">
      <c r="A2629" t="s">
        <v>4</v>
      </c>
      <c r="B2629" t="s">
        <v>6439</v>
      </c>
      <c r="F2629" t="s">
        <v>6546</v>
      </c>
      <c r="G2629" t="s">
        <v>12651</v>
      </c>
    </row>
    <row r="2630" spans="1:7" x14ac:dyDescent="0.25">
      <c r="A2630" t="s">
        <v>4</v>
      </c>
      <c r="B2630" t="s">
        <v>6439</v>
      </c>
      <c r="F2630" t="s">
        <v>6548</v>
      </c>
      <c r="G2630" t="s">
        <v>12651</v>
      </c>
    </row>
    <row r="2631" spans="1:7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x14ac:dyDescent="0.25">
      <c r="A2640" t="s">
        <v>1607</v>
      </c>
      <c r="F2640" t="s">
        <v>6696</v>
      </c>
      <c r="G2640" t="s">
        <v>91</v>
      </c>
    </row>
    <row r="2641" spans="1:7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x14ac:dyDescent="0.25">
      <c r="A2643" t="s">
        <v>1607</v>
      </c>
      <c r="F2643" t="s">
        <v>6702</v>
      </c>
      <c r="G2643" t="s">
        <v>91</v>
      </c>
    </row>
    <row r="2644" spans="1:7" x14ac:dyDescent="0.25">
      <c r="A2644" t="s">
        <v>1607</v>
      </c>
      <c r="B2644" t="s">
        <v>8</v>
      </c>
      <c r="F2644" t="s">
        <v>6690</v>
      </c>
      <c r="G2644" t="s">
        <v>12647</v>
      </c>
    </row>
    <row r="2645" spans="1:7" x14ac:dyDescent="0.25">
      <c r="A2645" t="s">
        <v>1607</v>
      </c>
      <c r="B2645" t="s">
        <v>8</v>
      </c>
      <c r="F2645" t="s">
        <v>6692</v>
      </c>
      <c r="G2645" t="s">
        <v>12647</v>
      </c>
    </row>
    <row r="2646" spans="1:7" x14ac:dyDescent="0.25">
      <c r="A2646" t="s">
        <v>1607</v>
      </c>
      <c r="B2646" t="s">
        <v>8</v>
      </c>
      <c r="F2646" t="s">
        <v>6694</v>
      </c>
      <c r="G2646" t="s">
        <v>12647</v>
      </c>
    </row>
    <row r="2647" spans="1:7" x14ac:dyDescent="0.25">
      <c r="A2647" t="s">
        <v>1607</v>
      </c>
      <c r="B2647" t="s">
        <v>8</v>
      </c>
      <c r="F2647" t="s">
        <v>6704</v>
      </c>
      <c r="G2647" t="s">
        <v>11076</v>
      </c>
    </row>
    <row r="2648" spans="1:7" x14ac:dyDescent="0.25">
      <c r="A2648" t="s">
        <v>1607</v>
      </c>
      <c r="B2648" t="s">
        <v>8</v>
      </c>
      <c r="F2648" t="s">
        <v>6706</v>
      </c>
      <c r="G2648" t="s">
        <v>11076</v>
      </c>
    </row>
    <row r="2649" spans="1:7" x14ac:dyDescent="0.25">
      <c r="A2649" t="s">
        <v>1607</v>
      </c>
      <c r="B2649" t="s">
        <v>8</v>
      </c>
      <c r="F2649" t="s">
        <v>6708</v>
      </c>
      <c r="G2649" t="s">
        <v>11076</v>
      </c>
    </row>
    <row r="2650" spans="1:7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x14ac:dyDescent="0.25">
      <c r="A2662" t="s">
        <v>1607</v>
      </c>
      <c r="B2662" t="s">
        <v>9</v>
      </c>
      <c r="F2662" t="s">
        <v>6728</v>
      </c>
      <c r="G2662" t="s">
        <v>12648</v>
      </c>
    </row>
    <row r="2663" spans="1:7" x14ac:dyDescent="0.25">
      <c r="A2663" t="s">
        <v>1607</v>
      </c>
      <c r="B2663" t="s">
        <v>9</v>
      </c>
      <c r="F2663" t="s">
        <v>6730</v>
      </c>
      <c r="G2663" t="s">
        <v>12648</v>
      </c>
    </row>
    <row r="2664" spans="1:7" x14ac:dyDescent="0.25">
      <c r="A2664" t="s">
        <v>1607</v>
      </c>
      <c r="B2664" t="s">
        <v>9</v>
      </c>
      <c r="F2664" t="s">
        <v>6732</v>
      </c>
      <c r="G2664" t="s">
        <v>12648</v>
      </c>
    </row>
    <row r="2665" spans="1:7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12649</v>
      </c>
    </row>
    <row r="2666" spans="1:7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12649</v>
      </c>
    </row>
    <row r="2667" spans="1:7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12649</v>
      </c>
    </row>
    <row r="2668" spans="1:7" x14ac:dyDescent="0.25">
      <c r="A2668" t="s">
        <v>1607</v>
      </c>
      <c r="B2668" t="s">
        <v>8</v>
      </c>
      <c r="F2668" t="s">
        <v>6749</v>
      </c>
      <c r="G2668" t="s">
        <v>12650</v>
      </c>
    </row>
    <row r="2669" spans="1:7" x14ac:dyDescent="0.25">
      <c r="A2669" t="s">
        <v>1607</v>
      </c>
      <c r="B2669" t="s">
        <v>8</v>
      </c>
      <c r="F2669" t="s">
        <v>6751</v>
      </c>
      <c r="G2669" t="s">
        <v>12650</v>
      </c>
    </row>
    <row r="2670" spans="1:7" x14ac:dyDescent="0.25">
      <c r="A2670" t="s">
        <v>1607</v>
      </c>
      <c r="B2670" t="s">
        <v>8</v>
      </c>
      <c r="F2670" t="s">
        <v>6753</v>
      </c>
      <c r="G2670" t="s">
        <v>12650</v>
      </c>
    </row>
    <row r="2671" spans="1:7" x14ac:dyDescent="0.25">
      <c r="A2671" t="s">
        <v>1607</v>
      </c>
      <c r="B2671" t="s">
        <v>8</v>
      </c>
      <c r="F2671" t="s">
        <v>6755</v>
      </c>
      <c r="G2671" t="s">
        <v>12651</v>
      </c>
    </row>
    <row r="2672" spans="1:7" x14ac:dyDescent="0.25">
      <c r="A2672" t="s">
        <v>1607</v>
      </c>
      <c r="B2672" t="s">
        <v>8</v>
      </c>
      <c r="F2672" t="s">
        <v>6757</v>
      </c>
      <c r="G2672" t="s">
        <v>12651</v>
      </c>
    </row>
    <row r="2673" spans="1:7" x14ac:dyDescent="0.25">
      <c r="A2673" t="s">
        <v>1607</v>
      </c>
      <c r="B2673" t="s">
        <v>8</v>
      </c>
      <c r="F2673" t="s">
        <v>6759</v>
      </c>
      <c r="G2673" t="s">
        <v>12651</v>
      </c>
    </row>
    <row r="2674" spans="1:7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x14ac:dyDescent="0.25">
      <c r="A2680" t="s">
        <v>1607</v>
      </c>
      <c r="F2680" t="s">
        <v>6803</v>
      </c>
      <c r="G2680" t="s">
        <v>91</v>
      </c>
    </row>
    <row r="2681" spans="1:7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x14ac:dyDescent="0.25">
      <c r="A2683" t="s">
        <v>1607</v>
      </c>
      <c r="F2683" t="s">
        <v>6809</v>
      </c>
      <c r="G2683" t="s">
        <v>91</v>
      </c>
    </row>
    <row r="2684" spans="1:7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x14ac:dyDescent="0.25">
      <c r="A2694" t="s">
        <v>1607</v>
      </c>
      <c r="F2694" t="s">
        <v>6831</v>
      </c>
      <c r="G2694" t="s">
        <v>91</v>
      </c>
    </row>
    <row r="2695" spans="1:7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x14ac:dyDescent="0.25">
      <c r="A2697" t="s">
        <v>1607</v>
      </c>
      <c r="B2697" t="s">
        <v>8</v>
      </c>
      <c r="F2697" t="s">
        <v>6789</v>
      </c>
      <c r="G2697" t="s">
        <v>12647</v>
      </c>
    </row>
    <row r="2698" spans="1:7" x14ac:dyDescent="0.25">
      <c r="A2698" t="s">
        <v>1607</v>
      </c>
      <c r="B2698" t="s">
        <v>8</v>
      </c>
      <c r="F2698" t="s">
        <v>6791</v>
      </c>
      <c r="G2698" t="s">
        <v>12647</v>
      </c>
    </row>
    <row r="2699" spans="1:7" x14ac:dyDescent="0.25">
      <c r="A2699" t="s">
        <v>1607</v>
      </c>
      <c r="B2699" t="s">
        <v>8</v>
      </c>
      <c r="F2699" t="s">
        <v>6793</v>
      </c>
      <c r="G2699" t="s">
        <v>12647</v>
      </c>
    </row>
    <row r="2700" spans="1:7" x14ac:dyDescent="0.25">
      <c r="A2700" t="s">
        <v>1607</v>
      </c>
      <c r="B2700" t="s">
        <v>8</v>
      </c>
      <c r="F2700" t="s">
        <v>6795</v>
      </c>
      <c r="G2700" t="s">
        <v>12647</v>
      </c>
    </row>
    <row r="2701" spans="1:7" x14ac:dyDescent="0.25">
      <c r="A2701" t="s">
        <v>1607</v>
      </c>
      <c r="B2701" t="s">
        <v>8</v>
      </c>
      <c r="F2701" t="s">
        <v>6797</v>
      </c>
      <c r="G2701" t="s">
        <v>12647</v>
      </c>
    </row>
    <row r="2702" spans="1:7" x14ac:dyDescent="0.25">
      <c r="A2702" t="s">
        <v>1607</v>
      </c>
      <c r="B2702" t="s">
        <v>8</v>
      </c>
      <c r="F2702" t="s">
        <v>6799</v>
      </c>
      <c r="G2702" t="s">
        <v>12647</v>
      </c>
    </row>
    <row r="2703" spans="1:7" x14ac:dyDescent="0.25">
      <c r="A2703" t="s">
        <v>1607</v>
      </c>
      <c r="B2703" t="s">
        <v>8</v>
      </c>
      <c r="F2703" t="s">
        <v>6801</v>
      </c>
      <c r="G2703" t="s">
        <v>12647</v>
      </c>
    </row>
    <row r="2704" spans="1:7" x14ac:dyDescent="0.25">
      <c r="A2704" t="s">
        <v>1607</v>
      </c>
      <c r="B2704" t="s">
        <v>8</v>
      </c>
      <c r="F2704" t="s">
        <v>6893</v>
      </c>
      <c r="G2704" t="s">
        <v>11076</v>
      </c>
    </row>
    <row r="2705" spans="1:7" x14ac:dyDescent="0.25">
      <c r="A2705" t="s">
        <v>4</v>
      </c>
      <c r="B2705" t="s">
        <v>7045</v>
      </c>
      <c r="F2705" t="s">
        <v>6895</v>
      </c>
      <c r="G2705" t="s">
        <v>11076</v>
      </c>
    </row>
    <row r="2706" spans="1:7" x14ac:dyDescent="0.25">
      <c r="A2706" t="s">
        <v>4</v>
      </c>
      <c r="B2706" t="s">
        <v>7045</v>
      </c>
      <c r="F2706" t="s">
        <v>6897</v>
      </c>
      <c r="G2706" t="s">
        <v>11076</v>
      </c>
    </row>
    <row r="2707" spans="1:7" x14ac:dyDescent="0.25">
      <c r="A2707" t="s">
        <v>4</v>
      </c>
      <c r="B2707" t="s">
        <v>7045</v>
      </c>
      <c r="F2707" t="s">
        <v>6899</v>
      </c>
      <c r="G2707" t="s">
        <v>11076</v>
      </c>
    </row>
    <row r="2708" spans="1:7" x14ac:dyDescent="0.25">
      <c r="A2708" t="s">
        <v>4</v>
      </c>
      <c r="B2708" t="s">
        <v>7045</v>
      </c>
      <c r="F2708" t="s">
        <v>6901</v>
      </c>
      <c r="G2708" t="s">
        <v>11076</v>
      </c>
    </row>
    <row r="2709" spans="1:7" x14ac:dyDescent="0.25">
      <c r="A2709" t="s">
        <v>4</v>
      </c>
      <c r="B2709" t="s">
        <v>7045</v>
      </c>
      <c r="F2709" t="s">
        <v>6903</v>
      </c>
      <c r="G2709" t="s">
        <v>11076</v>
      </c>
    </row>
    <row r="2710" spans="1:7" x14ac:dyDescent="0.25">
      <c r="A2710" t="s">
        <v>1607</v>
      </c>
      <c r="B2710" t="s">
        <v>8</v>
      </c>
      <c r="F2710" t="s">
        <v>6905</v>
      </c>
      <c r="G2710" t="s">
        <v>11076</v>
      </c>
    </row>
    <row r="2711" spans="1:7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x14ac:dyDescent="0.25">
      <c r="A2745" t="s">
        <v>1607</v>
      </c>
      <c r="B2745" t="s">
        <v>9</v>
      </c>
      <c r="F2745" t="s">
        <v>6879</v>
      </c>
      <c r="G2745" t="s">
        <v>12648</v>
      </c>
    </row>
    <row r="2746" spans="1:7" x14ac:dyDescent="0.25">
      <c r="A2746" t="s">
        <v>1607</v>
      </c>
      <c r="B2746" t="s">
        <v>9</v>
      </c>
      <c r="F2746" t="s">
        <v>6881</v>
      </c>
      <c r="G2746" t="s">
        <v>12648</v>
      </c>
    </row>
    <row r="2747" spans="1:7" x14ac:dyDescent="0.25">
      <c r="A2747" t="s">
        <v>1607</v>
      </c>
      <c r="B2747" t="s">
        <v>9</v>
      </c>
      <c r="F2747" t="s">
        <v>6883</v>
      </c>
      <c r="G2747" t="s">
        <v>12648</v>
      </c>
    </row>
    <row r="2748" spans="1:7" x14ac:dyDescent="0.25">
      <c r="A2748" t="s">
        <v>1607</v>
      </c>
      <c r="B2748" t="s">
        <v>9</v>
      </c>
      <c r="F2748" t="s">
        <v>6885</v>
      </c>
      <c r="G2748" t="s">
        <v>12648</v>
      </c>
    </row>
    <row r="2749" spans="1:7" x14ac:dyDescent="0.25">
      <c r="A2749" t="s">
        <v>1607</v>
      </c>
      <c r="B2749" t="s">
        <v>9</v>
      </c>
      <c r="F2749" t="s">
        <v>6887</v>
      </c>
      <c r="G2749" t="s">
        <v>12648</v>
      </c>
    </row>
    <row r="2750" spans="1:7" x14ac:dyDescent="0.25">
      <c r="A2750" t="s">
        <v>1607</v>
      </c>
      <c r="B2750" t="s">
        <v>9</v>
      </c>
      <c r="F2750" t="s">
        <v>6889</v>
      </c>
      <c r="G2750" t="s">
        <v>12648</v>
      </c>
    </row>
    <row r="2751" spans="1:7" x14ac:dyDescent="0.25">
      <c r="A2751" t="s">
        <v>1607</v>
      </c>
      <c r="B2751" t="s">
        <v>7066</v>
      </c>
      <c r="F2751" t="s">
        <v>6891</v>
      </c>
      <c r="G2751" t="s">
        <v>12648</v>
      </c>
    </row>
    <row r="2752" spans="1:7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12649</v>
      </c>
    </row>
    <row r="2753" spans="1:7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12649</v>
      </c>
    </row>
    <row r="2754" spans="1:7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12649</v>
      </c>
    </row>
    <row r="2755" spans="1:7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12649</v>
      </c>
    </row>
    <row r="2756" spans="1:7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12649</v>
      </c>
    </row>
    <row r="2757" spans="1:7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12649</v>
      </c>
    </row>
    <row r="2758" spans="1:7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12649</v>
      </c>
    </row>
    <row r="2759" spans="1:7" x14ac:dyDescent="0.25">
      <c r="A2759" t="s">
        <v>1607</v>
      </c>
      <c r="B2759" t="s">
        <v>8</v>
      </c>
      <c r="F2759" t="s">
        <v>6963</v>
      </c>
      <c r="G2759" t="s">
        <v>12650</v>
      </c>
    </row>
    <row r="2760" spans="1:7" x14ac:dyDescent="0.25">
      <c r="A2760" t="s">
        <v>1607</v>
      </c>
      <c r="B2760" t="s">
        <v>7068</v>
      </c>
      <c r="F2760" t="s">
        <v>6965</v>
      </c>
      <c r="G2760" t="s">
        <v>12650</v>
      </c>
    </row>
    <row r="2761" spans="1:7" x14ac:dyDescent="0.25">
      <c r="A2761" t="s">
        <v>1607</v>
      </c>
      <c r="B2761" t="s">
        <v>7068</v>
      </c>
      <c r="F2761" t="s">
        <v>6967</v>
      </c>
      <c r="G2761" t="s">
        <v>12650</v>
      </c>
    </row>
    <row r="2762" spans="1:7" x14ac:dyDescent="0.25">
      <c r="A2762" t="s">
        <v>1607</v>
      </c>
      <c r="B2762" t="s">
        <v>8</v>
      </c>
      <c r="F2762" t="s">
        <v>6969</v>
      </c>
      <c r="G2762" t="s">
        <v>12650</v>
      </c>
    </row>
    <row r="2763" spans="1:7" x14ac:dyDescent="0.25">
      <c r="A2763" t="s">
        <v>1607</v>
      </c>
      <c r="B2763" t="s">
        <v>7068</v>
      </c>
      <c r="F2763" t="s">
        <v>6971</v>
      </c>
      <c r="G2763" t="s">
        <v>12650</v>
      </c>
    </row>
    <row r="2764" spans="1:7" x14ac:dyDescent="0.25">
      <c r="A2764" t="s">
        <v>1607</v>
      </c>
      <c r="B2764" t="s">
        <v>7068</v>
      </c>
      <c r="F2764" t="s">
        <v>6973</v>
      </c>
      <c r="G2764" t="s">
        <v>12650</v>
      </c>
    </row>
    <row r="2765" spans="1:7" x14ac:dyDescent="0.25">
      <c r="A2765" t="s">
        <v>4</v>
      </c>
      <c r="B2765" t="s">
        <v>7047</v>
      </c>
      <c r="F2765" t="s">
        <v>6975</v>
      </c>
      <c r="G2765" t="s">
        <v>12650</v>
      </c>
    </row>
    <row r="2766" spans="1:7" x14ac:dyDescent="0.25">
      <c r="A2766" t="s">
        <v>4</v>
      </c>
      <c r="B2766" t="s">
        <v>6439</v>
      </c>
      <c r="F2766" t="s">
        <v>6977</v>
      </c>
      <c r="G2766" t="s">
        <v>12651</v>
      </c>
    </row>
    <row r="2767" spans="1:7" x14ac:dyDescent="0.25">
      <c r="A2767" t="s">
        <v>4</v>
      </c>
      <c r="B2767" t="s">
        <v>6439</v>
      </c>
      <c r="F2767" t="s">
        <v>6979</v>
      </c>
      <c r="G2767" t="s">
        <v>12651</v>
      </c>
    </row>
    <row r="2768" spans="1:7" x14ac:dyDescent="0.25">
      <c r="A2768" t="s">
        <v>4</v>
      </c>
      <c r="B2768" t="s">
        <v>6439</v>
      </c>
      <c r="F2768" t="s">
        <v>6981</v>
      </c>
      <c r="G2768" t="s">
        <v>12651</v>
      </c>
    </row>
    <row r="2769" spans="1:7" x14ac:dyDescent="0.25">
      <c r="A2769" t="s">
        <v>4</v>
      </c>
      <c r="B2769" t="s">
        <v>6439</v>
      </c>
      <c r="F2769" t="s">
        <v>6983</v>
      </c>
      <c r="G2769" t="s">
        <v>12651</v>
      </c>
    </row>
    <row r="2770" spans="1:7" x14ac:dyDescent="0.25">
      <c r="A2770" t="s">
        <v>4</v>
      </c>
      <c r="B2770" t="s">
        <v>6439</v>
      </c>
      <c r="F2770" t="s">
        <v>6985</v>
      </c>
      <c r="G2770" t="s">
        <v>12651</v>
      </c>
    </row>
    <row r="2771" spans="1:7" x14ac:dyDescent="0.25">
      <c r="A2771" t="s">
        <v>4</v>
      </c>
      <c r="B2771" t="s">
        <v>6439</v>
      </c>
      <c r="F2771" t="s">
        <v>6987</v>
      </c>
      <c r="G2771" t="s">
        <v>12651</v>
      </c>
    </row>
    <row r="2772" spans="1:7" x14ac:dyDescent="0.25">
      <c r="A2772" t="s">
        <v>4</v>
      </c>
      <c r="B2772" t="s">
        <v>6439</v>
      </c>
      <c r="F2772" t="s">
        <v>6989</v>
      </c>
      <c r="G2772" t="s">
        <v>12651</v>
      </c>
    </row>
    <row r="2773" spans="1:7" x14ac:dyDescent="0.25">
      <c r="A2773" t="s">
        <v>1607</v>
      </c>
      <c r="B2773" t="s">
        <v>8</v>
      </c>
      <c r="F2773" t="s">
        <v>6991</v>
      </c>
      <c r="G2773" t="s">
        <v>12651</v>
      </c>
    </row>
    <row r="2774" spans="1:7" x14ac:dyDescent="0.25">
      <c r="A2774" t="s">
        <v>4</v>
      </c>
      <c r="B2774" t="s">
        <v>6439</v>
      </c>
      <c r="F2774" t="s">
        <v>6993</v>
      </c>
      <c r="G2774" t="s">
        <v>12651</v>
      </c>
    </row>
    <row r="2775" spans="1:7" x14ac:dyDescent="0.25">
      <c r="A2775" t="s">
        <v>4</v>
      </c>
      <c r="B2775" t="s">
        <v>7069</v>
      </c>
      <c r="F2775" t="s">
        <v>6995</v>
      </c>
      <c r="G2775" t="s">
        <v>12651</v>
      </c>
    </row>
    <row r="2776" spans="1:7" x14ac:dyDescent="0.25">
      <c r="A2776" t="s">
        <v>1607</v>
      </c>
      <c r="B2776" t="s">
        <v>8</v>
      </c>
      <c r="F2776" t="s">
        <v>6997</v>
      </c>
      <c r="G2776" t="s">
        <v>12651</v>
      </c>
    </row>
    <row r="2777" spans="1:7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12647</v>
      </c>
    </row>
    <row r="2802" spans="1:7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12647</v>
      </c>
    </row>
    <row r="2803" spans="1:7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12647</v>
      </c>
    </row>
    <row r="2804" spans="1:7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12647</v>
      </c>
    </row>
    <row r="2805" spans="1:7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12647</v>
      </c>
    </row>
    <row r="2806" spans="1:7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12647</v>
      </c>
    </row>
    <row r="2807" spans="1:7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12647</v>
      </c>
    </row>
    <row r="2808" spans="1:7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12647</v>
      </c>
    </row>
    <row r="2809" spans="1:7" x14ac:dyDescent="0.25">
      <c r="A2809" t="s">
        <v>4</v>
      </c>
      <c r="B2809" t="s">
        <v>7045</v>
      </c>
      <c r="F2809" t="s">
        <v>7180</v>
      </c>
      <c r="G2809" t="s">
        <v>11076</v>
      </c>
    </row>
    <row r="2810" spans="1:7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11076</v>
      </c>
    </row>
    <row r="2811" spans="1:7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11076</v>
      </c>
    </row>
    <row r="2812" spans="1:7" x14ac:dyDescent="0.25">
      <c r="A2812" t="s">
        <v>4</v>
      </c>
      <c r="B2812" t="s">
        <v>7045</v>
      </c>
      <c r="F2812" t="s">
        <v>7189</v>
      </c>
      <c r="G2812" t="s">
        <v>11076</v>
      </c>
    </row>
    <row r="2813" spans="1:7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x14ac:dyDescent="0.25">
      <c r="A2831" t="s">
        <v>1607</v>
      </c>
      <c r="B2831" t="s">
        <v>4393</v>
      </c>
      <c r="F2831" t="s">
        <v>7203</v>
      </c>
      <c r="G2831" t="s">
        <v>12648</v>
      </c>
    </row>
    <row r="2832" spans="1:7" x14ac:dyDescent="0.25">
      <c r="A2832" t="s">
        <v>4</v>
      </c>
      <c r="B2832" t="s">
        <v>9</v>
      </c>
      <c r="F2832" t="s">
        <v>7205</v>
      </c>
      <c r="G2832" t="s">
        <v>12648</v>
      </c>
    </row>
    <row r="2833" spans="1:7" x14ac:dyDescent="0.25">
      <c r="A2833" t="s">
        <v>684</v>
      </c>
      <c r="B2833" t="s">
        <v>1274</v>
      </c>
      <c r="F2833" t="s">
        <v>7207</v>
      </c>
      <c r="G2833" t="s">
        <v>12648</v>
      </c>
    </row>
    <row r="2834" spans="1:7" x14ac:dyDescent="0.25">
      <c r="A2834" t="s">
        <v>1627</v>
      </c>
      <c r="B2834" t="s">
        <v>687</v>
      </c>
      <c r="F2834" t="s">
        <v>7209</v>
      </c>
      <c r="G2834" t="s">
        <v>12648</v>
      </c>
    </row>
    <row r="2835" spans="1:7" x14ac:dyDescent="0.25">
      <c r="A2835" t="s">
        <v>7352</v>
      </c>
      <c r="B2835" t="s">
        <v>7353</v>
      </c>
      <c r="F2835" t="s">
        <v>7211</v>
      </c>
      <c r="G2835" t="s">
        <v>12648</v>
      </c>
    </row>
    <row r="2836" spans="1:7" x14ac:dyDescent="0.25">
      <c r="A2836" t="s">
        <v>1627</v>
      </c>
      <c r="B2836" t="s">
        <v>687</v>
      </c>
      <c r="F2836" t="s">
        <v>7213</v>
      </c>
      <c r="G2836" t="s">
        <v>12648</v>
      </c>
    </row>
    <row r="2837" spans="1:7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12648</v>
      </c>
    </row>
    <row r="2838" spans="1:7" x14ac:dyDescent="0.25">
      <c r="A2838" t="s">
        <v>4</v>
      </c>
      <c r="B2838" t="s">
        <v>9</v>
      </c>
      <c r="F2838" t="s">
        <v>7217</v>
      </c>
      <c r="G2838" t="s">
        <v>12648</v>
      </c>
    </row>
    <row r="2839" spans="1:7" x14ac:dyDescent="0.25">
      <c r="A2839" t="s">
        <v>4</v>
      </c>
      <c r="B2839" t="s">
        <v>9</v>
      </c>
      <c r="F2839" t="s">
        <v>7219</v>
      </c>
      <c r="G2839" t="s">
        <v>12648</v>
      </c>
    </row>
    <row r="2840" spans="1:7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12649</v>
      </c>
    </row>
    <row r="2841" spans="1:7" x14ac:dyDescent="0.25">
      <c r="A2841" t="s">
        <v>4</v>
      </c>
      <c r="B2841" t="s">
        <v>9</v>
      </c>
      <c r="F2841" t="s">
        <v>7130</v>
      </c>
      <c r="G2841" t="s">
        <v>12649</v>
      </c>
    </row>
    <row r="2842" spans="1:7" x14ac:dyDescent="0.25">
      <c r="A2842" t="s">
        <v>7354</v>
      </c>
      <c r="B2842" t="s">
        <v>7355</v>
      </c>
      <c r="F2842" t="s">
        <v>7132</v>
      </c>
      <c r="G2842" t="s">
        <v>12649</v>
      </c>
    </row>
    <row r="2843" spans="1:7" x14ac:dyDescent="0.25">
      <c r="A2843" t="s">
        <v>1627</v>
      </c>
      <c r="B2843" t="s">
        <v>1058</v>
      </c>
      <c r="F2843" t="s">
        <v>7134</v>
      </c>
      <c r="G2843" t="s">
        <v>12649</v>
      </c>
    </row>
    <row r="2844" spans="1:7" x14ac:dyDescent="0.25">
      <c r="A2844" t="s">
        <v>7354</v>
      </c>
      <c r="B2844" t="s">
        <v>4131</v>
      </c>
      <c r="F2844" t="s">
        <v>7136</v>
      </c>
      <c r="G2844" t="s">
        <v>12649</v>
      </c>
    </row>
    <row r="2845" spans="1:7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12649</v>
      </c>
    </row>
    <row r="2846" spans="1:7" x14ac:dyDescent="0.25">
      <c r="A2846" t="s">
        <v>4</v>
      </c>
      <c r="B2846" t="s">
        <v>9</v>
      </c>
      <c r="F2846" t="s">
        <v>7140</v>
      </c>
      <c r="G2846" t="s">
        <v>12649</v>
      </c>
    </row>
    <row r="2847" spans="1:7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12649</v>
      </c>
    </row>
    <row r="2848" spans="1:7" x14ac:dyDescent="0.25">
      <c r="A2848" t="s">
        <v>4</v>
      </c>
      <c r="B2848" t="s">
        <v>7358</v>
      </c>
      <c r="F2848" t="s">
        <v>7144</v>
      </c>
      <c r="G2848" t="s">
        <v>12649</v>
      </c>
    </row>
    <row r="2849" spans="1:7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12649</v>
      </c>
    </row>
    <row r="2850" spans="1:7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12649</v>
      </c>
    </row>
    <row r="2851" spans="1:7" x14ac:dyDescent="0.25">
      <c r="A2851" t="s">
        <v>4</v>
      </c>
      <c r="B2851" t="s">
        <v>9</v>
      </c>
      <c r="F2851" t="s">
        <v>7150</v>
      </c>
      <c r="G2851" t="s">
        <v>12649</v>
      </c>
    </row>
    <row r="2852" spans="1:7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12649</v>
      </c>
    </row>
    <row r="2853" spans="1:7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12649</v>
      </c>
    </row>
    <row r="2854" spans="1:7" x14ac:dyDescent="0.25">
      <c r="A2854" t="s">
        <v>4</v>
      </c>
      <c r="B2854" t="s">
        <v>9</v>
      </c>
      <c r="F2854" t="s">
        <v>7156</v>
      </c>
      <c r="G2854" t="s">
        <v>12649</v>
      </c>
    </row>
    <row r="2855" spans="1:7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12649</v>
      </c>
    </row>
    <row r="2856" spans="1:7" x14ac:dyDescent="0.25">
      <c r="A2856" t="s">
        <v>7359</v>
      </c>
      <c r="B2856" t="s">
        <v>1058</v>
      </c>
      <c r="F2856" t="s">
        <v>7160</v>
      </c>
      <c r="G2856" t="s">
        <v>12649</v>
      </c>
    </row>
    <row r="2857" spans="1:7" x14ac:dyDescent="0.25">
      <c r="A2857" t="s">
        <v>1627</v>
      </c>
      <c r="B2857" t="s">
        <v>1058</v>
      </c>
      <c r="F2857" t="s">
        <v>7162</v>
      </c>
      <c r="G2857" t="s">
        <v>12649</v>
      </c>
    </row>
    <row r="2858" spans="1:7" x14ac:dyDescent="0.25">
      <c r="A2858" t="s">
        <v>1627</v>
      </c>
      <c r="B2858" t="s">
        <v>1058</v>
      </c>
      <c r="F2858" t="s">
        <v>7164</v>
      </c>
      <c r="G2858" t="s">
        <v>12649</v>
      </c>
    </row>
    <row r="2859" spans="1:7" x14ac:dyDescent="0.25">
      <c r="A2859" t="s">
        <v>4</v>
      </c>
      <c r="B2859" t="s">
        <v>9</v>
      </c>
      <c r="F2859" t="s">
        <v>7166</v>
      </c>
      <c r="G2859" t="s">
        <v>12649</v>
      </c>
    </row>
    <row r="2860" spans="1:7" x14ac:dyDescent="0.25">
      <c r="A2860" t="s">
        <v>7354</v>
      </c>
      <c r="B2860" t="s">
        <v>4131</v>
      </c>
      <c r="F2860" t="s">
        <v>7168</v>
      </c>
      <c r="G2860" t="s">
        <v>12649</v>
      </c>
    </row>
    <row r="2861" spans="1:7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12649</v>
      </c>
    </row>
    <row r="2862" spans="1:7" x14ac:dyDescent="0.25">
      <c r="A2862" t="s">
        <v>4</v>
      </c>
      <c r="B2862" t="s">
        <v>6157</v>
      </c>
      <c r="F2862" t="s">
        <v>7172</v>
      </c>
      <c r="G2862" t="s">
        <v>12649</v>
      </c>
    </row>
    <row r="2863" spans="1:7" x14ac:dyDescent="0.25">
      <c r="A2863" t="s">
        <v>7360</v>
      </c>
      <c r="B2863" t="s">
        <v>1058</v>
      </c>
      <c r="F2863" t="s">
        <v>7174</v>
      </c>
      <c r="G2863" t="s">
        <v>12649</v>
      </c>
    </row>
    <row r="2864" spans="1:7" x14ac:dyDescent="0.25">
      <c r="A2864" t="s">
        <v>7360</v>
      </c>
      <c r="B2864" t="s">
        <v>1058</v>
      </c>
      <c r="F2864" t="s">
        <v>7176</v>
      </c>
      <c r="G2864" t="s">
        <v>12649</v>
      </c>
    </row>
    <row r="2865" spans="1:7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12649</v>
      </c>
    </row>
    <row r="2866" spans="1:7" x14ac:dyDescent="0.25">
      <c r="A2866" t="s">
        <v>4</v>
      </c>
      <c r="B2866" t="s">
        <v>8</v>
      </c>
      <c r="F2866" t="s">
        <v>7221</v>
      </c>
      <c r="G2866" t="s">
        <v>12650</v>
      </c>
    </row>
    <row r="2867" spans="1:7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12650</v>
      </c>
    </row>
    <row r="2868" spans="1:7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12650</v>
      </c>
    </row>
    <row r="2869" spans="1:7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12650</v>
      </c>
    </row>
    <row r="2870" spans="1:7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12650</v>
      </c>
    </row>
    <row r="2871" spans="1:7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12650</v>
      </c>
    </row>
    <row r="2872" spans="1:7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12650</v>
      </c>
    </row>
    <row r="2873" spans="1:7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12650</v>
      </c>
    </row>
    <row r="2874" spans="1:7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12650</v>
      </c>
    </row>
    <row r="2875" spans="1:7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12650</v>
      </c>
    </row>
    <row r="2876" spans="1:7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12650</v>
      </c>
    </row>
    <row r="2877" spans="1:7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12650</v>
      </c>
    </row>
    <row r="2878" spans="1:7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12650</v>
      </c>
    </row>
    <row r="2879" spans="1:7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12650</v>
      </c>
    </row>
    <row r="2880" spans="1:7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12650</v>
      </c>
    </row>
    <row r="2881" spans="1:7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12650</v>
      </c>
    </row>
    <row r="2882" spans="1:7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12650</v>
      </c>
    </row>
    <row r="2883" spans="1:7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12650</v>
      </c>
    </row>
    <row r="2884" spans="1:7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12650</v>
      </c>
    </row>
    <row r="2885" spans="1:7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12650</v>
      </c>
    </row>
    <row r="2886" spans="1:7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12650</v>
      </c>
    </row>
    <row r="2887" spans="1:7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12650</v>
      </c>
    </row>
    <row r="2888" spans="1:7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12650</v>
      </c>
    </row>
    <row r="2889" spans="1:7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12650</v>
      </c>
    </row>
    <row r="2890" spans="1:7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12650</v>
      </c>
    </row>
    <row r="2891" spans="1:7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12650</v>
      </c>
    </row>
    <row r="2892" spans="1:7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12650</v>
      </c>
    </row>
    <row r="2893" spans="1:7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12650</v>
      </c>
    </row>
    <row r="2894" spans="1:7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12650</v>
      </c>
    </row>
    <row r="2895" spans="1:7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12651</v>
      </c>
    </row>
    <row r="2896" spans="1:7" x14ac:dyDescent="0.25">
      <c r="A2896" t="s">
        <v>588</v>
      </c>
      <c r="B2896" t="s">
        <v>4396</v>
      </c>
      <c r="F2896" t="s">
        <v>7281</v>
      </c>
      <c r="G2896" t="s">
        <v>12651</v>
      </c>
    </row>
    <row r="2897" spans="1:7" x14ac:dyDescent="0.25">
      <c r="A2897" t="s">
        <v>588</v>
      </c>
      <c r="B2897" t="s">
        <v>4396</v>
      </c>
      <c r="F2897" t="s">
        <v>7283</v>
      </c>
      <c r="G2897" t="s">
        <v>12651</v>
      </c>
    </row>
    <row r="2898" spans="1:7" x14ac:dyDescent="0.25">
      <c r="A2898" t="s">
        <v>588</v>
      </c>
      <c r="B2898" t="s">
        <v>4396</v>
      </c>
      <c r="F2898" t="s">
        <v>7285</v>
      </c>
      <c r="G2898" t="s">
        <v>12651</v>
      </c>
    </row>
    <row r="2899" spans="1:7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12651</v>
      </c>
    </row>
    <row r="2900" spans="1:7" x14ac:dyDescent="0.25">
      <c r="A2900" t="s">
        <v>4</v>
      </c>
      <c r="B2900" t="s">
        <v>8</v>
      </c>
      <c r="F2900" t="s">
        <v>7289</v>
      </c>
      <c r="G2900" t="s">
        <v>12651</v>
      </c>
    </row>
    <row r="2901" spans="1:7" x14ac:dyDescent="0.25">
      <c r="A2901" t="s">
        <v>588</v>
      </c>
      <c r="B2901" t="s">
        <v>4396</v>
      </c>
      <c r="F2901" t="s">
        <v>7291</v>
      </c>
      <c r="G2901" t="s">
        <v>12651</v>
      </c>
    </row>
    <row r="2902" spans="1:7" x14ac:dyDescent="0.25">
      <c r="A2902" t="s">
        <v>588</v>
      </c>
      <c r="B2902" t="s">
        <v>4396</v>
      </c>
      <c r="F2902" t="s">
        <v>7293</v>
      </c>
      <c r="G2902" t="s">
        <v>12651</v>
      </c>
    </row>
    <row r="2903" spans="1:7" x14ac:dyDescent="0.25">
      <c r="A2903" t="s">
        <v>588</v>
      </c>
      <c r="B2903" t="s">
        <v>4396</v>
      </c>
      <c r="F2903" t="s">
        <v>7295</v>
      </c>
      <c r="G2903" t="s">
        <v>12651</v>
      </c>
    </row>
    <row r="2904" spans="1:7" x14ac:dyDescent="0.25">
      <c r="A2904" t="s">
        <v>588</v>
      </c>
      <c r="B2904" t="s">
        <v>4396</v>
      </c>
      <c r="F2904" t="s">
        <v>7297</v>
      </c>
      <c r="G2904" t="s">
        <v>12651</v>
      </c>
    </row>
    <row r="2905" spans="1:7" x14ac:dyDescent="0.25">
      <c r="A2905" t="s">
        <v>4</v>
      </c>
      <c r="B2905" t="s">
        <v>8</v>
      </c>
      <c r="F2905" t="s">
        <v>7299</v>
      </c>
      <c r="G2905" t="s">
        <v>12651</v>
      </c>
    </row>
    <row r="2906" spans="1:7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x14ac:dyDescent="0.25">
      <c r="A2921" t="s">
        <v>1607</v>
      </c>
      <c r="F2921" t="s">
        <v>7391</v>
      </c>
      <c r="G2921" t="s">
        <v>91</v>
      </c>
    </row>
    <row r="2922" spans="1:7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x14ac:dyDescent="0.25">
      <c r="A2923" t="s">
        <v>1273</v>
      </c>
      <c r="B2923" t="s">
        <v>3358</v>
      </c>
      <c r="F2923" t="s">
        <v>7367</v>
      </c>
      <c r="G2923" t="s">
        <v>12647</v>
      </c>
    </row>
    <row r="2924" spans="1:7" x14ac:dyDescent="0.25">
      <c r="A2924" t="s">
        <v>7462</v>
      </c>
      <c r="B2924" t="s">
        <v>3358</v>
      </c>
      <c r="F2924" t="s">
        <v>7369</v>
      </c>
      <c r="G2924" t="s">
        <v>12647</v>
      </c>
    </row>
    <row r="2925" spans="1:7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12647</v>
      </c>
    </row>
    <row r="2926" spans="1:7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12647</v>
      </c>
    </row>
    <row r="2927" spans="1:7" x14ac:dyDescent="0.25">
      <c r="A2927" t="s">
        <v>587</v>
      </c>
      <c r="B2927" t="s">
        <v>3358</v>
      </c>
      <c r="F2927" t="s">
        <v>7375</v>
      </c>
      <c r="G2927" t="s">
        <v>12647</v>
      </c>
    </row>
    <row r="2928" spans="1:7" x14ac:dyDescent="0.25">
      <c r="A2928" t="s">
        <v>1607</v>
      </c>
      <c r="B2928" t="s">
        <v>8</v>
      </c>
      <c r="F2928" t="s">
        <v>7377</v>
      </c>
      <c r="G2928" t="s">
        <v>12647</v>
      </c>
    </row>
    <row r="2929" spans="1:7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12647</v>
      </c>
    </row>
    <row r="2930" spans="1:7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12647</v>
      </c>
    </row>
    <row r="2931" spans="1:7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12647</v>
      </c>
    </row>
    <row r="2932" spans="1:7" x14ac:dyDescent="0.25">
      <c r="A2932" t="s">
        <v>4</v>
      </c>
      <c r="B2932" t="s">
        <v>7045</v>
      </c>
      <c r="F2932" t="s">
        <v>7385</v>
      </c>
      <c r="G2932" t="s">
        <v>11076</v>
      </c>
    </row>
    <row r="2933" spans="1:7" x14ac:dyDescent="0.25">
      <c r="A2933" t="s">
        <v>4</v>
      </c>
      <c r="B2933" t="s">
        <v>7045</v>
      </c>
      <c r="F2933" t="s">
        <v>7468</v>
      </c>
      <c r="G2933" t="s">
        <v>11076</v>
      </c>
    </row>
    <row r="2934" spans="1:7" x14ac:dyDescent="0.25">
      <c r="A2934" t="s">
        <v>4</v>
      </c>
      <c r="B2934" t="s">
        <v>7045</v>
      </c>
      <c r="F2934" t="s">
        <v>7470</v>
      </c>
      <c r="G2934" t="s">
        <v>11076</v>
      </c>
    </row>
    <row r="2935" spans="1:7" x14ac:dyDescent="0.25">
      <c r="A2935" t="s">
        <v>4</v>
      </c>
      <c r="B2935" t="s">
        <v>7045</v>
      </c>
      <c r="F2935" t="s">
        <v>7472</v>
      </c>
      <c r="G2935" t="s">
        <v>11076</v>
      </c>
    </row>
    <row r="2936" spans="1:7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x14ac:dyDescent="0.25">
      <c r="A2959" t="s">
        <v>4</v>
      </c>
      <c r="B2959" t="s">
        <v>9</v>
      </c>
      <c r="F2959" t="s">
        <v>7410</v>
      </c>
      <c r="G2959" t="s">
        <v>12648</v>
      </c>
    </row>
    <row r="2960" spans="1:7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12648</v>
      </c>
    </row>
    <row r="2961" spans="1:7" x14ac:dyDescent="0.25">
      <c r="A2961" t="s">
        <v>7531</v>
      </c>
      <c r="B2961" t="s">
        <v>1274</v>
      </c>
      <c r="F2961" t="s">
        <v>7414</v>
      </c>
      <c r="G2961" t="s">
        <v>12648</v>
      </c>
    </row>
    <row r="2962" spans="1:7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12648</v>
      </c>
    </row>
    <row r="2963" spans="1:7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12648</v>
      </c>
    </row>
    <row r="2964" spans="1:7" x14ac:dyDescent="0.25">
      <c r="A2964" t="s">
        <v>1627</v>
      </c>
      <c r="B2964" t="s">
        <v>687</v>
      </c>
      <c r="F2964" t="s">
        <v>7420</v>
      </c>
      <c r="G2964" t="s">
        <v>12648</v>
      </c>
    </row>
    <row r="2965" spans="1:7" x14ac:dyDescent="0.25">
      <c r="A2965" t="s">
        <v>4</v>
      </c>
      <c r="B2965" t="s">
        <v>9</v>
      </c>
      <c r="F2965" t="s">
        <v>7532</v>
      </c>
      <c r="G2965" t="s">
        <v>12648</v>
      </c>
    </row>
    <row r="2966" spans="1:7" x14ac:dyDescent="0.25">
      <c r="A2966" t="s">
        <v>1627</v>
      </c>
      <c r="B2966" t="s">
        <v>687</v>
      </c>
      <c r="F2966" t="s">
        <v>7534</v>
      </c>
      <c r="G2966" t="s">
        <v>12648</v>
      </c>
    </row>
    <row r="2967" spans="1:7" x14ac:dyDescent="0.25">
      <c r="A2967" t="s">
        <v>1627</v>
      </c>
      <c r="B2967" t="s">
        <v>687</v>
      </c>
      <c r="F2967" t="s">
        <v>7536</v>
      </c>
      <c r="G2967" t="s">
        <v>12648</v>
      </c>
    </row>
    <row r="2968" spans="1:7" x14ac:dyDescent="0.25">
      <c r="A2968" t="s">
        <v>7531</v>
      </c>
      <c r="B2968" t="s">
        <v>1274</v>
      </c>
      <c r="F2968" t="s">
        <v>7538</v>
      </c>
      <c r="G2968" t="s">
        <v>12648</v>
      </c>
    </row>
    <row r="2969" spans="1:7" x14ac:dyDescent="0.25">
      <c r="A2969" t="s">
        <v>1627</v>
      </c>
      <c r="B2969" t="s">
        <v>687</v>
      </c>
      <c r="F2969" t="s">
        <v>7540</v>
      </c>
      <c r="G2969" t="s">
        <v>12648</v>
      </c>
    </row>
    <row r="2970" spans="1:7" x14ac:dyDescent="0.25">
      <c r="A2970" t="s">
        <v>1627</v>
      </c>
      <c r="B2970" t="s">
        <v>687</v>
      </c>
      <c r="F2970" t="s">
        <v>7542</v>
      </c>
      <c r="G2970" t="s">
        <v>12648</v>
      </c>
    </row>
    <row r="2971" spans="1:7" x14ac:dyDescent="0.25">
      <c r="A2971" t="s">
        <v>7531</v>
      </c>
      <c r="B2971" t="s">
        <v>1274</v>
      </c>
      <c r="F2971" t="s">
        <v>7544</v>
      </c>
      <c r="G2971" t="s">
        <v>12648</v>
      </c>
    </row>
    <row r="2972" spans="1:7" x14ac:dyDescent="0.25">
      <c r="A2972" t="s">
        <v>1627</v>
      </c>
      <c r="B2972" t="s">
        <v>687</v>
      </c>
      <c r="F2972" t="s">
        <v>7546</v>
      </c>
      <c r="G2972" t="s">
        <v>12648</v>
      </c>
    </row>
    <row r="2973" spans="1:7" x14ac:dyDescent="0.25">
      <c r="A2973" t="s">
        <v>1627</v>
      </c>
      <c r="B2973" t="s">
        <v>687</v>
      </c>
      <c r="F2973" t="s">
        <v>7548</v>
      </c>
      <c r="G2973" t="s">
        <v>12648</v>
      </c>
    </row>
    <row r="2974" spans="1:7" x14ac:dyDescent="0.25">
      <c r="A2974" t="s">
        <v>7562</v>
      </c>
      <c r="B2974" t="s">
        <v>468</v>
      </c>
      <c r="F2974" t="s">
        <v>7550</v>
      </c>
      <c r="G2974" t="s">
        <v>12648</v>
      </c>
    </row>
    <row r="2975" spans="1:7" x14ac:dyDescent="0.25">
      <c r="A2975" t="s">
        <v>7531</v>
      </c>
      <c r="B2975" t="s">
        <v>1274</v>
      </c>
      <c r="F2975" t="s">
        <v>7552</v>
      </c>
      <c r="G2975" t="s">
        <v>12648</v>
      </c>
    </row>
    <row r="2976" spans="1:7" x14ac:dyDescent="0.25">
      <c r="A2976" t="s">
        <v>7531</v>
      </c>
      <c r="B2976" t="s">
        <v>1274</v>
      </c>
      <c r="F2976" t="s">
        <v>7554</v>
      </c>
      <c r="G2976" t="s">
        <v>12648</v>
      </c>
    </row>
    <row r="2977" spans="1:7" x14ac:dyDescent="0.25">
      <c r="A2977" t="s">
        <v>7531</v>
      </c>
      <c r="B2977" t="s">
        <v>1274</v>
      </c>
      <c r="F2977" t="s">
        <v>7556</v>
      </c>
      <c r="G2977" t="s">
        <v>12648</v>
      </c>
    </row>
    <row r="2978" spans="1:7" x14ac:dyDescent="0.25">
      <c r="A2978" t="s">
        <v>1627</v>
      </c>
      <c r="B2978" t="s">
        <v>687</v>
      </c>
      <c r="F2978" t="s">
        <v>7558</v>
      </c>
      <c r="G2978" t="s">
        <v>12648</v>
      </c>
    </row>
    <row r="2979" spans="1:7" x14ac:dyDescent="0.25">
      <c r="A2979" t="s">
        <v>7531</v>
      </c>
      <c r="B2979" t="s">
        <v>1274</v>
      </c>
      <c r="F2979" t="s">
        <v>7560</v>
      </c>
      <c r="G2979" t="s">
        <v>12648</v>
      </c>
    </row>
    <row r="2980" spans="1:7" x14ac:dyDescent="0.25">
      <c r="A2980" t="s">
        <v>7563</v>
      </c>
      <c r="B2980" t="s">
        <v>1058</v>
      </c>
      <c r="F2980" t="s">
        <v>7422</v>
      </c>
      <c r="G2980" t="s">
        <v>12649</v>
      </c>
    </row>
    <row r="2981" spans="1:7" x14ac:dyDescent="0.25">
      <c r="A2981" t="s">
        <v>7563</v>
      </c>
      <c r="B2981" t="s">
        <v>1058</v>
      </c>
      <c r="F2981" t="s">
        <v>7424</v>
      </c>
      <c r="G2981" t="s">
        <v>12649</v>
      </c>
    </row>
    <row r="2982" spans="1:7" x14ac:dyDescent="0.25">
      <c r="A2982" t="s">
        <v>7563</v>
      </c>
      <c r="B2982" t="s">
        <v>7564</v>
      </c>
      <c r="F2982" t="s">
        <v>7426</v>
      </c>
      <c r="G2982" t="s">
        <v>12649</v>
      </c>
    </row>
    <row r="2983" spans="1:7" x14ac:dyDescent="0.25">
      <c r="A2983" t="s">
        <v>4</v>
      </c>
      <c r="B2983" t="s">
        <v>6157</v>
      </c>
      <c r="F2983" t="s">
        <v>7428</v>
      </c>
      <c r="G2983" t="s">
        <v>12649</v>
      </c>
    </row>
    <row r="2984" spans="1:7" x14ac:dyDescent="0.25">
      <c r="A2984" t="s">
        <v>7563</v>
      </c>
      <c r="B2984" t="s">
        <v>1058</v>
      </c>
      <c r="F2984" t="s">
        <v>7565</v>
      </c>
      <c r="G2984" t="s">
        <v>12649</v>
      </c>
    </row>
    <row r="2985" spans="1:7" x14ac:dyDescent="0.25">
      <c r="A2985" t="s">
        <v>7563</v>
      </c>
      <c r="B2985" t="s">
        <v>1058</v>
      </c>
      <c r="F2985" t="s">
        <v>7567</v>
      </c>
      <c r="G2985" t="s">
        <v>12649</v>
      </c>
    </row>
    <row r="2986" spans="1:7" x14ac:dyDescent="0.25">
      <c r="A2986" t="s">
        <v>7563</v>
      </c>
      <c r="B2986" t="s">
        <v>1058</v>
      </c>
      <c r="F2986" t="s">
        <v>7569</v>
      </c>
      <c r="G2986" t="s">
        <v>12649</v>
      </c>
    </row>
    <row r="2987" spans="1:7" x14ac:dyDescent="0.25">
      <c r="A2987" t="s">
        <v>7563</v>
      </c>
      <c r="B2987" t="s">
        <v>1058</v>
      </c>
      <c r="F2987" t="s">
        <v>7571</v>
      </c>
      <c r="G2987" t="s">
        <v>12649</v>
      </c>
    </row>
    <row r="2988" spans="1:7" x14ac:dyDescent="0.25">
      <c r="A2988" t="s">
        <v>7563</v>
      </c>
      <c r="B2988" t="s">
        <v>1058</v>
      </c>
      <c r="F2988" t="s">
        <v>7573</v>
      </c>
      <c r="G2988" t="s">
        <v>12649</v>
      </c>
    </row>
    <row r="2989" spans="1:7" x14ac:dyDescent="0.25">
      <c r="A2989" t="s">
        <v>7563</v>
      </c>
      <c r="B2989" t="s">
        <v>1058</v>
      </c>
      <c r="F2989" t="s">
        <v>7575</v>
      </c>
      <c r="G2989" t="s">
        <v>12649</v>
      </c>
    </row>
    <row r="2990" spans="1:7" x14ac:dyDescent="0.25">
      <c r="A2990" t="s">
        <v>7583</v>
      </c>
      <c r="B2990" t="s">
        <v>1058</v>
      </c>
      <c r="F2990" t="s">
        <v>7577</v>
      </c>
      <c r="G2990" t="s">
        <v>12649</v>
      </c>
    </row>
    <row r="2991" spans="1:7" x14ac:dyDescent="0.25">
      <c r="A2991" t="s">
        <v>7562</v>
      </c>
      <c r="B2991" t="s">
        <v>4131</v>
      </c>
      <c r="F2991" t="s">
        <v>7579</v>
      </c>
      <c r="G2991" t="s">
        <v>12649</v>
      </c>
    </row>
    <row r="2992" spans="1:7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12649</v>
      </c>
    </row>
    <row r="2993" spans="1:7" x14ac:dyDescent="0.25">
      <c r="A2993" t="s">
        <v>6436</v>
      </c>
      <c r="B2993" t="s">
        <v>3358</v>
      </c>
      <c r="F2993" t="s">
        <v>7430</v>
      </c>
      <c r="G2993" t="s">
        <v>12650</v>
      </c>
    </row>
    <row r="2994" spans="1:7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12650</v>
      </c>
    </row>
    <row r="2995" spans="1:7" x14ac:dyDescent="0.25">
      <c r="A2995" t="s">
        <v>6436</v>
      </c>
      <c r="B2995" t="s">
        <v>3358</v>
      </c>
      <c r="F2995" t="s">
        <v>7434</v>
      </c>
      <c r="G2995" t="s">
        <v>12650</v>
      </c>
    </row>
    <row r="2996" spans="1:7" x14ac:dyDescent="0.25">
      <c r="A2996" t="s">
        <v>4</v>
      </c>
      <c r="B2996" t="s">
        <v>8</v>
      </c>
      <c r="F2996" t="s">
        <v>7436</v>
      </c>
      <c r="G2996" t="s">
        <v>12650</v>
      </c>
    </row>
    <row r="2997" spans="1:7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12650</v>
      </c>
    </row>
    <row r="2998" spans="1:7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12650</v>
      </c>
    </row>
    <row r="2999" spans="1:7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12650</v>
      </c>
    </row>
    <row r="3000" spans="1:7" x14ac:dyDescent="0.25">
      <c r="A3000" t="s">
        <v>1273</v>
      </c>
      <c r="B3000" t="s">
        <v>7608</v>
      </c>
      <c r="F3000" t="s">
        <v>7590</v>
      </c>
      <c r="G3000" t="s">
        <v>12650</v>
      </c>
    </row>
    <row r="3001" spans="1:7" x14ac:dyDescent="0.25">
      <c r="A3001" t="s">
        <v>587</v>
      </c>
      <c r="B3001" t="s">
        <v>7608</v>
      </c>
      <c r="F3001" t="s">
        <v>7592</v>
      </c>
      <c r="G3001" t="s">
        <v>12650</v>
      </c>
    </row>
    <row r="3002" spans="1:7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12650</v>
      </c>
    </row>
    <row r="3003" spans="1:7" x14ac:dyDescent="0.25">
      <c r="A3003" t="s">
        <v>1273</v>
      </c>
      <c r="B3003" t="s">
        <v>7609</v>
      </c>
      <c r="F3003" t="s">
        <v>7596</v>
      </c>
      <c r="G3003" t="s">
        <v>12650</v>
      </c>
    </row>
    <row r="3004" spans="1:7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12650</v>
      </c>
    </row>
    <row r="3005" spans="1:7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12650</v>
      </c>
    </row>
    <row r="3006" spans="1:7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12650</v>
      </c>
    </row>
    <row r="3007" spans="1:7" x14ac:dyDescent="0.25">
      <c r="A3007" t="s">
        <v>4</v>
      </c>
      <c r="B3007" t="s">
        <v>8</v>
      </c>
      <c r="F3007" t="s">
        <v>7605</v>
      </c>
      <c r="G3007" t="s">
        <v>12650</v>
      </c>
    </row>
    <row r="3008" spans="1:7" x14ac:dyDescent="0.25">
      <c r="A3008" t="s">
        <v>1607</v>
      </c>
      <c r="B3008" t="s">
        <v>8</v>
      </c>
      <c r="F3008" t="s">
        <v>7438</v>
      </c>
      <c r="G3008" t="s">
        <v>12651</v>
      </c>
    </row>
    <row r="3009" spans="1:7" x14ac:dyDescent="0.25">
      <c r="A3009" t="s">
        <v>4</v>
      </c>
      <c r="B3009" t="s">
        <v>8</v>
      </c>
      <c r="F3009" t="s">
        <v>7610</v>
      </c>
      <c r="G3009" t="s">
        <v>12651</v>
      </c>
    </row>
    <row r="3010" spans="1:7" x14ac:dyDescent="0.25">
      <c r="A3010" t="s">
        <v>588</v>
      </c>
      <c r="B3010" t="s">
        <v>4396</v>
      </c>
      <c r="F3010" t="s">
        <v>7612</v>
      </c>
      <c r="G3010" t="s">
        <v>12651</v>
      </c>
    </row>
    <row r="3011" spans="1:7" x14ac:dyDescent="0.25">
      <c r="A3011" t="s">
        <v>588</v>
      </c>
      <c r="B3011" t="s">
        <v>4396</v>
      </c>
      <c r="F3011" t="s">
        <v>7614</v>
      </c>
      <c r="G3011" t="s">
        <v>12651</v>
      </c>
    </row>
    <row r="3012" spans="1:7" x14ac:dyDescent="0.25">
      <c r="A3012" t="s">
        <v>588</v>
      </c>
      <c r="B3012" t="s">
        <v>4396</v>
      </c>
      <c r="F3012" t="s">
        <v>7616</v>
      </c>
      <c r="G3012" t="s">
        <v>12651</v>
      </c>
    </row>
    <row r="3013" spans="1:7" x14ac:dyDescent="0.25">
      <c r="A3013" t="s">
        <v>588</v>
      </c>
      <c r="B3013" t="s">
        <v>4396</v>
      </c>
      <c r="F3013" t="s">
        <v>7618</v>
      </c>
      <c r="G3013" t="s">
        <v>12651</v>
      </c>
    </row>
    <row r="3014" spans="1:7" x14ac:dyDescent="0.25">
      <c r="A3014" t="s">
        <v>588</v>
      </c>
      <c r="B3014" t="s">
        <v>4396</v>
      </c>
      <c r="F3014" t="s">
        <v>7620</v>
      </c>
      <c r="G3014" t="s">
        <v>12651</v>
      </c>
    </row>
    <row r="3015" spans="1:7" x14ac:dyDescent="0.25">
      <c r="A3015" t="s">
        <v>4</v>
      </c>
      <c r="B3015" t="s">
        <v>8</v>
      </c>
      <c r="F3015" t="s">
        <v>7622</v>
      </c>
      <c r="G3015" t="s">
        <v>12651</v>
      </c>
    </row>
    <row r="3016" spans="1:7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x14ac:dyDescent="0.25">
      <c r="A3038" t="s">
        <v>1607</v>
      </c>
      <c r="F3038" t="s">
        <v>7677</v>
      </c>
      <c r="G3038" t="s">
        <v>91</v>
      </c>
    </row>
    <row r="3039" spans="1:7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12647</v>
      </c>
    </row>
    <row r="3040" spans="1:7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12647</v>
      </c>
    </row>
    <row r="3041" spans="1:7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12647</v>
      </c>
    </row>
    <row r="3042" spans="1:7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12647</v>
      </c>
    </row>
    <row r="3043" spans="1:7" x14ac:dyDescent="0.25">
      <c r="A3043" t="s">
        <v>1607</v>
      </c>
      <c r="B3043" t="s">
        <v>8</v>
      </c>
      <c r="F3043" t="s">
        <v>7659</v>
      </c>
      <c r="G3043" t="s">
        <v>12647</v>
      </c>
    </row>
    <row r="3044" spans="1:7" x14ac:dyDescent="0.25">
      <c r="A3044" t="s">
        <v>4</v>
      </c>
      <c r="B3044" t="s">
        <v>7739</v>
      </c>
      <c r="F3044" t="s">
        <v>7661</v>
      </c>
      <c r="G3044" t="s">
        <v>11076</v>
      </c>
    </row>
    <row r="3045" spans="1:7" x14ac:dyDescent="0.25">
      <c r="A3045" t="s">
        <v>1607</v>
      </c>
      <c r="B3045" t="s">
        <v>8</v>
      </c>
      <c r="F3045" t="s">
        <v>7663</v>
      </c>
      <c r="G3045" t="s">
        <v>11076</v>
      </c>
    </row>
    <row r="3046" spans="1:7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x14ac:dyDescent="0.25">
      <c r="A3055" t="s">
        <v>7531</v>
      </c>
      <c r="B3055" t="s">
        <v>1274</v>
      </c>
      <c r="F3055" t="s">
        <v>7685</v>
      </c>
      <c r="G3055" t="s">
        <v>12648</v>
      </c>
    </row>
    <row r="3056" spans="1:7" x14ac:dyDescent="0.25">
      <c r="A3056" t="s">
        <v>4</v>
      </c>
      <c r="B3056" t="s">
        <v>9</v>
      </c>
      <c r="F3056" t="s">
        <v>7687</v>
      </c>
      <c r="G3056" t="s">
        <v>12648</v>
      </c>
    </row>
    <row r="3057" spans="1:7" x14ac:dyDescent="0.25">
      <c r="A3057" t="s">
        <v>7531</v>
      </c>
      <c r="B3057" t="s">
        <v>1274</v>
      </c>
      <c r="F3057" t="s">
        <v>7689</v>
      </c>
      <c r="G3057" t="s">
        <v>12648</v>
      </c>
    </row>
    <row r="3058" spans="1:7" x14ac:dyDescent="0.25">
      <c r="A3058" t="s">
        <v>1627</v>
      </c>
      <c r="B3058" t="s">
        <v>687</v>
      </c>
      <c r="F3058" t="s">
        <v>7691</v>
      </c>
      <c r="G3058" t="s">
        <v>12648</v>
      </c>
    </row>
    <row r="3059" spans="1:7" x14ac:dyDescent="0.25">
      <c r="A3059" t="s">
        <v>4</v>
      </c>
      <c r="B3059" t="s">
        <v>9</v>
      </c>
      <c r="F3059" t="s">
        <v>7693</v>
      </c>
      <c r="G3059" t="s">
        <v>12648</v>
      </c>
    </row>
    <row r="3060" spans="1:7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12650</v>
      </c>
    </row>
    <row r="3061" spans="1:7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12650</v>
      </c>
    </row>
    <row r="3062" spans="1:7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12650</v>
      </c>
    </row>
    <row r="3063" spans="1:7" x14ac:dyDescent="0.25">
      <c r="A3063" t="s">
        <v>1607</v>
      </c>
      <c r="B3063" t="s">
        <v>8</v>
      </c>
      <c r="F3063" t="s">
        <v>7722</v>
      </c>
      <c r="G3063" t="s">
        <v>12651</v>
      </c>
    </row>
    <row r="3064" spans="1:7" x14ac:dyDescent="0.25">
      <c r="A3064" t="s">
        <v>1607</v>
      </c>
      <c r="B3064" t="s">
        <v>8</v>
      </c>
      <c r="F3064" t="s">
        <v>7723</v>
      </c>
      <c r="G3064" t="s">
        <v>12651</v>
      </c>
    </row>
    <row r="3065" spans="1:7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12649</v>
      </c>
    </row>
    <row r="3070" spans="1:7" x14ac:dyDescent="0.25">
      <c r="A3070" t="s">
        <v>4</v>
      </c>
      <c r="B3070" t="s">
        <v>7745</v>
      </c>
      <c r="F3070" t="s">
        <v>7712</v>
      </c>
      <c r="G3070" t="s">
        <v>12649</v>
      </c>
    </row>
    <row r="3071" spans="1:7" x14ac:dyDescent="0.25">
      <c r="A3071" t="s">
        <v>7746</v>
      </c>
      <c r="B3071" t="s">
        <v>7355</v>
      </c>
      <c r="F3071" t="s">
        <v>7714</v>
      </c>
      <c r="G3071" t="s">
        <v>12649</v>
      </c>
    </row>
    <row r="3072" spans="1:7" x14ac:dyDescent="0.25">
      <c r="A3072" t="s">
        <v>1607</v>
      </c>
      <c r="F3072" t="s">
        <v>7762</v>
      </c>
      <c r="G3072" t="s">
        <v>91</v>
      </c>
    </row>
    <row r="3073" spans="1:7" x14ac:dyDescent="0.25">
      <c r="A3073" t="s">
        <v>1607</v>
      </c>
      <c r="F3073" t="s">
        <v>7764</v>
      </c>
      <c r="G3073" t="s">
        <v>91</v>
      </c>
    </row>
    <row r="3074" spans="1:7" x14ac:dyDescent="0.25">
      <c r="A3074" t="s">
        <v>1607</v>
      </c>
      <c r="B3074" t="s">
        <v>8</v>
      </c>
      <c r="F3074" t="s">
        <v>7766</v>
      </c>
      <c r="G3074" t="s">
        <v>12647</v>
      </c>
    </row>
    <row r="3075" spans="1:7" x14ac:dyDescent="0.25">
      <c r="A3075" t="s">
        <v>1607</v>
      </c>
      <c r="B3075" t="s">
        <v>8</v>
      </c>
      <c r="F3075" t="s">
        <v>7768</v>
      </c>
      <c r="G3075" t="s">
        <v>12647</v>
      </c>
    </row>
    <row r="3076" spans="1:7" x14ac:dyDescent="0.25">
      <c r="A3076" t="s">
        <v>4</v>
      </c>
      <c r="B3076" t="s">
        <v>7045</v>
      </c>
      <c r="F3076" t="s">
        <v>7770</v>
      </c>
      <c r="G3076" t="s">
        <v>11076</v>
      </c>
    </row>
    <row r="3077" spans="1:7" x14ac:dyDescent="0.25">
      <c r="A3077" t="s">
        <v>4</v>
      </c>
      <c r="B3077" t="s">
        <v>7045</v>
      </c>
      <c r="F3077" t="s">
        <v>7772</v>
      </c>
      <c r="G3077" t="s">
        <v>11076</v>
      </c>
    </row>
    <row r="3078" spans="1:7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x14ac:dyDescent="0.25">
      <c r="A3100" t="s">
        <v>7531</v>
      </c>
      <c r="B3100" t="s">
        <v>1274</v>
      </c>
      <c r="F3100" t="s">
        <v>7789</v>
      </c>
      <c r="G3100" t="s">
        <v>12648</v>
      </c>
    </row>
    <row r="3101" spans="1:7" x14ac:dyDescent="0.25">
      <c r="A3101" t="s">
        <v>7531</v>
      </c>
      <c r="B3101" t="s">
        <v>1274</v>
      </c>
      <c r="F3101" t="s">
        <v>7791</v>
      </c>
      <c r="G3101" t="s">
        <v>12648</v>
      </c>
    </row>
    <row r="3102" spans="1:7" x14ac:dyDescent="0.25">
      <c r="A3102" t="s">
        <v>7531</v>
      </c>
      <c r="B3102" t="s">
        <v>1274</v>
      </c>
      <c r="F3102" t="s">
        <v>7793</v>
      </c>
      <c r="G3102" t="s">
        <v>12648</v>
      </c>
    </row>
    <row r="3103" spans="1:7" x14ac:dyDescent="0.25">
      <c r="A3103" t="s">
        <v>1627</v>
      </c>
      <c r="B3103" t="s">
        <v>687</v>
      </c>
      <c r="F3103" t="s">
        <v>7795</v>
      </c>
      <c r="G3103" t="s">
        <v>12648</v>
      </c>
    </row>
    <row r="3104" spans="1:7" x14ac:dyDescent="0.25">
      <c r="A3104" t="s">
        <v>1627</v>
      </c>
      <c r="B3104" t="s">
        <v>687</v>
      </c>
      <c r="F3104" t="s">
        <v>7797</v>
      </c>
      <c r="G3104" t="s">
        <v>12648</v>
      </c>
    </row>
    <row r="3105" spans="1:7" x14ac:dyDescent="0.25">
      <c r="A3105" t="s">
        <v>1627</v>
      </c>
      <c r="B3105" t="s">
        <v>687</v>
      </c>
      <c r="F3105" t="s">
        <v>7799</v>
      </c>
      <c r="G3105" t="s">
        <v>12648</v>
      </c>
    </row>
    <row r="3106" spans="1:7" x14ac:dyDescent="0.25">
      <c r="A3106" t="s">
        <v>7531</v>
      </c>
      <c r="B3106" t="s">
        <v>1274</v>
      </c>
      <c r="F3106" t="s">
        <v>7801</v>
      </c>
      <c r="G3106" t="s">
        <v>12648</v>
      </c>
    </row>
    <row r="3107" spans="1:7" x14ac:dyDescent="0.25">
      <c r="A3107" t="s">
        <v>4</v>
      </c>
      <c r="B3107" t="s">
        <v>9</v>
      </c>
      <c r="F3107" t="s">
        <v>7803</v>
      </c>
      <c r="G3107" t="s">
        <v>12648</v>
      </c>
    </row>
    <row r="3108" spans="1:7" x14ac:dyDescent="0.25">
      <c r="A3108" t="s">
        <v>7531</v>
      </c>
      <c r="B3108" t="s">
        <v>1274</v>
      </c>
      <c r="F3108" t="s">
        <v>7805</v>
      </c>
      <c r="G3108" t="s">
        <v>12648</v>
      </c>
    </row>
    <row r="3109" spans="1:7" x14ac:dyDescent="0.25">
      <c r="A3109" t="s">
        <v>1627</v>
      </c>
      <c r="B3109" t="s">
        <v>687</v>
      </c>
      <c r="F3109" t="s">
        <v>7807</v>
      </c>
      <c r="G3109" t="s">
        <v>12648</v>
      </c>
    </row>
    <row r="3110" spans="1:7" x14ac:dyDescent="0.25">
      <c r="A3110" t="s">
        <v>7531</v>
      </c>
      <c r="B3110" t="s">
        <v>1274</v>
      </c>
      <c r="F3110" t="s">
        <v>7809</v>
      </c>
      <c r="G3110" t="s">
        <v>12648</v>
      </c>
    </row>
    <row r="3111" spans="1:7" x14ac:dyDescent="0.25">
      <c r="A3111" t="s">
        <v>7531</v>
      </c>
      <c r="B3111" t="s">
        <v>1274</v>
      </c>
      <c r="F3111" t="s">
        <v>7811</v>
      </c>
      <c r="G3111" t="s">
        <v>12648</v>
      </c>
    </row>
    <row r="3112" spans="1:7" x14ac:dyDescent="0.25">
      <c r="A3112" t="s">
        <v>7531</v>
      </c>
      <c r="B3112" t="s">
        <v>1274</v>
      </c>
      <c r="F3112" t="s">
        <v>7813</v>
      </c>
      <c r="G3112" t="s">
        <v>12648</v>
      </c>
    </row>
    <row r="3113" spans="1:7" x14ac:dyDescent="0.25">
      <c r="A3113" t="s">
        <v>7562</v>
      </c>
      <c r="B3113" t="s">
        <v>468</v>
      </c>
      <c r="F3113" t="s">
        <v>7815</v>
      </c>
      <c r="G3113" t="s">
        <v>12648</v>
      </c>
    </row>
    <row r="3114" spans="1:7" x14ac:dyDescent="0.25">
      <c r="A3114" t="s">
        <v>7531</v>
      </c>
      <c r="B3114" t="s">
        <v>1274</v>
      </c>
      <c r="F3114" t="s">
        <v>7817</v>
      </c>
      <c r="G3114" t="s">
        <v>12648</v>
      </c>
    </row>
    <row r="3115" spans="1:7" x14ac:dyDescent="0.25">
      <c r="A3115" t="s">
        <v>7531</v>
      </c>
      <c r="B3115" t="s">
        <v>1274</v>
      </c>
      <c r="F3115" t="s">
        <v>7819</v>
      </c>
      <c r="G3115" t="s">
        <v>12648</v>
      </c>
    </row>
    <row r="3116" spans="1:7" x14ac:dyDescent="0.25">
      <c r="A3116" t="s">
        <v>1627</v>
      </c>
      <c r="B3116" t="s">
        <v>687</v>
      </c>
      <c r="F3116" t="s">
        <v>7821</v>
      </c>
      <c r="G3116" t="s">
        <v>12648</v>
      </c>
    </row>
    <row r="3117" spans="1:7" x14ac:dyDescent="0.25">
      <c r="A3117" t="s">
        <v>1627</v>
      </c>
      <c r="B3117" t="s">
        <v>687</v>
      </c>
      <c r="F3117" t="s">
        <v>7823</v>
      </c>
      <c r="G3117" t="s">
        <v>12648</v>
      </c>
    </row>
    <row r="3118" spans="1:7" x14ac:dyDescent="0.25">
      <c r="A3118" t="s">
        <v>7563</v>
      </c>
      <c r="B3118" t="s">
        <v>1058</v>
      </c>
      <c r="F3118" t="s">
        <v>7825</v>
      </c>
      <c r="G3118" t="s">
        <v>12649</v>
      </c>
    </row>
    <row r="3119" spans="1:7" x14ac:dyDescent="0.25">
      <c r="A3119" t="s">
        <v>7563</v>
      </c>
      <c r="B3119" t="s">
        <v>1058</v>
      </c>
      <c r="F3119" t="s">
        <v>7827</v>
      </c>
      <c r="G3119" t="s">
        <v>12649</v>
      </c>
    </row>
    <row r="3120" spans="1:7" x14ac:dyDescent="0.25">
      <c r="A3120" t="s">
        <v>4</v>
      </c>
      <c r="B3120" t="s">
        <v>9</v>
      </c>
      <c r="F3120" t="s">
        <v>7829</v>
      </c>
      <c r="G3120" t="s">
        <v>12649</v>
      </c>
    </row>
    <row r="3121" spans="1:7" x14ac:dyDescent="0.25">
      <c r="A3121" t="s">
        <v>4</v>
      </c>
      <c r="B3121" t="s">
        <v>4393</v>
      </c>
      <c r="F3121" t="s">
        <v>7831</v>
      </c>
      <c r="G3121" t="s">
        <v>12649</v>
      </c>
    </row>
    <row r="3122" spans="1:7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12649</v>
      </c>
    </row>
    <row r="3123" spans="1:7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12649</v>
      </c>
    </row>
    <row r="3124" spans="1:7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12649</v>
      </c>
    </row>
    <row r="3125" spans="1:7" x14ac:dyDescent="0.25">
      <c r="A3125" t="s">
        <v>4</v>
      </c>
      <c r="B3125" t="s">
        <v>4393</v>
      </c>
      <c r="F3125" t="s">
        <v>7839</v>
      </c>
      <c r="G3125" t="s">
        <v>12649</v>
      </c>
    </row>
    <row r="3126" spans="1:7" x14ac:dyDescent="0.25">
      <c r="A3126" t="s">
        <v>4</v>
      </c>
      <c r="B3126" t="s">
        <v>4393</v>
      </c>
      <c r="F3126" t="s">
        <v>7841</v>
      </c>
      <c r="G3126" t="s">
        <v>12649</v>
      </c>
    </row>
    <row r="3127" spans="1:7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12649</v>
      </c>
    </row>
    <row r="3128" spans="1:7" x14ac:dyDescent="0.25">
      <c r="A3128" t="s">
        <v>1607</v>
      </c>
      <c r="B3128" t="s">
        <v>8</v>
      </c>
      <c r="F3128" t="s">
        <v>7845</v>
      </c>
      <c r="G3128" t="s">
        <v>12650</v>
      </c>
    </row>
    <row r="3129" spans="1:7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12650</v>
      </c>
    </row>
    <row r="3130" spans="1:7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12650</v>
      </c>
    </row>
    <row r="3131" spans="1:7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12650</v>
      </c>
    </row>
    <row r="3132" spans="1:7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12650</v>
      </c>
    </row>
    <row r="3133" spans="1:7" x14ac:dyDescent="0.25">
      <c r="A3133" t="s">
        <v>1607</v>
      </c>
      <c r="B3133" t="s">
        <v>8</v>
      </c>
      <c r="F3133" t="s">
        <v>7855</v>
      </c>
      <c r="G3133" t="s">
        <v>12651</v>
      </c>
    </row>
    <row r="3134" spans="1:7" x14ac:dyDescent="0.25">
      <c r="A3134" t="s">
        <v>5699</v>
      </c>
      <c r="B3134" t="s">
        <v>4396</v>
      </c>
      <c r="F3134" t="s">
        <v>7857</v>
      </c>
      <c r="G3134" t="s">
        <v>12651</v>
      </c>
    </row>
    <row r="3135" spans="1:7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12651</v>
      </c>
    </row>
    <row r="3136" spans="1:7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12651</v>
      </c>
    </row>
    <row r="3137" spans="1:7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x14ac:dyDescent="0.25">
      <c r="A3145" t="s">
        <v>1607</v>
      </c>
      <c r="F3145" t="s">
        <v>7934</v>
      </c>
      <c r="G3145" t="s">
        <v>91</v>
      </c>
    </row>
    <row r="3146" spans="1:7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12647</v>
      </c>
    </row>
    <row r="3149" spans="1:7" x14ac:dyDescent="0.25">
      <c r="A3149" t="s">
        <v>587</v>
      </c>
      <c r="B3149" t="s">
        <v>8099</v>
      </c>
      <c r="F3149" t="s">
        <v>7928</v>
      </c>
      <c r="G3149" t="s">
        <v>12647</v>
      </c>
    </row>
    <row r="3150" spans="1:7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12647</v>
      </c>
    </row>
    <row r="3151" spans="1:7" x14ac:dyDescent="0.25">
      <c r="A3151" t="s">
        <v>587</v>
      </c>
      <c r="B3151" t="s">
        <v>3358</v>
      </c>
      <c r="F3151" t="s">
        <v>7932</v>
      </c>
      <c r="G3151" t="s">
        <v>12647</v>
      </c>
    </row>
    <row r="3152" spans="1:7" x14ac:dyDescent="0.25">
      <c r="A3152" t="s">
        <v>4</v>
      </c>
      <c r="B3152" t="s">
        <v>7045</v>
      </c>
      <c r="F3152" t="s">
        <v>7955</v>
      </c>
      <c r="G3152" t="s">
        <v>11076</v>
      </c>
    </row>
    <row r="3153" spans="1:7" x14ac:dyDescent="0.25">
      <c r="A3153" t="s">
        <v>4</v>
      </c>
      <c r="B3153" t="s">
        <v>7045</v>
      </c>
      <c r="F3153" t="s">
        <v>7957</v>
      </c>
      <c r="G3153" t="s">
        <v>11076</v>
      </c>
    </row>
    <row r="3154" spans="1:7" x14ac:dyDescent="0.25">
      <c r="A3154" t="s">
        <v>4</v>
      </c>
      <c r="B3154" t="s">
        <v>7045</v>
      </c>
      <c r="F3154" t="s">
        <v>7959</v>
      </c>
      <c r="G3154" t="s">
        <v>11076</v>
      </c>
    </row>
    <row r="3155" spans="1:7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x14ac:dyDescent="0.25">
      <c r="A3172" t="s">
        <v>1627</v>
      </c>
      <c r="B3172" t="s">
        <v>687</v>
      </c>
      <c r="F3172" t="s">
        <v>7979</v>
      </c>
      <c r="G3172" t="s">
        <v>12648</v>
      </c>
    </row>
    <row r="3173" spans="1:7" x14ac:dyDescent="0.25">
      <c r="A3173" t="s">
        <v>1627</v>
      </c>
      <c r="B3173" t="s">
        <v>687</v>
      </c>
      <c r="F3173" t="s">
        <v>7981</v>
      </c>
      <c r="G3173" t="s">
        <v>12648</v>
      </c>
    </row>
    <row r="3174" spans="1:7" x14ac:dyDescent="0.25">
      <c r="A3174" t="s">
        <v>1627</v>
      </c>
      <c r="B3174" t="s">
        <v>687</v>
      </c>
      <c r="F3174" t="s">
        <v>7983</v>
      </c>
      <c r="G3174" t="s">
        <v>12648</v>
      </c>
    </row>
    <row r="3175" spans="1:7" x14ac:dyDescent="0.25">
      <c r="A3175" t="s">
        <v>7531</v>
      </c>
      <c r="B3175" t="s">
        <v>1274</v>
      </c>
      <c r="F3175" t="s">
        <v>7985</v>
      </c>
      <c r="G3175" t="s">
        <v>12648</v>
      </c>
    </row>
    <row r="3176" spans="1:7" x14ac:dyDescent="0.25">
      <c r="A3176" t="s">
        <v>7531</v>
      </c>
      <c r="B3176" t="s">
        <v>1274</v>
      </c>
      <c r="F3176" t="s">
        <v>7987</v>
      </c>
      <c r="G3176" t="s">
        <v>12648</v>
      </c>
    </row>
    <row r="3177" spans="1:7" x14ac:dyDescent="0.25">
      <c r="A3177" t="s">
        <v>7531</v>
      </c>
      <c r="B3177" t="s">
        <v>1274</v>
      </c>
      <c r="F3177" t="s">
        <v>7989</v>
      </c>
      <c r="G3177" t="s">
        <v>12648</v>
      </c>
    </row>
    <row r="3178" spans="1:7" x14ac:dyDescent="0.25">
      <c r="A3178" t="s">
        <v>7531</v>
      </c>
      <c r="B3178" t="s">
        <v>1274</v>
      </c>
      <c r="F3178" t="s">
        <v>7991</v>
      </c>
      <c r="G3178" t="s">
        <v>12648</v>
      </c>
    </row>
    <row r="3179" spans="1:7" x14ac:dyDescent="0.25">
      <c r="A3179" t="s">
        <v>7531</v>
      </c>
      <c r="B3179" t="s">
        <v>1274</v>
      </c>
      <c r="F3179" t="s">
        <v>7993</v>
      </c>
      <c r="G3179" t="s">
        <v>12648</v>
      </c>
    </row>
    <row r="3180" spans="1:7" x14ac:dyDescent="0.25">
      <c r="A3180" t="s">
        <v>7531</v>
      </c>
      <c r="B3180" t="s">
        <v>1274</v>
      </c>
      <c r="F3180" t="s">
        <v>7995</v>
      </c>
      <c r="G3180" t="s">
        <v>12648</v>
      </c>
    </row>
    <row r="3181" spans="1:7" x14ac:dyDescent="0.25">
      <c r="A3181" t="s">
        <v>1627</v>
      </c>
      <c r="B3181" t="s">
        <v>687</v>
      </c>
      <c r="F3181" t="s">
        <v>7997</v>
      </c>
      <c r="G3181" t="s">
        <v>12648</v>
      </c>
    </row>
    <row r="3182" spans="1:7" x14ac:dyDescent="0.25">
      <c r="A3182" t="s">
        <v>7562</v>
      </c>
      <c r="B3182" t="s">
        <v>468</v>
      </c>
      <c r="F3182" t="s">
        <v>7999</v>
      </c>
      <c r="G3182" t="s">
        <v>12648</v>
      </c>
    </row>
    <row r="3183" spans="1:7" x14ac:dyDescent="0.25">
      <c r="A3183" t="s">
        <v>4</v>
      </c>
      <c r="B3183" t="s">
        <v>9</v>
      </c>
      <c r="F3183" t="s">
        <v>8001</v>
      </c>
      <c r="G3183" t="s">
        <v>12648</v>
      </c>
    </row>
    <row r="3184" spans="1:7" x14ac:dyDescent="0.25">
      <c r="A3184" t="s">
        <v>1627</v>
      </c>
      <c r="B3184" t="s">
        <v>687</v>
      </c>
      <c r="F3184" t="s">
        <v>8003</v>
      </c>
      <c r="G3184" t="s">
        <v>12648</v>
      </c>
    </row>
    <row r="3185" spans="1:7" x14ac:dyDescent="0.25">
      <c r="A3185" t="s">
        <v>7354</v>
      </c>
      <c r="B3185" t="s">
        <v>4131</v>
      </c>
      <c r="F3185" t="s">
        <v>8005</v>
      </c>
      <c r="G3185" t="s">
        <v>12649</v>
      </c>
    </row>
    <row r="3186" spans="1:7" x14ac:dyDescent="0.25">
      <c r="A3186" t="s">
        <v>4</v>
      </c>
      <c r="B3186" t="s">
        <v>6157</v>
      </c>
      <c r="F3186" t="s">
        <v>8007</v>
      </c>
      <c r="G3186" t="s">
        <v>12649</v>
      </c>
    </row>
    <row r="3187" spans="1:7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12649</v>
      </c>
    </row>
    <row r="3188" spans="1:7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12649</v>
      </c>
    </row>
    <row r="3189" spans="1:7" x14ac:dyDescent="0.25">
      <c r="A3189" t="s">
        <v>7746</v>
      </c>
      <c r="B3189" t="s">
        <v>4131</v>
      </c>
      <c r="F3189" t="s">
        <v>8013</v>
      </c>
      <c r="G3189" t="s">
        <v>12649</v>
      </c>
    </row>
    <row r="3190" spans="1:7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12649</v>
      </c>
    </row>
    <row r="3191" spans="1:7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12649</v>
      </c>
    </row>
    <row r="3192" spans="1:7" x14ac:dyDescent="0.25">
      <c r="A3192" t="s">
        <v>587</v>
      </c>
      <c r="B3192" t="s">
        <v>4396</v>
      </c>
      <c r="F3192" t="s">
        <v>8019</v>
      </c>
      <c r="G3192" t="s">
        <v>12649</v>
      </c>
    </row>
    <row r="3193" spans="1:7" x14ac:dyDescent="0.25">
      <c r="A3193" t="s">
        <v>4</v>
      </c>
      <c r="B3193" t="s">
        <v>7066</v>
      </c>
      <c r="F3193" t="s">
        <v>8021</v>
      </c>
      <c r="G3193" t="s">
        <v>12649</v>
      </c>
    </row>
    <row r="3194" spans="1:7" x14ac:dyDescent="0.25">
      <c r="A3194" t="s">
        <v>1273</v>
      </c>
      <c r="B3194" t="s">
        <v>8099</v>
      </c>
      <c r="F3194" t="s">
        <v>8023</v>
      </c>
      <c r="G3194" t="s">
        <v>12650</v>
      </c>
    </row>
    <row r="3195" spans="1:7" x14ac:dyDescent="0.25">
      <c r="A3195" t="s">
        <v>587</v>
      </c>
      <c r="B3195" t="s">
        <v>8099</v>
      </c>
      <c r="F3195" t="s">
        <v>8025</v>
      </c>
      <c r="G3195" t="s">
        <v>12650</v>
      </c>
    </row>
    <row r="3196" spans="1:7" x14ac:dyDescent="0.25">
      <c r="A3196" t="s">
        <v>137</v>
      </c>
      <c r="B3196" t="s">
        <v>8099</v>
      </c>
      <c r="F3196" t="s">
        <v>8027</v>
      </c>
      <c r="G3196" t="s">
        <v>12650</v>
      </c>
    </row>
    <row r="3197" spans="1:7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12650</v>
      </c>
    </row>
    <row r="3198" spans="1:7" x14ac:dyDescent="0.25">
      <c r="A3198" t="s">
        <v>8100</v>
      </c>
      <c r="B3198" t="s">
        <v>8099</v>
      </c>
      <c r="F3198" t="s">
        <v>8031</v>
      </c>
      <c r="G3198" t="s">
        <v>12650</v>
      </c>
    </row>
    <row r="3199" spans="1:7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12650</v>
      </c>
    </row>
    <row r="3200" spans="1:7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12650</v>
      </c>
    </row>
    <row r="3201" spans="1:7" x14ac:dyDescent="0.25">
      <c r="A3201" t="s">
        <v>137</v>
      </c>
      <c r="B3201" t="s">
        <v>3358</v>
      </c>
      <c r="F3201" t="s">
        <v>8037</v>
      </c>
      <c r="G3201" t="s">
        <v>12650</v>
      </c>
    </row>
    <row r="3202" spans="1:7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12650</v>
      </c>
    </row>
    <row r="3203" spans="1:7" x14ac:dyDescent="0.25">
      <c r="A3203" t="s">
        <v>8101</v>
      </c>
      <c r="B3203" t="s">
        <v>3358</v>
      </c>
      <c r="F3203" t="s">
        <v>8041</v>
      </c>
      <c r="G3203" t="s">
        <v>12650</v>
      </c>
    </row>
    <row r="3204" spans="1:7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12650</v>
      </c>
    </row>
    <row r="3205" spans="1:7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12650</v>
      </c>
    </row>
    <row r="3206" spans="1:7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12650</v>
      </c>
    </row>
    <row r="3207" spans="1:7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12650</v>
      </c>
    </row>
    <row r="3208" spans="1:7" x14ac:dyDescent="0.25">
      <c r="A3208" t="s">
        <v>4</v>
      </c>
      <c r="B3208" t="s">
        <v>8</v>
      </c>
      <c r="F3208" t="s">
        <v>8051</v>
      </c>
      <c r="G3208" t="s">
        <v>12651</v>
      </c>
    </row>
    <row r="3209" spans="1:7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12651</v>
      </c>
    </row>
    <row r="3210" spans="1:7" x14ac:dyDescent="0.25">
      <c r="A3210" t="s">
        <v>588</v>
      </c>
      <c r="B3210" t="s">
        <v>4396</v>
      </c>
      <c r="F3210" t="s">
        <v>8055</v>
      </c>
      <c r="G3210" t="s">
        <v>12651</v>
      </c>
    </row>
    <row r="3211" spans="1:7" x14ac:dyDescent="0.25">
      <c r="A3211" t="s">
        <v>588</v>
      </c>
      <c r="B3211" t="s">
        <v>4396</v>
      </c>
      <c r="F3211" t="s">
        <v>8057</v>
      </c>
      <c r="G3211" t="s">
        <v>12651</v>
      </c>
    </row>
    <row r="3212" spans="1:7" x14ac:dyDescent="0.25">
      <c r="A3212" t="s">
        <v>588</v>
      </c>
      <c r="B3212" t="s">
        <v>4396</v>
      </c>
      <c r="F3212" t="s">
        <v>8059</v>
      </c>
      <c r="G3212" t="s">
        <v>12651</v>
      </c>
    </row>
    <row r="3213" spans="1:7" x14ac:dyDescent="0.25">
      <c r="A3213" t="s">
        <v>588</v>
      </c>
      <c r="B3213" t="s">
        <v>4396</v>
      </c>
      <c r="F3213" t="s">
        <v>8061</v>
      </c>
      <c r="G3213" t="s">
        <v>12651</v>
      </c>
    </row>
    <row r="3214" spans="1:7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12647</v>
      </c>
    </row>
    <row r="3228" spans="1:7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12647</v>
      </c>
    </row>
    <row r="3229" spans="1:7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12647</v>
      </c>
    </row>
    <row r="3230" spans="1:7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x14ac:dyDescent="0.25">
      <c r="A3258" t="s">
        <v>4</v>
      </c>
      <c r="B3258" t="s">
        <v>7045</v>
      </c>
      <c r="F3258" t="s">
        <v>8126</v>
      </c>
      <c r="G3258" t="s">
        <v>11076</v>
      </c>
    </row>
    <row r="3259" spans="1:7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x14ac:dyDescent="0.25">
      <c r="A3288" t="s">
        <v>7531</v>
      </c>
      <c r="B3288" t="s">
        <v>1274</v>
      </c>
      <c r="F3288" t="s">
        <v>8301</v>
      </c>
      <c r="G3288" t="s">
        <v>12648</v>
      </c>
    </row>
    <row r="3289" spans="1:7" x14ac:dyDescent="0.25">
      <c r="A3289" t="s">
        <v>7531</v>
      </c>
      <c r="B3289" t="s">
        <v>1274</v>
      </c>
      <c r="F3289" t="s">
        <v>8303</v>
      </c>
      <c r="G3289" t="s">
        <v>12648</v>
      </c>
    </row>
    <row r="3290" spans="1:7" x14ac:dyDescent="0.25">
      <c r="A3290" t="s">
        <v>4</v>
      </c>
      <c r="B3290" t="s">
        <v>9</v>
      </c>
      <c r="F3290" t="s">
        <v>8305</v>
      </c>
      <c r="G3290" t="s">
        <v>12648</v>
      </c>
    </row>
    <row r="3291" spans="1:7" x14ac:dyDescent="0.25">
      <c r="A3291" t="s">
        <v>7531</v>
      </c>
      <c r="B3291" t="s">
        <v>1274</v>
      </c>
      <c r="F3291" t="s">
        <v>8307</v>
      </c>
      <c r="G3291" t="s">
        <v>12648</v>
      </c>
    </row>
    <row r="3292" spans="1:7" x14ac:dyDescent="0.25">
      <c r="A3292" t="s">
        <v>7531</v>
      </c>
      <c r="B3292" t="s">
        <v>1274</v>
      </c>
      <c r="F3292" t="s">
        <v>8309</v>
      </c>
      <c r="G3292" t="s">
        <v>12648</v>
      </c>
    </row>
    <row r="3293" spans="1:7" x14ac:dyDescent="0.25">
      <c r="A3293" t="s">
        <v>4</v>
      </c>
      <c r="B3293" t="s">
        <v>9</v>
      </c>
      <c r="F3293" t="s">
        <v>8311</v>
      </c>
      <c r="G3293" t="s">
        <v>12648</v>
      </c>
    </row>
    <row r="3294" spans="1:7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12649</v>
      </c>
    </row>
    <row r="3295" spans="1:7" x14ac:dyDescent="0.25">
      <c r="A3295" t="s">
        <v>4</v>
      </c>
      <c r="B3295" t="s">
        <v>6157</v>
      </c>
      <c r="F3295" t="s">
        <v>8315</v>
      </c>
      <c r="G3295" t="s">
        <v>12649</v>
      </c>
    </row>
    <row r="3296" spans="1:7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12649</v>
      </c>
    </row>
    <row r="3297" spans="1:7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12649</v>
      </c>
    </row>
    <row r="3298" spans="1:7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12649</v>
      </c>
    </row>
    <row r="3299" spans="1:7" x14ac:dyDescent="0.25">
      <c r="A3299" t="s">
        <v>8371</v>
      </c>
      <c r="B3299" t="s">
        <v>1274</v>
      </c>
      <c r="F3299" t="s">
        <v>8325</v>
      </c>
      <c r="G3299" t="s">
        <v>12650</v>
      </c>
    </row>
    <row r="3300" spans="1:7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12650</v>
      </c>
    </row>
    <row r="3301" spans="1:7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12650</v>
      </c>
    </row>
    <row r="3302" spans="1:7" x14ac:dyDescent="0.25">
      <c r="A3302" t="s">
        <v>588</v>
      </c>
      <c r="B3302" t="s">
        <v>4396</v>
      </c>
      <c r="F3302" t="s">
        <v>8337</v>
      </c>
      <c r="G3302" t="s">
        <v>12651</v>
      </c>
    </row>
    <row r="3303" spans="1:7" x14ac:dyDescent="0.25">
      <c r="A3303" t="s">
        <v>588</v>
      </c>
      <c r="B3303" t="s">
        <v>4396</v>
      </c>
      <c r="F3303" t="s">
        <v>8339</v>
      </c>
      <c r="G3303" t="s">
        <v>12651</v>
      </c>
    </row>
    <row r="3304" spans="1:7" x14ac:dyDescent="0.25">
      <c r="A3304" t="s">
        <v>588</v>
      </c>
      <c r="B3304" t="s">
        <v>4396</v>
      </c>
      <c r="F3304" t="s">
        <v>8341</v>
      </c>
      <c r="G3304" t="s">
        <v>12651</v>
      </c>
    </row>
    <row r="3305" spans="1:7" x14ac:dyDescent="0.25">
      <c r="A3305" t="s">
        <v>588</v>
      </c>
      <c r="B3305" t="s">
        <v>4396</v>
      </c>
      <c r="F3305" t="s">
        <v>8343</v>
      </c>
      <c r="G3305" t="s">
        <v>12651</v>
      </c>
    </row>
    <row r="3306" spans="1:7" x14ac:dyDescent="0.25">
      <c r="A3306" t="s">
        <v>588</v>
      </c>
      <c r="B3306" t="s">
        <v>4396</v>
      </c>
      <c r="F3306" t="s">
        <v>8345</v>
      </c>
      <c r="G3306" t="s">
        <v>12651</v>
      </c>
    </row>
    <row r="3307" spans="1:7" x14ac:dyDescent="0.25">
      <c r="A3307" t="s">
        <v>588</v>
      </c>
      <c r="B3307" t="s">
        <v>4396</v>
      </c>
      <c r="F3307" t="s">
        <v>8347</v>
      </c>
      <c r="G3307" t="s">
        <v>12651</v>
      </c>
    </row>
    <row r="3308" spans="1:7" x14ac:dyDescent="0.25">
      <c r="A3308" t="s">
        <v>588</v>
      </c>
      <c r="B3308" t="s">
        <v>4396</v>
      </c>
      <c r="F3308" t="s">
        <v>8349</v>
      </c>
      <c r="G3308" t="s">
        <v>12651</v>
      </c>
    </row>
    <row r="3309" spans="1:7" x14ac:dyDescent="0.25">
      <c r="A3309" t="s">
        <v>588</v>
      </c>
      <c r="B3309" t="s">
        <v>4396</v>
      </c>
      <c r="F3309" t="s">
        <v>8351</v>
      </c>
      <c r="G3309" t="s">
        <v>12651</v>
      </c>
    </row>
    <row r="3310" spans="1:7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x14ac:dyDescent="0.25">
      <c r="A3316" t="s">
        <v>1607</v>
      </c>
      <c r="F3316" t="s">
        <v>8379</v>
      </c>
      <c r="G3316" t="s">
        <v>91</v>
      </c>
    </row>
    <row r="3317" spans="1:7" x14ac:dyDescent="0.25">
      <c r="A3317" t="s">
        <v>1607</v>
      </c>
      <c r="F3317" t="s">
        <v>8381</v>
      </c>
      <c r="G3317" t="s">
        <v>91</v>
      </c>
    </row>
    <row r="3318" spans="1:7" x14ac:dyDescent="0.25">
      <c r="A3318" t="s">
        <v>1607</v>
      </c>
      <c r="B3318" t="s">
        <v>8</v>
      </c>
      <c r="F3318" t="s">
        <v>8375</v>
      </c>
      <c r="G3318" t="s">
        <v>12647</v>
      </c>
    </row>
    <row r="3319" spans="1:7" x14ac:dyDescent="0.25">
      <c r="A3319" t="s">
        <v>1607</v>
      </c>
      <c r="B3319" t="s">
        <v>8</v>
      </c>
      <c r="F3319" t="s">
        <v>8377</v>
      </c>
      <c r="G3319" t="s">
        <v>12647</v>
      </c>
    </row>
    <row r="3320" spans="1:7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x14ac:dyDescent="0.25">
      <c r="A3328" t="s">
        <v>7531</v>
      </c>
      <c r="B3328" t="s">
        <v>1274</v>
      </c>
      <c r="F3328" t="s">
        <v>8383</v>
      </c>
      <c r="G3328" t="s">
        <v>12648</v>
      </c>
    </row>
    <row r="3329" spans="1:7" x14ac:dyDescent="0.25">
      <c r="A3329" t="s">
        <v>7531</v>
      </c>
      <c r="B3329" t="s">
        <v>1274</v>
      </c>
      <c r="F3329" t="s">
        <v>8385</v>
      </c>
      <c r="G3329" t="s">
        <v>12648</v>
      </c>
    </row>
    <row r="3330" spans="1:7" x14ac:dyDescent="0.25">
      <c r="A3330" t="s">
        <v>4</v>
      </c>
      <c r="B3330" t="s">
        <v>9</v>
      </c>
      <c r="F3330" t="s">
        <v>8387</v>
      </c>
      <c r="G3330" t="s">
        <v>12648</v>
      </c>
    </row>
    <row r="3331" spans="1:7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12649</v>
      </c>
    </row>
    <row r="3332" spans="1:7" x14ac:dyDescent="0.25">
      <c r="A3332" t="s">
        <v>4</v>
      </c>
      <c r="B3332" t="s">
        <v>4131</v>
      </c>
      <c r="F3332" t="s">
        <v>8435</v>
      </c>
      <c r="G3332" t="s">
        <v>12649</v>
      </c>
    </row>
    <row r="3333" spans="1:7" x14ac:dyDescent="0.25">
      <c r="A3333" t="s">
        <v>4</v>
      </c>
      <c r="B3333" t="s">
        <v>8439</v>
      </c>
      <c r="F3333" t="s">
        <v>8437</v>
      </c>
      <c r="G3333" t="s">
        <v>12650</v>
      </c>
    </row>
    <row r="3334" spans="1:7" x14ac:dyDescent="0.25">
      <c r="A3334" t="s">
        <v>4</v>
      </c>
      <c r="B3334" t="s">
        <v>399</v>
      </c>
      <c r="F3334" t="s">
        <v>8391</v>
      </c>
      <c r="G3334" t="s">
        <v>12650</v>
      </c>
    </row>
    <row r="3335" spans="1:7" x14ac:dyDescent="0.25">
      <c r="A3335" t="s">
        <v>1607</v>
      </c>
      <c r="B3335" t="s">
        <v>8</v>
      </c>
      <c r="F3335" t="s">
        <v>8393</v>
      </c>
      <c r="G3335" t="s">
        <v>12651</v>
      </c>
    </row>
    <row r="3336" spans="1:7" x14ac:dyDescent="0.25">
      <c r="A3336" t="s">
        <v>1607</v>
      </c>
      <c r="B3336" t="s">
        <v>8</v>
      </c>
      <c r="F3336" t="s">
        <v>8395</v>
      </c>
      <c r="G3336" t="s">
        <v>12651</v>
      </c>
    </row>
    <row r="3337" spans="1:7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x14ac:dyDescent="0.25">
      <c r="A3341" t="s">
        <v>1607</v>
      </c>
      <c r="B3341" t="s">
        <v>8</v>
      </c>
      <c r="F3341" t="s">
        <v>8440</v>
      </c>
      <c r="G3341" t="s">
        <v>11076</v>
      </c>
    </row>
    <row r="3342" spans="1:7" x14ac:dyDescent="0.25">
      <c r="A3342" t="s">
        <v>1607</v>
      </c>
      <c r="B3342" t="s">
        <v>8</v>
      </c>
      <c r="F3342" t="s">
        <v>8409</v>
      </c>
      <c r="G3342" t="s">
        <v>11076</v>
      </c>
    </row>
    <row r="3343" spans="1:7" x14ac:dyDescent="0.25">
      <c r="A3343" t="s">
        <v>1607</v>
      </c>
      <c r="F3343" t="s">
        <v>8446</v>
      </c>
      <c r="G3343" t="s">
        <v>91</v>
      </c>
    </row>
    <row r="3344" spans="1:7" x14ac:dyDescent="0.25">
      <c r="A3344" t="s">
        <v>1607</v>
      </c>
      <c r="F3344" t="s">
        <v>8448</v>
      </c>
      <c r="G3344" t="s">
        <v>91</v>
      </c>
    </row>
    <row r="3345" spans="1:7" x14ac:dyDescent="0.25">
      <c r="A3345" t="s">
        <v>1607</v>
      </c>
      <c r="B3345" t="s">
        <v>8</v>
      </c>
      <c r="F3345" t="s">
        <v>8442</v>
      </c>
      <c r="G3345" t="s">
        <v>12647</v>
      </c>
    </row>
    <row r="3346" spans="1:7" x14ac:dyDescent="0.25">
      <c r="A3346" t="s">
        <v>1607</v>
      </c>
      <c r="B3346" t="s">
        <v>8</v>
      </c>
      <c r="F3346" t="s">
        <v>8444</v>
      </c>
      <c r="G3346" t="s">
        <v>12647</v>
      </c>
    </row>
    <row r="3347" spans="1:7" x14ac:dyDescent="0.25">
      <c r="A3347" t="s">
        <v>4</v>
      </c>
      <c r="B3347" t="s">
        <v>7045</v>
      </c>
      <c r="F3347" t="s">
        <v>8468</v>
      </c>
      <c r="G3347" t="s">
        <v>11076</v>
      </c>
    </row>
    <row r="3348" spans="1:7" x14ac:dyDescent="0.25">
      <c r="A3348" t="s">
        <v>4</v>
      </c>
      <c r="B3348" t="s">
        <v>7045</v>
      </c>
      <c r="F3348" t="s">
        <v>8470</v>
      </c>
      <c r="G3348" t="s">
        <v>11076</v>
      </c>
    </row>
    <row r="3349" spans="1:7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x14ac:dyDescent="0.25">
      <c r="A3357" t="s">
        <v>7531</v>
      </c>
      <c r="B3357" t="s">
        <v>1274</v>
      </c>
      <c r="F3357" t="s">
        <v>8472</v>
      </c>
      <c r="G3357" t="s">
        <v>12648</v>
      </c>
    </row>
    <row r="3358" spans="1:7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12648</v>
      </c>
    </row>
    <row r="3359" spans="1:7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12648</v>
      </c>
    </row>
    <row r="3360" spans="1:7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12648</v>
      </c>
    </row>
    <row r="3361" spans="1:7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12648</v>
      </c>
    </row>
    <row r="3362" spans="1:7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12648</v>
      </c>
    </row>
    <row r="3363" spans="1:7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12648</v>
      </c>
    </row>
    <row r="3364" spans="1:7" x14ac:dyDescent="0.25">
      <c r="A3364" t="s">
        <v>7562</v>
      </c>
      <c r="B3364" t="s">
        <v>468</v>
      </c>
      <c r="F3364" t="s">
        <v>8486</v>
      </c>
      <c r="G3364" t="s">
        <v>12649</v>
      </c>
    </row>
    <row r="3365" spans="1:7" x14ac:dyDescent="0.25">
      <c r="A3365" t="s">
        <v>8527</v>
      </c>
      <c r="B3365" t="s">
        <v>468</v>
      </c>
      <c r="F3365" t="s">
        <v>8488</v>
      </c>
      <c r="G3365" t="s">
        <v>12649</v>
      </c>
    </row>
    <row r="3366" spans="1:7" x14ac:dyDescent="0.25">
      <c r="A3366" t="s">
        <v>7562</v>
      </c>
      <c r="B3366" t="s">
        <v>468</v>
      </c>
      <c r="F3366" t="s">
        <v>8490</v>
      </c>
      <c r="G3366" t="s">
        <v>12649</v>
      </c>
    </row>
    <row r="3367" spans="1:7" x14ac:dyDescent="0.25">
      <c r="A3367" t="s">
        <v>8527</v>
      </c>
      <c r="B3367" t="s">
        <v>468</v>
      </c>
      <c r="F3367" t="s">
        <v>8492</v>
      </c>
      <c r="G3367" t="s">
        <v>12649</v>
      </c>
    </row>
    <row r="3368" spans="1:7" x14ac:dyDescent="0.25">
      <c r="A3368" t="s">
        <v>4</v>
      </c>
      <c r="B3368" t="s">
        <v>6157</v>
      </c>
      <c r="F3368" t="s">
        <v>8494</v>
      </c>
      <c r="G3368" t="s">
        <v>12649</v>
      </c>
    </row>
    <row r="3369" spans="1:7" x14ac:dyDescent="0.25">
      <c r="A3369" t="s">
        <v>4</v>
      </c>
      <c r="B3369" t="s">
        <v>8528</v>
      </c>
      <c r="F3369" t="s">
        <v>8496</v>
      </c>
      <c r="G3369" t="s">
        <v>12650</v>
      </c>
    </row>
    <row r="3370" spans="1:7" x14ac:dyDescent="0.25">
      <c r="A3370" t="s">
        <v>4</v>
      </c>
      <c r="B3370" t="s">
        <v>8528</v>
      </c>
      <c r="F3370" t="s">
        <v>8498</v>
      </c>
      <c r="G3370" t="s">
        <v>12650</v>
      </c>
    </row>
    <row r="3371" spans="1:7" x14ac:dyDescent="0.25">
      <c r="A3371" t="s">
        <v>4</v>
      </c>
      <c r="B3371" t="s">
        <v>8528</v>
      </c>
      <c r="F3371" t="s">
        <v>8500</v>
      </c>
      <c r="G3371" t="s">
        <v>12650</v>
      </c>
    </row>
    <row r="3372" spans="1:7" x14ac:dyDescent="0.25">
      <c r="A3372" t="s">
        <v>4</v>
      </c>
      <c r="B3372" t="s">
        <v>8439</v>
      </c>
      <c r="F3372" t="s">
        <v>8502</v>
      </c>
      <c r="G3372" t="s">
        <v>12650</v>
      </c>
    </row>
    <row r="3373" spans="1:7" x14ac:dyDescent="0.25">
      <c r="A3373" t="s">
        <v>8529</v>
      </c>
      <c r="B3373" t="s">
        <v>468</v>
      </c>
      <c r="F3373" t="s">
        <v>8504</v>
      </c>
      <c r="G3373" t="s">
        <v>12651</v>
      </c>
    </row>
    <row r="3374" spans="1:7" x14ac:dyDescent="0.25">
      <c r="A3374" t="s">
        <v>8530</v>
      </c>
      <c r="B3374" t="s">
        <v>468</v>
      </c>
      <c r="F3374" t="s">
        <v>8506</v>
      </c>
      <c r="G3374" t="s">
        <v>12651</v>
      </c>
    </row>
    <row r="3375" spans="1:7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x14ac:dyDescent="0.25">
      <c r="A3379" t="s">
        <v>1607</v>
      </c>
      <c r="F3379" t="s">
        <v>8587</v>
      </c>
      <c r="G3379" t="s">
        <v>91</v>
      </c>
    </row>
    <row r="3380" spans="1:7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12647</v>
      </c>
    </row>
    <row r="3382" spans="1:7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12647</v>
      </c>
    </row>
    <row r="3383" spans="1:7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12647</v>
      </c>
    </row>
    <row r="3384" spans="1:7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12647</v>
      </c>
    </row>
    <row r="3385" spans="1:7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12647</v>
      </c>
    </row>
    <row r="3386" spans="1:7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12647</v>
      </c>
    </row>
    <row r="3387" spans="1:7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12647</v>
      </c>
    </row>
    <row r="3388" spans="1:7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12647</v>
      </c>
    </row>
    <row r="3389" spans="1:7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12647</v>
      </c>
    </row>
    <row r="3390" spans="1:7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12647</v>
      </c>
    </row>
    <row r="3391" spans="1:7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12647</v>
      </c>
    </row>
    <row r="3392" spans="1:7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12647</v>
      </c>
    </row>
    <row r="3393" spans="1:7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12647</v>
      </c>
    </row>
    <row r="3394" spans="1:7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12647</v>
      </c>
    </row>
    <row r="3395" spans="1:7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12647</v>
      </c>
    </row>
    <row r="3396" spans="1:7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12647</v>
      </c>
    </row>
    <row r="3397" spans="1:7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12647</v>
      </c>
    </row>
    <row r="3398" spans="1:7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12647</v>
      </c>
    </row>
    <row r="3399" spans="1:7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12647</v>
      </c>
    </row>
    <row r="3400" spans="1:7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12647</v>
      </c>
    </row>
    <row r="3401" spans="1:7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12647</v>
      </c>
    </row>
    <row r="3402" spans="1:7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12647</v>
      </c>
    </row>
    <row r="3403" spans="1:7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12647</v>
      </c>
    </row>
    <row r="3404" spans="1:7" x14ac:dyDescent="0.25">
      <c r="A3404" t="s">
        <v>4</v>
      </c>
      <c r="B3404" t="s">
        <v>7045</v>
      </c>
      <c r="F3404" t="s">
        <v>8606</v>
      </c>
      <c r="G3404" t="s">
        <v>11076</v>
      </c>
    </row>
    <row r="3405" spans="1:7" x14ac:dyDescent="0.25">
      <c r="A3405" t="s">
        <v>4</v>
      </c>
      <c r="B3405" t="s">
        <v>7045</v>
      </c>
      <c r="F3405" t="s">
        <v>8608</v>
      </c>
      <c r="G3405" t="s">
        <v>11076</v>
      </c>
    </row>
    <row r="3406" spans="1:7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x14ac:dyDescent="0.25">
      <c r="A3417" t="s">
        <v>8718</v>
      </c>
      <c r="B3417" t="s">
        <v>687</v>
      </c>
      <c r="F3417" t="s">
        <v>8610</v>
      </c>
      <c r="G3417" t="s">
        <v>12648</v>
      </c>
    </row>
    <row r="3418" spans="1:7" x14ac:dyDescent="0.25">
      <c r="A3418" t="s">
        <v>8718</v>
      </c>
      <c r="B3418" t="s">
        <v>687</v>
      </c>
      <c r="F3418" t="s">
        <v>8612</v>
      </c>
      <c r="G3418" t="s">
        <v>12648</v>
      </c>
    </row>
    <row r="3419" spans="1:7" x14ac:dyDescent="0.25">
      <c r="A3419" t="s">
        <v>1627</v>
      </c>
      <c r="B3419" t="s">
        <v>687</v>
      </c>
      <c r="F3419" t="s">
        <v>8614</v>
      </c>
      <c r="G3419" t="s">
        <v>12648</v>
      </c>
    </row>
    <row r="3420" spans="1:7" x14ac:dyDescent="0.25">
      <c r="A3420" t="s">
        <v>8718</v>
      </c>
      <c r="B3420" t="s">
        <v>687</v>
      </c>
      <c r="F3420" t="s">
        <v>8616</v>
      </c>
      <c r="G3420" t="s">
        <v>12648</v>
      </c>
    </row>
    <row r="3421" spans="1:7" x14ac:dyDescent="0.25">
      <c r="A3421" t="s">
        <v>1627</v>
      </c>
      <c r="B3421" t="s">
        <v>687</v>
      </c>
      <c r="F3421" t="s">
        <v>8618</v>
      </c>
      <c r="G3421" t="s">
        <v>12648</v>
      </c>
    </row>
    <row r="3422" spans="1:7" x14ac:dyDescent="0.25">
      <c r="A3422" t="s">
        <v>1627</v>
      </c>
      <c r="B3422" t="s">
        <v>687</v>
      </c>
      <c r="F3422" t="s">
        <v>8620</v>
      </c>
      <c r="G3422" t="s">
        <v>12648</v>
      </c>
    </row>
    <row r="3423" spans="1:7" x14ac:dyDescent="0.25">
      <c r="A3423" t="s">
        <v>1627</v>
      </c>
      <c r="B3423" t="s">
        <v>687</v>
      </c>
      <c r="F3423" t="s">
        <v>8622</v>
      </c>
      <c r="G3423" t="s">
        <v>12648</v>
      </c>
    </row>
    <row r="3424" spans="1:7" x14ac:dyDescent="0.25">
      <c r="A3424" t="s">
        <v>7531</v>
      </c>
      <c r="B3424" t="s">
        <v>1274</v>
      </c>
      <c r="F3424" t="s">
        <v>8624</v>
      </c>
      <c r="G3424" t="s">
        <v>12648</v>
      </c>
    </row>
    <row r="3425" spans="1:7" x14ac:dyDescent="0.25">
      <c r="A3425" t="s">
        <v>1627</v>
      </c>
      <c r="B3425" t="s">
        <v>687</v>
      </c>
      <c r="F3425" t="s">
        <v>8626</v>
      </c>
      <c r="G3425" t="s">
        <v>12648</v>
      </c>
    </row>
    <row r="3426" spans="1:7" x14ac:dyDescent="0.25">
      <c r="A3426" t="s">
        <v>7531</v>
      </c>
      <c r="B3426" t="s">
        <v>1274</v>
      </c>
      <c r="F3426" t="s">
        <v>8628</v>
      </c>
      <c r="G3426" t="s">
        <v>12648</v>
      </c>
    </row>
    <row r="3427" spans="1:7" x14ac:dyDescent="0.25">
      <c r="A3427" t="s">
        <v>7531</v>
      </c>
      <c r="B3427" t="s">
        <v>1274</v>
      </c>
      <c r="F3427" t="s">
        <v>8630</v>
      </c>
      <c r="G3427" t="s">
        <v>12648</v>
      </c>
    </row>
    <row r="3428" spans="1:7" x14ac:dyDescent="0.25">
      <c r="A3428" t="s">
        <v>1627</v>
      </c>
      <c r="B3428" t="s">
        <v>687</v>
      </c>
      <c r="F3428" t="s">
        <v>8632</v>
      </c>
      <c r="G3428" t="s">
        <v>12648</v>
      </c>
    </row>
    <row r="3429" spans="1:7" x14ac:dyDescent="0.25">
      <c r="A3429" t="s">
        <v>1627</v>
      </c>
      <c r="B3429" t="s">
        <v>687</v>
      </c>
      <c r="F3429" t="s">
        <v>8634</v>
      </c>
      <c r="G3429" t="s">
        <v>12648</v>
      </c>
    </row>
    <row r="3430" spans="1:7" x14ac:dyDescent="0.25">
      <c r="A3430" t="s">
        <v>7562</v>
      </c>
      <c r="B3430" t="s">
        <v>468</v>
      </c>
      <c r="F3430" t="s">
        <v>8642</v>
      </c>
      <c r="G3430" t="s">
        <v>12649</v>
      </c>
    </row>
    <row r="3431" spans="1:7" x14ac:dyDescent="0.25">
      <c r="A3431" t="s">
        <v>4</v>
      </c>
      <c r="B3431" t="s">
        <v>6157</v>
      </c>
      <c r="F3431" t="s">
        <v>8644</v>
      </c>
      <c r="G3431" t="s">
        <v>12649</v>
      </c>
    </row>
    <row r="3432" spans="1:7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12649</v>
      </c>
    </row>
    <row r="3433" spans="1:7" x14ac:dyDescent="0.25">
      <c r="A3433" t="s">
        <v>7746</v>
      </c>
      <c r="B3433" t="s">
        <v>4131</v>
      </c>
      <c r="F3433" t="s">
        <v>8648</v>
      </c>
      <c r="G3433" t="s">
        <v>12649</v>
      </c>
    </row>
    <row r="3434" spans="1:7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12649</v>
      </c>
    </row>
    <row r="3435" spans="1:7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12649</v>
      </c>
    </row>
    <row r="3436" spans="1:7" x14ac:dyDescent="0.25">
      <c r="A3436" t="s">
        <v>7354</v>
      </c>
      <c r="B3436" t="s">
        <v>4131</v>
      </c>
      <c r="F3436" t="s">
        <v>8654</v>
      </c>
      <c r="G3436" t="s">
        <v>12649</v>
      </c>
    </row>
    <row r="3437" spans="1:7" x14ac:dyDescent="0.25">
      <c r="A3437" t="s">
        <v>7562</v>
      </c>
      <c r="B3437" t="s">
        <v>468</v>
      </c>
      <c r="F3437" t="s">
        <v>8656</v>
      </c>
      <c r="G3437" t="s">
        <v>12649</v>
      </c>
    </row>
    <row r="3438" spans="1:7" x14ac:dyDescent="0.25">
      <c r="A3438" t="s">
        <v>7354</v>
      </c>
      <c r="B3438" t="s">
        <v>4131</v>
      </c>
      <c r="F3438" t="s">
        <v>8658</v>
      </c>
      <c r="G3438" t="s">
        <v>12649</v>
      </c>
    </row>
    <row r="3439" spans="1:7" x14ac:dyDescent="0.25">
      <c r="A3439" t="s">
        <v>7354</v>
      </c>
      <c r="B3439" t="s">
        <v>4131</v>
      </c>
      <c r="F3439" t="s">
        <v>8660</v>
      </c>
      <c r="G3439" t="s">
        <v>12649</v>
      </c>
    </row>
    <row r="3440" spans="1:7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12649</v>
      </c>
    </row>
    <row r="3441" spans="1:7" x14ac:dyDescent="0.25">
      <c r="A3441" t="s">
        <v>7354</v>
      </c>
      <c r="B3441" t="s">
        <v>4131</v>
      </c>
      <c r="F3441" t="s">
        <v>8664</v>
      </c>
      <c r="G3441" t="s">
        <v>12649</v>
      </c>
    </row>
    <row r="3442" spans="1:7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12650</v>
      </c>
    </row>
    <row r="3443" spans="1:7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12650</v>
      </c>
    </row>
    <row r="3444" spans="1:7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12650</v>
      </c>
    </row>
    <row r="3445" spans="1:7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12650</v>
      </c>
    </row>
    <row r="3446" spans="1:7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12650</v>
      </c>
    </row>
    <row r="3447" spans="1:7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12650</v>
      </c>
    </row>
    <row r="3448" spans="1:7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12650</v>
      </c>
    </row>
    <row r="3449" spans="1:7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12650</v>
      </c>
    </row>
    <row r="3450" spans="1:7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12650</v>
      </c>
    </row>
    <row r="3451" spans="1:7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12650</v>
      </c>
    </row>
    <row r="3452" spans="1:7" x14ac:dyDescent="0.25">
      <c r="A3452" t="s">
        <v>1607</v>
      </c>
      <c r="B3452" t="s">
        <v>8</v>
      </c>
      <c r="F3452" t="s">
        <v>8686</v>
      </c>
      <c r="G3452" t="s">
        <v>12651</v>
      </c>
    </row>
    <row r="3453" spans="1:7" x14ac:dyDescent="0.25">
      <c r="A3453" t="s">
        <v>1607</v>
      </c>
      <c r="B3453" t="s">
        <v>8</v>
      </c>
      <c r="F3453" t="s">
        <v>8688</v>
      </c>
      <c r="G3453" t="s">
        <v>12651</v>
      </c>
    </row>
    <row r="3454" spans="1:7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x14ac:dyDescent="0.25">
      <c r="A3462" t="s">
        <v>1273</v>
      </c>
      <c r="B3462" t="s">
        <v>8099</v>
      </c>
      <c r="F3462" t="s">
        <v>8720</v>
      </c>
      <c r="G3462" t="s">
        <v>12647</v>
      </c>
    </row>
    <row r="3463" spans="1:7" x14ac:dyDescent="0.25">
      <c r="A3463" t="s">
        <v>587</v>
      </c>
      <c r="B3463" t="s">
        <v>8099</v>
      </c>
      <c r="F3463" t="s">
        <v>8722</v>
      </c>
      <c r="G3463" t="s">
        <v>12647</v>
      </c>
    </row>
    <row r="3464" spans="1:7" x14ac:dyDescent="0.25">
      <c r="A3464" t="s">
        <v>4</v>
      </c>
      <c r="B3464" t="s">
        <v>7045</v>
      </c>
      <c r="F3464" t="s">
        <v>8724</v>
      </c>
      <c r="G3464" t="s">
        <v>11076</v>
      </c>
    </row>
    <row r="3465" spans="1:7" x14ac:dyDescent="0.25">
      <c r="A3465" t="s">
        <v>4</v>
      </c>
      <c r="B3465" t="s">
        <v>7045</v>
      </c>
      <c r="F3465" t="s">
        <v>8726</v>
      </c>
      <c r="G3465" t="s">
        <v>11076</v>
      </c>
    </row>
    <row r="3466" spans="1:7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x14ac:dyDescent="0.25">
      <c r="A3472" t="s">
        <v>4</v>
      </c>
      <c r="B3472" t="s">
        <v>9</v>
      </c>
      <c r="F3472" t="s">
        <v>8747</v>
      </c>
      <c r="G3472" t="s">
        <v>12648</v>
      </c>
    </row>
    <row r="3473" spans="1:7" x14ac:dyDescent="0.25">
      <c r="A3473" t="s">
        <v>7531</v>
      </c>
      <c r="B3473" t="s">
        <v>1274</v>
      </c>
      <c r="F3473" t="s">
        <v>8749</v>
      </c>
      <c r="G3473" t="s">
        <v>12648</v>
      </c>
    </row>
    <row r="3474" spans="1:7" x14ac:dyDescent="0.25">
      <c r="A3474" t="s">
        <v>8718</v>
      </c>
      <c r="B3474" t="s">
        <v>687</v>
      </c>
      <c r="F3474" t="s">
        <v>8751</v>
      </c>
      <c r="G3474" t="s">
        <v>12648</v>
      </c>
    </row>
    <row r="3475" spans="1:7" x14ac:dyDescent="0.25">
      <c r="A3475" t="s">
        <v>1627</v>
      </c>
      <c r="B3475" t="s">
        <v>687</v>
      </c>
      <c r="F3475" t="s">
        <v>8753</v>
      </c>
      <c r="G3475" t="s">
        <v>12648</v>
      </c>
    </row>
    <row r="3476" spans="1:7" x14ac:dyDescent="0.25">
      <c r="A3476" t="s">
        <v>8718</v>
      </c>
      <c r="B3476" t="s">
        <v>687</v>
      </c>
      <c r="F3476" t="s">
        <v>8755</v>
      </c>
      <c r="G3476" t="s">
        <v>12648</v>
      </c>
    </row>
    <row r="3477" spans="1:7" x14ac:dyDescent="0.25">
      <c r="A3477" t="s">
        <v>1627</v>
      </c>
      <c r="B3477" t="s">
        <v>687</v>
      </c>
      <c r="F3477" t="s">
        <v>8757</v>
      </c>
      <c r="G3477" t="s">
        <v>12648</v>
      </c>
    </row>
    <row r="3478" spans="1:7" x14ac:dyDescent="0.25">
      <c r="A3478" t="s">
        <v>8718</v>
      </c>
      <c r="B3478" t="s">
        <v>687</v>
      </c>
      <c r="F3478" t="s">
        <v>8759</v>
      </c>
      <c r="G3478" t="s">
        <v>12648</v>
      </c>
    </row>
    <row r="3479" spans="1:7" x14ac:dyDescent="0.25">
      <c r="A3479" t="s">
        <v>1627</v>
      </c>
      <c r="B3479" t="s">
        <v>687</v>
      </c>
      <c r="F3479" t="s">
        <v>8761</v>
      </c>
      <c r="G3479" t="s">
        <v>12648</v>
      </c>
    </row>
    <row r="3480" spans="1:7" x14ac:dyDescent="0.25">
      <c r="A3480" t="s">
        <v>7562</v>
      </c>
      <c r="B3480" t="s">
        <v>468</v>
      </c>
      <c r="F3480" t="s">
        <v>8763</v>
      </c>
      <c r="G3480" t="s">
        <v>12649</v>
      </c>
    </row>
    <row r="3481" spans="1:7" x14ac:dyDescent="0.25">
      <c r="A3481" t="s">
        <v>4</v>
      </c>
      <c r="B3481" t="s">
        <v>6157</v>
      </c>
      <c r="F3481" t="s">
        <v>8765</v>
      </c>
      <c r="G3481" t="s">
        <v>12649</v>
      </c>
    </row>
    <row r="3482" spans="1:7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12649</v>
      </c>
    </row>
    <row r="3483" spans="1:7" x14ac:dyDescent="0.25">
      <c r="A3483" t="s">
        <v>1273</v>
      </c>
      <c r="B3483" t="s">
        <v>70</v>
      </c>
      <c r="F3483" t="s">
        <v>8769</v>
      </c>
      <c r="G3483" t="s">
        <v>12650</v>
      </c>
    </row>
    <row r="3484" spans="1:7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12650</v>
      </c>
    </row>
    <row r="3485" spans="1:7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12650</v>
      </c>
    </row>
    <row r="3486" spans="1:7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12650</v>
      </c>
    </row>
    <row r="3487" spans="1:7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12650</v>
      </c>
    </row>
    <row r="3488" spans="1:7" x14ac:dyDescent="0.25">
      <c r="A3488" t="s">
        <v>587</v>
      </c>
      <c r="B3488" t="s">
        <v>70</v>
      </c>
      <c r="F3488" t="s">
        <v>8783</v>
      </c>
      <c r="G3488" t="s">
        <v>12650</v>
      </c>
    </row>
    <row r="3489" spans="1:7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12650</v>
      </c>
    </row>
    <row r="3490" spans="1:7" x14ac:dyDescent="0.25">
      <c r="A3490" t="s">
        <v>137</v>
      </c>
      <c r="B3490" t="s">
        <v>8099</v>
      </c>
      <c r="F3490" t="s">
        <v>8787</v>
      </c>
      <c r="G3490" t="s">
        <v>12650</v>
      </c>
    </row>
    <row r="3491" spans="1:7" x14ac:dyDescent="0.25">
      <c r="A3491" t="s">
        <v>1273</v>
      </c>
      <c r="B3491" t="s">
        <v>8099</v>
      </c>
      <c r="F3491" t="s">
        <v>8789</v>
      </c>
      <c r="G3491" t="s">
        <v>12650</v>
      </c>
    </row>
    <row r="3492" spans="1:7" x14ac:dyDescent="0.25">
      <c r="A3492" t="s">
        <v>4</v>
      </c>
      <c r="B3492" t="s">
        <v>8812</v>
      </c>
      <c r="F3492" t="s">
        <v>8791</v>
      </c>
      <c r="G3492" t="s">
        <v>12650</v>
      </c>
    </row>
    <row r="3493" spans="1:7" x14ac:dyDescent="0.25">
      <c r="A3493" t="s">
        <v>587</v>
      </c>
      <c r="B3493" t="s">
        <v>8099</v>
      </c>
      <c r="F3493" t="s">
        <v>8793</v>
      </c>
      <c r="G3493" t="s">
        <v>12650</v>
      </c>
    </row>
    <row r="3494" spans="1:7" x14ac:dyDescent="0.25">
      <c r="A3494" t="s">
        <v>1607</v>
      </c>
      <c r="B3494" t="s">
        <v>8</v>
      </c>
      <c r="F3494" t="s">
        <v>8795</v>
      </c>
      <c r="G3494" t="s">
        <v>12651</v>
      </c>
    </row>
    <row r="3495" spans="1:7" x14ac:dyDescent="0.25">
      <c r="A3495" t="s">
        <v>1607</v>
      </c>
      <c r="B3495" t="s">
        <v>8</v>
      </c>
      <c r="F3495" t="s">
        <v>8797</v>
      </c>
      <c r="G3495" t="s">
        <v>12651</v>
      </c>
    </row>
    <row r="3496" spans="1:7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x14ac:dyDescent="0.25">
      <c r="A3502" t="s">
        <v>1607</v>
      </c>
      <c r="F3502" t="s">
        <v>8820</v>
      </c>
      <c r="G3502" t="s">
        <v>91</v>
      </c>
    </row>
    <row r="3503" spans="1:7" x14ac:dyDescent="0.25">
      <c r="A3503" t="s">
        <v>1607</v>
      </c>
      <c r="B3503" t="s">
        <v>8</v>
      </c>
      <c r="F3503" t="s">
        <v>8822</v>
      </c>
      <c r="G3503" t="s">
        <v>12647</v>
      </c>
    </row>
    <row r="3504" spans="1:7" x14ac:dyDescent="0.25">
      <c r="A3504" t="s">
        <v>1607</v>
      </c>
      <c r="B3504" t="s">
        <v>8</v>
      </c>
      <c r="F3504" t="s">
        <v>8824</v>
      </c>
      <c r="G3504" t="s">
        <v>12647</v>
      </c>
    </row>
    <row r="3505" spans="1:7" x14ac:dyDescent="0.25">
      <c r="A3505" t="s">
        <v>4</v>
      </c>
      <c r="B3505" t="s">
        <v>8912</v>
      </c>
      <c r="F3505" t="s">
        <v>8854</v>
      </c>
      <c r="G3505" t="s">
        <v>11076</v>
      </c>
    </row>
    <row r="3506" spans="1:7" x14ac:dyDescent="0.25">
      <c r="A3506" t="s">
        <v>1607</v>
      </c>
      <c r="B3506" t="s">
        <v>8</v>
      </c>
      <c r="F3506" t="s">
        <v>8856</v>
      </c>
      <c r="G3506" t="s">
        <v>11076</v>
      </c>
    </row>
    <row r="3507" spans="1:7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x14ac:dyDescent="0.25">
      <c r="A3516" t="s">
        <v>7562</v>
      </c>
      <c r="B3516" t="s">
        <v>1274</v>
      </c>
      <c r="F3516" t="s">
        <v>8838</v>
      </c>
      <c r="G3516" t="s">
        <v>12648</v>
      </c>
    </row>
    <row r="3517" spans="1:7" x14ac:dyDescent="0.25">
      <c r="A3517" t="s">
        <v>1627</v>
      </c>
      <c r="B3517" t="s">
        <v>687</v>
      </c>
      <c r="F3517" t="s">
        <v>8840</v>
      </c>
      <c r="G3517" t="s">
        <v>12648</v>
      </c>
    </row>
    <row r="3518" spans="1:7" x14ac:dyDescent="0.25">
      <c r="A3518" t="s">
        <v>8921</v>
      </c>
      <c r="B3518" t="s">
        <v>8922</v>
      </c>
      <c r="F3518" t="s">
        <v>8842</v>
      </c>
      <c r="G3518" t="s">
        <v>12649</v>
      </c>
    </row>
    <row r="3519" spans="1:7" x14ac:dyDescent="0.25">
      <c r="A3519" t="s">
        <v>7746</v>
      </c>
      <c r="B3519" t="s">
        <v>1274</v>
      </c>
      <c r="F3519" t="s">
        <v>8844</v>
      </c>
      <c r="G3519" t="s">
        <v>12649</v>
      </c>
    </row>
    <row r="3520" spans="1:7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12650</v>
      </c>
    </row>
    <row r="3521" spans="1:7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12650</v>
      </c>
    </row>
    <row r="3522" spans="1:7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12650</v>
      </c>
    </row>
    <row r="3523" spans="1:7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12650</v>
      </c>
    </row>
    <row r="3524" spans="1:7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12650</v>
      </c>
    </row>
    <row r="3525" spans="1:7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12650</v>
      </c>
    </row>
    <row r="3526" spans="1:7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12650</v>
      </c>
    </row>
    <row r="3527" spans="1:7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12650</v>
      </c>
    </row>
    <row r="3528" spans="1:7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12650</v>
      </c>
    </row>
    <row r="3529" spans="1:7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12650</v>
      </c>
    </row>
    <row r="3530" spans="1:7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12650</v>
      </c>
    </row>
    <row r="3531" spans="1:7" x14ac:dyDescent="0.25">
      <c r="A3531" t="s">
        <v>587</v>
      </c>
      <c r="B3531" t="s">
        <v>8912</v>
      </c>
      <c r="F3531" t="s">
        <v>8900</v>
      </c>
      <c r="G3531" t="s">
        <v>12650</v>
      </c>
    </row>
    <row r="3532" spans="1:7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12650</v>
      </c>
    </row>
    <row r="3533" spans="1:7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12650</v>
      </c>
    </row>
    <row r="3534" spans="1:7" x14ac:dyDescent="0.25">
      <c r="A3534" t="s">
        <v>1607</v>
      </c>
      <c r="B3534" t="s">
        <v>8</v>
      </c>
      <c r="F3534" t="s">
        <v>8846</v>
      </c>
      <c r="G3534" t="s">
        <v>12651</v>
      </c>
    </row>
    <row r="3535" spans="1:7" x14ac:dyDescent="0.25">
      <c r="A3535" t="s">
        <v>8925</v>
      </c>
      <c r="F3535" t="s">
        <v>8923</v>
      </c>
      <c r="G3535" t="s">
        <v>12651</v>
      </c>
    </row>
    <row r="3536" spans="1:7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x14ac:dyDescent="0.25">
      <c r="A3538" t="s">
        <v>1617</v>
      </c>
      <c r="F3538" t="s">
        <v>8848</v>
      </c>
      <c r="G3538" t="s">
        <v>1600</v>
      </c>
    </row>
    <row r="3539" spans="1:7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x14ac:dyDescent="0.25">
      <c r="A3540" t="s">
        <v>1607</v>
      </c>
      <c r="F3540" t="s">
        <v>8930</v>
      </c>
      <c r="G3540" t="s">
        <v>91</v>
      </c>
    </row>
    <row r="3541" spans="1:7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x14ac:dyDescent="0.25">
      <c r="A3545" t="s">
        <v>1607</v>
      </c>
      <c r="B3545" t="s">
        <v>8</v>
      </c>
      <c r="F3545" t="s">
        <v>8926</v>
      </c>
      <c r="G3545" t="s">
        <v>12647</v>
      </c>
    </row>
    <row r="3546" spans="1:7" x14ac:dyDescent="0.25">
      <c r="A3546" t="s">
        <v>4</v>
      </c>
      <c r="B3546" t="s">
        <v>8099</v>
      </c>
      <c r="F3546" t="s">
        <v>8928</v>
      </c>
      <c r="G3546" t="s">
        <v>12647</v>
      </c>
    </row>
    <row r="3547" spans="1:7" x14ac:dyDescent="0.25">
      <c r="A3547" t="s">
        <v>4</v>
      </c>
      <c r="B3547" t="s">
        <v>7045</v>
      </c>
      <c r="F3547" t="s">
        <v>8952</v>
      </c>
      <c r="G3547" t="s">
        <v>11076</v>
      </c>
    </row>
    <row r="3548" spans="1:7" x14ac:dyDescent="0.25">
      <c r="A3548" t="s">
        <v>4</v>
      </c>
      <c r="B3548" t="s">
        <v>7045</v>
      </c>
      <c r="F3548" t="s">
        <v>8954</v>
      </c>
      <c r="G3548" t="s">
        <v>11076</v>
      </c>
    </row>
    <row r="3549" spans="1:7" x14ac:dyDescent="0.25">
      <c r="A3549" t="s">
        <v>4</v>
      </c>
      <c r="B3549" t="s">
        <v>7045</v>
      </c>
      <c r="F3549" t="s">
        <v>8956</v>
      </c>
      <c r="G3549" t="s">
        <v>11076</v>
      </c>
    </row>
    <row r="3550" spans="1:7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x14ac:dyDescent="0.25">
      <c r="A3559" t="s">
        <v>1627</v>
      </c>
      <c r="B3559" t="s">
        <v>687</v>
      </c>
      <c r="F3559" t="s">
        <v>8976</v>
      </c>
      <c r="G3559" t="s">
        <v>12648</v>
      </c>
    </row>
    <row r="3560" spans="1:7" x14ac:dyDescent="0.25">
      <c r="A3560" t="s">
        <v>7531</v>
      </c>
      <c r="B3560" t="s">
        <v>1274</v>
      </c>
      <c r="F3560" t="s">
        <v>8978</v>
      </c>
      <c r="G3560" t="s">
        <v>12648</v>
      </c>
    </row>
    <row r="3561" spans="1:7" x14ac:dyDescent="0.25">
      <c r="A3561" t="s">
        <v>7531</v>
      </c>
      <c r="B3561" t="s">
        <v>1274</v>
      </c>
      <c r="F3561" t="s">
        <v>8980</v>
      </c>
      <c r="G3561" t="s">
        <v>12648</v>
      </c>
    </row>
    <row r="3562" spans="1:7" x14ac:dyDescent="0.25">
      <c r="A3562" t="s">
        <v>7531</v>
      </c>
      <c r="B3562" t="s">
        <v>1274</v>
      </c>
      <c r="F3562" t="s">
        <v>8982</v>
      </c>
      <c r="G3562" t="s">
        <v>12648</v>
      </c>
    </row>
    <row r="3563" spans="1:7" x14ac:dyDescent="0.25">
      <c r="A3563" t="s">
        <v>4</v>
      </c>
      <c r="B3563" t="s">
        <v>9</v>
      </c>
      <c r="F3563" t="s">
        <v>8984</v>
      </c>
      <c r="G3563" t="s">
        <v>12648</v>
      </c>
    </row>
    <row r="3564" spans="1:7" x14ac:dyDescent="0.25">
      <c r="A3564" t="s">
        <v>7531</v>
      </c>
      <c r="B3564" t="s">
        <v>1274</v>
      </c>
      <c r="F3564" t="s">
        <v>8986</v>
      </c>
      <c r="G3564" t="s">
        <v>12648</v>
      </c>
    </row>
    <row r="3565" spans="1:7" x14ac:dyDescent="0.25">
      <c r="A3565" t="s">
        <v>1627</v>
      </c>
      <c r="B3565" t="s">
        <v>687</v>
      </c>
      <c r="F3565" t="s">
        <v>8988</v>
      </c>
      <c r="G3565" t="s">
        <v>12648</v>
      </c>
    </row>
    <row r="3566" spans="1:7" x14ac:dyDescent="0.25">
      <c r="A3566" t="s">
        <v>7531</v>
      </c>
      <c r="B3566" t="s">
        <v>1274</v>
      </c>
      <c r="F3566" t="s">
        <v>8990</v>
      </c>
      <c r="G3566" t="s">
        <v>12648</v>
      </c>
    </row>
    <row r="3567" spans="1:7" x14ac:dyDescent="0.25">
      <c r="A3567" t="s">
        <v>1627</v>
      </c>
      <c r="B3567" t="s">
        <v>687</v>
      </c>
      <c r="F3567" t="s">
        <v>8992</v>
      </c>
      <c r="G3567" t="s">
        <v>12648</v>
      </c>
    </row>
    <row r="3568" spans="1:7" x14ac:dyDescent="0.25">
      <c r="A3568" t="s">
        <v>4</v>
      </c>
      <c r="B3568" t="s">
        <v>9</v>
      </c>
      <c r="F3568" t="s">
        <v>8994</v>
      </c>
      <c r="G3568" t="s">
        <v>12649</v>
      </c>
    </row>
    <row r="3569" spans="1:7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12649</v>
      </c>
    </row>
    <row r="3570" spans="1:7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12649</v>
      </c>
    </row>
    <row r="3571" spans="1:7" x14ac:dyDescent="0.25">
      <c r="A3571" t="s">
        <v>7354</v>
      </c>
      <c r="B3571" t="s">
        <v>7355</v>
      </c>
      <c r="F3571" t="s">
        <v>9000</v>
      </c>
      <c r="G3571" t="s">
        <v>12649</v>
      </c>
    </row>
    <row r="3572" spans="1:7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12649</v>
      </c>
    </row>
    <row r="3573" spans="1:7" x14ac:dyDescent="0.25">
      <c r="A3573" t="s">
        <v>7354</v>
      </c>
      <c r="B3573" t="s">
        <v>7355</v>
      </c>
      <c r="F3573" t="s">
        <v>9004</v>
      </c>
      <c r="G3573" t="s">
        <v>12649</v>
      </c>
    </row>
    <row r="3574" spans="1:7" x14ac:dyDescent="0.25">
      <c r="A3574" t="s">
        <v>7354</v>
      </c>
      <c r="B3574" t="s">
        <v>7355</v>
      </c>
      <c r="F3574" t="s">
        <v>9006</v>
      </c>
      <c r="G3574" t="s">
        <v>12649</v>
      </c>
    </row>
    <row r="3575" spans="1:7" x14ac:dyDescent="0.25">
      <c r="A3575" t="s">
        <v>7746</v>
      </c>
      <c r="B3575" t="s">
        <v>1274</v>
      </c>
      <c r="F3575" t="s">
        <v>9008</v>
      </c>
      <c r="G3575" t="s">
        <v>12649</v>
      </c>
    </row>
    <row r="3576" spans="1:7" x14ac:dyDescent="0.25">
      <c r="A3576" t="s">
        <v>4</v>
      </c>
      <c r="B3576" t="s">
        <v>6157</v>
      </c>
      <c r="F3576" t="s">
        <v>9010</v>
      </c>
      <c r="G3576" t="s">
        <v>12649</v>
      </c>
    </row>
    <row r="3577" spans="1:7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12650</v>
      </c>
    </row>
    <row r="3578" spans="1:7" x14ac:dyDescent="0.25">
      <c r="A3578" t="s">
        <v>9137</v>
      </c>
      <c r="B3578" t="s">
        <v>86</v>
      </c>
      <c r="F3578" t="s">
        <v>9014</v>
      </c>
      <c r="G3578" t="s">
        <v>12650</v>
      </c>
    </row>
    <row r="3579" spans="1:7" x14ac:dyDescent="0.25">
      <c r="A3579" t="s">
        <v>9138</v>
      </c>
      <c r="B3579" t="s">
        <v>86</v>
      </c>
      <c r="F3579" t="s">
        <v>9016</v>
      </c>
      <c r="G3579" t="s">
        <v>12650</v>
      </c>
    </row>
    <row r="3580" spans="1:7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12650</v>
      </c>
    </row>
    <row r="3581" spans="1:7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12650</v>
      </c>
    </row>
    <row r="3582" spans="1:7" x14ac:dyDescent="0.25">
      <c r="A3582" t="s">
        <v>1273</v>
      </c>
      <c r="B3582" t="s">
        <v>8099</v>
      </c>
      <c r="F3582" t="s">
        <v>9022</v>
      </c>
      <c r="G3582" t="s">
        <v>12650</v>
      </c>
    </row>
    <row r="3583" spans="1:7" x14ac:dyDescent="0.25">
      <c r="A3583" t="s">
        <v>9139</v>
      </c>
      <c r="B3583" t="s">
        <v>8099</v>
      </c>
      <c r="F3583" t="s">
        <v>9024</v>
      </c>
      <c r="G3583" t="s">
        <v>12650</v>
      </c>
    </row>
    <row r="3584" spans="1:7" x14ac:dyDescent="0.25">
      <c r="A3584" t="s">
        <v>9140</v>
      </c>
      <c r="B3584" t="s">
        <v>86</v>
      </c>
      <c r="F3584" t="s">
        <v>9026</v>
      </c>
      <c r="G3584" t="s">
        <v>12650</v>
      </c>
    </row>
    <row r="3585" spans="1:7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12650</v>
      </c>
    </row>
    <row r="3586" spans="1:7" x14ac:dyDescent="0.25">
      <c r="A3586" t="s">
        <v>587</v>
      </c>
      <c r="B3586" t="s">
        <v>8099</v>
      </c>
      <c r="F3586" t="s">
        <v>9030</v>
      </c>
      <c r="G3586" t="s">
        <v>12650</v>
      </c>
    </row>
    <row r="3587" spans="1:7" x14ac:dyDescent="0.25">
      <c r="A3587" t="s">
        <v>1607</v>
      </c>
      <c r="B3587" t="s">
        <v>8</v>
      </c>
      <c r="F3587" t="s">
        <v>9032</v>
      </c>
      <c r="G3587" t="s">
        <v>12651</v>
      </c>
    </row>
    <row r="3588" spans="1:7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12651</v>
      </c>
    </row>
    <row r="3589" spans="1:7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12651</v>
      </c>
    </row>
    <row r="3590" spans="1:7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12651</v>
      </c>
    </row>
    <row r="3591" spans="1:7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12651</v>
      </c>
    </row>
    <row r="3592" spans="1:7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12651</v>
      </c>
    </row>
    <row r="3593" spans="1:7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12651</v>
      </c>
    </row>
    <row r="3594" spans="1:7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12651</v>
      </c>
    </row>
    <row r="3595" spans="1:7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12651</v>
      </c>
    </row>
    <row r="3596" spans="1:7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12651</v>
      </c>
    </row>
    <row r="3597" spans="1:7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12651</v>
      </c>
    </row>
    <row r="3598" spans="1:7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12651</v>
      </c>
    </row>
    <row r="3599" spans="1:7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12651</v>
      </c>
    </row>
    <row r="3600" spans="1:7" x14ac:dyDescent="0.25">
      <c r="A3600" t="s">
        <v>9139</v>
      </c>
      <c r="B3600" t="s">
        <v>9129</v>
      </c>
      <c r="F3600" t="s">
        <v>9058</v>
      </c>
      <c r="G3600" t="s">
        <v>12651</v>
      </c>
    </row>
    <row r="3601" spans="1:7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12651</v>
      </c>
    </row>
    <row r="3602" spans="1:7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12651</v>
      </c>
    </row>
    <row r="3603" spans="1:7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12651</v>
      </c>
    </row>
    <row r="3604" spans="1:7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12651</v>
      </c>
    </row>
    <row r="3605" spans="1:7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12651</v>
      </c>
    </row>
    <row r="3606" spans="1:7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12651</v>
      </c>
    </row>
    <row r="3607" spans="1:7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12651</v>
      </c>
    </row>
    <row r="3608" spans="1:7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12651</v>
      </c>
    </row>
    <row r="3609" spans="1:7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12651</v>
      </c>
    </row>
    <row r="3610" spans="1:7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12651</v>
      </c>
    </row>
    <row r="3611" spans="1:7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12651</v>
      </c>
    </row>
    <row r="3612" spans="1:7" x14ac:dyDescent="0.25">
      <c r="A3612" t="s">
        <v>4099</v>
      </c>
      <c r="B3612" t="s">
        <v>9129</v>
      </c>
      <c r="F3612" t="s">
        <v>9082</v>
      </c>
      <c r="G3612" t="s">
        <v>12651</v>
      </c>
    </row>
    <row r="3613" spans="1:7" x14ac:dyDescent="0.25">
      <c r="A3613" t="s">
        <v>588</v>
      </c>
      <c r="B3613" t="s">
        <v>4396</v>
      </c>
      <c r="F3613" t="s">
        <v>9084</v>
      </c>
      <c r="G3613" t="s">
        <v>12651</v>
      </c>
    </row>
    <row r="3614" spans="1:7" x14ac:dyDescent="0.25">
      <c r="A3614" t="s">
        <v>588</v>
      </c>
      <c r="B3614" t="s">
        <v>4396</v>
      </c>
      <c r="F3614" t="s">
        <v>9086</v>
      </c>
      <c r="G3614" t="s">
        <v>12651</v>
      </c>
    </row>
    <row r="3615" spans="1:7" x14ac:dyDescent="0.25">
      <c r="A3615" t="s">
        <v>588</v>
      </c>
      <c r="B3615" t="s">
        <v>4396</v>
      </c>
      <c r="F3615" t="s">
        <v>9088</v>
      </c>
      <c r="G3615" t="s">
        <v>12651</v>
      </c>
    </row>
    <row r="3616" spans="1:7" x14ac:dyDescent="0.25">
      <c r="A3616" t="s">
        <v>588</v>
      </c>
      <c r="B3616" t="s">
        <v>4396</v>
      </c>
      <c r="F3616" t="s">
        <v>9090</v>
      </c>
      <c r="G3616" t="s">
        <v>12651</v>
      </c>
    </row>
    <row r="3617" spans="1:7" x14ac:dyDescent="0.25">
      <c r="A3617" t="s">
        <v>588</v>
      </c>
      <c r="B3617" t="s">
        <v>4396</v>
      </c>
      <c r="F3617" t="s">
        <v>9092</v>
      </c>
      <c r="G3617" t="s">
        <v>12651</v>
      </c>
    </row>
    <row r="3618" spans="1:7" x14ac:dyDescent="0.25">
      <c r="A3618" t="s">
        <v>4</v>
      </c>
      <c r="B3618" t="s">
        <v>8</v>
      </c>
      <c r="F3618" t="s">
        <v>9094</v>
      </c>
      <c r="G3618" t="s">
        <v>12651</v>
      </c>
    </row>
    <row r="3619" spans="1:7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x14ac:dyDescent="0.25">
      <c r="A3628" t="s">
        <v>9142</v>
      </c>
      <c r="F3628" t="s">
        <v>9123</v>
      </c>
      <c r="G3628" t="s">
        <v>1600</v>
      </c>
    </row>
    <row r="3629" spans="1:7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x14ac:dyDescent="0.25">
      <c r="A3633" t="s">
        <v>1607</v>
      </c>
      <c r="F3633" t="s">
        <v>9158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x14ac:dyDescent="0.25">
      <c r="A3640" t="s">
        <v>1607</v>
      </c>
      <c r="F3640" t="s">
        <v>9172</v>
      </c>
      <c r="G3640" t="s">
        <v>91</v>
      </c>
    </row>
    <row r="3641" spans="1:7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12647</v>
      </c>
    </row>
    <row r="3642" spans="1:7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12647</v>
      </c>
    </row>
    <row r="3643" spans="1:7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12647</v>
      </c>
    </row>
    <row r="3644" spans="1:7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12647</v>
      </c>
    </row>
    <row r="3645" spans="1:7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12647</v>
      </c>
    </row>
    <row r="3646" spans="1:7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12647</v>
      </c>
    </row>
    <row r="3647" spans="1:7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12647</v>
      </c>
    </row>
    <row r="3648" spans="1:7" x14ac:dyDescent="0.25">
      <c r="A3648" t="s">
        <v>4</v>
      </c>
      <c r="B3648" t="s">
        <v>7045</v>
      </c>
      <c r="F3648" t="s">
        <v>9254</v>
      </c>
      <c r="G3648" t="s">
        <v>11076</v>
      </c>
    </row>
    <row r="3649" spans="1:7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11076</v>
      </c>
    </row>
    <row r="3650" spans="1:7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11076</v>
      </c>
    </row>
    <row r="3651" spans="1:7" x14ac:dyDescent="0.25">
      <c r="A3651" t="s">
        <v>1273</v>
      </c>
      <c r="B3651" t="s">
        <v>70</v>
      </c>
      <c r="F3651" t="s">
        <v>9261</v>
      </c>
      <c r="G3651" t="s">
        <v>11076</v>
      </c>
    </row>
    <row r="3652" spans="1:7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11076</v>
      </c>
    </row>
    <row r="3653" spans="1:7" x14ac:dyDescent="0.25">
      <c r="A3653" t="s">
        <v>587</v>
      </c>
      <c r="B3653" t="s">
        <v>70</v>
      </c>
      <c r="F3653" t="s">
        <v>9265</v>
      </c>
      <c r="G3653" t="s">
        <v>11076</v>
      </c>
    </row>
    <row r="3654" spans="1:7" x14ac:dyDescent="0.25">
      <c r="A3654" t="s">
        <v>1273</v>
      </c>
      <c r="B3654" t="s">
        <v>66</v>
      </c>
      <c r="F3654" t="s">
        <v>9267</v>
      </c>
      <c r="G3654" t="s">
        <v>11076</v>
      </c>
    </row>
    <row r="3655" spans="1:7" x14ac:dyDescent="0.25">
      <c r="A3655" t="s">
        <v>4921</v>
      </c>
      <c r="B3655" t="s">
        <v>66</v>
      </c>
      <c r="F3655" t="s">
        <v>9269</v>
      </c>
      <c r="G3655" t="s">
        <v>11076</v>
      </c>
    </row>
    <row r="3656" spans="1:7" x14ac:dyDescent="0.25">
      <c r="A3656" t="s">
        <v>587</v>
      </c>
      <c r="B3656" t="s">
        <v>66</v>
      </c>
      <c r="F3656" t="s">
        <v>9271</v>
      </c>
      <c r="G3656" t="s">
        <v>11076</v>
      </c>
    </row>
    <row r="3657" spans="1:7" x14ac:dyDescent="0.25">
      <c r="A3657" t="s">
        <v>4</v>
      </c>
      <c r="B3657" t="s">
        <v>7045</v>
      </c>
      <c r="F3657" t="s">
        <v>9273</v>
      </c>
      <c r="G3657" t="s">
        <v>11076</v>
      </c>
    </row>
    <row r="3658" spans="1:7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x14ac:dyDescent="0.25">
      <c r="A3670" t="s">
        <v>7531</v>
      </c>
      <c r="B3670" t="s">
        <v>1274</v>
      </c>
      <c r="F3670" t="s">
        <v>9290</v>
      </c>
      <c r="G3670" t="s">
        <v>12648</v>
      </c>
    </row>
    <row r="3671" spans="1:7" x14ac:dyDescent="0.25">
      <c r="A3671" t="s">
        <v>1627</v>
      </c>
      <c r="B3671" t="s">
        <v>687</v>
      </c>
      <c r="F3671" t="s">
        <v>9292</v>
      </c>
      <c r="G3671" t="s">
        <v>12648</v>
      </c>
    </row>
    <row r="3672" spans="1:7" x14ac:dyDescent="0.25">
      <c r="A3672" t="s">
        <v>7531</v>
      </c>
      <c r="B3672" t="s">
        <v>1274</v>
      </c>
      <c r="F3672" t="s">
        <v>9294</v>
      </c>
      <c r="G3672" t="s">
        <v>12648</v>
      </c>
    </row>
    <row r="3673" spans="1:7" x14ac:dyDescent="0.25">
      <c r="A3673" t="s">
        <v>1627</v>
      </c>
      <c r="B3673" t="s">
        <v>687</v>
      </c>
      <c r="F3673" t="s">
        <v>9296</v>
      </c>
      <c r="G3673" t="s">
        <v>12648</v>
      </c>
    </row>
    <row r="3674" spans="1:7" x14ac:dyDescent="0.25">
      <c r="A3674" t="s">
        <v>1627</v>
      </c>
      <c r="B3674" t="s">
        <v>687</v>
      </c>
      <c r="F3674" t="s">
        <v>9298</v>
      </c>
      <c r="G3674" t="s">
        <v>12648</v>
      </c>
    </row>
    <row r="3675" spans="1:7" x14ac:dyDescent="0.25">
      <c r="A3675" t="s">
        <v>4</v>
      </c>
      <c r="B3675" t="s">
        <v>9</v>
      </c>
      <c r="F3675" t="s">
        <v>9300</v>
      </c>
      <c r="G3675" t="s">
        <v>12648</v>
      </c>
    </row>
    <row r="3676" spans="1:7" x14ac:dyDescent="0.25">
      <c r="A3676" t="s">
        <v>7354</v>
      </c>
      <c r="B3676" t="s">
        <v>7355</v>
      </c>
      <c r="F3676" t="s">
        <v>9183</v>
      </c>
      <c r="G3676" t="s">
        <v>12649</v>
      </c>
    </row>
    <row r="3677" spans="1:7" x14ac:dyDescent="0.25">
      <c r="A3677" t="s">
        <v>7354</v>
      </c>
      <c r="B3677" t="s">
        <v>7355</v>
      </c>
      <c r="F3677" t="s">
        <v>9185</v>
      </c>
      <c r="G3677" t="s">
        <v>12649</v>
      </c>
    </row>
    <row r="3678" spans="1:7" x14ac:dyDescent="0.25">
      <c r="A3678" t="s">
        <v>7746</v>
      </c>
      <c r="B3678" t="s">
        <v>1274</v>
      </c>
      <c r="F3678" t="s">
        <v>9187</v>
      </c>
      <c r="G3678" t="s">
        <v>12649</v>
      </c>
    </row>
    <row r="3679" spans="1:7" x14ac:dyDescent="0.25">
      <c r="A3679" t="s">
        <v>9316</v>
      </c>
      <c r="B3679" t="s">
        <v>1274</v>
      </c>
      <c r="F3679" t="s">
        <v>9189</v>
      </c>
      <c r="G3679" t="s">
        <v>12649</v>
      </c>
    </row>
    <row r="3680" spans="1:7" x14ac:dyDescent="0.25">
      <c r="A3680" t="s">
        <v>7354</v>
      </c>
      <c r="B3680" t="s">
        <v>7355</v>
      </c>
      <c r="F3680" t="s">
        <v>9191</v>
      </c>
      <c r="G3680" t="s">
        <v>12649</v>
      </c>
    </row>
    <row r="3681" spans="1:7" x14ac:dyDescent="0.25">
      <c r="A3681" t="s">
        <v>1627</v>
      </c>
      <c r="B3681" t="s">
        <v>1058</v>
      </c>
      <c r="F3681" t="s">
        <v>9193</v>
      </c>
      <c r="G3681" t="s">
        <v>12649</v>
      </c>
    </row>
    <row r="3682" spans="1:7" x14ac:dyDescent="0.25">
      <c r="A3682" t="s">
        <v>4</v>
      </c>
      <c r="B3682" t="s">
        <v>9</v>
      </c>
      <c r="F3682" t="s">
        <v>9195</v>
      </c>
      <c r="G3682" t="s">
        <v>12649</v>
      </c>
    </row>
    <row r="3683" spans="1:7" x14ac:dyDescent="0.25">
      <c r="A3683" t="s">
        <v>4</v>
      </c>
      <c r="B3683" t="s">
        <v>9</v>
      </c>
      <c r="F3683" t="s">
        <v>9197</v>
      </c>
      <c r="G3683" t="s">
        <v>12649</v>
      </c>
    </row>
    <row r="3684" spans="1:7" x14ac:dyDescent="0.25">
      <c r="A3684" t="s">
        <v>7354</v>
      </c>
      <c r="B3684" t="s">
        <v>7355</v>
      </c>
      <c r="F3684" t="s">
        <v>9199</v>
      </c>
      <c r="G3684" t="s">
        <v>12649</v>
      </c>
    </row>
    <row r="3685" spans="1:7" x14ac:dyDescent="0.25">
      <c r="A3685" t="s">
        <v>4</v>
      </c>
      <c r="B3685" t="s">
        <v>9317</v>
      </c>
      <c r="F3685" t="s">
        <v>9201</v>
      </c>
      <c r="G3685" t="s">
        <v>12649</v>
      </c>
    </row>
    <row r="3686" spans="1:7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12649</v>
      </c>
    </row>
    <row r="3687" spans="1:7" x14ac:dyDescent="0.25">
      <c r="A3687" t="s">
        <v>7354</v>
      </c>
      <c r="B3687" t="s">
        <v>7355</v>
      </c>
      <c r="F3687" t="s">
        <v>9205</v>
      </c>
      <c r="G3687" t="s">
        <v>12649</v>
      </c>
    </row>
    <row r="3688" spans="1:7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12651</v>
      </c>
    </row>
    <row r="3689" spans="1:7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12651</v>
      </c>
    </row>
    <row r="3690" spans="1:7" x14ac:dyDescent="0.25">
      <c r="A3690" t="s">
        <v>9321</v>
      </c>
      <c r="B3690" t="s">
        <v>1274</v>
      </c>
      <c r="F3690" t="s">
        <v>9211</v>
      </c>
      <c r="G3690" t="s">
        <v>12651</v>
      </c>
    </row>
    <row r="3691" spans="1:7" x14ac:dyDescent="0.25">
      <c r="A3691" t="s">
        <v>9322</v>
      </c>
      <c r="B3691" t="s">
        <v>1274</v>
      </c>
      <c r="F3691" t="s">
        <v>9213</v>
      </c>
      <c r="G3691" t="s">
        <v>12651</v>
      </c>
    </row>
    <row r="3692" spans="1:7" x14ac:dyDescent="0.25">
      <c r="A3692" t="s">
        <v>9323</v>
      </c>
      <c r="B3692" t="s">
        <v>1274</v>
      </c>
      <c r="F3692" t="s">
        <v>9215</v>
      </c>
      <c r="G3692" t="s">
        <v>12651</v>
      </c>
    </row>
    <row r="3693" spans="1:7" x14ac:dyDescent="0.25">
      <c r="A3693" t="s">
        <v>9323</v>
      </c>
      <c r="B3693" t="s">
        <v>1274</v>
      </c>
      <c r="F3693" t="s">
        <v>9217</v>
      </c>
      <c r="G3693" t="s">
        <v>12651</v>
      </c>
    </row>
    <row r="3694" spans="1:7" x14ac:dyDescent="0.25">
      <c r="A3694" t="s">
        <v>9323</v>
      </c>
      <c r="B3694" t="s">
        <v>1274</v>
      </c>
      <c r="F3694" t="s">
        <v>9219</v>
      </c>
      <c r="G3694" t="s">
        <v>12651</v>
      </c>
    </row>
    <row r="3695" spans="1:7" x14ac:dyDescent="0.25">
      <c r="A3695" t="s">
        <v>4</v>
      </c>
      <c r="B3695" t="s">
        <v>6439</v>
      </c>
      <c r="F3695" t="s">
        <v>9221</v>
      </c>
      <c r="G3695" t="s">
        <v>12651</v>
      </c>
    </row>
    <row r="3696" spans="1:7" x14ac:dyDescent="0.25">
      <c r="A3696" t="s">
        <v>1607</v>
      </c>
      <c r="B3696" t="s">
        <v>8</v>
      </c>
      <c r="F3696" t="s">
        <v>9223</v>
      </c>
      <c r="G3696" t="s">
        <v>12651</v>
      </c>
    </row>
    <row r="3697" spans="1:7" x14ac:dyDescent="0.25">
      <c r="A3697" t="s">
        <v>4</v>
      </c>
      <c r="B3697" t="s">
        <v>6439</v>
      </c>
      <c r="F3697" t="s">
        <v>9225</v>
      </c>
      <c r="G3697" t="s">
        <v>12651</v>
      </c>
    </row>
    <row r="3698" spans="1:7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x14ac:dyDescent="0.25">
      <c r="A3705" t="s">
        <v>9325</v>
      </c>
      <c r="F3705" t="s">
        <v>9248</v>
      </c>
      <c r="G3705" t="s">
        <v>1600</v>
      </c>
    </row>
    <row r="3706" spans="1:7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x14ac:dyDescent="0.25">
      <c r="A3709" t="s">
        <v>1607</v>
      </c>
      <c r="F3709" t="s">
        <v>9348</v>
      </c>
      <c r="G3709" t="s">
        <v>91</v>
      </c>
    </row>
    <row r="3710" spans="1:7" x14ac:dyDescent="0.25">
      <c r="A3710" t="s">
        <v>1607</v>
      </c>
      <c r="B3710" t="s">
        <v>8</v>
      </c>
      <c r="F3710" t="s">
        <v>9326</v>
      </c>
      <c r="G3710" t="s">
        <v>12647</v>
      </c>
    </row>
    <row r="3711" spans="1:7" x14ac:dyDescent="0.25">
      <c r="A3711" t="s">
        <v>1607</v>
      </c>
      <c r="B3711" t="s">
        <v>8</v>
      </c>
      <c r="F3711" t="s">
        <v>9413</v>
      </c>
      <c r="G3711" t="s">
        <v>12647</v>
      </c>
    </row>
    <row r="3712" spans="1:7" x14ac:dyDescent="0.25">
      <c r="A3712" t="s">
        <v>4921</v>
      </c>
      <c r="B3712" t="s">
        <v>9421</v>
      </c>
      <c r="F3712" t="s">
        <v>9328</v>
      </c>
      <c r="G3712" t="s">
        <v>11076</v>
      </c>
    </row>
    <row r="3713" spans="1:7" x14ac:dyDescent="0.25">
      <c r="A3713" t="s">
        <v>1607</v>
      </c>
      <c r="B3713" t="s">
        <v>8</v>
      </c>
      <c r="F3713" t="s">
        <v>9330</v>
      </c>
      <c r="G3713" t="s">
        <v>11076</v>
      </c>
    </row>
    <row r="3714" spans="1:7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x14ac:dyDescent="0.25">
      <c r="A3722" t="s">
        <v>4</v>
      </c>
      <c r="B3722" t="s">
        <v>9</v>
      </c>
      <c r="F3722" t="s">
        <v>9356</v>
      </c>
      <c r="G3722" t="s">
        <v>12648</v>
      </c>
    </row>
    <row r="3723" spans="1:7" x14ac:dyDescent="0.25">
      <c r="A3723" t="s">
        <v>1627</v>
      </c>
      <c r="B3723" t="s">
        <v>687</v>
      </c>
      <c r="F3723" t="s">
        <v>9358</v>
      </c>
      <c r="G3723" t="s">
        <v>12648</v>
      </c>
    </row>
    <row r="3724" spans="1:7" x14ac:dyDescent="0.25">
      <c r="A3724" t="s">
        <v>1627</v>
      </c>
      <c r="B3724" t="s">
        <v>687</v>
      </c>
      <c r="F3724" t="s">
        <v>9360</v>
      </c>
      <c r="G3724" t="s">
        <v>12648</v>
      </c>
    </row>
    <row r="3725" spans="1:7" x14ac:dyDescent="0.25">
      <c r="A3725" t="s">
        <v>1627</v>
      </c>
      <c r="B3725" t="s">
        <v>687</v>
      </c>
      <c r="F3725" t="s">
        <v>9362</v>
      </c>
      <c r="G3725" t="s">
        <v>12648</v>
      </c>
    </row>
    <row r="3726" spans="1:7" x14ac:dyDescent="0.25">
      <c r="A3726" t="s">
        <v>4</v>
      </c>
      <c r="B3726" t="s">
        <v>6157</v>
      </c>
      <c r="F3726" t="s">
        <v>9364</v>
      </c>
      <c r="G3726" t="s">
        <v>12649</v>
      </c>
    </row>
    <row r="3727" spans="1:7" x14ac:dyDescent="0.25">
      <c r="A3727" t="s">
        <v>1627</v>
      </c>
      <c r="B3727" t="s">
        <v>1058</v>
      </c>
      <c r="F3727" t="s">
        <v>9366</v>
      </c>
      <c r="G3727" t="s">
        <v>12649</v>
      </c>
    </row>
    <row r="3728" spans="1:7" x14ac:dyDescent="0.25">
      <c r="A3728" t="s">
        <v>7354</v>
      </c>
      <c r="B3728" t="s">
        <v>7355</v>
      </c>
      <c r="F3728" t="s">
        <v>9368</v>
      </c>
      <c r="G3728" t="s">
        <v>12649</v>
      </c>
    </row>
    <row r="3729" spans="1:7" x14ac:dyDescent="0.25">
      <c r="A3729" t="s">
        <v>7746</v>
      </c>
      <c r="B3729" t="s">
        <v>1274</v>
      </c>
      <c r="F3729" t="s">
        <v>9370</v>
      </c>
      <c r="G3729" t="s">
        <v>12649</v>
      </c>
    </row>
    <row r="3730" spans="1:7" x14ac:dyDescent="0.25">
      <c r="A3730" t="s">
        <v>7746</v>
      </c>
      <c r="B3730" t="s">
        <v>1274</v>
      </c>
      <c r="F3730" t="s">
        <v>9372</v>
      </c>
      <c r="G3730" t="s">
        <v>12649</v>
      </c>
    </row>
    <row r="3731" spans="1:7" x14ac:dyDescent="0.25">
      <c r="A3731" t="s">
        <v>7354</v>
      </c>
      <c r="B3731" t="s">
        <v>7355</v>
      </c>
      <c r="F3731" t="s">
        <v>9374</v>
      </c>
      <c r="G3731" t="s">
        <v>12649</v>
      </c>
    </row>
    <row r="3732" spans="1:7" x14ac:dyDescent="0.25">
      <c r="A3732" t="s">
        <v>7354</v>
      </c>
      <c r="B3732" t="s">
        <v>7355</v>
      </c>
      <c r="F3732" t="s">
        <v>9376</v>
      </c>
      <c r="G3732" t="s">
        <v>12649</v>
      </c>
    </row>
    <row r="3733" spans="1:7" x14ac:dyDescent="0.25">
      <c r="A3733" t="s">
        <v>4</v>
      </c>
      <c r="B3733" t="s">
        <v>9</v>
      </c>
      <c r="F3733" t="s">
        <v>9378</v>
      </c>
      <c r="G3733" t="s">
        <v>12649</v>
      </c>
    </row>
    <row r="3734" spans="1:7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12649</v>
      </c>
    </row>
    <row r="3735" spans="1:7" x14ac:dyDescent="0.25">
      <c r="A3735" t="s">
        <v>4</v>
      </c>
      <c r="B3735" t="s">
        <v>9422</v>
      </c>
      <c r="F3735" t="s">
        <v>9382</v>
      </c>
      <c r="G3735" t="s">
        <v>12649</v>
      </c>
    </row>
    <row r="3736" spans="1:7" x14ac:dyDescent="0.25">
      <c r="A3736" t="s">
        <v>1607</v>
      </c>
      <c r="B3736" t="s">
        <v>8</v>
      </c>
      <c r="F3736" t="s">
        <v>9384</v>
      </c>
      <c r="G3736" t="s">
        <v>12650</v>
      </c>
    </row>
    <row r="3737" spans="1:7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12650</v>
      </c>
    </row>
    <row r="3738" spans="1:7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12650</v>
      </c>
    </row>
    <row r="3739" spans="1:7" x14ac:dyDescent="0.25">
      <c r="A3739" t="s">
        <v>1607</v>
      </c>
      <c r="B3739" t="s">
        <v>8</v>
      </c>
      <c r="F3739" t="s">
        <v>9390</v>
      </c>
      <c r="G3739" t="s">
        <v>12651</v>
      </c>
    </row>
    <row r="3740" spans="1:7" x14ac:dyDescent="0.25">
      <c r="A3740" t="s">
        <v>1607</v>
      </c>
      <c r="B3740" t="s">
        <v>8</v>
      </c>
      <c r="F3740" t="s">
        <v>9392</v>
      </c>
      <c r="G3740" t="s">
        <v>12651</v>
      </c>
    </row>
    <row r="3741" spans="1:7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x14ac:dyDescent="0.25">
      <c r="A3767" t="s">
        <v>9599</v>
      </c>
      <c r="F3767" t="s">
        <v>9575</v>
      </c>
      <c r="G3767" t="s">
        <v>896</v>
      </c>
    </row>
    <row r="3768" spans="1:7" x14ac:dyDescent="0.25">
      <c r="A3768" t="s">
        <v>9600</v>
      </c>
      <c r="F3768" t="s">
        <v>9578</v>
      </c>
      <c r="G3768" t="s">
        <v>896</v>
      </c>
    </row>
    <row r="3769" spans="1:7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x14ac:dyDescent="0.25">
      <c r="A3778" t="s">
        <v>9600</v>
      </c>
      <c r="F3778" t="s">
        <v>9435</v>
      </c>
      <c r="G3778" t="s">
        <v>897</v>
      </c>
    </row>
    <row r="3779" spans="1:7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x14ac:dyDescent="0.25">
      <c r="A3790" t="s">
        <v>9600</v>
      </c>
      <c r="F3790" t="s">
        <v>9471</v>
      </c>
      <c r="G3790" t="s">
        <v>1537</v>
      </c>
    </row>
    <row r="3791" spans="1:7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x14ac:dyDescent="0.25">
      <c r="A3832" t="s">
        <v>12</v>
      </c>
      <c r="F3832" t="s">
        <v>9688</v>
      </c>
      <c r="G3832" t="s">
        <v>1537</v>
      </c>
    </row>
    <row r="3833" spans="1:7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x14ac:dyDescent="0.25">
      <c r="A3880" t="s">
        <v>9600</v>
      </c>
      <c r="F3880" t="s">
        <v>9917</v>
      </c>
      <c r="G3880" t="s">
        <v>894</v>
      </c>
    </row>
    <row r="3881" spans="1:7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x14ac:dyDescent="0.25">
      <c r="A3890" t="s">
        <v>9600</v>
      </c>
      <c r="F3890" t="s">
        <v>9835</v>
      </c>
      <c r="G3890" t="s">
        <v>895</v>
      </c>
    </row>
    <row r="3891" spans="1:7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x14ac:dyDescent="0.25">
      <c r="A3895" t="s">
        <v>10020</v>
      </c>
      <c r="F3895" t="s">
        <v>9971</v>
      </c>
      <c r="G3895" t="s">
        <v>896</v>
      </c>
    </row>
    <row r="3896" spans="1:7" x14ac:dyDescent="0.25">
      <c r="A3896" t="s">
        <v>10020</v>
      </c>
      <c r="F3896" t="s">
        <v>9974</v>
      </c>
      <c r="G3896" t="s">
        <v>896</v>
      </c>
    </row>
    <row r="3897" spans="1:7" x14ac:dyDescent="0.25">
      <c r="A3897" t="s">
        <v>10020</v>
      </c>
      <c r="F3897" t="s">
        <v>9977</v>
      </c>
      <c r="G3897" t="s">
        <v>896</v>
      </c>
    </row>
    <row r="3898" spans="1:7" x14ac:dyDescent="0.25">
      <c r="A3898" t="s">
        <v>10020</v>
      </c>
      <c r="F3898" t="s">
        <v>9980</v>
      </c>
      <c r="G3898" t="s">
        <v>896</v>
      </c>
    </row>
    <row r="3899" spans="1:7" x14ac:dyDescent="0.25">
      <c r="A3899" t="s">
        <v>10020</v>
      </c>
      <c r="F3899" t="s">
        <v>9983</v>
      </c>
      <c r="G3899" t="s">
        <v>896</v>
      </c>
    </row>
    <row r="3900" spans="1:7" x14ac:dyDescent="0.25">
      <c r="A3900" t="s">
        <v>10020</v>
      </c>
      <c r="F3900" t="s">
        <v>9986</v>
      </c>
      <c r="G3900" t="s">
        <v>896</v>
      </c>
    </row>
    <row r="3901" spans="1:7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x14ac:dyDescent="0.25">
      <c r="A3905" t="s">
        <v>7887</v>
      </c>
      <c r="F3905" t="s">
        <v>9852</v>
      </c>
      <c r="G3905" t="s">
        <v>897</v>
      </c>
    </row>
    <row r="3906" spans="1:7" x14ac:dyDescent="0.25">
      <c r="A3906" t="s">
        <v>7887</v>
      </c>
      <c r="F3906" t="s">
        <v>9854</v>
      </c>
      <c r="G3906" t="s">
        <v>897</v>
      </c>
    </row>
    <row r="3907" spans="1:7" x14ac:dyDescent="0.25">
      <c r="A3907" t="s">
        <v>7887</v>
      </c>
      <c r="F3907" t="s">
        <v>9856</v>
      </c>
      <c r="G3907" t="s">
        <v>897</v>
      </c>
    </row>
    <row r="3908" spans="1:7" x14ac:dyDescent="0.25">
      <c r="A3908" t="s">
        <v>7887</v>
      </c>
      <c r="F3908" t="s">
        <v>9858</v>
      </c>
      <c r="G3908" t="s">
        <v>897</v>
      </c>
    </row>
    <row r="3909" spans="1:7" x14ac:dyDescent="0.25">
      <c r="A3909" t="s">
        <v>7887</v>
      </c>
      <c r="F3909" t="s">
        <v>9860</v>
      </c>
      <c r="G3909" t="s">
        <v>897</v>
      </c>
    </row>
    <row r="3910" spans="1:7" x14ac:dyDescent="0.25">
      <c r="A3910" t="s">
        <v>7887</v>
      </c>
      <c r="F3910" t="s">
        <v>9862</v>
      </c>
      <c r="G3910" t="s">
        <v>897</v>
      </c>
    </row>
    <row r="3911" spans="1:7" x14ac:dyDescent="0.25">
      <c r="A3911" t="s">
        <v>7887</v>
      </c>
      <c r="F3911" t="s">
        <v>9864</v>
      </c>
      <c r="G3911" t="s">
        <v>897</v>
      </c>
    </row>
    <row r="3912" spans="1:7" x14ac:dyDescent="0.25">
      <c r="A3912" t="s">
        <v>7887</v>
      </c>
      <c r="F3912" t="s">
        <v>9866</v>
      </c>
      <c r="G3912" t="s">
        <v>897</v>
      </c>
    </row>
    <row r="3913" spans="1:7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x14ac:dyDescent="0.25">
      <c r="A3918" t="s">
        <v>7</v>
      </c>
      <c r="F3918" t="s">
        <v>9881</v>
      </c>
      <c r="G3918" t="s">
        <v>1537</v>
      </c>
    </row>
    <row r="3919" spans="1:7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x14ac:dyDescent="0.25">
      <c r="A3926" t="s">
        <v>9600</v>
      </c>
      <c r="F3926" t="s">
        <v>9947</v>
      </c>
      <c r="G3926" t="s">
        <v>1600</v>
      </c>
    </row>
    <row r="3927" spans="1:7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x14ac:dyDescent="0.25">
      <c r="A3947" t="s">
        <v>7</v>
      </c>
      <c r="F3947" t="s">
        <v>10100</v>
      </c>
      <c r="G3947" t="s">
        <v>896</v>
      </c>
    </row>
    <row r="3948" spans="1:7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x14ac:dyDescent="0.25">
      <c r="A3950" t="s">
        <v>9600</v>
      </c>
      <c r="F3950" t="s">
        <v>10109</v>
      </c>
      <c r="G3950" t="s">
        <v>896</v>
      </c>
    </row>
    <row r="3951" spans="1:7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x14ac:dyDescent="0.25">
      <c r="A3953" t="s">
        <v>11</v>
      </c>
      <c r="F3953" t="s">
        <v>10118</v>
      </c>
      <c r="G3953" t="s">
        <v>896</v>
      </c>
    </row>
    <row r="3954" spans="1:7" x14ac:dyDescent="0.25">
      <c r="A3954" t="s">
        <v>9600</v>
      </c>
      <c r="F3954" t="s">
        <v>10121</v>
      </c>
      <c r="G3954" t="s">
        <v>896</v>
      </c>
    </row>
    <row r="3955" spans="1:7" x14ac:dyDescent="0.25">
      <c r="A3955" t="s">
        <v>10020</v>
      </c>
      <c r="F3955" t="s">
        <v>10124</v>
      </c>
      <c r="G3955" t="s">
        <v>896</v>
      </c>
    </row>
    <row r="3956" spans="1:7" x14ac:dyDescent="0.25">
      <c r="A3956" t="s">
        <v>10020</v>
      </c>
      <c r="F3956" t="s">
        <v>10127</v>
      </c>
      <c r="G3956" t="s">
        <v>896</v>
      </c>
    </row>
    <row r="3957" spans="1:7" x14ac:dyDescent="0.25">
      <c r="A3957" t="s">
        <v>10020</v>
      </c>
      <c r="F3957" t="s">
        <v>10024</v>
      </c>
      <c r="G3957" t="s">
        <v>1537</v>
      </c>
    </row>
    <row r="3958" spans="1:7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x14ac:dyDescent="0.25">
      <c r="A3959" t="s">
        <v>10020</v>
      </c>
      <c r="F3959" t="s">
        <v>10030</v>
      </c>
      <c r="G3959" t="s">
        <v>1537</v>
      </c>
    </row>
    <row r="3960" spans="1:7" x14ac:dyDescent="0.25">
      <c r="A3960" t="s">
        <v>10020</v>
      </c>
      <c r="F3960" t="s">
        <v>10033</v>
      </c>
      <c r="G3960" t="s">
        <v>1537</v>
      </c>
    </row>
    <row r="3961" spans="1:7" x14ac:dyDescent="0.25">
      <c r="A3961" t="s">
        <v>10020</v>
      </c>
      <c r="F3961" t="s">
        <v>10036</v>
      </c>
      <c r="G3961" t="s">
        <v>1537</v>
      </c>
    </row>
    <row r="3962" spans="1:7" x14ac:dyDescent="0.25">
      <c r="A3962" t="s">
        <v>10020</v>
      </c>
      <c r="F3962" t="s">
        <v>10039</v>
      </c>
      <c r="G3962" t="s">
        <v>1537</v>
      </c>
    </row>
    <row r="3963" spans="1:7" x14ac:dyDescent="0.25">
      <c r="A3963" t="s">
        <v>10020</v>
      </c>
      <c r="F3963" t="s">
        <v>10042</v>
      </c>
      <c r="G3963" t="s">
        <v>1537</v>
      </c>
    </row>
    <row r="3964" spans="1:7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x14ac:dyDescent="0.25">
      <c r="A3972" t="s">
        <v>9600</v>
      </c>
      <c r="F3972" t="s">
        <v>10140</v>
      </c>
      <c r="G3972" t="s">
        <v>10022</v>
      </c>
    </row>
    <row r="3973" spans="1:7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x14ac:dyDescent="0.25">
      <c r="A3980" t="s">
        <v>7</v>
      </c>
      <c r="F3980" t="s">
        <v>10176</v>
      </c>
      <c r="G3980" t="s">
        <v>896</v>
      </c>
    </row>
    <row r="3981" spans="1:7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x14ac:dyDescent="0.25">
      <c r="A3983" t="s">
        <v>7887</v>
      </c>
      <c r="F3983" t="s">
        <v>10155</v>
      </c>
      <c r="G3983" t="s">
        <v>897</v>
      </c>
    </row>
    <row r="3984" spans="1:7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x14ac:dyDescent="0.25">
      <c r="A3986" t="s">
        <v>10020</v>
      </c>
      <c r="F3986" t="s">
        <v>10182</v>
      </c>
      <c r="G3986" t="s">
        <v>1537</v>
      </c>
    </row>
    <row r="3987" spans="1:7" x14ac:dyDescent="0.25">
      <c r="A3987" t="s">
        <v>10020</v>
      </c>
      <c r="F3987" t="s">
        <v>10185</v>
      </c>
      <c r="G3987" t="s">
        <v>1537</v>
      </c>
    </row>
    <row r="3988" spans="1:7" x14ac:dyDescent="0.25">
      <c r="A3988" t="s">
        <v>10020</v>
      </c>
      <c r="F3988" t="s">
        <v>10188</v>
      </c>
      <c r="G3988" t="s">
        <v>1537</v>
      </c>
    </row>
    <row r="3989" spans="1:7" x14ac:dyDescent="0.25">
      <c r="A3989" t="s">
        <v>10020</v>
      </c>
      <c r="F3989" t="s">
        <v>10191</v>
      </c>
      <c r="G3989" t="s">
        <v>1537</v>
      </c>
    </row>
    <row r="3990" spans="1:7" x14ac:dyDescent="0.25">
      <c r="A3990" t="s">
        <v>10020</v>
      </c>
      <c r="F3990" t="s">
        <v>10194</v>
      </c>
      <c r="G3990" t="s">
        <v>1537</v>
      </c>
    </row>
    <row r="3991" spans="1:7" x14ac:dyDescent="0.25">
      <c r="A3991" t="s">
        <v>10020</v>
      </c>
      <c r="F3991" t="s">
        <v>10197</v>
      </c>
      <c r="G3991" t="s">
        <v>1537</v>
      </c>
    </row>
    <row r="3992" spans="1:7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x14ac:dyDescent="0.25">
      <c r="A3997" t="s">
        <v>7</v>
      </c>
      <c r="F3997" t="s">
        <v>10215</v>
      </c>
      <c r="G3997" t="s">
        <v>10022</v>
      </c>
    </row>
    <row r="3998" spans="1:7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x14ac:dyDescent="0.25">
      <c r="A4001" t="s">
        <v>10020</v>
      </c>
      <c r="F4001" t="s">
        <v>10227</v>
      </c>
      <c r="G4001" t="s">
        <v>10022</v>
      </c>
    </row>
    <row r="4002" spans="1:7" x14ac:dyDescent="0.25">
      <c r="A4002" t="s">
        <v>10020</v>
      </c>
      <c r="F4002" t="s">
        <v>10230</v>
      </c>
      <c r="G4002" t="s">
        <v>10022</v>
      </c>
    </row>
    <row r="4003" spans="1:7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x14ac:dyDescent="0.25">
      <c r="A4016" t="s">
        <v>10020</v>
      </c>
      <c r="F4016" t="s">
        <v>10364</v>
      </c>
      <c r="G4016" t="s">
        <v>896</v>
      </c>
    </row>
    <row r="4017" spans="1:7" x14ac:dyDescent="0.25">
      <c r="A4017" t="s">
        <v>10020</v>
      </c>
      <c r="F4017" t="s">
        <v>10367</v>
      </c>
      <c r="G4017" t="s">
        <v>896</v>
      </c>
    </row>
    <row r="4018" spans="1:7" x14ac:dyDescent="0.25">
      <c r="A4018" t="s">
        <v>10020</v>
      </c>
      <c r="F4018" t="s">
        <v>10370</v>
      </c>
      <c r="G4018" t="s">
        <v>896</v>
      </c>
    </row>
    <row r="4019" spans="1:7" x14ac:dyDescent="0.25">
      <c r="A4019" t="s">
        <v>10020</v>
      </c>
      <c r="F4019" t="s">
        <v>10373</v>
      </c>
      <c r="G4019" t="s">
        <v>896</v>
      </c>
    </row>
    <row r="4020" spans="1:7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x14ac:dyDescent="0.25">
      <c r="A4021" t="s">
        <v>10020</v>
      </c>
      <c r="F4021" t="s">
        <v>10379</v>
      </c>
      <c r="G4021" t="s">
        <v>896</v>
      </c>
    </row>
    <row r="4022" spans="1:7" x14ac:dyDescent="0.25">
      <c r="A4022" t="s">
        <v>10020</v>
      </c>
      <c r="F4022" t="s">
        <v>10382</v>
      </c>
      <c r="G4022" t="s">
        <v>896</v>
      </c>
    </row>
    <row r="4023" spans="1:7" x14ac:dyDescent="0.25">
      <c r="A4023" t="s">
        <v>10020</v>
      </c>
      <c r="F4023" t="s">
        <v>10385</v>
      </c>
      <c r="G4023" t="s">
        <v>896</v>
      </c>
    </row>
    <row r="4024" spans="1:7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x14ac:dyDescent="0.25">
      <c r="A4025" t="s">
        <v>10020</v>
      </c>
      <c r="F4025" t="s">
        <v>10391</v>
      </c>
      <c r="G4025" t="s">
        <v>897</v>
      </c>
    </row>
    <row r="4026" spans="1:7" x14ac:dyDescent="0.25">
      <c r="A4026" t="s">
        <v>10020</v>
      </c>
      <c r="F4026" t="s">
        <v>10394</v>
      </c>
      <c r="G4026" t="s">
        <v>897</v>
      </c>
    </row>
    <row r="4027" spans="1:7" x14ac:dyDescent="0.25">
      <c r="A4027" t="s">
        <v>10020</v>
      </c>
      <c r="F4027" t="s">
        <v>10397</v>
      </c>
      <c r="G4027" t="s">
        <v>897</v>
      </c>
    </row>
    <row r="4028" spans="1:7" x14ac:dyDescent="0.25">
      <c r="A4028" t="s">
        <v>10020</v>
      </c>
      <c r="F4028" t="s">
        <v>10400</v>
      </c>
      <c r="G4028" t="s">
        <v>897</v>
      </c>
    </row>
    <row r="4029" spans="1:7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x14ac:dyDescent="0.25">
      <c r="A4030" t="s">
        <v>10020</v>
      </c>
      <c r="F4030" t="s">
        <v>10406</v>
      </c>
      <c r="G4030" t="s">
        <v>897</v>
      </c>
    </row>
    <row r="4031" spans="1:7" x14ac:dyDescent="0.25">
      <c r="A4031" t="s">
        <v>10020</v>
      </c>
      <c r="F4031" t="s">
        <v>10409</v>
      </c>
      <c r="G4031" t="s">
        <v>897</v>
      </c>
    </row>
    <row r="4032" spans="1:7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x14ac:dyDescent="0.25">
      <c r="A4033" t="s">
        <v>10020</v>
      </c>
      <c r="F4033" t="s">
        <v>10271</v>
      </c>
      <c r="G4033" t="s">
        <v>1537</v>
      </c>
    </row>
    <row r="4034" spans="1:7" x14ac:dyDescent="0.25">
      <c r="A4034" t="s">
        <v>10020</v>
      </c>
      <c r="F4034" t="s">
        <v>10274</v>
      </c>
      <c r="G4034" t="s">
        <v>1537</v>
      </c>
    </row>
    <row r="4035" spans="1:7" x14ac:dyDescent="0.25">
      <c r="A4035" t="s">
        <v>10020</v>
      </c>
      <c r="F4035" t="s">
        <v>10277</v>
      </c>
      <c r="G4035" t="s">
        <v>1537</v>
      </c>
    </row>
    <row r="4036" spans="1:7" x14ac:dyDescent="0.25">
      <c r="A4036" t="s">
        <v>10020</v>
      </c>
      <c r="F4036" t="s">
        <v>10280</v>
      </c>
      <c r="G4036" t="s">
        <v>1537</v>
      </c>
    </row>
    <row r="4037" spans="1:7" x14ac:dyDescent="0.25">
      <c r="A4037" t="s">
        <v>10020</v>
      </c>
      <c r="F4037" t="s">
        <v>10283</v>
      </c>
      <c r="G4037" t="s">
        <v>1537</v>
      </c>
    </row>
    <row r="4038" spans="1:7" x14ac:dyDescent="0.25">
      <c r="A4038" t="s">
        <v>10020</v>
      </c>
      <c r="F4038" t="s">
        <v>10286</v>
      </c>
      <c r="G4038" t="s">
        <v>1537</v>
      </c>
    </row>
    <row r="4039" spans="1:7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x14ac:dyDescent="0.25">
      <c r="A4040" t="s">
        <v>10020</v>
      </c>
      <c r="F4040" t="s">
        <v>10292</v>
      </c>
      <c r="G4040" t="s">
        <v>1537</v>
      </c>
    </row>
    <row r="4041" spans="1:7" x14ac:dyDescent="0.25">
      <c r="A4041" t="s">
        <v>10020</v>
      </c>
      <c r="F4041" t="s">
        <v>10295</v>
      </c>
      <c r="G4041" t="s">
        <v>1537</v>
      </c>
    </row>
    <row r="4042" spans="1:7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x14ac:dyDescent="0.25">
      <c r="A4046" t="s">
        <v>10020</v>
      </c>
      <c r="F4046" t="s">
        <v>10310</v>
      </c>
      <c r="G4046" t="s">
        <v>10022</v>
      </c>
    </row>
    <row r="4047" spans="1:7" x14ac:dyDescent="0.25">
      <c r="A4047" t="s">
        <v>10020</v>
      </c>
      <c r="F4047" t="s">
        <v>10313</v>
      </c>
      <c r="G4047" t="s">
        <v>10022</v>
      </c>
    </row>
    <row r="4048" spans="1:7" x14ac:dyDescent="0.25">
      <c r="A4048" t="s">
        <v>10020</v>
      </c>
      <c r="F4048" t="s">
        <v>10316</v>
      </c>
      <c r="G4048" t="s">
        <v>10022</v>
      </c>
    </row>
    <row r="4049" spans="1:7" x14ac:dyDescent="0.25">
      <c r="A4049" t="s">
        <v>10020</v>
      </c>
      <c r="F4049" t="s">
        <v>10319</v>
      </c>
      <c r="G4049" t="s">
        <v>10022</v>
      </c>
    </row>
    <row r="4050" spans="1:7" x14ac:dyDescent="0.25">
      <c r="A4050" t="s">
        <v>10020</v>
      </c>
      <c r="F4050" t="s">
        <v>10322</v>
      </c>
      <c r="G4050" t="s">
        <v>10022</v>
      </c>
    </row>
    <row r="4051" spans="1:7" x14ac:dyDescent="0.25">
      <c r="A4051" t="s">
        <v>10020</v>
      </c>
      <c r="F4051" t="s">
        <v>10325</v>
      </c>
      <c r="G4051" t="s">
        <v>10022</v>
      </c>
    </row>
    <row r="4052" spans="1:7" x14ac:dyDescent="0.25">
      <c r="A4052" t="s">
        <v>10020</v>
      </c>
      <c r="F4052" t="s">
        <v>10328</v>
      </c>
      <c r="G4052" t="s">
        <v>10022</v>
      </c>
    </row>
    <row r="4053" spans="1:7" x14ac:dyDescent="0.25">
      <c r="A4053" t="s">
        <v>10020</v>
      </c>
      <c r="F4053" t="s">
        <v>10331</v>
      </c>
      <c r="G4053" t="s">
        <v>10022</v>
      </c>
    </row>
    <row r="4054" spans="1:7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x14ac:dyDescent="0.25">
      <c r="A4055" t="s">
        <v>10020</v>
      </c>
      <c r="F4055" t="s">
        <v>10337</v>
      </c>
      <c r="G4055" t="s">
        <v>10022</v>
      </c>
    </row>
    <row r="4056" spans="1:7" x14ac:dyDescent="0.25">
      <c r="A4056" t="s">
        <v>10020</v>
      </c>
      <c r="F4056" t="s">
        <v>10340</v>
      </c>
      <c r="G4056" t="s">
        <v>10022</v>
      </c>
    </row>
    <row r="4057" spans="1:7" x14ac:dyDescent="0.25">
      <c r="A4057" t="s">
        <v>10020</v>
      </c>
      <c r="F4057" t="s">
        <v>10343</v>
      </c>
      <c r="G4057" t="s">
        <v>10022</v>
      </c>
    </row>
    <row r="4058" spans="1:7" x14ac:dyDescent="0.25">
      <c r="A4058" t="s">
        <v>10020</v>
      </c>
      <c r="F4058" t="s">
        <v>10346</v>
      </c>
      <c r="G4058" t="s">
        <v>10022</v>
      </c>
    </row>
    <row r="4059" spans="1:7" x14ac:dyDescent="0.25">
      <c r="A4059" t="s">
        <v>10020</v>
      </c>
      <c r="F4059" t="s">
        <v>10349</v>
      </c>
      <c r="G4059" t="s">
        <v>10022</v>
      </c>
    </row>
    <row r="4060" spans="1:7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x14ac:dyDescent="0.25">
      <c r="A4075" t="s">
        <v>10571</v>
      </c>
      <c r="F4075" t="s">
        <v>10460</v>
      </c>
      <c r="G4075" t="s">
        <v>896</v>
      </c>
    </row>
    <row r="4076" spans="1:7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x14ac:dyDescent="0.25">
      <c r="A4095" t="s">
        <v>3397</v>
      </c>
      <c r="F4095" t="s">
        <v>10520</v>
      </c>
      <c r="G4095" t="s">
        <v>896</v>
      </c>
    </row>
    <row r="4096" spans="1:7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x14ac:dyDescent="0.25">
      <c r="A4098" t="s">
        <v>7</v>
      </c>
      <c r="F4098" t="s">
        <v>10529</v>
      </c>
      <c r="G4098" t="s">
        <v>896</v>
      </c>
    </row>
    <row r="4099" spans="1:7" x14ac:dyDescent="0.25">
      <c r="A4099" t="s">
        <v>1539</v>
      </c>
      <c r="F4099" t="s">
        <v>10532</v>
      </c>
      <c r="G4099" t="s">
        <v>896</v>
      </c>
    </row>
    <row r="4100" spans="1:7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x14ac:dyDescent="0.25">
      <c r="A4101" t="s">
        <v>10020</v>
      </c>
      <c r="F4101" t="s">
        <v>10538</v>
      </c>
      <c r="G4101" t="s">
        <v>897</v>
      </c>
    </row>
    <row r="4102" spans="1:7" x14ac:dyDescent="0.25">
      <c r="A4102" t="s">
        <v>7</v>
      </c>
      <c r="F4102" t="s">
        <v>10541</v>
      </c>
      <c r="G4102" t="s">
        <v>897</v>
      </c>
    </row>
    <row r="4103" spans="1:7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x14ac:dyDescent="0.25">
      <c r="A4104" t="s">
        <v>12</v>
      </c>
      <c r="F4104" t="s">
        <v>10547</v>
      </c>
      <c r="G4104" t="s">
        <v>1537</v>
      </c>
    </row>
    <row r="4105" spans="1:7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x14ac:dyDescent="0.25">
      <c r="A4107" t="s">
        <v>10020</v>
      </c>
      <c r="F4107" t="s">
        <v>10556</v>
      </c>
      <c r="G4107" t="s">
        <v>10022</v>
      </c>
    </row>
    <row r="4108" spans="1:7" x14ac:dyDescent="0.25">
      <c r="A4108" t="s">
        <v>10020</v>
      </c>
      <c r="F4108" t="s">
        <v>10559</v>
      </c>
      <c r="G4108" t="s">
        <v>10022</v>
      </c>
    </row>
    <row r="4109" spans="1:7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x14ac:dyDescent="0.25">
      <c r="A4110" t="s">
        <v>91</v>
      </c>
      <c r="B4110" t="s">
        <v>11072</v>
      </c>
      <c r="F4110" t="s">
        <v>10584</v>
      </c>
      <c r="G4110" t="s">
        <v>91</v>
      </c>
    </row>
    <row r="4111" spans="1:7" x14ac:dyDescent="0.25">
      <c r="A4111" t="s">
        <v>91</v>
      </c>
      <c r="B4111" t="s">
        <v>11071</v>
      </c>
      <c r="C4111" t="s">
        <v>4070</v>
      </c>
      <c r="E4111" t="s">
        <v>11074</v>
      </c>
      <c r="F4111" t="s">
        <v>10586</v>
      </c>
      <c r="G4111" t="s">
        <v>91</v>
      </c>
    </row>
    <row r="4112" spans="1:7" x14ac:dyDescent="0.25">
      <c r="A4112" t="s">
        <v>62</v>
      </c>
      <c r="B4112" t="s">
        <v>11072</v>
      </c>
      <c r="C4112" t="s">
        <v>165</v>
      </c>
      <c r="F4112" t="s">
        <v>10588</v>
      </c>
      <c r="G4112" t="s">
        <v>91</v>
      </c>
    </row>
    <row r="4113" spans="1:7" x14ac:dyDescent="0.25">
      <c r="A4113" t="s">
        <v>91</v>
      </c>
      <c r="B4113" t="s">
        <v>11073</v>
      </c>
      <c r="C4113" t="s">
        <v>60</v>
      </c>
      <c r="F4113" t="s">
        <v>10590</v>
      </c>
      <c r="G4113" t="s">
        <v>91</v>
      </c>
    </row>
    <row r="4114" spans="1:7" x14ac:dyDescent="0.25">
      <c r="A4114" t="s">
        <v>91</v>
      </c>
      <c r="B4114" t="s">
        <v>11071</v>
      </c>
      <c r="C4114" t="s">
        <v>4070</v>
      </c>
      <c r="F4114" t="s">
        <v>10592</v>
      </c>
      <c r="G4114" t="s">
        <v>91</v>
      </c>
    </row>
    <row r="4115" spans="1:7" x14ac:dyDescent="0.25">
      <c r="A4115" t="s">
        <v>62</v>
      </c>
      <c r="B4115" t="s">
        <v>11073</v>
      </c>
      <c r="C4115" t="s">
        <v>51</v>
      </c>
      <c r="F4115" t="s">
        <v>10594</v>
      </c>
      <c r="G4115" t="s">
        <v>91</v>
      </c>
    </row>
    <row r="4116" spans="1:7" x14ac:dyDescent="0.25">
      <c r="A4116" t="s">
        <v>62</v>
      </c>
      <c r="B4116" t="s">
        <v>11071</v>
      </c>
      <c r="C4116" t="s">
        <v>4070</v>
      </c>
      <c r="F4116" t="s">
        <v>10596</v>
      </c>
      <c r="G4116" t="s">
        <v>91</v>
      </c>
    </row>
    <row r="4117" spans="1:7" x14ac:dyDescent="0.25">
      <c r="A4117" t="s">
        <v>62</v>
      </c>
      <c r="B4117" t="s">
        <v>11075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x14ac:dyDescent="0.25">
      <c r="A4118" t="s">
        <v>1607</v>
      </c>
      <c r="B4118" t="s">
        <v>8</v>
      </c>
      <c r="F4118" t="s">
        <v>10604</v>
      </c>
      <c r="G4118" t="s">
        <v>12647</v>
      </c>
    </row>
    <row r="4119" spans="1:7" x14ac:dyDescent="0.25">
      <c r="A4119" t="s">
        <v>1607</v>
      </c>
      <c r="B4119" t="s">
        <v>8</v>
      </c>
      <c r="F4119" t="s">
        <v>10606</v>
      </c>
      <c r="G4119" t="s">
        <v>12647</v>
      </c>
    </row>
    <row r="4120" spans="1:7" x14ac:dyDescent="0.25">
      <c r="A4120" t="s">
        <v>4</v>
      </c>
      <c r="B4120" t="s">
        <v>7045</v>
      </c>
      <c r="F4120" t="s">
        <v>10600</v>
      </c>
      <c r="G4120" t="s">
        <v>11076</v>
      </c>
    </row>
    <row r="4121" spans="1:7" x14ac:dyDescent="0.25">
      <c r="A4121" t="s">
        <v>4</v>
      </c>
      <c r="B4121" t="s">
        <v>7045</v>
      </c>
      <c r="F4121" t="s">
        <v>10602</v>
      </c>
      <c r="G4121" t="s">
        <v>11076</v>
      </c>
    </row>
    <row r="4122" spans="1:7" x14ac:dyDescent="0.25">
      <c r="A4122" t="s">
        <v>4921</v>
      </c>
      <c r="B4122" t="s">
        <v>11072</v>
      </c>
      <c r="F4122" t="s">
        <v>10608</v>
      </c>
      <c r="G4122" t="s">
        <v>894</v>
      </c>
    </row>
    <row r="4123" spans="1:7" x14ac:dyDescent="0.25">
      <c r="A4123" t="s">
        <v>9596</v>
      </c>
      <c r="B4123" t="s">
        <v>11072</v>
      </c>
      <c r="F4123" t="s">
        <v>10611</v>
      </c>
      <c r="G4123" t="s">
        <v>894</v>
      </c>
    </row>
    <row r="4124" spans="1:7" x14ac:dyDescent="0.25">
      <c r="A4124" t="s">
        <v>4921</v>
      </c>
      <c r="B4124" t="s">
        <v>11073</v>
      </c>
      <c r="C4124" t="s">
        <v>60</v>
      </c>
      <c r="F4124" t="s">
        <v>10614</v>
      </c>
      <c r="G4124" t="s">
        <v>894</v>
      </c>
    </row>
    <row r="4125" spans="1:7" x14ac:dyDescent="0.25">
      <c r="A4125" t="s">
        <v>4921</v>
      </c>
      <c r="B4125" t="s">
        <v>11073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x14ac:dyDescent="0.25">
      <c r="A4126" t="s">
        <v>227</v>
      </c>
      <c r="B4126" t="s">
        <v>11073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x14ac:dyDescent="0.25">
      <c r="A4127" t="s">
        <v>227</v>
      </c>
      <c r="B4127" t="s">
        <v>11073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x14ac:dyDescent="0.25">
      <c r="A4128" t="s">
        <v>227</v>
      </c>
      <c r="B4128" t="s">
        <v>11073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x14ac:dyDescent="0.25">
      <c r="A4129" t="s">
        <v>227</v>
      </c>
      <c r="B4129" t="s">
        <v>11073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x14ac:dyDescent="0.25">
      <c r="A4130" t="s">
        <v>227</v>
      </c>
      <c r="B4130" t="s">
        <v>11073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x14ac:dyDescent="0.25">
      <c r="A4131" t="s">
        <v>227</v>
      </c>
      <c r="B4131" t="s">
        <v>11073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x14ac:dyDescent="0.25">
      <c r="A4132" t="s">
        <v>227</v>
      </c>
      <c r="B4132" t="s">
        <v>11073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x14ac:dyDescent="0.25">
      <c r="A4133" t="s">
        <v>227</v>
      </c>
      <c r="B4133" t="s">
        <v>11073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x14ac:dyDescent="0.25">
      <c r="A4134" t="s">
        <v>227</v>
      </c>
      <c r="B4134" t="s">
        <v>11073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x14ac:dyDescent="0.25">
      <c r="A4135" t="s">
        <v>227</v>
      </c>
      <c r="B4135" t="s">
        <v>11073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x14ac:dyDescent="0.25">
      <c r="A4136" t="s">
        <v>227</v>
      </c>
      <c r="B4136" t="s">
        <v>11073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x14ac:dyDescent="0.25">
      <c r="A4137" t="s">
        <v>227</v>
      </c>
      <c r="B4137" t="s">
        <v>11073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x14ac:dyDescent="0.25">
      <c r="A4138" t="s">
        <v>227</v>
      </c>
      <c r="B4138" t="s">
        <v>11073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x14ac:dyDescent="0.25">
      <c r="A4139" t="s">
        <v>227</v>
      </c>
      <c r="B4139" t="s">
        <v>11073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x14ac:dyDescent="0.25">
      <c r="A4140" t="s">
        <v>227</v>
      </c>
      <c r="B4140" t="s">
        <v>11073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x14ac:dyDescent="0.25">
      <c r="A4141" t="s">
        <v>227</v>
      </c>
      <c r="B4141" t="s">
        <v>11073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x14ac:dyDescent="0.25">
      <c r="A4142" t="s">
        <v>227</v>
      </c>
      <c r="B4142" t="s">
        <v>11073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x14ac:dyDescent="0.25">
      <c r="A4143" t="s">
        <v>227</v>
      </c>
      <c r="B4143" t="s">
        <v>11073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x14ac:dyDescent="0.25">
      <c r="A4144" t="s">
        <v>227</v>
      </c>
      <c r="B4144" t="s">
        <v>11073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x14ac:dyDescent="0.25">
      <c r="A4145" t="s">
        <v>227</v>
      </c>
      <c r="B4145" t="s">
        <v>11073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x14ac:dyDescent="0.25">
      <c r="A4146" t="s">
        <v>227</v>
      </c>
      <c r="B4146" t="s">
        <v>11073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x14ac:dyDescent="0.25">
      <c r="A4147" t="s">
        <v>4921</v>
      </c>
      <c r="B4147" t="s">
        <v>11073</v>
      </c>
      <c r="C4147" t="s">
        <v>51</v>
      </c>
      <c r="F4147" t="s">
        <v>10683</v>
      </c>
      <c r="G4147" t="s">
        <v>894</v>
      </c>
    </row>
    <row r="4148" spans="1:7" x14ac:dyDescent="0.25">
      <c r="A4148" t="s">
        <v>587</v>
      </c>
      <c r="B4148" t="s">
        <v>11073</v>
      </c>
      <c r="C4148" t="s">
        <v>51</v>
      </c>
      <c r="F4148" t="s">
        <v>10686</v>
      </c>
      <c r="G4148" t="s">
        <v>894</v>
      </c>
    </row>
    <row r="4149" spans="1:7" x14ac:dyDescent="0.25">
      <c r="A4149" t="s">
        <v>4</v>
      </c>
      <c r="B4149" t="s">
        <v>8</v>
      </c>
      <c r="F4149" t="s">
        <v>10692</v>
      </c>
      <c r="G4149" t="s">
        <v>894</v>
      </c>
    </row>
    <row r="4150" spans="1:7" x14ac:dyDescent="0.25">
      <c r="A4150" t="s">
        <v>4</v>
      </c>
      <c r="B4150" t="s">
        <v>11077</v>
      </c>
      <c r="F4150" t="s">
        <v>10695</v>
      </c>
      <c r="G4150" t="s">
        <v>895</v>
      </c>
    </row>
    <row r="4151" spans="1:7" x14ac:dyDescent="0.25">
      <c r="A4151" t="s">
        <v>587</v>
      </c>
      <c r="B4151" t="s">
        <v>11077</v>
      </c>
      <c r="F4151" t="s">
        <v>10698</v>
      </c>
      <c r="G4151" t="s">
        <v>895</v>
      </c>
    </row>
    <row r="4152" spans="1:7" x14ac:dyDescent="0.25">
      <c r="A4152" t="s">
        <v>4</v>
      </c>
      <c r="B4152" t="s">
        <v>11078</v>
      </c>
      <c r="F4152" t="s">
        <v>10701</v>
      </c>
      <c r="G4152" t="s">
        <v>895</v>
      </c>
    </row>
    <row r="4153" spans="1:7" x14ac:dyDescent="0.25">
      <c r="A4153" t="s">
        <v>4</v>
      </c>
      <c r="B4153" t="s">
        <v>11078</v>
      </c>
      <c r="F4153" t="s">
        <v>10704</v>
      </c>
      <c r="G4153" t="s">
        <v>895</v>
      </c>
    </row>
    <row r="4154" spans="1:7" x14ac:dyDescent="0.25">
      <c r="A4154" t="s">
        <v>4</v>
      </c>
      <c r="B4154" t="s">
        <v>8</v>
      </c>
      <c r="F4154" t="s">
        <v>10707</v>
      </c>
      <c r="G4154" t="s">
        <v>895</v>
      </c>
    </row>
    <row r="4155" spans="1:7" x14ac:dyDescent="0.25">
      <c r="A4155" t="s">
        <v>1539</v>
      </c>
      <c r="F4155" t="s">
        <v>10710</v>
      </c>
      <c r="G4155" t="s">
        <v>896</v>
      </c>
    </row>
    <row r="4156" spans="1:7" x14ac:dyDescent="0.25">
      <c r="A4156" t="s">
        <v>1539</v>
      </c>
      <c r="F4156" t="s">
        <v>10713</v>
      </c>
      <c r="G4156" t="s">
        <v>896</v>
      </c>
    </row>
    <row r="4157" spans="1:7" x14ac:dyDescent="0.25">
      <c r="A4157" t="s">
        <v>1539</v>
      </c>
      <c r="F4157" t="s">
        <v>10716</v>
      </c>
      <c r="G4157" t="s">
        <v>896</v>
      </c>
    </row>
    <row r="4158" spans="1:7" x14ac:dyDescent="0.25">
      <c r="A4158" t="s">
        <v>7</v>
      </c>
      <c r="F4158" t="s">
        <v>10719</v>
      </c>
      <c r="G4158" t="s">
        <v>896</v>
      </c>
    </row>
    <row r="4159" spans="1:7" x14ac:dyDescent="0.25">
      <c r="A4159" t="s">
        <v>7</v>
      </c>
      <c r="F4159" t="s">
        <v>10722</v>
      </c>
      <c r="G4159" t="s">
        <v>896</v>
      </c>
    </row>
    <row r="4160" spans="1:7" x14ac:dyDescent="0.25">
      <c r="A4160" t="s">
        <v>4</v>
      </c>
      <c r="B4160" t="s">
        <v>8</v>
      </c>
      <c r="F4160" t="s">
        <v>10725</v>
      </c>
      <c r="G4160" t="s">
        <v>896</v>
      </c>
    </row>
    <row r="4161" spans="1:7" x14ac:dyDescent="0.25">
      <c r="A4161" t="s">
        <v>226</v>
      </c>
      <c r="B4161" t="s">
        <v>11072</v>
      </c>
      <c r="C4161" t="s">
        <v>165</v>
      </c>
      <c r="D4161">
        <v>2</v>
      </c>
      <c r="F4161" t="s">
        <v>10764</v>
      </c>
      <c r="G4161" t="s">
        <v>897</v>
      </c>
    </row>
    <row r="4162" spans="1:7" x14ac:dyDescent="0.25">
      <c r="A4162" t="s">
        <v>4</v>
      </c>
      <c r="B4162" t="s">
        <v>8</v>
      </c>
      <c r="F4162" t="s">
        <v>10767</v>
      </c>
      <c r="G4162" t="s">
        <v>897</v>
      </c>
    </row>
    <row r="4163" spans="1:7" x14ac:dyDescent="0.25">
      <c r="A4163" t="s">
        <v>4</v>
      </c>
      <c r="B4163" t="s">
        <v>8</v>
      </c>
      <c r="F4163" t="s">
        <v>10770</v>
      </c>
      <c r="G4163" t="s">
        <v>897</v>
      </c>
    </row>
    <row r="4164" spans="1:7" x14ac:dyDescent="0.25">
      <c r="A4164" t="s">
        <v>137</v>
      </c>
      <c r="B4164" t="s">
        <v>11071</v>
      </c>
      <c r="F4164" t="s">
        <v>10773</v>
      </c>
      <c r="G4164" t="s">
        <v>897</v>
      </c>
    </row>
    <row r="4165" spans="1:7" x14ac:dyDescent="0.25">
      <c r="A4165" t="s">
        <v>4</v>
      </c>
      <c r="B4165" t="s">
        <v>11079</v>
      </c>
      <c r="F4165" t="s">
        <v>10776</v>
      </c>
      <c r="G4165" t="s">
        <v>897</v>
      </c>
    </row>
    <row r="4166" spans="1:7" x14ac:dyDescent="0.25">
      <c r="A4166" t="s">
        <v>4</v>
      </c>
      <c r="B4166" t="s">
        <v>8</v>
      </c>
      <c r="F4166" t="s">
        <v>10779</v>
      </c>
      <c r="G4166" t="s">
        <v>897</v>
      </c>
    </row>
    <row r="4167" spans="1:7" x14ac:dyDescent="0.25">
      <c r="A4167" t="s">
        <v>7</v>
      </c>
      <c r="F4167" t="s">
        <v>10782</v>
      </c>
      <c r="G4167" t="s">
        <v>897</v>
      </c>
    </row>
    <row r="4168" spans="1:7" x14ac:dyDescent="0.25">
      <c r="A4168" t="s">
        <v>4</v>
      </c>
      <c r="B4168" t="s">
        <v>8</v>
      </c>
      <c r="F4168" t="s">
        <v>10785</v>
      </c>
      <c r="G4168" t="s">
        <v>897</v>
      </c>
    </row>
    <row r="4169" spans="1:7" x14ac:dyDescent="0.25">
      <c r="A4169" t="s">
        <v>1627</v>
      </c>
      <c r="B4169" t="s">
        <v>687</v>
      </c>
      <c r="F4169" t="s">
        <v>10728</v>
      </c>
      <c r="G4169" t="s">
        <v>12648</v>
      </c>
    </row>
    <row r="4170" spans="1:7" x14ac:dyDescent="0.25">
      <c r="A4170" t="s">
        <v>3386</v>
      </c>
      <c r="B4170" t="s">
        <v>86</v>
      </c>
      <c r="C4170" t="s">
        <v>11080</v>
      </c>
      <c r="F4170" t="s">
        <v>10730</v>
      </c>
      <c r="G4170" t="s">
        <v>12648</v>
      </c>
    </row>
    <row r="4171" spans="1:7" x14ac:dyDescent="0.25">
      <c r="A4171" t="s">
        <v>4</v>
      </c>
      <c r="B4171" t="s">
        <v>9</v>
      </c>
      <c r="F4171" t="s">
        <v>10732</v>
      </c>
      <c r="G4171" t="s">
        <v>12648</v>
      </c>
    </row>
    <row r="4172" spans="1:7" x14ac:dyDescent="0.25">
      <c r="A4172" t="s">
        <v>4</v>
      </c>
      <c r="B4172" t="s">
        <v>11081</v>
      </c>
      <c r="F4172" t="s">
        <v>10734</v>
      </c>
      <c r="G4172" t="s">
        <v>12648</v>
      </c>
    </row>
    <row r="4173" spans="1:7" x14ac:dyDescent="0.25">
      <c r="A4173" t="s">
        <v>4</v>
      </c>
      <c r="B4173" t="s">
        <v>6157</v>
      </c>
      <c r="F4173" t="s">
        <v>10736</v>
      </c>
      <c r="G4173" t="s">
        <v>12648</v>
      </c>
    </row>
    <row r="4174" spans="1:7" x14ac:dyDescent="0.25">
      <c r="A4174" t="s">
        <v>4</v>
      </c>
      <c r="B4174" t="s">
        <v>6157</v>
      </c>
      <c r="F4174" t="s">
        <v>10738</v>
      </c>
      <c r="G4174" t="s">
        <v>12648</v>
      </c>
    </row>
    <row r="4175" spans="1:7" x14ac:dyDescent="0.25">
      <c r="A4175" t="s">
        <v>4</v>
      </c>
      <c r="B4175" t="s">
        <v>6157</v>
      </c>
      <c r="F4175" t="s">
        <v>10740</v>
      </c>
      <c r="G4175" t="s">
        <v>12648</v>
      </c>
    </row>
    <row r="4176" spans="1:7" x14ac:dyDescent="0.25">
      <c r="A4176" t="s">
        <v>4</v>
      </c>
      <c r="B4176" t="s">
        <v>6157</v>
      </c>
      <c r="F4176" t="s">
        <v>10742</v>
      </c>
      <c r="G4176" t="s">
        <v>12648</v>
      </c>
    </row>
    <row r="4177" spans="1:7" x14ac:dyDescent="0.25">
      <c r="A4177" t="s">
        <v>4</v>
      </c>
      <c r="B4177" t="s">
        <v>468</v>
      </c>
      <c r="F4177" t="s">
        <v>10744</v>
      </c>
      <c r="G4177" t="s">
        <v>12648</v>
      </c>
    </row>
    <row r="4178" spans="1:7" x14ac:dyDescent="0.25">
      <c r="A4178" t="s">
        <v>4</v>
      </c>
      <c r="B4178" t="s">
        <v>9</v>
      </c>
      <c r="F4178" t="s">
        <v>10748</v>
      </c>
      <c r="G4178" t="s">
        <v>12649</v>
      </c>
    </row>
    <row r="4179" spans="1:7" x14ac:dyDescent="0.25">
      <c r="A4179" t="s">
        <v>4</v>
      </c>
      <c r="B4179" t="s">
        <v>9</v>
      </c>
      <c r="F4179" t="s">
        <v>10750</v>
      </c>
      <c r="G4179" t="s">
        <v>12649</v>
      </c>
    </row>
    <row r="4180" spans="1:7" x14ac:dyDescent="0.25">
      <c r="A4180" t="s">
        <v>4</v>
      </c>
      <c r="B4180" t="s">
        <v>9</v>
      </c>
      <c r="F4180" t="s">
        <v>10752</v>
      </c>
      <c r="G4180" t="s">
        <v>12649</v>
      </c>
    </row>
    <row r="4181" spans="1:7" x14ac:dyDescent="0.25">
      <c r="A4181" t="s">
        <v>1627</v>
      </c>
      <c r="B4181" t="s">
        <v>1058</v>
      </c>
      <c r="F4181" t="s">
        <v>10754</v>
      </c>
      <c r="G4181" t="s">
        <v>12649</v>
      </c>
    </row>
    <row r="4182" spans="1:7" x14ac:dyDescent="0.25">
      <c r="A4182" t="s">
        <v>1627</v>
      </c>
      <c r="B4182" t="s">
        <v>1058</v>
      </c>
      <c r="F4182" t="s">
        <v>10756</v>
      </c>
      <c r="G4182" t="s">
        <v>12649</v>
      </c>
    </row>
    <row r="4183" spans="1:7" x14ac:dyDescent="0.25">
      <c r="A4183" t="s">
        <v>1627</v>
      </c>
      <c r="B4183" t="s">
        <v>1058</v>
      </c>
      <c r="F4183" t="s">
        <v>10758</v>
      </c>
      <c r="G4183" t="s">
        <v>12649</v>
      </c>
    </row>
    <row r="4184" spans="1:7" x14ac:dyDescent="0.25">
      <c r="A4184" t="s">
        <v>1627</v>
      </c>
      <c r="B4184" t="s">
        <v>1058</v>
      </c>
      <c r="F4184" t="s">
        <v>10760</v>
      </c>
      <c r="G4184" t="s">
        <v>12649</v>
      </c>
    </row>
    <row r="4185" spans="1:7" x14ac:dyDescent="0.25">
      <c r="A4185" t="s">
        <v>4</v>
      </c>
      <c r="B4185" t="s">
        <v>9</v>
      </c>
      <c r="F4185" t="s">
        <v>10762</v>
      </c>
      <c r="G4185" t="s">
        <v>12649</v>
      </c>
    </row>
    <row r="4186" spans="1:7" x14ac:dyDescent="0.25">
      <c r="A4186" t="s">
        <v>9137</v>
      </c>
      <c r="B4186" t="s">
        <v>86</v>
      </c>
      <c r="F4186" t="s">
        <v>10801</v>
      </c>
      <c r="G4186" t="s">
        <v>12650</v>
      </c>
    </row>
    <row r="4187" spans="1:7" x14ac:dyDescent="0.25">
      <c r="A4187" t="s">
        <v>4</v>
      </c>
      <c r="B4187" t="s">
        <v>8</v>
      </c>
      <c r="F4187" t="s">
        <v>10803</v>
      </c>
      <c r="G4187" t="s">
        <v>12650</v>
      </c>
    </row>
    <row r="4188" spans="1:7" x14ac:dyDescent="0.25">
      <c r="A4188" t="s">
        <v>4</v>
      </c>
      <c r="B4188" t="s">
        <v>8</v>
      </c>
      <c r="F4188" t="s">
        <v>10805</v>
      </c>
      <c r="G4188" t="s">
        <v>12650</v>
      </c>
    </row>
    <row r="4189" spans="1:7" x14ac:dyDescent="0.25">
      <c r="A4189" t="s">
        <v>1273</v>
      </c>
      <c r="B4189" t="s">
        <v>11075</v>
      </c>
      <c r="F4189" t="s">
        <v>10807</v>
      </c>
      <c r="G4189" t="s">
        <v>12650</v>
      </c>
    </row>
    <row r="4190" spans="1:7" x14ac:dyDescent="0.25">
      <c r="A4190" t="s">
        <v>226</v>
      </c>
      <c r="B4190" t="s">
        <v>11075</v>
      </c>
      <c r="C4190" t="s">
        <v>58</v>
      </c>
      <c r="D4190">
        <v>1</v>
      </c>
      <c r="F4190" t="s">
        <v>10809</v>
      </c>
      <c r="G4190" t="s">
        <v>12650</v>
      </c>
    </row>
    <row r="4191" spans="1:7" x14ac:dyDescent="0.25">
      <c r="A4191" t="s">
        <v>226</v>
      </c>
      <c r="B4191" t="s">
        <v>11075</v>
      </c>
      <c r="C4191" t="s">
        <v>58</v>
      </c>
      <c r="D4191">
        <v>2</v>
      </c>
      <c r="F4191" t="s">
        <v>10812</v>
      </c>
      <c r="G4191" t="s">
        <v>12650</v>
      </c>
    </row>
    <row r="4192" spans="1:7" x14ac:dyDescent="0.25">
      <c r="A4192" t="s">
        <v>587</v>
      </c>
      <c r="B4192" t="s">
        <v>11075</v>
      </c>
      <c r="F4192" t="s">
        <v>10815</v>
      </c>
      <c r="G4192" t="s">
        <v>12650</v>
      </c>
    </row>
    <row r="4193" spans="1:7" x14ac:dyDescent="0.25">
      <c r="A4193" t="s">
        <v>7354</v>
      </c>
      <c r="B4193" t="s">
        <v>468</v>
      </c>
      <c r="F4193" t="s">
        <v>10817</v>
      </c>
      <c r="G4193" t="s">
        <v>12650</v>
      </c>
    </row>
    <row r="4194" spans="1:7" x14ac:dyDescent="0.25">
      <c r="A4194" t="s">
        <v>7354</v>
      </c>
      <c r="B4194" t="s">
        <v>468</v>
      </c>
      <c r="F4194" t="s">
        <v>10819</v>
      </c>
      <c r="G4194" t="s">
        <v>12650</v>
      </c>
    </row>
    <row r="4195" spans="1:7" x14ac:dyDescent="0.25">
      <c r="A4195" t="s">
        <v>7354</v>
      </c>
      <c r="B4195" t="s">
        <v>468</v>
      </c>
      <c r="F4195" t="s">
        <v>10821</v>
      </c>
      <c r="G4195" t="s">
        <v>12650</v>
      </c>
    </row>
    <row r="4196" spans="1:7" x14ac:dyDescent="0.25">
      <c r="A4196" t="s">
        <v>4</v>
      </c>
      <c r="B4196" t="s">
        <v>8</v>
      </c>
      <c r="F4196" t="s">
        <v>10823</v>
      </c>
      <c r="G4196" t="s">
        <v>12650</v>
      </c>
    </row>
    <row r="4197" spans="1:7" x14ac:dyDescent="0.25">
      <c r="A4197" t="s">
        <v>11082</v>
      </c>
      <c r="B4197" t="s">
        <v>86</v>
      </c>
      <c r="F4197" t="s">
        <v>10788</v>
      </c>
      <c r="G4197" t="s">
        <v>12651</v>
      </c>
    </row>
    <row r="4198" spans="1:7" x14ac:dyDescent="0.25">
      <c r="A4198" t="s">
        <v>11082</v>
      </c>
      <c r="B4198" t="s">
        <v>86</v>
      </c>
      <c r="F4198" t="s">
        <v>10790</v>
      </c>
      <c r="G4198" t="s">
        <v>12651</v>
      </c>
    </row>
    <row r="4199" spans="1:7" x14ac:dyDescent="0.25">
      <c r="A4199" t="s">
        <v>4</v>
      </c>
      <c r="B4199" t="s">
        <v>8</v>
      </c>
      <c r="F4199" t="s">
        <v>10792</v>
      </c>
      <c r="G4199" t="s">
        <v>12651</v>
      </c>
    </row>
    <row r="4200" spans="1:7" x14ac:dyDescent="0.25">
      <c r="A4200" t="s">
        <v>11078</v>
      </c>
      <c r="B4200" t="s">
        <v>86</v>
      </c>
      <c r="F4200" t="s">
        <v>10794</v>
      </c>
      <c r="G4200" t="s">
        <v>12651</v>
      </c>
    </row>
    <row r="4201" spans="1:7" x14ac:dyDescent="0.25">
      <c r="A4201" t="s">
        <v>11078</v>
      </c>
      <c r="B4201" t="s">
        <v>86</v>
      </c>
      <c r="F4201" t="s">
        <v>10796</v>
      </c>
      <c r="G4201" t="s">
        <v>12651</v>
      </c>
    </row>
    <row r="4202" spans="1:7" x14ac:dyDescent="0.25">
      <c r="A4202" t="s">
        <v>11078</v>
      </c>
      <c r="B4202" t="s">
        <v>86</v>
      </c>
      <c r="F4202" t="s">
        <v>10798</v>
      </c>
      <c r="G4202" t="s">
        <v>12651</v>
      </c>
    </row>
    <row r="4203" spans="1:7" x14ac:dyDescent="0.25">
      <c r="A4203" t="s">
        <v>4</v>
      </c>
      <c r="B4203" t="s">
        <v>8</v>
      </c>
      <c r="F4203" t="s">
        <v>10800</v>
      </c>
      <c r="G4203" t="s">
        <v>12651</v>
      </c>
    </row>
    <row r="4204" spans="1:7" x14ac:dyDescent="0.25">
      <c r="A4204" t="s">
        <v>12</v>
      </c>
      <c r="F4204" t="s">
        <v>10825</v>
      </c>
      <c r="G4204" t="s">
        <v>1537</v>
      </c>
    </row>
    <row r="4205" spans="1:7" x14ac:dyDescent="0.25">
      <c r="A4205" t="s">
        <v>12</v>
      </c>
      <c r="F4205" t="s">
        <v>10828</v>
      </c>
      <c r="G4205" t="s">
        <v>1537</v>
      </c>
    </row>
    <row r="4206" spans="1:7" x14ac:dyDescent="0.25">
      <c r="A4206" t="s">
        <v>4</v>
      </c>
      <c r="B4206" t="s">
        <v>8</v>
      </c>
      <c r="F4206" t="s">
        <v>10831</v>
      </c>
      <c r="G4206" t="s">
        <v>1537</v>
      </c>
    </row>
    <row r="4207" spans="1:7" x14ac:dyDescent="0.25">
      <c r="A4207" t="s">
        <v>4</v>
      </c>
      <c r="B4207" t="s">
        <v>8</v>
      </c>
      <c r="F4207" t="s">
        <v>10834</v>
      </c>
      <c r="G4207" t="s">
        <v>1537</v>
      </c>
    </row>
    <row r="4208" spans="1:7" x14ac:dyDescent="0.25">
      <c r="A4208" t="s">
        <v>7</v>
      </c>
      <c r="F4208" t="s">
        <v>10837</v>
      </c>
      <c r="G4208" t="s">
        <v>1537</v>
      </c>
    </row>
    <row r="4209" spans="1:7" x14ac:dyDescent="0.25">
      <c r="A4209" t="s">
        <v>4</v>
      </c>
      <c r="B4209" t="s">
        <v>8</v>
      </c>
      <c r="F4209" t="s">
        <v>10840</v>
      </c>
      <c r="G4209" t="s">
        <v>1537</v>
      </c>
    </row>
    <row r="4210" spans="1:7" x14ac:dyDescent="0.25">
      <c r="A4210" t="s">
        <v>1607</v>
      </c>
      <c r="B4210" t="s">
        <v>8</v>
      </c>
      <c r="F4210" t="s">
        <v>10858</v>
      </c>
      <c r="G4210" t="s">
        <v>1600</v>
      </c>
    </row>
    <row r="4211" spans="1:7" x14ac:dyDescent="0.25">
      <c r="A4211" t="s">
        <v>11078</v>
      </c>
      <c r="B4211" t="s">
        <v>86</v>
      </c>
      <c r="F4211" t="s">
        <v>10861</v>
      </c>
      <c r="G4211" t="s">
        <v>1600</v>
      </c>
    </row>
    <row r="4212" spans="1:7" x14ac:dyDescent="0.25">
      <c r="A4212" t="s">
        <v>11078</v>
      </c>
      <c r="B4212" t="s">
        <v>86</v>
      </c>
      <c r="F4212" t="s">
        <v>10864</v>
      </c>
      <c r="G4212" t="s">
        <v>1600</v>
      </c>
    </row>
    <row r="4213" spans="1:7" x14ac:dyDescent="0.25">
      <c r="A4213" t="s">
        <v>4</v>
      </c>
      <c r="B4213" t="s">
        <v>8</v>
      </c>
      <c r="F4213" t="s">
        <v>10867</v>
      </c>
      <c r="G4213" t="s">
        <v>1600</v>
      </c>
    </row>
    <row r="4214" spans="1:7" x14ac:dyDescent="0.25">
      <c r="A4214" t="s">
        <v>4</v>
      </c>
      <c r="B4214" t="s">
        <v>11084</v>
      </c>
      <c r="F4214" t="s">
        <v>10870</v>
      </c>
      <c r="G4214" t="s">
        <v>11083</v>
      </c>
    </row>
    <row r="4215" spans="1:7" x14ac:dyDescent="0.25">
      <c r="A4215" t="s">
        <v>1607</v>
      </c>
      <c r="B4215" t="s">
        <v>11084</v>
      </c>
      <c r="F4215" t="s">
        <v>10573</v>
      </c>
      <c r="G4215" t="s">
        <v>11083</v>
      </c>
    </row>
    <row r="4216" spans="1:7" x14ac:dyDescent="0.25">
      <c r="A4216" t="s">
        <v>4</v>
      </c>
      <c r="B4216" t="s">
        <v>11071</v>
      </c>
      <c r="F4216" t="s">
        <v>10576</v>
      </c>
      <c r="G4216" t="s">
        <v>11083</v>
      </c>
    </row>
    <row r="4217" spans="1:7" x14ac:dyDescent="0.25">
      <c r="A4217" t="s">
        <v>1607</v>
      </c>
      <c r="B4217" t="s">
        <v>11084</v>
      </c>
      <c r="F4217" t="s">
        <v>10579</v>
      </c>
      <c r="G4217" t="s">
        <v>11083</v>
      </c>
    </row>
    <row r="4218" spans="1:7" x14ac:dyDescent="0.25">
      <c r="A4218" t="s">
        <v>4</v>
      </c>
      <c r="B4218" t="s">
        <v>8</v>
      </c>
      <c r="E4218" t="s">
        <v>2352</v>
      </c>
      <c r="F4218" t="s">
        <v>10843</v>
      </c>
      <c r="G4218" t="s">
        <v>10022</v>
      </c>
    </row>
    <row r="4219" spans="1:7" x14ac:dyDescent="0.25">
      <c r="A4219" t="s">
        <v>4</v>
      </c>
      <c r="B4219" t="s">
        <v>8</v>
      </c>
      <c r="E4219" t="s">
        <v>2352</v>
      </c>
      <c r="F4219" t="s">
        <v>10846</v>
      </c>
      <c r="G4219" t="s">
        <v>10022</v>
      </c>
    </row>
    <row r="4220" spans="1:7" x14ac:dyDescent="0.25">
      <c r="A4220" t="s">
        <v>4</v>
      </c>
      <c r="B4220" t="s">
        <v>8</v>
      </c>
      <c r="E4220" t="s">
        <v>2352</v>
      </c>
      <c r="F4220" t="s">
        <v>10849</v>
      </c>
      <c r="G4220" t="s">
        <v>10022</v>
      </c>
    </row>
    <row r="4221" spans="1:7" x14ac:dyDescent="0.25">
      <c r="A4221" t="s">
        <v>4</v>
      </c>
      <c r="B4221" t="s">
        <v>8</v>
      </c>
      <c r="E4221" t="s">
        <v>2352</v>
      </c>
      <c r="F4221" t="s">
        <v>10852</v>
      </c>
      <c r="G4221" t="s">
        <v>10022</v>
      </c>
    </row>
    <row r="4222" spans="1:7" x14ac:dyDescent="0.25">
      <c r="A4222" t="s">
        <v>4</v>
      </c>
      <c r="B4222" t="s">
        <v>8</v>
      </c>
      <c r="E4222" t="s">
        <v>2352</v>
      </c>
      <c r="F4222" t="s">
        <v>10855</v>
      </c>
      <c r="G4222" t="s">
        <v>10022</v>
      </c>
    </row>
    <row r="4223" spans="1:7" x14ac:dyDescent="0.25">
      <c r="A4223" t="s">
        <v>4</v>
      </c>
      <c r="B4223" t="s">
        <v>11086</v>
      </c>
      <c r="F4223" t="s">
        <v>10873</v>
      </c>
      <c r="G4223" t="s">
        <v>11085</v>
      </c>
    </row>
    <row r="4224" spans="1:7" x14ac:dyDescent="0.25">
      <c r="A4224" t="s">
        <v>1607</v>
      </c>
      <c r="B4224" t="s">
        <v>11086</v>
      </c>
      <c r="E4224" t="s">
        <v>11087</v>
      </c>
      <c r="F4224" t="s">
        <v>10876</v>
      </c>
      <c r="G4224" t="s">
        <v>11085</v>
      </c>
    </row>
    <row r="4225" spans="1:7" x14ac:dyDescent="0.25">
      <c r="A4225" t="s">
        <v>1607</v>
      </c>
      <c r="B4225" t="s">
        <v>11086</v>
      </c>
      <c r="E4225" t="s">
        <v>11087</v>
      </c>
      <c r="F4225" t="s">
        <v>10879</v>
      </c>
      <c r="G4225" t="s">
        <v>11085</v>
      </c>
    </row>
    <row r="4226" spans="1:7" x14ac:dyDescent="0.25">
      <c r="A4226" t="s">
        <v>1607</v>
      </c>
      <c r="B4226" t="s">
        <v>11086</v>
      </c>
      <c r="F4226" t="s">
        <v>10882</v>
      </c>
      <c r="G4226" t="s">
        <v>11085</v>
      </c>
    </row>
    <row r="4227" spans="1:7" x14ac:dyDescent="0.25">
      <c r="A4227" t="s">
        <v>4</v>
      </c>
      <c r="B4227" t="s">
        <v>468</v>
      </c>
      <c r="F4227" t="s">
        <v>10885</v>
      </c>
      <c r="G4227" t="s">
        <v>11085</v>
      </c>
    </row>
    <row r="4228" spans="1:7" x14ac:dyDescent="0.25">
      <c r="A4228" t="s">
        <v>11089</v>
      </c>
      <c r="B4228" t="s">
        <v>11071</v>
      </c>
      <c r="F4228" t="s">
        <v>10888</v>
      </c>
      <c r="G4228" t="s">
        <v>11088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11088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11088</v>
      </c>
    </row>
    <row r="4231" spans="1:7" x14ac:dyDescent="0.25">
      <c r="A4231" t="s">
        <v>4</v>
      </c>
      <c r="B4231" t="s">
        <v>8</v>
      </c>
      <c r="F4231" t="s">
        <v>10896</v>
      </c>
      <c r="G4231" t="s">
        <v>11088</v>
      </c>
    </row>
    <row r="4232" spans="1:7" x14ac:dyDescent="0.25">
      <c r="A4232" t="s">
        <v>11078</v>
      </c>
      <c r="B4232" t="s">
        <v>86</v>
      </c>
      <c r="F4232" t="s">
        <v>10899</v>
      </c>
      <c r="G4232" t="s">
        <v>11088</v>
      </c>
    </row>
    <row r="4233" spans="1:7" x14ac:dyDescent="0.25">
      <c r="A4233" t="s">
        <v>11089</v>
      </c>
      <c r="B4233" t="s">
        <v>11071</v>
      </c>
      <c r="F4233" t="s">
        <v>10902</v>
      </c>
      <c r="G4233" t="s">
        <v>11088</v>
      </c>
    </row>
    <row r="4234" spans="1:7" x14ac:dyDescent="0.25">
      <c r="A4234" t="s">
        <v>11090</v>
      </c>
      <c r="B4234" t="s">
        <v>11071</v>
      </c>
      <c r="F4234" t="s">
        <v>10905</v>
      </c>
      <c r="G4234" t="s">
        <v>11088</v>
      </c>
    </row>
  </sheetData>
  <phoneticPr fontId="2" type="noConversion"/>
  <conditionalFormatting sqref="C2:C11 C14 C16:C18 C23:C24">
    <cfRule type="notContainsText" dxfId="706" priority="61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05" priority="61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04" priority="614" operator="notContains" text="порожний">
      <formula>ISERROR(SEARCH("порожний",C12))</formula>
    </cfRule>
  </conditionalFormatting>
  <conditionalFormatting sqref="B12:B14">
    <cfRule type="containsText" dxfId="703" priority="61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02" priority="612" operator="notContains" text="порожний">
      <formula>ISERROR(SEARCH("порожний",C15))</formula>
    </cfRule>
  </conditionalFormatting>
  <conditionalFormatting sqref="C19:C22">
    <cfRule type="notContainsText" dxfId="701" priority="611" operator="notContains" text="порожний">
      <formula>ISERROR(SEARCH("порожний",C19))</formula>
    </cfRule>
  </conditionalFormatting>
  <conditionalFormatting sqref="C25">
    <cfRule type="notContainsText" dxfId="700" priority="610" operator="notContains" text="порожний">
      <formula>ISERROR(SEARCH("порожний",C25))</formula>
    </cfRule>
  </conditionalFormatting>
  <conditionalFormatting sqref="C26:C27">
    <cfRule type="notContainsText" dxfId="699" priority="609" operator="notContains" text="порожний">
      <formula>ISERROR(SEARCH("порожний",C26))</formula>
    </cfRule>
  </conditionalFormatting>
  <conditionalFormatting sqref="C29">
    <cfRule type="notContainsText" dxfId="698" priority="608" operator="notContains" text="порожний">
      <formula>ISERROR(SEARCH("порожний",C29))</formula>
    </cfRule>
  </conditionalFormatting>
  <conditionalFormatting sqref="C39">
    <cfRule type="notContainsText" dxfId="697" priority="603" operator="notContains" text="порожний">
      <formula>ISERROR(SEARCH("порожний",C39))</formula>
    </cfRule>
  </conditionalFormatting>
  <conditionalFormatting sqref="C32">
    <cfRule type="notContainsText" dxfId="696" priority="607" operator="notContains" text="порожний">
      <formula>ISERROR(SEARCH("порожний",C32))</formula>
    </cfRule>
  </conditionalFormatting>
  <conditionalFormatting sqref="C34">
    <cfRule type="notContainsText" dxfId="695" priority="606" operator="notContains" text="порожний">
      <formula>ISERROR(SEARCH("порожний",C34))</formula>
    </cfRule>
  </conditionalFormatting>
  <conditionalFormatting sqref="C36">
    <cfRule type="notContainsText" dxfId="694" priority="605" operator="notContains" text="порожний">
      <formula>ISERROR(SEARCH("порожний",C36))</formula>
    </cfRule>
  </conditionalFormatting>
  <conditionalFormatting sqref="C38">
    <cfRule type="notContainsText" dxfId="693" priority="604" operator="notContains" text="порожний">
      <formula>ISERROR(SEARCH("порожний",C38))</formula>
    </cfRule>
  </conditionalFormatting>
  <conditionalFormatting sqref="E147">
    <cfRule type="containsText" dxfId="692" priority="60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91" priority="601" operator="notContains" text="порожний">
      <formula>ISERROR(SEARCH("порожний",C581))</formula>
    </cfRule>
  </conditionalFormatting>
  <conditionalFormatting sqref="C586">
    <cfRule type="notContainsText" dxfId="690" priority="600" operator="notContains" text="порожний">
      <formula>ISERROR(SEARCH("порожний",C586))</formula>
    </cfRule>
  </conditionalFormatting>
  <conditionalFormatting sqref="B609">
    <cfRule type="containsText" dxfId="689" priority="59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88" priority="597" operator="containsText" text="Газель базы">
      <formula>NOT(ISERROR(SEARCH("Газель базы",B609)))</formula>
    </cfRule>
    <cfRule type="containsText" dxfId="687" priority="59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86" priority="596" operator="containsText" text="Трактор базы">
      <formula>NOT(ISERROR(SEARCH("Трактор базы",B609)))</formula>
    </cfRule>
  </conditionalFormatting>
  <conditionalFormatting sqref="B614">
    <cfRule type="containsText" dxfId="685" priority="592" operator="containsText" text="Трактор базы">
      <formula>NOT(ISERROR(SEARCH("Трактор базы",B614)))</formula>
    </cfRule>
  </conditionalFormatting>
  <conditionalFormatting sqref="B614">
    <cfRule type="containsText" dxfId="684" priority="595" operator="containsText" text="Выезд с территории">
      <formula>NOT(ISERROR(SEARCH("Выезд с территории",B614)))</formula>
    </cfRule>
  </conditionalFormatting>
  <conditionalFormatting sqref="B614">
    <cfRule type="containsText" dxfId="683" priority="593" operator="containsText" text="Газель базы">
      <formula>NOT(ISERROR(SEARCH("Газель базы",B614)))</formula>
    </cfRule>
    <cfRule type="containsText" dxfId="682" priority="594" operator="containsText" text="Погрузчик базы">
      <formula>NOT(ISERROR(SEARCH("Погрузчик базы",B614)))</formula>
    </cfRule>
  </conditionalFormatting>
  <conditionalFormatting sqref="C649">
    <cfRule type="notContainsText" dxfId="681" priority="591" operator="notContains" text="порожний">
      <formula>ISERROR(SEARCH("порожний",C649))</formula>
    </cfRule>
  </conditionalFormatting>
  <conditionalFormatting sqref="C655">
    <cfRule type="notContainsText" dxfId="680" priority="588" operator="notContains" text="порожний">
      <formula>ISERROR(SEARCH("порожний",C655))</formula>
    </cfRule>
  </conditionalFormatting>
  <conditionalFormatting sqref="C650">
    <cfRule type="notContainsText" dxfId="679" priority="590" operator="notContains" text="порожний">
      <formula>ISERROR(SEARCH("порожний",C650))</formula>
    </cfRule>
  </conditionalFormatting>
  <conditionalFormatting sqref="C654">
    <cfRule type="notContainsText" dxfId="678" priority="589" operator="notContains" text="порожний">
      <formula>ISERROR(SEARCH("порожний",C654))</formula>
    </cfRule>
  </conditionalFormatting>
  <conditionalFormatting sqref="A663:A666 A668:A670 A695 A697:A701 A825 A3437">
    <cfRule type="containsText" dxfId="677" priority="58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76" priority="58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75" priority="58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74" priority="58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73" priority="58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72" priority="58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71" priority="57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70" priority="581" operator="containsText" text="Выезд с территории">
      <formula>NOT(ISERROR(SEARCH("Выезд с территории",A681)))</formula>
    </cfRule>
  </conditionalFormatting>
  <conditionalFormatting sqref="A681">
    <cfRule type="containsText" dxfId="669" priority="58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68" priority="57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67" priority="575" operator="containsText" text="Трактор базы">
      <formula>NOT(ISERROR(SEARCH("Трактор базы",B682)))</formula>
    </cfRule>
  </conditionalFormatting>
  <conditionalFormatting sqref="B682">
    <cfRule type="containsText" dxfId="666" priority="578" operator="containsText" text="Выезд с территории">
      <formula>NOT(ISERROR(SEARCH("Выезд с территории",B682)))</formula>
    </cfRule>
  </conditionalFormatting>
  <conditionalFormatting sqref="B682">
    <cfRule type="containsText" dxfId="665" priority="576" operator="containsText" text="Газель базы">
      <formula>NOT(ISERROR(SEARCH("Газель базы",B682)))</formula>
    </cfRule>
    <cfRule type="containsText" dxfId="664" priority="577" operator="containsText" text="Погрузчик базы">
      <formula>NOT(ISERROR(SEARCH("Погрузчик базы",B682)))</formula>
    </cfRule>
  </conditionalFormatting>
  <conditionalFormatting sqref="A684:A687">
    <cfRule type="containsText" dxfId="663" priority="57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62" priority="57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61" priority="56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60" priority="56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59" priority="56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58" priority="56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57" priority="562" operator="containsText" text="Выезд с территории">
      <formula>NOT(ISERROR(SEARCH("Выезд с территории",A824)))</formula>
    </cfRule>
  </conditionalFormatting>
  <conditionalFormatting sqref="A824">
    <cfRule type="containsText" dxfId="656" priority="56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55" priority="55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54" priority="554" operator="containsText" text="Газель базы">
      <formula>NOT(ISERROR(SEARCH("Газель базы",B846)))</formula>
    </cfRule>
    <cfRule type="containsText" dxfId="653" priority="555" operator="containsText" text="Погрузчик базы">
      <formula>NOT(ISERROR(SEARCH("Погрузчик базы",B846)))</formula>
    </cfRule>
  </conditionalFormatting>
  <conditionalFormatting sqref="B846:B850">
    <cfRule type="containsText" dxfId="652" priority="553" operator="containsText" text="Трактор базы">
      <formula>NOT(ISERROR(SEARCH("Трактор базы",B846)))</formula>
    </cfRule>
  </conditionalFormatting>
  <conditionalFormatting sqref="A916:A917">
    <cfRule type="containsText" dxfId="651" priority="54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50" priority="55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49" priority="550" operator="containsText" text="Газель базы">
      <formula>NOT(ISERROR(SEARCH("Газель базы",B916)))</formula>
    </cfRule>
    <cfRule type="containsText" dxfId="648" priority="551" operator="containsText" text="Погрузчик базы">
      <formula>NOT(ISERROR(SEARCH("Погрузчик базы",B916)))</formula>
    </cfRule>
  </conditionalFormatting>
  <conditionalFormatting sqref="B916:B917">
    <cfRule type="containsText" dxfId="647" priority="549" operator="containsText" text="Трактор базы">
      <formula>NOT(ISERROR(SEARCH("Трактор базы",B916)))</formula>
    </cfRule>
  </conditionalFormatting>
  <conditionalFormatting sqref="A916:A917">
    <cfRule type="containsText" dxfId="646" priority="54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45" priority="546" operator="containsText" text="Выезд с территории">
      <formula>NOT(ISERROR(SEARCH("Выезд с территории",E916)))</formula>
    </cfRule>
  </conditionalFormatting>
  <conditionalFormatting sqref="A932">
    <cfRule type="containsText" dxfId="644" priority="52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43" priority="54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42" priority="543" operator="containsText" text="Газель базы">
      <formula>NOT(ISERROR(SEARCH("Газель базы",B918)))</formula>
    </cfRule>
    <cfRule type="containsText" dxfId="641" priority="544" operator="containsText" text="Погрузчик базы">
      <formula>NOT(ISERROR(SEARCH("Погрузчик базы",B918)))</formula>
    </cfRule>
  </conditionalFormatting>
  <conditionalFormatting sqref="B918:B924">
    <cfRule type="containsText" dxfId="640" priority="542" operator="containsText" text="Трактор базы">
      <formula>NOT(ISERROR(SEARCH("Трактор базы",B918)))</formula>
    </cfRule>
  </conditionalFormatting>
  <conditionalFormatting sqref="A918">
    <cfRule type="containsText" dxfId="639" priority="54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38" priority="54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37" priority="53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36" priority="53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35" priority="537" operator="containsText" text="Газель базы">
      <formula>NOT(ISERROR(SEARCH("Газель базы",B926)))</formula>
    </cfRule>
    <cfRule type="containsText" dxfId="634" priority="538" operator="containsText" text="Погрузчик базы">
      <formula>NOT(ISERROR(SEARCH("Погрузчик базы",B926)))</formula>
    </cfRule>
  </conditionalFormatting>
  <conditionalFormatting sqref="B926:B928">
    <cfRule type="containsText" dxfId="633" priority="536" operator="containsText" text="Трактор базы">
      <formula>NOT(ISERROR(SEARCH("Трактор базы",B926)))</formula>
    </cfRule>
  </conditionalFormatting>
  <conditionalFormatting sqref="A926:A928">
    <cfRule type="containsText" dxfId="632" priority="53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31" priority="533" operator="containsText" text="Выезд с территории">
      <formula>NOT(ISERROR(SEARCH("Выезд с территории",E926)))</formula>
    </cfRule>
  </conditionalFormatting>
  <conditionalFormatting sqref="A930">
    <cfRule type="containsText" dxfId="630" priority="52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29" priority="532" operator="containsText" text="Выезд с территории">
      <formula>NOT(ISERROR(SEARCH("Выезд с территории",A930)))</formula>
    </cfRule>
  </conditionalFormatting>
  <conditionalFormatting sqref="B930">
    <cfRule type="containsText" dxfId="628" priority="530" operator="containsText" text="Газель базы">
      <formula>NOT(ISERROR(SEARCH("Газель базы",B930)))</formula>
    </cfRule>
    <cfRule type="containsText" dxfId="627" priority="531" operator="containsText" text="Погрузчик базы">
      <formula>NOT(ISERROR(SEARCH("Погрузчик базы",B930)))</formula>
    </cfRule>
  </conditionalFormatting>
  <conditionalFormatting sqref="B930">
    <cfRule type="containsText" dxfId="626" priority="529" operator="containsText" text="Трактор базы">
      <formula>NOT(ISERROR(SEARCH("Трактор базы",B930)))</formula>
    </cfRule>
  </conditionalFormatting>
  <conditionalFormatting sqref="A930">
    <cfRule type="containsText" dxfId="625" priority="52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24" priority="526" operator="containsText" text="Выезд с территории">
      <formula>NOT(ISERROR(SEARCH("Выезд с территории",E930)))</formula>
    </cfRule>
  </conditionalFormatting>
  <conditionalFormatting sqref="A932">
    <cfRule type="containsText" dxfId="623" priority="525" operator="containsText" text="Выезд с территории">
      <formula>NOT(ISERROR(SEARCH("Выезд с территории",A932)))</formula>
    </cfRule>
  </conditionalFormatting>
  <conditionalFormatting sqref="A932">
    <cfRule type="containsText" dxfId="622" priority="52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21" priority="52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20" priority="52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19" priority="52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18" priority="51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17" priority="518" operator="notContains" text="порожний">
      <formula>ISERROR(SEARCH("порожний",C954))</formula>
    </cfRule>
  </conditionalFormatting>
  <conditionalFormatting sqref="B954:B956">
    <cfRule type="containsText" dxfId="616" priority="516" operator="containsText" text="Газель базы">
      <formula>NOT(ISERROR(SEARCH("Газель базы",B954)))</formula>
    </cfRule>
    <cfRule type="containsText" dxfId="615" priority="517" operator="containsText" text="Погрузчик базы">
      <formula>NOT(ISERROR(SEARCH("Погрузчик базы",B954)))</formula>
    </cfRule>
  </conditionalFormatting>
  <conditionalFormatting sqref="B954:B956">
    <cfRule type="containsText" dxfId="614" priority="515" operator="containsText" text="Трактор базы">
      <formula>NOT(ISERROR(SEARCH("Трактор базы",B954)))</formula>
    </cfRule>
  </conditionalFormatting>
  <conditionalFormatting sqref="A954:A956">
    <cfRule type="containsText" dxfId="613" priority="51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12" priority="51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11" priority="511" operator="notContains" text="порожний">
      <formula>ISERROR(SEARCH("порожний",C995))</formula>
    </cfRule>
  </conditionalFormatting>
  <conditionalFormatting sqref="C987">
    <cfRule type="notContainsText" dxfId="610" priority="512" operator="notContains" text="порожний">
      <formula>ISERROR(SEARCH("порожний",C987))</formula>
    </cfRule>
  </conditionalFormatting>
  <conditionalFormatting sqref="B999">
    <cfRule type="containsText" dxfId="609" priority="510" operator="containsText" text="Выезд с территории">
      <formula>NOT(ISERROR(SEARCH("Выезд с территории",B999)))</formula>
    </cfRule>
  </conditionalFormatting>
  <conditionalFormatting sqref="B999">
    <cfRule type="containsText" dxfId="608" priority="508" operator="containsText" text="Газель базы">
      <formula>NOT(ISERROR(SEARCH("Газель базы",B999)))</formula>
    </cfRule>
    <cfRule type="containsText" dxfId="607" priority="509" operator="containsText" text="Погрузчик базы">
      <formula>NOT(ISERROR(SEARCH("Погрузчик базы",B999)))</formula>
    </cfRule>
  </conditionalFormatting>
  <conditionalFormatting sqref="B999">
    <cfRule type="containsText" dxfId="606" priority="507" operator="containsText" text="Трактор базы">
      <formula>NOT(ISERROR(SEARCH("Трактор базы",B999)))</formula>
    </cfRule>
  </conditionalFormatting>
  <conditionalFormatting sqref="B1019:B1022">
    <cfRule type="containsText" dxfId="605" priority="503" operator="containsText" text="Трактор базы">
      <formula>NOT(ISERROR(SEARCH("Трактор базы",B1019)))</formula>
    </cfRule>
  </conditionalFormatting>
  <conditionalFormatting sqref="B1019:B1022">
    <cfRule type="containsText" dxfId="604" priority="50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03" priority="504" operator="containsText" text="Газель базы">
      <formula>NOT(ISERROR(SEARCH("Газель базы",B1019)))</formula>
    </cfRule>
    <cfRule type="containsText" dxfId="602" priority="505" operator="containsText" text="Погрузчик базы">
      <formula>NOT(ISERROR(SEARCH("Погрузчик базы",B1019)))</formula>
    </cfRule>
  </conditionalFormatting>
  <conditionalFormatting sqref="C966">
    <cfRule type="notContainsText" dxfId="601" priority="502" operator="notContains" text="порожний">
      <formula>ISERROR(SEARCH("порожний",C966))</formula>
    </cfRule>
  </conditionalFormatting>
  <conditionalFormatting sqref="A1029">
    <cfRule type="containsText" dxfId="600" priority="49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99" priority="50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98" priority="50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97" priority="49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96" priority="496" operator="containsText" text="Газель базы">
      <formula>NOT(ISERROR(SEARCH("Газель базы",B1030)))</formula>
    </cfRule>
    <cfRule type="containsText" dxfId="595" priority="497" operator="containsText" text="Погрузчик базы">
      <formula>NOT(ISERROR(SEARCH("Погрузчик базы",B1030)))</formula>
    </cfRule>
  </conditionalFormatting>
  <conditionalFormatting sqref="B1030">
    <cfRule type="containsText" dxfId="594" priority="495" operator="containsText" text="Трактор базы">
      <formula>NOT(ISERROR(SEARCH("Трактор базы",B1030)))</formula>
    </cfRule>
  </conditionalFormatting>
  <conditionalFormatting sqref="A1035">
    <cfRule type="containsText" dxfId="593" priority="48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92" priority="49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1" priority="49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0" priority="49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89" priority="49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88" priority="49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87" priority="48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86" priority="486" operator="containsText" text="Газель базы">
      <formula>NOT(ISERROR(SEARCH("Газель базы",B1138)))</formula>
    </cfRule>
    <cfRule type="containsText" dxfId="585" priority="487" operator="containsText" text="Погрузчик базы">
      <formula>NOT(ISERROR(SEARCH("Погрузчик базы",B1138)))</formula>
    </cfRule>
  </conditionalFormatting>
  <conditionalFormatting sqref="B1138:B1161">
    <cfRule type="containsText" dxfId="584" priority="485" operator="containsText" text="Трактор базы">
      <formula>NOT(ISERROR(SEARCH("Трактор базы",B1138)))</formula>
    </cfRule>
  </conditionalFormatting>
  <conditionalFormatting sqref="B1258:B1262">
    <cfRule type="containsText" dxfId="583" priority="469" operator="containsText" text="Трактор базы">
      <formula>NOT(ISERROR(SEARCH("Трактор базы",B1258)))</formula>
    </cfRule>
  </conditionalFormatting>
  <conditionalFormatting sqref="B1244:B1252">
    <cfRule type="containsText" dxfId="582" priority="48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81" priority="482" operator="containsText" text="Газель базы">
      <formula>NOT(ISERROR(SEARCH("Газель базы",B1244)))</formula>
    </cfRule>
    <cfRule type="containsText" dxfId="580" priority="483" operator="containsText" text="Погрузчик базы">
      <formula>NOT(ISERROR(SEARCH("Погрузчик базы",B1244)))</formula>
    </cfRule>
  </conditionalFormatting>
  <conditionalFormatting sqref="B1244:B1252">
    <cfRule type="containsText" dxfId="579" priority="481" operator="containsText" text="Трактор базы">
      <formula>NOT(ISERROR(SEARCH("Трактор базы",B1244)))</formula>
    </cfRule>
  </conditionalFormatting>
  <conditionalFormatting sqref="B1253:B1256">
    <cfRule type="containsText" dxfId="578" priority="48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77" priority="478" operator="containsText" text="Газель базы">
      <formula>NOT(ISERROR(SEARCH("Газель базы",B1253)))</formula>
    </cfRule>
    <cfRule type="containsText" dxfId="576" priority="479" operator="containsText" text="Погрузчик базы">
      <formula>NOT(ISERROR(SEARCH("Погрузчик базы",B1253)))</formula>
    </cfRule>
  </conditionalFormatting>
  <conditionalFormatting sqref="B1253:B1256">
    <cfRule type="containsText" dxfId="575" priority="477" operator="containsText" text="Трактор базы">
      <formula>NOT(ISERROR(SEARCH("Трактор базы",B1253)))</formula>
    </cfRule>
  </conditionalFormatting>
  <conditionalFormatting sqref="B1257">
    <cfRule type="containsText" dxfId="574" priority="47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73" priority="474" operator="containsText" text="Газель базы">
      <formula>NOT(ISERROR(SEARCH("Газель базы",B1257)))</formula>
    </cfRule>
    <cfRule type="containsText" dxfId="572" priority="475" operator="containsText" text="Погрузчик базы">
      <formula>NOT(ISERROR(SEARCH("Погрузчик базы",B1257)))</formula>
    </cfRule>
  </conditionalFormatting>
  <conditionalFormatting sqref="B1257">
    <cfRule type="containsText" dxfId="571" priority="473" operator="containsText" text="Трактор базы">
      <formula>NOT(ISERROR(SEARCH("Трактор базы",B1257)))</formula>
    </cfRule>
  </conditionalFormatting>
  <conditionalFormatting sqref="B1258:B1262">
    <cfRule type="containsText" dxfId="570" priority="47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69" priority="470" operator="containsText" text="Газель базы">
      <formula>NOT(ISERROR(SEARCH("Газель базы",B1258)))</formula>
    </cfRule>
    <cfRule type="containsText" dxfId="568" priority="471" operator="containsText" text="Погрузчик базы">
      <formula>NOT(ISERROR(SEARCH("Погрузчик базы",B1258)))</formula>
    </cfRule>
  </conditionalFormatting>
  <conditionalFormatting sqref="B1281:B1287">
    <cfRule type="containsText" dxfId="567" priority="46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66" priority="466" operator="containsText" text="Газель базы">
      <formula>NOT(ISERROR(SEARCH("Газель базы",B1281)))</formula>
    </cfRule>
    <cfRule type="containsText" dxfId="565" priority="467" operator="containsText" text="Погрузчик базы">
      <formula>NOT(ISERROR(SEARCH("Погрузчик базы",B1281)))</formula>
    </cfRule>
  </conditionalFormatting>
  <conditionalFormatting sqref="B1281:B1287">
    <cfRule type="containsText" dxfId="564" priority="465" operator="containsText" text="Трактор базы">
      <formula>NOT(ISERROR(SEARCH("Трактор базы",B1281)))</formula>
    </cfRule>
  </conditionalFormatting>
  <conditionalFormatting sqref="B1296">
    <cfRule type="containsText" dxfId="563" priority="461" operator="containsText" text="Трактор базы">
      <formula>NOT(ISERROR(SEARCH("Трактор базы",B1296)))</formula>
    </cfRule>
  </conditionalFormatting>
  <conditionalFormatting sqref="B1296">
    <cfRule type="containsText" dxfId="562" priority="46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61" priority="462" operator="containsText" text="Газель базы">
      <formula>NOT(ISERROR(SEARCH("Газель базы",B1296)))</formula>
    </cfRule>
    <cfRule type="containsText" dxfId="560" priority="463" operator="containsText" text="Погрузчик базы">
      <formula>NOT(ISERROR(SEARCH("Погрузчик базы",B1296)))</formula>
    </cfRule>
  </conditionalFormatting>
  <conditionalFormatting sqref="C1320:C1321">
    <cfRule type="notContainsText" dxfId="559" priority="459" operator="notContains" text="порожний">
      <formula>ISERROR(SEARCH("порожний",C1320))</formula>
    </cfRule>
  </conditionalFormatting>
  <conditionalFormatting sqref="A1323">
    <cfRule type="containsText" dxfId="558" priority="45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57" priority="45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56" priority="45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55" priority="45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54" priority="45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53" priority="45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52" priority="452" operator="notContains" text="порожний">
      <formula>ISERROR(SEARCH("порожний",C1336))</formula>
    </cfRule>
  </conditionalFormatting>
  <conditionalFormatting sqref="C1346">
    <cfRule type="notContainsText" dxfId="551" priority="451" operator="notContains" text="порожний">
      <formula>ISERROR(SEARCH("порожний",C1346))</formula>
    </cfRule>
  </conditionalFormatting>
  <conditionalFormatting sqref="A1391">
    <cfRule type="containsText" dxfId="550" priority="44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49" priority="44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48" priority="44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47" priority="44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46" priority="44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45" priority="44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44" priority="441" operator="notContains" text="порожний">
      <formula>ISERROR(SEARCH("порожний",C1606))</formula>
    </cfRule>
  </conditionalFormatting>
  <conditionalFormatting sqref="B1633:B1636">
    <cfRule type="containsText" dxfId="543" priority="44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42" priority="438" operator="containsText" text="Газель базы">
      <formula>NOT(ISERROR(SEARCH("Газель базы",B1633)))</formula>
    </cfRule>
    <cfRule type="containsText" dxfId="541" priority="439" operator="containsText" text="Погрузчик базы">
      <formula>NOT(ISERROR(SEARCH("Погрузчик базы",B1633)))</formula>
    </cfRule>
  </conditionalFormatting>
  <conditionalFormatting sqref="B1633:B1636">
    <cfRule type="containsText" dxfId="540" priority="437" operator="containsText" text="Трактор базы">
      <formula>NOT(ISERROR(SEARCH("Трактор базы",B1633)))</formula>
    </cfRule>
  </conditionalFormatting>
  <conditionalFormatting sqref="B1637:B1642">
    <cfRule type="containsText" dxfId="539" priority="43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38" priority="434" operator="containsText" text="Газель базы">
      <formula>NOT(ISERROR(SEARCH("Газель базы",B1637)))</formula>
    </cfRule>
    <cfRule type="containsText" dxfId="537" priority="435" operator="containsText" text="Погрузчик базы">
      <formula>NOT(ISERROR(SEARCH("Погрузчик базы",B1637)))</formula>
    </cfRule>
  </conditionalFormatting>
  <conditionalFormatting sqref="B1637:B1642">
    <cfRule type="containsText" dxfId="536" priority="433" operator="containsText" text="Трактор базы">
      <formula>NOT(ISERROR(SEARCH("Трактор базы",B1637)))</formula>
    </cfRule>
  </conditionalFormatting>
  <conditionalFormatting sqref="B1671:B1672">
    <cfRule type="containsText" dxfId="535" priority="429" operator="containsText" text="Трактор базы">
      <formula>NOT(ISERROR(SEARCH("Трактор базы",B1671)))</formula>
    </cfRule>
  </conditionalFormatting>
  <conditionalFormatting sqref="B1671:B1672">
    <cfRule type="containsText" dxfId="534" priority="43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33" priority="430" operator="containsText" text="Газель базы">
      <formula>NOT(ISERROR(SEARCH("Газель базы",B1671)))</formula>
    </cfRule>
    <cfRule type="containsText" dxfId="532" priority="431" operator="containsText" text="Погрузчик базы">
      <formula>NOT(ISERROR(SEARCH("Погрузчик базы",B1671)))</formula>
    </cfRule>
  </conditionalFormatting>
  <conditionalFormatting sqref="B1675">
    <cfRule type="containsText" dxfId="531" priority="425" operator="containsText" text="Трактор базы">
      <formula>NOT(ISERROR(SEARCH("Трактор базы",B1675)))</formula>
    </cfRule>
  </conditionalFormatting>
  <conditionalFormatting sqref="B1675">
    <cfRule type="containsText" dxfId="530" priority="42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29" priority="426" operator="containsText" text="Газель базы">
      <formula>NOT(ISERROR(SEARCH("Газель базы",B1675)))</formula>
    </cfRule>
    <cfRule type="containsText" dxfId="528" priority="427" operator="containsText" text="Погрузчик базы">
      <formula>NOT(ISERROR(SEARCH("Погрузчик базы",B1675)))</formula>
    </cfRule>
  </conditionalFormatting>
  <conditionalFormatting sqref="A1678">
    <cfRule type="containsText" dxfId="527" priority="42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26" priority="42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25" priority="42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24" priority="421" operator="notContains" text="порожний">
      <formula>ISERROR(SEARCH("порожний",C1723))</formula>
    </cfRule>
  </conditionalFormatting>
  <conditionalFormatting sqref="C1725:C1726">
    <cfRule type="notContainsText" dxfId="523" priority="420" operator="notContains" text="порожний">
      <formula>ISERROR(SEARCH("порожний",C1725))</formula>
    </cfRule>
  </conditionalFormatting>
  <conditionalFormatting sqref="C1727">
    <cfRule type="notContainsText" dxfId="522" priority="419" operator="notContains" text="порожний">
      <formula>ISERROR(SEARCH("порожний",C1727))</formula>
    </cfRule>
  </conditionalFormatting>
  <conditionalFormatting sqref="C1728">
    <cfRule type="notContainsText" dxfId="521" priority="418" operator="notContains" text="порожний">
      <formula>ISERROR(SEARCH("порожний",C1728))</formula>
    </cfRule>
  </conditionalFormatting>
  <conditionalFormatting sqref="B1732:B1733">
    <cfRule type="containsText" dxfId="520" priority="41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19" priority="415" operator="containsText" text="Газель базы">
      <formula>NOT(ISERROR(SEARCH("Газель базы",B1732)))</formula>
    </cfRule>
    <cfRule type="containsText" dxfId="518" priority="416" operator="containsText" text="Погрузчик базы">
      <formula>NOT(ISERROR(SEARCH("Погрузчик базы",B1732)))</formula>
    </cfRule>
  </conditionalFormatting>
  <conditionalFormatting sqref="B1732:B1733">
    <cfRule type="containsText" dxfId="517" priority="414" operator="containsText" text="Трактор базы">
      <formula>NOT(ISERROR(SEARCH("Трактор базы",B1732)))</formula>
    </cfRule>
  </conditionalFormatting>
  <conditionalFormatting sqref="B1734:B1735">
    <cfRule type="containsText" dxfId="516" priority="41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15" priority="411" operator="containsText" text="Газель базы">
      <formula>NOT(ISERROR(SEARCH("Газель базы",B1734)))</formula>
    </cfRule>
    <cfRule type="containsText" dxfId="514" priority="412" operator="containsText" text="Погрузчик базы">
      <formula>NOT(ISERROR(SEARCH("Погрузчик базы",B1734)))</formula>
    </cfRule>
  </conditionalFormatting>
  <conditionalFormatting sqref="B1734:B1735">
    <cfRule type="containsText" dxfId="513" priority="410" operator="containsText" text="Трактор базы">
      <formula>NOT(ISERROR(SEARCH("Трактор базы",B1734)))</formula>
    </cfRule>
  </conditionalFormatting>
  <conditionalFormatting sqref="B1762:B1764">
    <cfRule type="containsText" dxfId="512" priority="396" operator="containsText" text="Трактор базы">
      <formula>NOT(ISERROR(SEARCH("Трактор базы",B1762)))</formula>
    </cfRule>
  </conditionalFormatting>
  <conditionalFormatting sqref="B1740:B1741">
    <cfRule type="containsText" dxfId="511" priority="40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10" priority="407" operator="containsText" text="Газель базы">
      <formula>NOT(ISERROR(SEARCH("Газель базы",B1740)))</formula>
    </cfRule>
    <cfRule type="containsText" dxfId="509" priority="408" operator="containsText" text="Погрузчик базы">
      <formula>NOT(ISERROR(SEARCH("Погрузчик базы",B1740)))</formula>
    </cfRule>
  </conditionalFormatting>
  <conditionalFormatting sqref="B1740:B1741">
    <cfRule type="containsText" dxfId="508" priority="406" operator="containsText" text="Трактор базы">
      <formula>NOT(ISERROR(SEARCH("Трактор базы",B1740)))</formula>
    </cfRule>
  </conditionalFormatting>
  <conditionalFormatting sqref="A1755">
    <cfRule type="containsText" dxfId="507" priority="40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06" priority="40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05" priority="40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04" priority="40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03" priority="40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02" priority="40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1" priority="387" operator="containsText" text="Трактор базы">
      <formula>NOT(ISERROR(SEARCH("Трактор базы",B1773)))</formula>
    </cfRule>
  </conditionalFormatting>
  <conditionalFormatting sqref="B1762:B1764">
    <cfRule type="containsText" dxfId="500" priority="39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99" priority="397" operator="containsText" text="Газель базы">
      <formula>NOT(ISERROR(SEARCH("Газель базы",B1762)))</formula>
    </cfRule>
    <cfRule type="containsText" dxfId="498" priority="398" operator="containsText" text="Погрузчик базы">
      <formula>NOT(ISERROR(SEARCH("Погрузчик базы",B1762)))</formula>
    </cfRule>
  </conditionalFormatting>
  <conditionalFormatting sqref="B1776:B1777">
    <cfRule type="containsText" dxfId="497" priority="378" operator="containsText" text="Трактор базы">
      <formula>NOT(ISERROR(SEARCH("Трактор базы",B1776)))</formula>
    </cfRule>
  </conditionalFormatting>
  <conditionalFormatting sqref="B1770:B1771">
    <cfRule type="containsText" dxfId="496" priority="39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95" priority="393" operator="containsText" text="Газель базы">
      <formula>NOT(ISERROR(SEARCH("Газель базы",B1770)))</formula>
    </cfRule>
    <cfRule type="containsText" dxfId="494" priority="394" operator="containsText" text="Погрузчик базы">
      <formula>NOT(ISERROR(SEARCH("Погрузчик базы",B1770)))</formula>
    </cfRule>
  </conditionalFormatting>
  <conditionalFormatting sqref="B1770:B1771">
    <cfRule type="containsText" dxfId="493" priority="392" operator="containsText" text="Трактор базы">
      <formula>NOT(ISERROR(SEARCH("Трактор базы",B1770)))</formula>
    </cfRule>
  </conditionalFormatting>
  <conditionalFormatting sqref="B1773">
    <cfRule type="containsText" dxfId="492" priority="39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91" priority="390" operator="notContains" text="порожний">
      <formula>ISERROR(SEARCH("порожний",C1773))</formula>
    </cfRule>
  </conditionalFormatting>
  <conditionalFormatting sqref="B1773">
    <cfRule type="containsText" dxfId="490" priority="388" operator="containsText" text="Газель базы">
      <formula>NOT(ISERROR(SEARCH("Газель базы",B1773)))</formula>
    </cfRule>
    <cfRule type="containsText" dxfId="489" priority="389" operator="containsText" text="Погрузчик базы">
      <formula>NOT(ISERROR(SEARCH("Погрузчик базы",B1773)))</formula>
    </cfRule>
  </conditionalFormatting>
  <conditionalFormatting sqref="B1775">
    <cfRule type="containsText" dxfId="488" priority="382" operator="containsText" text="Трактор базы">
      <formula>NOT(ISERROR(SEARCH("Трактор базы",B1775)))</formula>
    </cfRule>
  </conditionalFormatting>
  <conditionalFormatting sqref="B1775">
    <cfRule type="containsText" dxfId="487" priority="38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86" priority="385" operator="notContains" text="порожний">
      <formula>ISERROR(SEARCH("порожний",C1775))</formula>
    </cfRule>
  </conditionalFormatting>
  <conditionalFormatting sqref="B1775">
    <cfRule type="containsText" dxfId="485" priority="383" operator="containsText" text="Газель базы">
      <formula>NOT(ISERROR(SEARCH("Газель базы",B1775)))</formula>
    </cfRule>
    <cfRule type="containsText" dxfId="484" priority="384" operator="containsText" text="Погрузчик базы">
      <formula>NOT(ISERROR(SEARCH("Погрузчик базы",B1775)))</formula>
    </cfRule>
  </conditionalFormatting>
  <conditionalFormatting sqref="B1776:B1777">
    <cfRule type="containsText" dxfId="483" priority="38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82" priority="379" operator="containsText" text="Газель базы">
      <formula>NOT(ISERROR(SEARCH("Газель базы",B1776)))</formula>
    </cfRule>
    <cfRule type="containsText" dxfId="481" priority="380" operator="containsText" text="Погрузчик базы">
      <formula>NOT(ISERROR(SEARCH("Погрузчик базы",B1776)))</formula>
    </cfRule>
  </conditionalFormatting>
  <conditionalFormatting sqref="B1891">
    <cfRule type="containsText" dxfId="480" priority="370" operator="containsText" text="Трактор базы">
      <formula>NOT(ISERROR(SEARCH("Трактор базы",B1891)))</formula>
    </cfRule>
  </conditionalFormatting>
  <conditionalFormatting sqref="B1889">
    <cfRule type="containsText" dxfId="479" priority="37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78" priority="375" operator="containsText" text="Газель базы">
      <formula>NOT(ISERROR(SEARCH("Газель базы",B1889)))</formula>
    </cfRule>
    <cfRule type="containsText" dxfId="477" priority="376" operator="containsText" text="Погрузчик базы">
      <formula>NOT(ISERROR(SEARCH("Погрузчик базы",B1889)))</formula>
    </cfRule>
  </conditionalFormatting>
  <conditionalFormatting sqref="B1889">
    <cfRule type="containsText" dxfId="476" priority="374" operator="containsText" text="Трактор базы">
      <formula>NOT(ISERROR(SEARCH("Трактор базы",B1889)))</formula>
    </cfRule>
  </conditionalFormatting>
  <conditionalFormatting sqref="B1891">
    <cfRule type="containsText" dxfId="475" priority="37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74" priority="371" operator="containsText" text="Газель базы">
      <formula>NOT(ISERROR(SEARCH("Газель базы",B1891)))</formula>
    </cfRule>
    <cfRule type="containsText" dxfId="473" priority="372" operator="containsText" text="Погрузчик базы">
      <formula>NOT(ISERROR(SEARCH("Погрузчик базы",B1891)))</formula>
    </cfRule>
  </conditionalFormatting>
  <conditionalFormatting sqref="B1920">
    <cfRule type="containsText" dxfId="472" priority="358" operator="containsText" text="Трактор базы">
      <formula>NOT(ISERROR(SEARCH("Трактор базы",B1920)))</formula>
    </cfRule>
  </conditionalFormatting>
  <conditionalFormatting sqref="B1904:B1914">
    <cfRule type="containsText" dxfId="471" priority="36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70" priority="367" operator="containsText" text="Газель базы">
      <formula>NOT(ISERROR(SEARCH("Газель базы",B1904)))</formula>
    </cfRule>
    <cfRule type="containsText" dxfId="469" priority="368" operator="containsText" text="Погрузчик базы">
      <formula>NOT(ISERROR(SEARCH("Погрузчик базы",B1904)))</formula>
    </cfRule>
  </conditionalFormatting>
  <conditionalFormatting sqref="B1904:B1914">
    <cfRule type="containsText" dxfId="468" priority="366" operator="containsText" text="Трактор базы">
      <formula>NOT(ISERROR(SEARCH("Трактор базы",B1904)))</formula>
    </cfRule>
  </conditionalFormatting>
  <conditionalFormatting sqref="B1915:B1919">
    <cfRule type="containsText" dxfId="467" priority="36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66" priority="363" operator="containsText" text="Газель базы">
      <formula>NOT(ISERROR(SEARCH("Газель базы",B1915)))</formula>
    </cfRule>
    <cfRule type="containsText" dxfId="465" priority="364" operator="containsText" text="Погрузчик базы">
      <formula>NOT(ISERROR(SEARCH("Погрузчик базы",B1915)))</formula>
    </cfRule>
  </conditionalFormatting>
  <conditionalFormatting sqref="B1915:B1919">
    <cfRule type="containsText" dxfId="464" priority="362" operator="containsText" text="Трактор базы">
      <formula>NOT(ISERROR(SEARCH("Трактор базы",B1915)))</formula>
    </cfRule>
  </conditionalFormatting>
  <conditionalFormatting sqref="B1920">
    <cfRule type="containsText" dxfId="463" priority="36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62" priority="359" operator="containsText" text="Газель базы">
      <formula>NOT(ISERROR(SEARCH("Газель базы",B1920)))</formula>
    </cfRule>
    <cfRule type="containsText" dxfId="461" priority="360" operator="containsText" text="Погрузчик базы">
      <formula>NOT(ISERROR(SEARCH("Погрузчик базы",B1920)))</formula>
    </cfRule>
  </conditionalFormatting>
  <conditionalFormatting sqref="B1939">
    <cfRule type="containsText" dxfId="460" priority="354" operator="containsText" text="Трактор базы">
      <formula>NOT(ISERROR(SEARCH("Трактор базы",B1939)))</formula>
    </cfRule>
  </conditionalFormatting>
  <conditionalFormatting sqref="B1939">
    <cfRule type="containsText" dxfId="459" priority="35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58" priority="355" operator="containsText" text="Газель базы">
      <formula>NOT(ISERROR(SEARCH("Газель базы",B1939)))</formula>
    </cfRule>
    <cfRule type="containsText" dxfId="457" priority="356" operator="containsText" text="Погрузчик базы">
      <formula>NOT(ISERROR(SEARCH("Погрузчик базы",B1939)))</formula>
    </cfRule>
  </conditionalFormatting>
  <conditionalFormatting sqref="A1943">
    <cfRule type="containsText" dxfId="456" priority="35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55" priority="35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54" priority="35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53" priority="335" operator="containsText" text="Трактор базы">
      <formula>NOT(ISERROR(SEARCH("Трактор базы",B1977)))</formula>
    </cfRule>
  </conditionalFormatting>
  <conditionalFormatting sqref="B1974">
    <cfRule type="containsText" dxfId="452" priority="35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51" priority="348" operator="containsText" text="Газель базы">
      <formula>NOT(ISERROR(SEARCH("Газель базы",B1974)))</formula>
    </cfRule>
    <cfRule type="containsText" dxfId="450" priority="349" operator="containsText" text="Погрузчик базы">
      <formula>NOT(ISERROR(SEARCH("Погрузчик базы",B1974)))</formula>
    </cfRule>
  </conditionalFormatting>
  <conditionalFormatting sqref="B1974">
    <cfRule type="containsText" dxfId="449" priority="347" operator="containsText" text="Трактор базы">
      <formula>NOT(ISERROR(SEARCH("Трактор базы",B1974)))</formula>
    </cfRule>
  </conditionalFormatting>
  <conditionalFormatting sqref="B1975">
    <cfRule type="containsText" dxfId="448" priority="34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47" priority="344" operator="containsText" text="Газель базы">
      <formula>NOT(ISERROR(SEARCH("Газель базы",B1975)))</formula>
    </cfRule>
    <cfRule type="containsText" dxfId="446" priority="345" operator="containsText" text="Погрузчик базы">
      <formula>NOT(ISERROR(SEARCH("Погрузчик базы",B1975)))</formula>
    </cfRule>
  </conditionalFormatting>
  <conditionalFormatting sqref="B1975">
    <cfRule type="containsText" dxfId="445" priority="343" operator="containsText" text="Трактор базы">
      <formula>NOT(ISERROR(SEARCH("Трактор базы",B1975)))</formula>
    </cfRule>
  </conditionalFormatting>
  <conditionalFormatting sqref="B1976">
    <cfRule type="containsText" dxfId="444" priority="34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43" priority="340" operator="containsText" text="Газель базы">
      <formula>NOT(ISERROR(SEARCH("Газель базы",B1976)))</formula>
    </cfRule>
    <cfRule type="containsText" dxfId="442" priority="341" operator="containsText" text="Погрузчик базы">
      <formula>NOT(ISERROR(SEARCH("Погрузчик базы",B1976)))</formula>
    </cfRule>
  </conditionalFormatting>
  <conditionalFormatting sqref="B1976">
    <cfRule type="containsText" dxfId="441" priority="339" operator="containsText" text="Трактор базы">
      <formula>NOT(ISERROR(SEARCH("Трактор базы",B1976)))</formula>
    </cfRule>
  </conditionalFormatting>
  <conditionalFormatting sqref="B1977">
    <cfRule type="containsText" dxfId="440" priority="33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39" priority="336" operator="containsText" text="Газель базы">
      <formula>NOT(ISERROR(SEARCH("Газель базы",B1977)))</formula>
    </cfRule>
    <cfRule type="containsText" dxfId="438" priority="337" operator="containsText" text="Погрузчик базы">
      <formula>NOT(ISERROR(SEARCH("Погрузчик базы",B1977)))</formula>
    </cfRule>
  </conditionalFormatting>
  <conditionalFormatting sqref="C1965">
    <cfRule type="notContainsText" dxfId="437" priority="334" operator="notContains" text="порожний">
      <formula>ISERROR(SEARCH("порожний",C1965))</formula>
    </cfRule>
  </conditionalFormatting>
  <conditionalFormatting sqref="B2042">
    <cfRule type="containsText" dxfId="436" priority="330" operator="containsText" text="Трактор базы">
      <formula>NOT(ISERROR(SEARCH("Трактор базы",B2042)))</formula>
    </cfRule>
  </conditionalFormatting>
  <conditionalFormatting sqref="B2042">
    <cfRule type="containsText" dxfId="435" priority="33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34" priority="331" operator="containsText" text="Газель базы">
      <formula>NOT(ISERROR(SEARCH("Газель базы",B2042)))</formula>
    </cfRule>
    <cfRule type="containsText" dxfId="433" priority="332" operator="containsText" text="Погрузчик базы">
      <formula>NOT(ISERROR(SEARCH("Погрузчик базы",B2042)))</formula>
    </cfRule>
  </conditionalFormatting>
  <conditionalFormatting sqref="C2050">
    <cfRule type="notContainsText" dxfId="432" priority="329" operator="notContains" text="порожний">
      <formula>ISERROR(SEARCH("порожний",C2050))</formula>
    </cfRule>
  </conditionalFormatting>
  <conditionalFormatting sqref="B2054">
    <cfRule type="containsText" dxfId="431" priority="32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30" priority="326" operator="containsText" text="Газель базы">
      <formula>NOT(ISERROR(SEARCH("Газель базы",B2054)))</formula>
    </cfRule>
    <cfRule type="containsText" dxfId="429" priority="327" operator="containsText" text="Погрузчик базы">
      <formula>NOT(ISERROR(SEARCH("Погрузчик базы",B2054)))</formula>
    </cfRule>
  </conditionalFormatting>
  <conditionalFormatting sqref="B2054">
    <cfRule type="containsText" dxfId="428" priority="325" operator="containsText" text="Трактор базы">
      <formula>NOT(ISERROR(SEARCH("Трактор базы",B2054)))</formula>
    </cfRule>
  </conditionalFormatting>
  <conditionalFormatting sqref="B2055">
    <cfRule type="containsText" dxfId="427" priority="321" operator="containsText" text="Трактор базы">
      <formula>NOT(ISERROR(SEARCH("Трактор базы",B2055)))</formula>
    </cfRule>
  </conditionalFormatting>
  <conditionalFormatting sqref="B2055">
    <cfRule type="containsText" dxfId="426" priority="32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25" priority="322" operator="containsText" text="Газель базы">
      <formula>NOT(ISERROR(SEARCH("Газель базы",B2055)))</formula>
    </cfRule>
    <cfRule type="containsText" dxfId="424" priority="323" operator="containsText" text="Погрузчик базы">
      <formula>NOT(ISERROR(SEARCH("Погрузчик базы",B2055)))</formula>
    </cfRule>
  </conditionalFormatting>
  <conditionalFormatting sqref="A2087:A2089">
    <cfRule type="containsText" dxfId="423" priority="31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22" priority="32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21" priority="319" operator="notContains" text="порожний">
      <formula>ISERROR(SEARCH("порожний",C2087))</formula>
    </cfRule>
  </conditionalFormatting>
  <conditionalFormatting sqref="B2087:B2089">
    <cfRule type="containsText" dxfId="420" priority="317" operator="containsText" text="Газель базы">
      <formula>NOT(ISERROR(SEARCH("Газель базы",B2087)))</formula>
    </cfRule>
    <cfRule type="containsText" dxfId="419" priority="318" operator="containsText" text="Погрузчик базы">
      <formula>NOT(ISERROR(SEARCH("Погрузчик базы",B2087)))</formula>
    </cfRule>
  </conditionalFormatting>
  <conditionalFormatting sqref="B2087:B2089">
    <cfRule type="containsText" dxfId="418" priority="316" operator="containsText" text="Трактор базы">
      <formula>NOT(ISERROR(SEARCH("Трактор базы",B2087)))</formula>
    </cfRule>
  </conditionalFormatting>
  <conditionalFormatting sqref="A2087:A2089">
    <cfRule type="containsText" dxfId="417" priority="31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16" priority="31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15" priority="311" operator="containsText" text="Газель базы">
      <formula>NOT(ISERROR(SEARCH("Газель базы",B2101)))</formula>
    </cfRule>
    <cfRule type="containsText" dxfId="414" priority="312" operator="containsText" text="Погрузчик базы">
      <formula>NOT(ISERROR(SEARCH("Погрузчик базы",B2101)))</formula>
    </cfRule>
  </conditionalFormatting>
  <conditionalFormatting sqref="B2101">
    <cfRule type="containsText" dxfId="413" priority="310" operator="containsText" text="Трактор базы">
      <formula>NOT(ISERROR(SEARCH("Трактор базы",B2101)))</formula>
    </cfRule>
  </conditionalFormatting>
  <conditionalFormatting sqref="B2102">
    <cfRule type="containsText" dxfId="412" priority="30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11" priority="307" operator="containsText" text="Газель базы">
      <formula>NOT(ISERROR(SEARCH("Газель базы",B2102)))</formula>
    </cfRule>
    <cfRule type="containsText" dxfId="410" priority="308" operator="containsText" text="Погрузчик базы">
      <formula>NOT(ISERROR(SEARCH("Погрузчик базы",B2102)))</formula>
    </cfRule>
  </conditionalFormatting>
  <conditionalFormatting sqref="B2102">
    <cfRule type="containsText" dxfId="409" priority="306" operator="containsText" text="Трактор базы">
      <formula>NOT(ISERROR(SEARCH("Трактор базы",B2102)))</formula>
    </cfRule>
  </conditionalFormatting>
  <conditionalFormatting sqref="B2103">
    <cfRule type="containsText" dxfId="408" priority="302" operator="containsText" text="Трактор базы">
      <formula>NOT(ISERROR(SEARCH("Трактор базы",B2103)))</formula>
    </cfRule>
  </conditionalFormatting>
  <conditionalFormatting sqref="B2103">
    <cfRule type="containsText" dxfId="407" priority="30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06" priority="303" operator="containsText" text="Газель базы">
      <formula>NOT(ISERROR(SEARCH("Газель базы",B2103)))</formula>
    </cfRule>
    <cfRule type="containsText" dxfId="405" priority="30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04" priority="29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03" priority="30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2" priority="30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01" priority="29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00" priority="296" operator="containsText" text="Газель базы">
      <formula>NOT(ISERROR(SEARCH("Газель базы",B2276)))</formula>
    </cfRule>
    <cfRule type="containsText" dxfId="399" priority="297" operator="containsText" text="Погрузчик базы">
      <formula>NOT(ISERROR(SEARCH("Погрузчик базы",B2276)))</formula>
    </cfRule>
  </conditionalFormatting>
  <conditionalFormatting sqref="B2276">
    <cfRule type="containsText" dxfId="398" priority="295" operator="containsText" text="Трактор базы">
      <formula>NOT(ISERROR(SEARCH("Трактор базы",B2276)))</formula>
    </cfRule>
  </conditionalFormatting>
  <conditionalFormatting sqref="B2277">
    <cfRule type="containsText" dxfId="397" priority="291" operator="containsText" text="Трактор базы">
      <formula>NOT(ISERROR(SEARCH("Трактор базы",B2277)))</formula>
    </cfRule>
  </conditionalFormatting>
  <conditionalFormatting sqref="B2277">
    <cfRule type="containsText" dxfId="396" priority="29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95" priority="292" operator="containsText" text="Газель базы">
      <formula>NOT(ISERROR(SEARCH("Газель базы",B2277)))</formula>
    </cfRule>
    <cfRule type="containsText" dxfId="394" priority="293" operator="containsText" text="Погрузчик базы">
      <formula>NOT(ISERROR(SEARCH("Погрузчик базы",B2277)))</formula>
    </cfRule>
  </conditionalFormatting>
  <conditionalFormatting sqref="A2279">
    <cfRule type="containsText" dxfId="393" priority="28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92" priority="29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91" priority="28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90" priority="28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89" priority="28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88" priority="28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87" priority="266" operator="containsText" text="Трактор базы">
      <formula>NOT(ISERROR(SEARCH("Трактор базы",B2382)))</formula>
    </cfRule>
  </conditionalFormatting>
  <conditionalFormatting sqref="B2348:B2349">
    <cfRule type="containsText" dxfId="386" priority="28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85" priority="282" operator="containsText" text="Газель базы">
      <formula>NOT(ISERROR(SEARCH("Газель базы",B2348)))</formula>
    </cfRule>
    <cfRule type="containsText" dxfId="384" priority="283" operator="containsText" text="Погрузчик базы">
      <formula>NOT(ISERROR(SEARCH("Погрузчик базы",B2348)))</formula>
    </cfRule>
  </conditionalFormatting>
  <conditionalFormatting sqref="B2348:B2349">
    <cfRule type="containsText" dxfId="383" priority="281" operator="containsText" text="Трактор базы">
      <formula>NOT(ISERROR(SEARCH("Трактор базы",B2348)))</formula>
    </cfRule>
  </conditionalFormatting>
  <conditionalFormatting sqref="A2350">
    <cfRule type="containsText" dxfId="382" priority="27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81" priority="28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80" priority="27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79" priority="27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78" priority="275" operator="containsText" text="Газель базы">
      <formula>NOT(ISERROR(SEARCH("Газель базы",B2352)))</formula>
    </cfRule>
    <cfRule type="containsText" dxfId="377" priority="276" operator="containsText" text="Погрузчик базы">
      <formula>NOT(ISERROR(SEARCH("Погрузчик базы",B2352)))</formula>
    </cfRule>
  </conditionalFormatting>
  <conditionalFormatting sqref="B2352:B2354">
    <cfRule type="containsText" dxfId="376" priority="274" operator="containsText" text="Трактор базы">
      <formula>NOT(ISERROR(SEARCH("Трактор базы",B2352)))</formula>
    </cfRule>
  </conditionalFormatting>
  <conditionalFormatting sqref="B2358">
    <cfRule type="containsText" dxfId="375" priority="27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74" priority="271" operator="containsText" text="Газель базы">
      <formula>NOT(ISERROR(SEARCH("Газель базы",B2358)))</formula>
    </cfRule>
    <cfRule type="containsText" dxfId="373" priority="272" operator="containsText" text="Погрузчик базы">
      <formula>NOT(ISERROR(SEARCH("Погрузчик базы",B2358)))</formula>
    </cfRule>
  </conditionalFormatting>
  <conditionalFormatting sqref="B2358">
    <cfRule type="containsText" dxfId="372" priority="270" operator="containsText" text="Трактор базы">
      <formula>NOT(ISERROR(SEARCH("Трактор базы",B2358)))</formula>
    </cfRule>
  </conditionalFormatting>
  <conditionalFormatting sqref="B2382">
    <cfRule type="containsText" dxfId="371" priority="26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70" priority="267" operator="containsText" text="Газель базы">
      <formula>NOT(ISERROR(SEARCH("Газель базы",B2382)))</formula>
    </cfRule>
    <cfRule type="containsText" dxfId="369" priority="268" operator="containsText" text="Погрузчик базы">
      <formula>NOT(ISERROR(SEARCH("Погрузчик базы",B2382)))</formula>
    </cfRule>
  </conditionalFormatting>
  <conditionalFormatting sqref="B2423:B2424">
    <cfRule type="containsText" dxfId="368" priority="26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67" priority="263" operator="containsText" text="Газель базы">
      <formula>NOT(ISERROR(SEARCH("Газель базы",B2423)))</formula>
    </cfRule>
    <cfRule type="containsText" dxfId="366" priority="264" operator="containsText" text="Погрузчик базы">
      <formula>NOT(ISERROR(SEARCH("Погрузчик базы",B2423)))</formula>
    </cfRule>
  </conditionalFormatting>
  <conditionalFormatting sqref="B2423:B2424">
    <cfRule type="containsText" dxfId="365" priority="262" operator="containsText" text="Трактор базы">
      <formula>NOT(ISERROR(SEARCH("Трактор базы",B2423)))</formula>
    </cfRule>
  </conditionalFormatting>
  <conditionalFormatting sqref="B2431">
    <cfRule type="containsText" dxfId="364" priority="26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63" priority="259" operator="containsText" text="Газель базы">
      <formula>NOT(ISERROR(SEARCH("Газель базы",B2431)))</formula>
    </cfRule>
    <cfRule type="containsText" dxfId="362" priority="260" operator="containsText" text="Погрузчик базы">
      <formula>NOT(ISERROR(SEARCH("Погрузчик базы",B2431)))</formula>
    </cfRule>
  </conditionalFormatting>
  <conditionalFormatting sqref="B2431">
    <cfRule type="containsText" dxfId="361" priority="258" operator="containsText" text="Трактор базы">
      <formula>NOT(ISERROR(SEARCH("Трактор базы",B2431)))</formula>
    </cfRule>
  </conditionalFormatting>
  <conditionalFormatting sqref="B2478">
    <cfRule type="containsText" dxfId="360" priority="246" operator="containsText" text="Трактор базы">
      <formula>NOT(ISERROR(SEARCH("Трактор базы",B2478)))</formula>
    </cfRule>
  </conditionalFormatting>
  <conditionalFormatting sqref="B2462:B2463">
    <cfRule type="containsText" dxfId="359" priority="25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58" priority="255" operator="containsText" text="Газель базы">
      <formula>NOT(ISERROR(SEARCH("Газель базы",B2462)))</formula>
    </cfRule>
    <cfRule type="containsText" dxfId="357" priority="256" operator="containsText" text="Погрузчик базы">
      <formula>NOT(ISERROR(SEARCH("Погрузчик базы",B2462)))</formula>
    </cfRule>
  </conditionalFormatting>
  <conditionalFormatting sqref="B2462:B2463">
    <cfRule type="containsText" dxfId="356" priority="254" operator="containsText" text="Трактор базы">
      <formula>NOT(ISERROR(SEARCH("Трактор базы",B2462)))</formula>
    </cfRule>
  </conditionalFormatting>
  <conditionalFormatting sqref="B2467">
    <cfRule type="containsText" dxfId="355" priority="25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54" priority="251" operator="containsText" text="Газель базы">
      <formula>NOT(ISERROR(SEARCH("Газель базы",B2467)))</formula>
    </cfRule>
    <cfRule type="containsText" dxfId="353" priority="252" operator="containsText" text="Погрузчик базы">
      <formula>NOT(ISERROR(SEARCH("Погрузчик базы",B2467)))</formula>
    </cfRule>
  </conditionalFormatting>
  <conditionalFormatting sqref="B2467">
    <cfRule type="containsText" dxfId="352" priority="250" operator="containsText" text="Трактор базы">
      <formula>NOT(ISERROR(SEARCH("Трактор базы",B2467)))</formula>
    </cfRule>
  </conditionalFormatting>
  <conditionalFormatting sqref="B2478">
    <cfRule type="containsText" dxfId="351" priority="24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50" priority="247" operator="containsText" text="Газель базы">
      <formula>NOT(ISERROR(SEARCH("Газель базы",B2478)))</formula>
    </cfRule>
    <cfRule type="containsText" dxfId="349" priority="248" operator="containsText" text="Погрузчик базы">
      <formula>NOT(ISERROR(SEARCH("Погрузчик базы",B2478)))</formula>
    </cfRule>
  </conditionalFormatting>
  <conditionalFormatting sqref="B2499">
    <cfRule type="containsText" dxfId="348" priority="234" operator="containsText" text="Трактор базы">
      <formula>NOT(ISERROR(SEARCH("Трактор базы",B2499)))</formula>
    </cfRule>
  </conditionalFormatting>
  <conditionalFormatting sqref="B2497">
    <cfRule type="containsText" dxfId="347" priority="24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46" priority="243" operator="containsText" text="Газель базы">
      <formula>NOT(ISERROR(SEARCH("Газель базы",B2497)))</formula>
    </cfRule>
    <cfRule type="containsText" dxfId="345" priority="244" operator="containsText" text="Погрузчик базы">
      <formula>NOT(ISERROR(SEARCH("Погрузчик базы",B2497)))</formula>
    </cfRule>
  </conditionalFormatting>
  <conditionalFormatting sqref="B2497">
    <cfRule type="containsText" dxfId="344" priority="242" operator="containsText" text="Трактор базы">
      <formula>NOT(ISERROR(SEARCH("Трактор базы",B2497)))</formula>
    </cfRule>
  </conditionalFormatting>
  <conditionalFormatting sqref="B2498">
    <cfRule type="containsText" dxfId="343" priority="24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42" priority="239" operator="containsText" text="Газель базы">
      <formula>NOT(ISERROR(SEARCH("Газель базы",B2498)))</formula>
    </cfRule>
    <cfRule type="containsText" dxfId="341" priority="240" operator="containsText" text="Погрузчик базы">
      <formula>NOT(ISERROR(SEARCH("Погрузчик базы",B2498)))</formula>
    </cfRule>
  </conditionalFormatting>
  <conditionalFormatting sqref="B2498">
    <cfRule type="containsText" dxfId="340" priority="238" operator="containsText" text="Трактор базы">
      <formula>NOT(ISERROR(SEARCH("Трактор базы",B2498)))</formula>
    </cfRule>
  </conditionalFormatting>
  <conditionalFormatting sqref="B2499">
    <cfRule type="containsText" dxfId="339" priority="23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38" priority="235" operator="containsText" text="Газель базы">
      <formula>NOT(ISERROR(SEARCH("Газель базы",B2499)))</formula>
    </cfRule>
    <cfRule type="containsText" dxfId="337" priority="236" operator="containsText" text="Погрузчик базы">
      <formula>NOT(ISERROR(SEARCH("Погрузчик базы",B2499)))</formula>
    </cfRule>
  </conditionalFormatting>
  <conditionalFormatting sqref="B2512:B2513">
    <cfRule type="containsText" dxfId="336" priority="208" operator="containsText" text="Трактор базы">
      <formula>NOT(ISERROR(SEARCH("Трактор базы",B2512)))</formula>
    </cfRule>
  </conditionalFormatting>
  <conditionalFormatting sqref="B2500">
    <cfRule type="containsText" dxfId="335" priority="23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34" priority="231" operator="containsText" text="Газель базы">
      <formula>NOT(ISERROR(SEARCH("Газель базы",B2500)))</formula>
    </cfRule>
    <cfRule type="containsText" dxfId="333" priority="232" operator="containsText" text="Погрузчик базы">
      <formula>NOT(ISERROR(SEARCH("Погрузчик базы",B2500)))</formula>
    </cfRule>
  </conditionalFormatting>
  <conditionalFormatting sqref="B2500">
    <cfRule type="containsText" dxfId="332" priority="230" operator="containsText" text="Трактор базы">
      <formula>NOT(ISERROR(SEARCH("Трактор базы",B2500)))</formula>
    </cfRule>
  </conditionalFormatting>
  <conditionalFormatting sqref="B2501">
    <cfRule type="containsText" dxfId="331" priority="22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30" priority="227" operator="containsText" text="Газель базы">
      <formula>NOT(ISERROR(SEARCH("Газель базы",B2501)))</formula>
    </cfRule>
    <cfRule type="containsText" dxfId="329" priority="228" operator="containsText" text="Погрузчик базы">
      <formula>NOT(ISERROR(SEARCH("Погрузчик базы",B2501)))</formula>
    </cfRule>
  </conditionalFormatting>
  <conditionalFormatting sqref="B2501">
    <cfRule type="containsText" dxfId="328" priority="226" operator="containsText" text="Трактор базы">
      <formula>NOT(ISERROR(SEARCH("Трактор базы",B2501)))</formula>
    </cfRule>
  </conditionalFormatting>
  <conditionalFormatting sqref="B2502">
    <cfRule type="containsText" dxfId="327" priority="222" operator="containsText" text="Трактор базы">
      <formula>NOT(ISERROR(SEARCH("Трактор базы",B2502)))</formula>
    </cfRule>
  </conditionalFormatting>
  <conditionalFormatting sqref="B2502">
    <cfRule type="containsText" dxfId="326" priority="22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25" priority="223" operator="containsText" text="Газель базы">
      <formula>NOT(ISERROR(SEARCH("Газель базы",B2502)))</formula>
    </cfRule>
    <cfRule type="containsText" dxfId="324" priority="224" operator="containsText" text="Погрузчик базы">
      <formula>NOT(ISERROR(SEARCH("Погрузчик базы",B2502)))</formula>
    </cfRule>
  </conditionalFormatting>
  <conditionalFormatting sqref="A2503:A2504">
    <cfRule type="containsText" dxfId="323" priority="21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22" priority="22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21" priority="22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20" priority="21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19" priority="21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18" priority="21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17" priority="21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16" priority="213" operator="containsText" text="Газель базы">
      <formula>NOT(ISERROR(SEARCH("Газель базы",B2509)))</formula>
    </cfRule>
    <cfRule type="containsText" dxfId="315" priority="214" operator="containsText" text="Погрузчик базы">
      <formula>NOT(ISERROR(SEARCH("Погрузчик базы",B2509)))</formula>
    </cfRule>
  </conditionalFormatting>
  <conditionalFormatting sqref="B2509">
    <cfRule type="containsText" dxfId="314" priority="212" operator="containsText" text="Трактор базы">
      <formula>NOT(ISERROR(SEARCH("Трактор базы",B2509)))</formula>
    </cfRule>
  </conditionalFormatting>
  <conditionalFormatting sqref="B2512:B2513">
    <cfRule type="containsText" dxfId="313" priority="21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12" priority="209" operator="containsText" text="Газель базы">
      <formula>NOT(ISERROR(SEARCH("Газель базы",B2512)))</formula>
    </cfRule>
    <cfRule type="containsText" dxfId="311" priority="210" operator="containsText" text="Погрузчик базы">
      <formula>NOT(ISERROR(SEARCH("Погрузчик базы",B2512)))</formula>
    </cfRule>
  </conditionalFormatting>
  <conditionalFormatting sqref="E2586">
    <cfRule type="containsText" dxfId="310" priority="20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09" priority="20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08" priority="20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07" priority="20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06" priority="20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05" priority="201" operator="containsText" text="Газель базы">
      <formula>NOT(ISERROR(SEARCH("Газель базы",B2810)))</formula>
    </cfRule>
    <cfRule type="containsText" dxfId="304" priority="202" operator="containsText" text="Погрузчик базы">
      <formula>NOT(ISERROR(SEARCH("Погрузчик базы",B2810)))</formula>
    </cfRule>
  </conditionalFormatting>
  <conditionalFormatting sqref="B2810:B2811">
    <cfRule type="containsText" dxfId="303" priority="200" operator="containsText" text="Трактор базы">
      <formula>NOT(ISERROR(SEARCH("Трактор базы",B2810)))</formula>
    </cfRule>
  </conditionalFormatting>
  <conditionalFormatting sqref="B2923:B2927">
    <cfRule type="containsText" dxfId="302" priority="196" operator="containsText" text="Трактор базы">
      <formula>NOT(ISERROR(SEARCH("Трактор базы",B2923)))</formula>
    </cfRule>
  </conditionalFormatting>
  <conditionalFormatting sqref="B2923:B2927">
    <cfRule type="containsText" dxfId="301" priority="19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00" priority="197" operator="containsText" text="Газель базы">
      <formula>NOT(ISERROR(SEARCH("Газель базы",B2923)))</formula>
    </cfRule>
    <cfRule type="containsText" dxfId="299" priority="198" operator="containsText" text="Погрузчик базы">
      <formula>NOT(ISERROR(SEARCH("Погрузчик базы",B2923)))</formula>
    </cfRule>
  </conditionalFormatting>
  <conditionalFormatting sqref="A2991">
    <cfRule type="containsText" dxfId="298" priority="19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97" priority="19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96" priority="19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95" priority="19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94" priority="190" operator="containsText" text="Газель базы">
      <formula>NOT(ISERROR(SEARCH("Газель базы",B2993)))</formula>
    </cfRule>
    <cfRule type="containsText" dxfId="293" priority="191" operator="containsText" text="Погрузчик базы">
      <formula>NOT(ISERROR(SEARCH("Погрузчик базы",B2993)))</formula>
    </cfRule>
  </conditionalFormatting>
  <conditionalFormatting sqref="B2993">
    <cfRule type="containsText" dxfId="292" priority="189" operator="containsText" text="Трактор базы">
      <formula>NOT(ISERROR(SEARCH("Трактор базы",B2993)))</formula>
    </cfRule>
  </conditionalFormatting>
  <conditionalFormatting sqref="B2995">
    <cfRule type="containsText" dxfId="291" priority="185" operator="containsText" text="Трактор базы">
      <formula>NOT(ISERROR(SEARCH("Трактор базы",B2995)))</formula>
    </cfRule>
  </conditionalFormatting>
  <conditionalFormatting sqref="B2995">
    <cfRule type="containsText" dxfId="290" priority="18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89" priority="186" operator="containsText" text="Газель базы">
      <formula>NOT(ISERROR(SEARCH("Газель базы",B2995)))</formula>
    </cfRule>
    <cfRule type="containsText" dxfId="288" priority="187" operator="containsText" text="Погрузчик базы">
      <formula>NOT(ISERROR(SEARCH("Погрузчик базы",B2995)))</formula>
    </cfRule>
  </conditionalFormatting>
  <conditionalFormatting sqref="A3008">
    <cfRule type="containsText" dxfId="287" priority="18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86" priority="18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85" priority="18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84" priority="17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83" priority="18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82" priority="18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81" priority="17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80" priority="17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79" priority="17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78" priority="172" operator="containsText" text="Трактор базы">
      <formula>NOT(ISERROR(SEARCH("Трактор базы",B3150)))</formula>
    </cfRule>
  </conditionalFormatting>
  <conditionalFormatting sqref="B3203">
    <cfRule type="containsText" dxfId="277" priority="164" operator="containsText" text="Трактор базы">
      <formula>NOT(ISERROR(SEARCH("Трактор базы",B3203)))</formula>
    </cfRule>
  </conditionalFormatting>
  <conditionalFormatting sqref="B3150:B3151">
    <cfRule type="containsText" dxfId="276" priority="17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75" priority="173" operator="containsText" text="Газель базы">
      <formula>NOT(ISERROR(SEARCH("Газель базы",B3150)))</formula>
    </cfRule>
    <cfRule type="containsText" dxfId="274" priority="174" operator="containsText" text="Погрузчик базы">
      <formula>NOT(ISERROR(SEARCH("Погрузчик базы",B3150)))</formula>
    </cfRule>
  </conditionalFormatting>
  <conditionalFormatting sqref="B3201">
    <cfRule type="containsText" dxfId="273" priority="168" operator="containsText" text="Трактор базы">
      <formula>NOT(ISERROR(SEARCH("Трактор базы",B3201)))</formula>
    </cfRule>
  </conditionalFormatting>
  <conditionalFormatting sqref="B3201">
    <cfRule type="containsText" dxfId="272" priority="17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71" priority="169" operator="containsText" text="Газель базы">
      <formula>NOT(ISERROR(SEARCH("Газель базы",B3201)))</formula>
    </cfRule>
    <cfRule type="containsText" dxfId="270" priority="170" operator="containsText" text="Погрузчик базы">
      <formula>NOT(ISERROR(SEARCH("Погрузчик базы",B3201)))</formula>
    </cfRule>
  </conditionalFormatting>
  <conditionalFormatting sqref="B3203">
    <cfRule type="containsText" dxfId="269" priority="16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68" priority="165" operator="containsText" text="Газель базы">
      <formula>NOT(ISERROR(SEARCH("Газель базы",B3203)))</formula>
    </cfRule>
    <cfRule type="containsText" dxfId="267" priority="166" operator="containsText" text="Погрузчик базы">
      <formula>NOT(ISERROR(SEARCH("Погрузчик базы",B3203)))</formula>
    </cfRule>
  </conditionalFormatting>
  <conditionalFormatting sqref="B3227:B3229">
    <cfRule type="containsText" dxfId="266" priority="16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65" priority="161" operator="containsText" text="Газель базы">
      <formula>NOT(ISERROR(SEARCH("Газель базы",B3227)))</formula>
    </cfRule>
    <cfRule type="containsText" dxfId="264" priority="162" operator="containsText" text="Погрузчик базы">
      <formula>NOT(ISERROR(SEARCH("Погрузчик базы",B3227)))</formula>
    </cfRule>
  </conditionalFormatting>
  <conditionalFormatting sqref="B3227:B3229">
    <cfRule type="containsText" dxfId="263" priority="160" operator="containsText" text="Трактор базы">
      <formula>NOT(ISERROR(SEARCH("Трактор базы",B3227)))</formula>
    </cfRule>
  </conditionalFormatting>
  <conditionalFormatting sqref="B3259:B3261">
    <cfRule type="containsText" dxfId="262" priority="15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61" priority="157" operator="containsText" text="Газель базы">
      <formula>NOT(ISERROR(SEARCH("Газель базы",B3259)))</formula>
    </cfRule>
    <cfRule type="containsText" dxfId="260" priority="158" operator="containsText" text="Погрузчик базы">
      <formula>NOT(ISERROR(SEARCH("Погрузчик базы",B3259)))</formula>
    </cfRule>
  </conditionalFormatting>
  <conditionalFormatting sqref="B3259:B3261">
    <cfRule type="containsText" dxfId="259" priority="156" operator="containsText" text="Трактор базы">
      <formula>NOT(ISERROR(SEARCH("Трактор базы",B3259)))</formula>
    </cfRule>
  </conditionalFormatting>
  <conditionalFormatting sqref="A3335:A3336 A3373:A3374">
    <cfRule type="containsText" dxfId="258" priority="15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57" priority="15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56" priority="15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55" priority="14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54" priority="14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53" priority="14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52" priority="14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51" priority="144" operator="containsText" text="Газель базы">
      <formula>NOT(ISERROR(SEARCH("Газель базы",B3364)))</formula>
    </cfRule>
    <cfRule type="containsText" dxfId="250" priority="145" operator="containsText" text="Погрузчик базы">
      <formula>NOT(ISERROR(SEARCH("Погрузчик базы",B3364)))</formula>
    </cfRule>
  </conditionalFormatting>
  <conditionalFormatting sqref="B3364:B3365">
    <cfRule type="containsText" dxfId="249" priority="143" operator="containsText" text="Трактор базы">
      <formula>NOT(ISERROR(SEARCH("Трактор базы",B3364)))</formula>
    </cfRule>
  </conditionalFormatting>
  <conditionalFormatting sqref="A3364">
    <cfRule type="containsText" dxfId="248" priority="14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47" priority="14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46" priority="14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45" priority="138" operator="containsText" text="Газель базы">
      <formula>NOT(ISERROR(SEARCH("Газель базы",B3366)))</formula>
    </cfRule>
    <cfRule type="containsText" dxfId="244" priority="139" operator="containsText" text="Погрузчик базы">
      <formula>NOT(ISERROR(SEARCH("Погрузчик базы",B3366)))</formula>
    </cfRule>
  </conditionalFormatting>
  <conditionalFormatting sqref="B3366">
    <cfRule type="containsText" dxfId="243" priority="137" operator="containsText" text="Трактор базы">
      <formula>NOT(ISERROR(SEARCH("Трактор базы",B3366)))</formula>
    </cfRule>
  </conditionalFormatting>
  <conditionalFormatting sqref="A3366">
    <cfRule type="containsText" dxfId="242" priority="13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41" priority="13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40" priority="13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39" priority="132" operator="containsText" text="Газель базы">
      <formula>NOT(ISERROR(SEARCH("Газель базы",B3367)))</formula>
    </cfRule>
    <cfRule type="containsText" dxfId="238" priority="133" operator="containsText" text="Погрузчик базы">
      <formula>NOT(ISERROR(SEARCH("Погрузчик базы",B3367)))</formula>
    </cfRule>
  </conditionalFormatting>
  <conditionalFormatting sqref="B3367">
    <cfRule type="containsText" dxfId="237" priority="131" operator="containsText" text="Трактор базы">
      <formula>NOT(ISERROR(SEARCH("Трактор базы",B3367)))</formula>
    </cfRule>
  </conditionalFormatting>
  <conditionalFormatting sqref="A3430:B3430">
    <cfRule type="containsText" dxfId="236" priority="13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35" priority="128" operator="containsText" text="Газель базы">
      <formula>NOT(ISERROR(SEARCH("Газель базы",B3430)))</formula>
    </cfRule>
    <cfRule type="containsText" dxfId="234" priority="129" operator="containsText" text="Погрузчик базы">
      <formula>NOT(ISERROR(SEARCH("Погрузчик базы",B3430)))</formula>
    </cfRule>
  </conditionalFormatting>
  <conditionalFormatting sqref="B3430">
    <cfRule type="containsText" dxfId="233" priority="127" operator="containsText" text="Трактор базы">
      <formula>NOT(ISERROR(SEARCH("Трактор базы",B3430)))</formula>
    </cfRule>
  </conditionalFormatting>
  <conditionalFormatting sqref="A3430">
    <cfRule type="containsText" dxfId="232" priority="12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31" priority="12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30" priority="11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29" priority="11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28" priority="11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27" priority="11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26" priority="113" operator="containsText" text="Газель базы">
      <formula>NOT(ISERROR(SEARCH("Газель базы",B3480)))</formula>
    </cfRule>
    <cfRule type="containsText" dxfId="225" priority="114" operator="containsText" text="Погрузчик базы">
      <formula>NOT(ISERROR(SEARCH("Погрузчик базы",B3480)))</formula>
    </cfRule>
  </conditionalFormatting>
  <conditionalFormatting sqref="B3480">
    <cfRule type="containsText" dxfId="224" priority="112" operator="containsText" text="Трактор базы">
      <formula>NOT(ISERROR(SEARCH("Трактор базы",B3480)))</formula>
    </cfRule>
  </conditionalFormatting>
  <conditionalFormatting sqref="A3480">
    <cfRule type="containsText" dxfId="223" priority="11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22" priority="11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21" priority="10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20" priority="10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19" priority="10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18" priority="10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17" priority="10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16" priority="10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15" priority="96" operator="containsText" text="Трактор базы">
      <formula>NOT(ISERROR(SEARCH("Трактор базы",B3601)))</formula>
    </cfRule>
  </conditionalFormatting>
  <conditionalFormatting sqref="B3601:B3612">
    <cfRule type="containsText" dxfId="214" priority="9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13" priority="97" operator="containsText" text="Газель базы">
      <formula>NOT(ISERROR(SEARCH("Газель базы",B3601)))</formula>
    </cfRule>
    <cfRule type="containsText" dxfId="212" priority="98" operator="containsText" text="Погрузчик базы">
      <formula>NOT(ISERROR(SEARCH("Погрузчик базы",B3601)))</formula>
    </cfRule>
  </conditionalFormatting>
  <conditionalFormatting sqref="A3696">
    <cfRule type="containsText" dxfId="211" priority="9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10" priority="9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09" priority="9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08" priority="9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07" priority="8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06" priority="9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05" priority="9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04" priority="8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03" priority="8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02" priority="8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01" priority="84" operator="containsText" text="Газель базы">
      <formula>NOT(ISERROR(SEARCH("Газель базы",B3750)))</formula>
    </cfRule>
    <cfRule type="containsText" dxfId="200" priority="85" operator="containsText" text="Погрузчик базы">
      <formula>NOT(ISERROR(SEARCH("Погрузчик базы",B3750)))</formula>
    </cfRule>
  </conditionalFormatting>
  <conditionalFormatting sqref="B3750:B3751">
    <cfRule type="containsText" dxfId="199" priority="83" operator="containsText" text="Трактор базы">
      <formula>NOT(ISERROR(SEARCH("Трактор базы",B3750)))</formula>
    </cfRule>
  </conditionalFormatting>
  <conditionalFormatting sqref="B3761:B3762">
    <cfRule type="containsText" dxfId="198" priority="8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97" priority="80" operator="containsText" text="Газель базы">
      <formula>NOT(ISERROR(SEARCH("Газель базы",B3761)))</formula>
    </cfRule>
    <cfRule type="containsText" dxfId="196" priority="81" operator="containsText" text="Погрузчик базы">
      <formula>NOT(ISERROR(SEARCH("Погрузчик базы",B3761)))</formula>
    </cfRule>
  </conditionalFormatting>
  <conditionalFormatting sqref="B3761:B3762">
    <cfRule type="containsText" dxfId="195" priority="79" operator="containsText" text="Трактор базы">
      <formula>NOT(ISERROR(SEARCH("Трактор базы",B3761)))</formula>
    </cfRule>
  </conditionalFormatting>
  <conditionalFormatting sqref="A3778">
    <cfRule type="containsText" dxfId="194" priority="7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93" priority="7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92" priority="7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91" priority="7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90" priority="7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89" priority="7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88" priority="7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87" priority="7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86" priority="69" operator="containsText" text="Газель базы">
      <formula>NOT(ISERROR(SEARCH("Газель базы",B3797)))</formula>
    </cfRule>
    <cfRule type="containsText" dxfId="185" priority="70" operator="containsText" text="Погрузчик базы">
      <formula>NOT(ISERROR(SEARCH("Погрузчик базы",B3797)))</formula>
    </cfRule>
  </conditionalFormatting>
  <conditionalFormatting sqref="B3797">
    <cfRule type="containsText" dxfId="184" priority="68" operator="containsText" text="Трактор базы">
      <formula>NOT(ISERROR(SEARCH("Трактор базы",B3797)))</formula>
    </cfRule>
  </conditionalFormatting>
  <conditionalFormatting sqref="B3799:B3800">
    <cfRule type="containsText" dxfId="183" priority="6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82" priority="65" operator="containsText" text="Газель базы">
      <formula>NOT(ISERROR(SEARCH("Газель базы",B3799)))</formula>
    </cfRule>
    <cfRule type="containsText" dxfId="181" priority="66" operator="containsText" text="Погрузчик базы">
      <formula>NOT(ISERROR(SEARCH("Погрузчик базы",B3799)))</formula>
    </cfRule>
  </conditionalFormatting>
  <conditionalFormatting sqref="B3799:B3800">
    <cfRule type="containsText" dxfId="180" priority="64" operator="containsText" text="Трактор базы">
      <formula>NOT(ISERROR(SEARCH("Трактор базы",B3799)))</formula>
    </cfRule>
  </conditionalFormatting>
  <conditionalFormatting sqref="B3881">
    <cfRule type="containsText" dxfId="179" priority="6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78" priority="61" operator="containsText" text="Газель базы">
      <formula>NOT(ISERROR(SEARCH("Газель базы",B3881)))</formula>
    </cfRule>
    <cfRule type="containsText" dxfId="177" priority="62" operator="containsText" text="Погрузчик базы">
      <formula>NOT(ISERROR(SEARCH("Погрузчик базы",B3881)))</formula>
    </cfRule>
  </conditionalFormatting>
  <conditionalFormatting sqref="B3881">
    <cfRule type="containsText" dxfId="176" priority="60" operator="containsText" text="Трактор базы">
      <formula>NOT(ISERROR(SEARCH("Трактор базы",B3881)))</formula>
    </cfRule>
  </conditionalFormatting>
  <conditionalFormatting sqref="B3884">
    <cfRule type="containsText" dxfId="175" priority="56" operator="containsText" text="Трактор базы">
      <formula>NOT(ISERROR(SEARCH("Трактор базы",B3884)))</formula>
    </cfRule>
  </conditionalFormatting>
  <conditionalFormatting sqref="B3884">
    <cfRule type="containsText" dxfId="174" priority="5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73" priority="57" operator="containsText" text="Газель базы">
      <formula>NOT(ISERROR(SEARCH("Газель базы",B3884)))</formula>
    </cfRule>
    <cfRule type="containsText" dxfId="172" priority="58" operator="containsText" text="Погрузчик базы">
      <formula>NOT(ISERROR(SEARCH("Погрузчик базы",B3884)))</formula>
    </cfRule>
  </conditionalFormatting>
  <conditionalFormatting sqref="B3913">
    <cfRule type="containsText" dxfId="171" priority="52" operator="containsText" text="Трактор базы">
      <formula>NOT(ISERROR(SEARCH("Трактор базы",B3913)))</formula>
    </cfRule>
  </conditionalFormatting>
  <conditionalFormatting sqref="B3913">
    <cfRule type="containsText" dxfId="170" priority="5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69" priority="53" operator="containsText" text="Газель базы">
      <formula>NOT(ISERROR(SEARCH("Газель базы",B3913)))</formula>
    </cfRule>
    <cfRule type="containsText" dxfId="168" priority="54" operator="containsText" text="Погрузчик базы">
      <formula>NOT(ISERROR(SEARCH("Погрузчик базы",B3913)))</formula>
    </cfRule>
  </conditionalFormatting>
  <conditionalFormatting sqref="A3935">
    <cfRule type="containsText" dxfId="167" priority="4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66" priority="5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65" priority="49" operator="containsText" text="Газель базы">
      <formula>NOT(ISERROR(SEARCH("Газель базы",B3935)))</formula>
    </cfRule>
    <cfRule type="containsText" dxfId="164" priority="50" operator="containsText" text="Погрузчик базы">
      <formula>NOT(ISERROR(SEARCH("Погрузчик базы",B3935)))</formula>
    </cfRule>
  </conditionalFormatting>
  <conditionalFormatting sqref="B3935">
    <cfRule type="containsText" dxfId="163" priority="48" operator="containsText" text="Трактор базы">
      <formula>NOT(ISERROR(SEARCH("Трактор базы",B3935)))</formula>
    </cfRule>
  </conditionalFormatting>
  <conditionalFormatting sqref="A3935">
    <cfRule type="containsText" dxfId="162" priority="4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61" priority="42" operator="containsText" text="Трактор базы">
      <formula>NOT(ISERROR(SEARCH("Трактор базы",B3937)))</formula>
    </cfRule>
  </conditionalFormatting>
  <conditionalFormatting sqref="B3937">
    <cfRule type="containsText" dxfId="160" priority="4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59" priority="43" operator="containsText" text="Газель базы">
      <formula>NOT(ISERROR(SEARCH("Газель базы",B3937)))</formula>
    </cfRule>
    <cfRule type="containsText" dxfId="158" priority="44" operator="containsText" text="Погрузчик базы">
      <formula>NOT(ISERROR(SEARCH("Погрузчик базы",B3937)))</formula>
    </cfRule>
  </conditionalFormatting>
  <conditionalFormatting sqref="B3946">
    <cfRule type="containsText" dxfId="157" priority="33" operator="containsText" text="Трактор базы">
      <formula>NOT(ISERROR(SEARCH("Трактор базы",B3946)))</formula>
    </cfRule>
  </conditionalFormatting>
  <conditionalFormatting sqref="B3945">
    <cfRule type="containsText" dxfId="156" priority="4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55" priority="39" operator="containsText" text="Газель базы">
      <formula>NOT(ISERROR(SEARCH("Газель базы",B3945)))</formula>
    </cfRule>
    <cfRule type="containsText" dxfId="154" priority="40" operator="containsText" text="Погрузчик базы">
      <formula>NOT(ISERROR(SEARCH("Погрузчик базы",B3945)))</formula>
    </cfRule>
  </conditionalFormatting>
  <conditionalFormatting sqref="B3945">
    <cfRule type="containsText" dxfId="153" priority="38" operator="containsText" text="Трактор базы">
      <formula>NOT(ISERROR(SEARCH("Трактор базы",B3945)))</formula>
    </cfRule>
  </conditionalFormatting>
  <conditionalFormatting sqref="D3946:E3946 B3946">
    <cfRule type="containsText" dxfId="152" priority="3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51" priority="36" operator="notContains" text="порожний">
      <formula>ISERROR(SEARCH("порожний",C3946))</formula>
    </cfRule>
  </conditionalFormatting>
  <conditionalFormatting sqref="B3946">
    <cfRule type="containsText" dxfId="150" priority="34" operator="containsText" text="Газель базы">
      <formula>NOT(ISERROR(SEARCH("Газель базы",B3946)))</formula>
    </cfRule>
    <cfRule type="containsText" dxfId="149" priority="35" operator="containsText" text="Погрузчик базы">
      <formula>NOT(ISERROR(SEARCH("Погрузчик базы",B3946)))</formula>
    </cfRule>
  </conditionalFormatting>
  <conditionalFormatting sqref="B3966:B3967">
    <cfRule type="containsText" dxfId="148" priority="29" operator="containsText" text="Трактор базы">
      <formula>NOT(ISERROR(SEARCH("Трактор базы",B3966)))</formula>
    </cfRule>
  </conditionalFormatting>
  <conditionalFormatting sqref="B3966:B3967">
    <cfRule type="containsText" dxfId="147" priority="3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46" priority="30" operator="containsText" text="Газель базы">
      <formula>NOT(ISERROR(SEARCH("Газель базы",B3966)))</formula>
    </cfRule>
    <cfRule type="containsText" dxfId="145" priority="31" operator="containsText" text="Погрузчик базы">
      <formula>NOT(ISERROR(SEARCH("Погрузчик базы",B3966)))</formula>
    </cfRule>
  </conditionalFormatting>
  <conditionalFormatting sqref="B3976">
    <cfRule type="containsText" dxfId="144" priority="2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43" priority="26" operator="containsText" text="Газель базы">
      <formula>NOT(ISERROR(SEARCH("Газель базы",B3976)))</formula>
    </cfRule>
    <cfRule type="containsText" dxfId="142" priority="27" operator="containsText" text="Погрузчик базы">
      <formula>NOT(ISERROR(SEARCH("Погрузчик базы",B3976)))</formula>
    </cfRule>
  </conditionalFormatting>
  <conditionalFormatting sqref="B3976">
    <cfRule type="containsText" dxfId="141" priority="25" operator="containsText" text="Трактор базы">
      <formula>NOT(ISERROR(SEARCH("Трактор базы",B3976)))</formula>
    </cfRule>
  </conditionalFormatting>
  <conditionalFormatting sqref="B3984">
    <cfRule type="containsText" dxfId="140" priority="2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39" priority="22" operator="containsText" text="Газель базы">
      <formula>NOT(ISERROR(SEARCH("Газель базы",B3984)))</formula>
    </cfRule>
    <cfRule type="containsText" dxfId="138" priority="23" operator="containsText" text="Погрузчик базы">
      <formula>NOT(ISERROR(SEARCH("Погрузчик базы",B3984)))</formula>
    </cfRule>
  </conditionalFormatting>
  <conditionalFormatting sqref="B3984">
    <cfRule type="containsText" dxfId="137" priority="21" operator="containsText" text="Трактор базы">
      <formula>NOT(ISERROR(SEARCH("Трактор базы",B3984)))</formula>
    </cfRule>
  </conditionalFormatting>
  <conditionalFormatting sqref="B4007:B4008">
    <cfRule type="containsText" dxfId="136" priority="17" operator="containsText" text="Трактор базы">
      <formula>NOT(ISERROR(SEARCH("Трактор базы",B4007)))</formula>
    </cfRule>
  </conditionalFormatting>
  <conditionalFormatting sqref="B4007:B4008">
    <cfRule type="containsText" dxfId="135" priority="2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34" priority="18" operator="containsText" text="Газель базы">
      <formula>NOT(ISERROR(SEARCH("Газель базы",B4007)))</formula>
    </cfRule>
    <cfRule type="containsText" dxfId="133" priority="19" operator="containsText" text="Погрузчик базы">
      <formula>NOT(ISERROR(SEARCH("Погрузчик базы",B4007)))</formula>
    </cfRule>
  </conditionalFormatting>
  <conditionalFormatting sqref="B4096">
    <cfRule type="containsText" dxfId="132" priority="5" operator="containsText" text="Трактор базы">
      <formula>NOT(ISERROR(SEARCH("Трактор базы",B4096)))</formula>
    </cfRule>
  </conditionalFormatting>
  <conditionalFormatting sqref="B4080:B4082">
    <cfRule type="containsText" dxfId="131" priority="1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30" priority="14" operator="containsText" text="Газель базы">
      <formula>NOT(ISERROR(SEARCH("Газель базы",B4080)))</formula>
    </cfRule>
    <cfRule type="containsText" dxfId="129" priority="15" operator="containsText" text="Погрузчик базы">
      <formula>NOT(ISERROR(SEARCH("Погрузчик базы",B4080)))</formula>
    </cfRule>
  </conditionalFormatting>
  <conditionalFormatting sqref="B4080:B4082">
    <cfRule type="containsText" dxfId="128" priority="13" operator="containsText" text="Трактор базы">
      <formula>NOT(ISERROR(SEARCH("Трактор базы",B4080)))</formula>
    </cfRule>
  </conditionalFormatting>
  <conditionalFormatting sqref="B4088:B4094">
    <cfRule type="containsText" dxfId="127" priority="1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26" priority="10" operator="containsText" text="Газель базы">
      <formula>NOT(ISERROR(SEARCH("Газель базы",B4088)))</formula>
    </cfRule>
    <cfRule type="containsText" dxfId="125" priority="11" operator="containsText" text="Погрузчик базы">
      <formula>NOT(ISERROR(SEARCH("Погрузчик базы",B4088)))</formula>
    </cfRule>
  </conditionalFormatting>
  <conditionalFormatting sqref="B4088:B4094">
    <cfRule type="containsText" dxfId="124" priority="9" operator="containsText" text="Трактор базы">
      <formula>NOT(ISERROR(SEARCH("Трактор базы",B4088)))</formula>
    </cfRule>
  </conditionalFormatting>
  <conditionalFormatting sqref="B4096">
    <cfRule type="containsText" dxfId="123" priority="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22" priority="6" operator="containsText" text="Газель базы">
      <formula>NOT(ISERROR(SEARCH("Газель базы",B4096)))</formula>
    </cfRule>
    <cfRule type="containsText" dxfId="121" priority="7" operator="containsText" text="Погрузчик базы">
      <formula>NOT(ISERROR(SEARCH("Погрузчик базы",B4096)))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120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119" priority="13" operator="notContains" text="порожний">
      <formula>ISERROR(SEARCH("порожний",F2))</formula>
    </cfRule>
  </conditionalFormatting>
  <conditionalFormatting sqref="E2:E53">
    <cfRule type="containsText" dxfId="118" priority="11" operator="containsText" text="Газель базы">
      <formula>NOT(ISERROR(SEARCH("Газель базы",E2)))</formula>
    </cfRule>
    <cfRule type="containsText" dxfId="117" priority="12" operator="containsText" text="Погрузчик базы">
      <formula>NOT(ISERROR(SEARCH("Погрузчик базы",E2)))</formula>
    </cfRule>
  </conditionalFormatting>
  <conditionalFormatting sqref="E2:E53">
    <cfRule type="containsText" dxfId="116" priority="10" operator="containsText" text="Трактор базы">
      <formula>NOT(ISERROR(SEARCH("Трактор базы",E2)))</formula>
    </cfRule>
  </conditionalFormatting>
  <conditionalFormatting sqref="A2:C39">
    <cfRule type="expression" dxfId="115" priority="9">
      <formula>$A2="пн"</formula>
    </cfRule>
  </conditionalFormatting>
  <conditionalFormatting sqref="A2:C41">
    <cfRule type="expression" dxfId="114" priority="3">
      <formula>$A2="вс"</formula>
    </cfRule>
    <cfRule type="expression" dxfId="113" priority="4">
      <formula>$A2="сб"</formula>
    </cfRule>
    <cfRule type="expression" dxfId="112" priority="5">
      <formula>$A2="пт"</formula>
    </cfRule>
    <cfRule type="expression" dxfId="111" priority="6">
      <formula>$A2="чт"</formula>
    </cfRule>
    <cfRule type="expression" dxfId="110" priority="7">
      <formula>$A2="ср"</formula>
    </cfRule>
    <cfRule type="expression" dxfId="109" priority="8">
      <formula>$A2="вт"</formula>
    </cfRule>
  </conditionalFormatting>
  <conditionalFormatting sqref="D2:D50">
    <cfRule type="containsText" dxfId="1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11072</v>
      </c>
      <c r="F256" t="s">
        <v>165</v>
      </c>
      <c r="G256">
        <v>2</v>
      </c>
      <c r="I256" t="s">
        <v>10764</v>
      </c>
      <c r="J256" t="s">
        <v>2396</v>
      </c>
      <c r="K256" t="s">
        <v>10765</v>
      </c>
      <c r="L256" t="s">
        <v>10766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11075</v>
      </c>
      <c r="F257" t="s">
        <v>58</v>
      </c>
      <c r="G257">
        <v>1</v>
      </c>
      <c r="I257" t="s">
        <v>10809</v>
      </c>
      <c r="J257" t="s">
        <v>2397</v>
      </c>
      <c r="K257" t="s">
        <v>10810</v>
      </c>
      <c r="L257" t="s">
        <v>10811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11075</v>
      </c>
      <c r="F258" t="s">
        <v>58</v>
      </c>
      <c r="G258">
        <v>2</v>
      </c>
      <c r="I258" t="s">
        <v>10812</v>
      </c>
      <c r="J258" t="s">
        <v>2397</v>
      </c>
      <c r="K258" t="s">
        <v>10813</v>
      </c>
      <c r="L258" t="s">
        <v>10814</v>
      </c>
      <c r="M258" s="2" t="str">
        <f>HYPERLINK(Таблица3[[#This Row],[RelativePath]])</f>
        <v>10 Сушилка навес\GA3948333_6_20260225T113501Z.jpg</v>
      </c>
    </row>
  </sheetData>
  <phoneticPr fontId="2" type="noConversion"/>
  <conditionalFormatting sqref="E259:E280 D2:E258">
    <cfRule type="containsText" dxfId="100" priority="7" operator="containsText" text="Выезд с территории">
      <formula>NOT(ISERROR(SEARCH("Выезд с территории",D2)))</formula>
    </cfRule>
  </conditionalFormatting>
  <conditionalFormatting sqref="D2:D258">
    <cfRule type="containsText" dxfId="9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9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97" priority="2" operator="containsText" text="Газель базы">
      <formula>NOT(ISERROR(SEARCH("Газель базы",E2)))</formula>
    </cfRule>
    <cfRule type="containsText" dxfId="96" priority="3" operator="containsText" text="Погрузчик базы">
      <formula>NOT(ISERROR(SEARCH("Погрузчик базы",E2)))</formula>
    </cfRule>
  </conditionalFormatting>
  <conditionalFormatting sqref="E2:E280">
    <cfRule type="containsText" dxfId="9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65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12652</v>
      </c>
      <c r="K2" t="s">
        <v>12653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12652</v>
      </c>
      <c r="K3" t="s">
        <v>12654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12652</v>
      </c>
      <c r="K4" t="s">
        <v>12655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12652</v>
      </c>
      <c r="K6" t="s">
        <v>12656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12652</v>
      </c>
      <c r="K7" t="s">
        <v>12657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12652</v>
      </c>
      <c r="K8" t="s">
        <v>12658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12652</v>
      </c>
      <c r="K9" t="s">
        <v>12659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12652</v>
      </c>
      <c r="K10" t="s">
        <v>12660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12652</v>
      </c>
      <c r="K11" t="s">
        <v>12661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12652</v>
      </c>
      <c r="K12" t="s">
        <v>12662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12652</v>
      </c>
      <c r="K13" t="s">
        <v>12663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12652</v>
      </c>
      <c r="K14" t="s">
        <v>12664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12652</v>
      </c>
      <c r="K15" t="s">
        <v>12665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12652</v>
      </c>
      <c r="K16" t="s">
        <v>12666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12652</v>
      </c>
      <c r="K17" t="s">
        <v>12667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12652</v>
      </c>
      <c r="K18" t="s">
        <v>12668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12652</v>
      </c>
      <c r="K19" t="s">
        <v>12669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12652</v>
      </c>
      <c r="K20" t="s">
        <v>12670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12652</v>
      </c>
      <c r="K21" t="s">
        <v>12671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12652</v>
      </c>
      <c r="K22" t="s">
        <v>12672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12652</v>
      </c>
      <c r="K23" t="s">
        <v>12673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12652</v>
      </c>
      <c r="K24" t="s">
        <v>12674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12652</v>
      </c>
      <c r="K25" t="s">
        <v>12675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12652</v>
      </c>
      <c r="K26" t="s">
        <v>12676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12652</v>
      </c>
      <c r="K27" t="s">
        <v>12677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12652</v>
      </c>
      <c r="K28" t="s">
        <v>12678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12652</v>
      </c>
      <c r="K29" t="s">
        <v>12679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12652</v>
      </c>
      <c r="K30" t="s">
        <v>12680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12652</v>
      </c>
      <c r="K31" t="s">
        <v>12681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12652</v>
      </c>
      <c r="K32" t="s">
        <v>12682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12652</v>
      </c>
      <c r="K33" t="s">
        <v>12683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12652</v>
      </c>
      <c r="K34" t="s">
        <v>12684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12652</v>
      </c>
      <c r="K35" t="s">
        <v>12685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12652</v>
      </c>
      <c r="K36" t="s">
        <v>12686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12652</v>
      </c>
      <c r="K37" t="s">
        <v>12687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12652</v>
      </c>
      <c r="K38" t="s">
        <v>12688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12652</v>
      </c>
      <c r="K39" t="s">
        <v>12689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12652</v>
      </c>
      <c r="K40" t="s">
        <v>12690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12652</v>
      </c>
      <c r="K41" t="s">
        <v>12691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12652</v>
      </c>
      <c r="K42" t="s">
        <v>12692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12652</v>
      </c>
      <c r="K43" t="s">
        <v>12693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12652</v>
      </c>
      <c r="K44" t="s">
        <v>12694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12652</v>
      </c>
      <c r="K45" t="s">
        <v>12695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12652</v>
      </c>
      <c r="K46" t="s">
        <v>12696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12652</v>
      </c>
      <c r="K47" t="s">
        <v>12697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12652</v>
      </c>
      <c r="K48" t="s">
        <v>12698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12652</v>
      </c>
      <c r="K49" t="s">
        <v>12699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12652</v>
      </c>
      <c r="K50" t="s">
        <v>12700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12652</v>
      </c>
      <c r="K51" t="s">
        <v>12701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12652</v>
      </c>
      <c r="K52" t="s">
        <v>12702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12652</v>
      </c>
      <c r="K53" t="s">
        <v>12703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12652</v>
      </c>
      <c r="K54" t="s">
        <v>12704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12652</v>
      </c>
      <c r="K55" t="s">
        <v>12705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12652</v>
      </c>
      <c r="K56" t="s">
        <v>12706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12652</v>
      </c>
      <c r="K57" t="s">
        <v>12707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12652</v>
      </c>
      <c r="K58" t="s">
        <v>12708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12652</v>
      </c>
      <c r="K59" t="s">
        <v>12709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12652</v>
      </c>
      <c r="K60" t="s">
        <v>12710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12652</v>
      </c>
      <c r="K61" t="s">
        <v>12711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12652</v>
      </c>
      <c r="K62" t="s">
        <v>12712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12652</v>
      </c>
      <c r="K63" t="s">
        <v>12713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12652</v>
      </c>
      <c r="K64" t="s">
        <v>12714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12652</v>
      </c>
      <c r="K65" t="s">
        <v>12715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12652</v>
      </c>
      <c r="K66" t="s">
        <v>12716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12652</v>
      </c>
      <c r="K67" t="s">
        <v>12717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12652</v>
      </c>
      <c r="K68" t="s">
        <v>12718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12652</v>
      </c>
      <c r="K69" t="s">
        <v>12719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12652</v>
      </c>
      <c r="K70" t="s">
        <v>12720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12652</v>
      </c>
      <c r="K71" t="s">
        <v>12721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12652</v>
      </c>
      <c r="K72" t="s">
        <v>12722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12652</v>
      </c>
      <c r="K73" t="s">
        <v>12723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12652</v>
      </c>
      <c r="K74" t="s">
        <v>12724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12652</v>
      </c>
      <c r="K75" t="s">
        <v>12725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12652</v>
      </c>
      <c r="K76" t="s">
        <v>12726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12652</v>
      </c>
      <c r="K77" t="s">
        <v>12727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12652</v>
      </c>
      <c r="K78" t="s">
        <v>12728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12652</v>
      </c>
      <c r="K79" t="s">
        <v>12729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12652</v>
      </c>
      <c r="K80" t="s">
        <v>12730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12652</v>
      </c>
      <c r="K81" t="s">
        <v>12731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12652</v>
      </c>
      <c r="K82" t="s">
        <v>12732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12652</v>
      </c>
      <c r="K83" t="s">
        <v>12733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12652</v>
      </c>
      <c r="K84" t="s">
        <v>12734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12652</v>
      </c>
      <c r="K85" t="s">
        <v>12735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12652</v>
      </c>
      <c r="K86" t="s">
        <v>12736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12652</v>
      </c>
      <c r="K87" t="s">
        <v>12737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12652</v>
      </c>
      <c r="K88" t="s">
        <v>12738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12652</v>
      </c>
      <c r="K89" t="s">
        <v>12739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12652</v>
      </c>
      <c r="K90" t="s">
        <v>12740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12652</v>
      </c>
      <c r="K91" t="s">
        <v>12741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12652</v>
      </c>
      <c r="K92" t="s">
        <v>12742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12652</v>
      </c>
      <c r="K93" t="s">
        <v>12743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12652</v>
      </c>
      <c r="K94" t="s">
        <v>12744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12652</v>
      </c>
      <c r="K95" t="s">
        <v>12745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12652</v>
      </c>
      <c r="K96" t="s">
        <v>12746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12652</v>
      </c>
      <c r="K97" t="s">
        <v>12747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12652</v>
      </c>
      <c r="K98" t="s">
        <v>12748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12652</v>
      </c>
      <c r="K99" t="s">
        <v>12749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12652</v>
      </c>
      <c r="K100" t="s">
        <v>12750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12652</v>
      </c>
      <c r="K101" t="s">
        <v>12751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12652</v>
      </c>
      <c r="K102" t="s">
        <v>12752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12652</v>
      </c>
      <c r="K103" t="s">
        <v>12753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12652</v>
      </c>
      <c r="K104" t="s">
        <v>12754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12652</v>
      </c>
      <c r="K105" t="s">
        <v>12755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12652</v>
      </c>
      <c r="K106" t="s">
        <v>12756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12652</v>
      </c>
      <c r="K107" t="s">
        <v>12757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12652</v>
      </c>
      <c r="K108" t="s">
        <v>12758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12652</v>
      </c>
      <c r="K109" t="s">
        <v>12759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12652</v>
      </c>
      <c r="K110" t="s">
        <v>12760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12652</v>
      </c>
      <c r="K111" t="s">
        <v>12761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12652</v>
      </c>
      <c r="K112" t="s">
        <v>12762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12652</v>
      </c>
      <c r="K113" t="s">
        <v>12763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12652</v>
      </c>
      <c r="K114" t="s">
        <v>12764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12652</v>
      </c>
      <c r="K115" t="s">
        <v>12765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12652</v>
      </c>
      <c r="K116" t="s">
        <v>12766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12652</v>
      </c>
      <c r="K117" t="s">
        <v>12767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12652</v>
      </c>
      <c r="K118" t="s">
        <v>12768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12652</v>
      </c>
      <c r="K119" t="s">
        <v>12769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12652</v>
      </c>
      <c r="K120" t="s">
        <v>12770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12652</v>
      </c>
      <c r="K121" t="s">
        <v>12771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12652</v>
      </c>
      <c r="K122" t="s">
        <v>12772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12652</v>
      </c>
      <c r="K123" t="s">
        <v>12773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12652</v>
      </c>
      <c r="K124" t="s">
        <v>12774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12652</v>
      </c>
      <c r="K125" t="s">
        <v>12775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12652</v>
      </c>
      <c r="K126" t="s">
        <v>12776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12652</v>
      </c>
      <c r="K127" t="s">
        <v>12777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12652</v>
      </c>
      <c r="K128" t="s">
        <v>12778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12652</v>
      </c>
      <c r="K129" t="s">
        <v>12779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12652</v>
      </c>
      <c r="K130" t="s">
        <v>12780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12652</v>
      </c>
      <c r="K131" t="s">
        <v>12781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12652</v>
      </c>
      <c r="K132" t="s">
        <v>12782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12652</v>
      </c>
      <c r="K133" t="s">
        <v>12783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12652</v>
      </c>
      <c r="K134" t="s">
        <v>12784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12652</v>
      </c>
      <c r="K135" t="s">
        <v>12785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12652</v>
      </c>
      <c r="K136" t="s">
        <v>12786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12652</v>
      </c>
      <c r="K137" t="s">
        <v>12787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12652</v>
      </c>
      <c r="K138" t="s">
        <v>12788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12652</v>
      </c>
      <c r="K139" t="s">
        <v>12789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12652</v>
      </c>
      <c r="K140" t="s">
        <v>12790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12652</v>
      </c>
      <c r="K141" t="s">
        <v>12791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12652</v>
      </c>
      <c r="K142" t="s">
        <v>12792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11072</v>
      </c>
      <c r="F158" t="s">
        <v>165</v>
      </c>
      <c r="I158" t="s">
        <v>10588</v>
      </c>
      <c r="J158" t="s">
        <v>12652</v>
      </c>
      <c r="K158" t="s">
        <v>12793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11073</v>
      </c>
      <c r="F159" t="s">
        <v>60</v>
      </c>
      <c r="I159" t="s">
        <v>10590</v>
      </c>
      <c r="J159" t="s">
        <v>12652</v>
      </c>
      <c r="K159" t="s">
        <v>12794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11072</v>
      </c>
      <c r="I160" t="s">
        <v>10584</v>
      </c>
      <c r="J160" t="s">
        <v>12652</v>
      </c>
      <c r="K160" t="s">
        <v>12795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11071</v>
      </c>
      <c r="F161" t="s">
        <v>4070</v>
      </c>
      <c r="H161" t="s">
        <v>11074</v>
      </c>
      <c r="I161" t="s">
        <v>10586</v>
      </c>
      <c r="J161" t="s">
        <v>12652</v>
      </c>
      <c r="K161" t="s">
        <v>12796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11071</v>
      </c>
      <c r="F162" t="s">
        <v>4070</v>
      </c>
      <c r="I162" t="s">
        <v>10596</v>
      </c>
      <c r="J162" t="s">
        <v>12652</v>
      </c>
      <c r="K162" t="s">
        <v>12797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11075</v>
      </c>
      <c r="F163" t="s">
        <v>58</v>
      </c>
      <c r="G163">
        <v>3</v>
      </c>
      <c r="H163" t="s">
        <v>7461</v>
      </c>
      <c r="I163" t="s">
        <v>10598</v>
      </c>
      <c r="J163" t="s">
        <v>12652</v>
      </c>
      <c r="K163" t="s">
        <v>12798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11071</v>
      </c>
      <c r="F164" t="s">
        <v>4070</v>
      </c>
      <c r="I164" t="s">
        <v>10592</v>
      </c>
      <c r="J164" t="s">
        <v>12652</v>
      </c>
      <c r="K164" t="s">
        <v>12799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11073</v>
      </c>
      <c r="F165" t="s">
        <v>51</v>
      </c>
      <c r="I165" t="s">
        <v>10594</v>
      </c>
      <c r="J165" t="s">
        <v>12652</v>
      </c>
      <c r="K165" t="s">
        <v>12800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</sheetData>
  <conditionalFormatting sqref="E166:E187 D2:E165">
    <cfRule type="containsText" dxfId="92" priority="6" operator="containsText" text="Выезд с территории">
      <formula>NOT(ISERROR(SEARCH("Выезд с территории",D2)))</formula>
    </cfRule>
  </conditionalFormatting>
  <conditionalFormatting sqref="D2:D165">
    <cfRule type="containsText" dxfId="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5">
    <cfRule type="containsText" dxfId="9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7">
    <cfRule type="containsText" dxfId="89" priority="2" operator="containsText" text="Газель базы">
      <formula>NOT(ISERROR(SEARCH("Газель базы",E2)))</formula>
    </cfRule>
    <cfRule type="containsText" dxfId="88" priority="3" operator="containsText" text="Погрузчик базы">
      <formula>NOT(ISERROR(SEARCH("Погрузчик базы",E2)))</formula>
    </cfRule>
  </conditionalFormatting>
  <conditionalFormatting sqref="E2:E187">
    <cfRule type="containsText" dxfId="8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2026-02-27T07:34:55Z</dcterms:modified>
</cp:coreProperties>
</file>