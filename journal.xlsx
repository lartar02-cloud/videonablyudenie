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49F01C37-9A70-4D10-947A-ECD363E4E9A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базу'!$A$1:$L$274</definedName>
    <definedName name="ExternalData_1" localSheetId="9" hidden="1">'10 Въезд ангар'!$A$1:$L$711</definedName>
    <definedName name="ExternalData_1" localSheetId="10" hidden="1">'11 Навес пилмат'!$A$1:$L$353</definedName>
    <definedName name="ExternalData_1" localSheetId="11" hidden="1">'12 Площадка 3 кран'!$A$1:$L$304</definedName>
    <definedName name="ExternalData_1" localSheetId="12" hidden="1">'13 Склад хол'!$A$1:$L$237</definedName>
    <definedName name="ExternalData_1" localSheetId="13" hidden="1">'14 На гаражи'!$A$1:$L$113</definedName>
    <definedName name="ExternalData_1" localSheetId="14" hidden="1">'15 Вход столярка'!$A$1:$L$48</definedName>
    <definedName name="ExternalData_1" localSheetId="15" hidden="1">'16 Столярка'!$A$1:$L$161</definedName>
    <definedName name="ExternalData_1" localSheetId="16" hidden="1">'17 Площадка с навесом'!$A$1:$L$76</definedName>
    <definedName name="ExternalData_1" localSheetId="18" hidden="1">'19 Хронометраж'!$A$1:$L$404</definedName>
    <definedName name="ExternalData_1" localSheetId="1" hidden="1">'2 Поката пилорама'!$A$1:$L$304</definedName>
    <definedName name="ExternalData_1" localSheetId="2" hidden="1">'3 Парковка офиса'!$A$1:$L$209</definedName>
    <definedName name="ExternalData_1" localSheetId="3" hidden="1">'4 Крыльцо офиса'!$A$1:$L$290</definedName>
    <definedName name="ExternalData_1" localSheetId="4" hidden="1">'5 Крыльцо общага'!$A$1:$L$386</definedName>
    <definedName name="ExternalData_1" localSheetId="5" hidden="1">'6 Площадка 1 общага'!$A$1:$L$242</definedName>
    <definedName name="ExternalData_1" localSheetId="6" hidden="1">'7 Площадка 2 бетонщики'!$A$1:$L$369</definedName>
    <definedName name="ExternalData_1" localSheetId="7" hidden="1">'8 Ангар вход'!$A$1:$L$387</definedName>
    <definedName name="ExternalData_1" localSheetId="8" hidden="1">'9 Ангар рейсмус'!$A$1:$L$689</definedName>
    <definedName name="ExternalData_1" localSheetId="19" hidden="1">Загрузка!$A$1:$L$263</definedName>
    <definedName name="ExternalData_1" localSheetId="20" hidden="1">'Стороний транспорт'!$A$1:$L$171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<sst xmlns="http://schemas.openxmlformats.org/spreadsheetml/2006/main" count="67577" uniqueCount="17491">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</sst>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4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74" tableType="queryTable" totalsRowShown="0">
  <autoFilter ref="A1:N274" xr:uid="{B468AF39-21AE-47BD-BA18-EADB2FC1D520}"/>
  <tableColumns count="14">
    <tableColumn id="11" xr3:uid="{6F8E650D-029B-40AD-86B4-92C160128A4F}" uniqueName="11" name="День нед" queryTableFieldId="39" dataDxfId="1033"/>
    <tableColumn id="8" xr3:uid="{7C2AA400-8F21-45B7-B47D-9CF2CFB5DD00}" uniqueName="8" name="Дата" queryTableFieldId="19" dataDxfId="1032"/>
    <tableColumn id="9" xr3:uid="{7CB7ABF0-C98D-49E4-A494-985A43D5F40F}" uniqueName="9" name="Время" queryTableFieldId="20" dataDxfId="1031"/>
    <tableColumn id="5" xr3:uid="{613A944B-9245-4C6D-9CCE-5037AD552DED}" uniqueName="5" name="Событие" queryTableFieldId="27" dataDxfId="1030"/>
    <tableColumn id="7" xr3:uid="{FFEA85A5-3527-4483-91CE-57F760AB9F33}" uniqueName="7" name="Объект" queryTableFieldId="29" dataDxfId="1029"/>
    <tableColumn id="10" xr3:uid="{A2E2C27E-C1B2-4B74-A427-E1854B0E2C76}" uniqueName="10" name="Груз" queryTableFieldId="30" dataDxfId="1028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27"/>
    <tableColumn id="4" xr3:uid="{B2B57637-8A7D-4C5F-A6F8-E38F3EA43620}" uniqueName="4" name="Name" queryTableFieldId="14" dataDxfId="1026"/>
    <tableColumn id="1" xr3:uid="{79275791-6385-434B-9F1B-8BDC003824A7}" uniqueName="1" name="Folder Path" queryTableFieldId="11" dataDxfId="1025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24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23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04" tableType="queryTable" totalsRowShown="0">
  <autoFilter ref="A1:M304" xr:uid="{B468AF39-21AE-47BD-BA18-EADB2FC1D520}"/>
  <tableColumns count="13">
    <tableColumn id="11" xr3:uid="{6804E693-7D64-41A5-9B58-B7D348C4DC92}" uniqueName="11" name="День нед" queryTableFieldId="39" dataDxfId="1053"/>
    <tableColumn id="8" xr3:uid="{40827FD9-94EC-4CF6-B212-59CF3E913897}" uniqueName="8" name="Дата" queryTableFieldId="19" dataDxfId="1052"/>
    <tableColumn id="9" xr3:uid="{1F8E8ADE-5BFB-4171-9A0A-859E22042D3B}" uniqueName="9" name="Время" queryTableFieldId="20" dataDxfId="1051"/>
    <tableColumn id="5" xr3:uid="{9D19F2E1-3C70-4F2F-8ED7-6D41C17A9366}" uniqueName="5" name="Событие" queryTableFieldId="27" dataDxfId="1050"/>
    <tableColumn id="7" xr3:uid="{8C8CC69A-BA0A-4417-AE7D-B89E26F69F9B}" uniqueName="7" name="Объект" queryTableFieldId="29" dataDxfId="1049"/>
    <tableColumn id="10" xr3:uid="{375C36FB-077D-4AA3-B6F7-74ACE46C2638}" uniqueName="10" name="Груз" queryTableFieldId="30" dataDxfId="104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47"/>
    <tableColumn id="4" xr3:uid="{4A5BB282-D54C-4C68-A1D9-B3A819F9FCF6}" uniqueName="4" name="Name" queryTableFieldId="14" dataDxfId="1046"/>
    <tableColumn id="1" xr3:uid="{7BD19058-41FF-4EFE-8283-68501A5B1623}" uniqueName="1" name="Folder Path" queryTableFieldId="11" dataDxfId="104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44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09" tableType="queryTable" totalsRowShown="0">
  <autoFilter ref="A1:M209" xr:uid="{B468AF39-21AE-47BD-BA18-EADB2FC1D520}"/>
  <tableColumns count="13">
    <tableColumn id="11" xr3:uid="{8C7989A8-AE95-4BFB-859E-9F3F94DCD873}" uniqueName="11" name="День нед" queryTableFieldId="39" dataDxfId="1043"/>
    <tableColumn id="8" xr3:uid="{B651DAE5-1AB7-4761-9820-CB58DA0D9C46}" uniqueName="8" name="Дата" queryTableFieldId="19" dataDxfId="1042"/>
    <tableColumn id="9" xr3:uid="{22B6AE73-6E8B-4F81-B85C-3D141AD4D773}" uniqueName="9" name="Время" queryTableFieldId="20" dataDxfId="1041"/>
    <tableColumn id="5" xr3:uid="{CB5AF0FF-A861-4F29-BFD9-751A47066C68}" uniqueName="5" name="Событие" queryTableFieldId="27" dataDxfId="1040"/>
    <tableColumn id="7" xr3:uid="{63916370-0910-4B95-ABB4-D88865AA9E43}" uniqueName="7" name="Объект" queryTableFieldId="29" dataDxfId="1039"/>
    <tableColumn id="10" xr3:uid="{DDC7656E-7390-4778-A2CE-EEC7AC518263}" uniqueName="10" name="Груз" queryTableFieldId="30" dataDxfId="103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37"/>
    <tableColumn id="4" xr3:uid="{96665EED-E1B8-437C-869A-35CB5BA419D3}" uniqueName="4" name="Name" queryTableFieldId="14" dataDxfId="1036"/>
    <tableColumn id="1" xr3:uid="{1F225BD8-B59D-4058-9D99-17124C1F38FB}" uniqueName="1" name="Folder Path" queryTableFieldId="11" dataDxfId="103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3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90" tableType="queryTable" totalsRowShown="0">
  <tableColumns count="13">
    <tableColumn id="11" xr3:uid="{F25D1388-C4DF-49FB-9BF5-0132CEDCCAEA}" uniqueName="11" name="День нед" queryTableFieldId="39" dataDxfId="1022"/>
    <tableColumn id="8" xr3:uid="{9EDCCA26-9FD6-4F66-9134-186F89CA663B}" uniqueName="8" name="Дата" queryTableFieldId="19" dataDxfId="1021"/>
    <tableColumn id="9" xr3:uid="{FB005DB9-8D3C-48A5-94F1-246606C665DD}" uniqueName="9" name="Время" queryTableFieldId="20" dataDxfId="1020"/>
    <tableColumn id="5" xr3:uid="{6D19407C-64CF-4FC5-95E7-163AA12EB226}" uniqueName="5" name="Событие" queryTableFieldId="27" dataDxfId="1019"/>
    <tableColumn id="7" xr3:uid="{007BF834-0BCB-4416-8941-11DA4EDFCE5B}" uniqueName="7" name="Объект" queryTableFieldId="29" dataDxfId="1018"/>
    <tableColumn id="10" xr3:uid="{E896F002-4451-441D-B0CB-52AD69A6E5C3}" uniqueName="10" name="Груз" queryTableFieldId="30" dataDxfId="1017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16"/>
    <tableColumn id="4" xr3:uid="{9F6560FA-27F8-4BE9-BA58-3B0E40F582E5}" uniqueName="4" name="Name" queryTableFieldId="14" dataDxfId="1015"/>
    <tableColumn id="1" xr3:uid="{44892CD0-9118-4535-9434-E49462140346}" uniqueName="1" name="Folder Path" queryTableFieldId="11" dataDxfId="1014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1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86" tableType="queryTable" totalsRowShown="0">
  <tableColumns count="13">
    <tableColumn id="11" xr3:uid="{390CB009-E9E0-4C0F-93C3-AF6B408B816B}" uniqueName="11" name="День нед" queryTableFieldId="39" dataDxfId="1012"/>
    <tableColumn id="8" xr3:uid="{E0A1C296-A368-479C-9A74-85306B3C03D4}" uniqueName="8" name="Дата" queryTableFieldId="19" dataDxfId="1011"/>
    <tableColumn id="9" xr3:uid="{86401298-83EB-49D3-ACBA-E743586F5CCB}" uniqueName="9" name="Время" queryTableFieldId="20" dataDxfId="1010"/>
    <tableColumn id="5" xr3:uid="{FFB4F03A-A400-4544-A729-2375A1F7D5E8}" uniqueName="5" name="Событие" queryTableFieldId="27" dataDxfId="1009"/>
    <tableColumn id="7" xr3:uid="{D96DCF3C-D325-4D0C-94A1-DBE97CC5C9DC}" uniqueName="7" name="Объект" queryTableFieldId="29" dataDxfId="1008"/>
    <tableColumn id="10" xr3:uid="{76D99262-42F5-447E-95AC-9C2A84BF344C}" uniqueName="10" name="Груз" queryTableFieldId="30" dataDxfId="100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06"/>
    <tableColumn id="4" xr3:uid="{D16AEB37-7A8A-406F-8ED7-B8D53BAA9BD9}" uniqueName="4" name="Name" queryTableFieldId="14" dataDxfId="1005"/>
    <tableColumn id="1" xr3:uid="{1746BE5F-089A-476F-AE8D-5F2B27E9AEEA}" uniqueName="1" name="Folder Path" queryTableFieldId="11" dataDxfId="100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0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42" tableType="queryTable" totalsRowShown="0">
  <tableColumns count="13">
    <tableColumn id="11" xr3:uid="{45D23538-AB74-404E-8577-E2B7A36436AF}" uniqueName="11" name="День нед" queryTableFieldId="39" dataDxfId="1002"/>
    <tableColumn id="8" xr3:uid="{40B01B94-168F-4547-A2BC-AA7F91350AB3}" uniqueName="8" name="Дата" queryTableFieldId="19" dataDxfId="1001"/>
    <tableColumn id="9" xr3:uid="{A2C94EFB-3081-4BA9-85C2-DFF0455AFA43}" uniqueName="9" name="Время" queryTableFieldId="20" dataDxfId="1000"/>
    <tableColumn id="5" xr3:uid="{244D3D34-C9EC-4B9C-BE81-12A0C0BB4342}" uniqueName="5" name="Событие" queryTableFieldId="27" dataDxfId="999"/>
    <tableColumn id="7" xr3:uid="{C449A112-E8A8-4956-B85C-2BA12316F170}" uniqueName="7" name="Объект" queryTableFieldId="29" dataDxfId="998"/>
    <tableColumn id="10" xr3:uid="{C8411557-C312-4542-93DA-DF5949399E11}" uniqueName="10" name="Груз" queryTableFieldId="30" dataDxfId="99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96"/>
    <tableColumn id="4" xr3:uid="{6A396D44-0898-4737-A4C1-8D6D40981793}" uniqueName="4" name="Name" queryTableFieldId="14" dataDxfId="995"/>
    <tableColumn id="1" xr3:uid="{328F21C9-48B9-4081-9B8C-BBD168BD38D1}" uniqueName="1" name="Folder Path" queryTableFieldId="11" dataDxfId="99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9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69" tableType="queryTable" totalsRowShown="0">
  <tableColumns count="13">
    <tableColumn id="11" xr3:uid="{2311EAC9-4673-4BE2-ADB0-E8CEB0BD9945}" uniqueName="11" name="День нед" queryTableFieldId="39" dataDxfId="992"/>
    <tableColumn id="8" xr3:uid="{F1C9804A-F8E7-4755-B717-859265C587A2}" uniqueName="8" name="Дата" queryTableFieldId="19" dataDxfId="991"/>
    <tableColumn id="9" xr3:uid="{1C2BA522-8D4F-4713-849C-1F60357B476E}" uniqueName="9" name="Время" queryTableFieldId="20" dataDxfId="990"/>
    <tableColumn id="5" xr3:uid="{6E084A00-DC62-4E93-8ABC-4651FD4D2408}" uniqueName="5" name="Событие" queryTableFieldId="27" dataDxfId="989"/>
    <tableColumn id="7" xr3:uid="{C9F6EF14-DBE7-4655-9D20-5B253923C11E}" uniqueName="7" name="Объект" queryTableFieldId="29" dataDxfId="988"/>
    <tableColumn id="10" xr3:uid="{0ADEC0F9-9FE9-4E92-BD38-0B8CDDE1BDBD}" uniqueName="10" name="Груз" queryTableFieldId="30" dataDxfId="987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86"/>
    <tableColumn id="4" xr3:uid="{FE606B6B-0A78-44A2-B44F-54FBA553BAD6}" uniqueName="4" name="Name" queryTableFieldId="14" dataDxfId="985"/>
    <tableColumn id="1" xr3:uid="{34274AB2-665A-4EF1-8C79-4944C9C122A7}" uniqueName="1" name="Folder Path" queryTableFieldId="11" dataDxfId="984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983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387" tableType="queryTable" totalsRowShown="0">
  <tableColumns count="13">
    <tableColumn id="11" xr3:uid="{72CE202A-C56C-4D63-9F9F-0DFF72BB5190}" uniqueName="11" name="День нед" queryTableFieldId="39" dataDxfId="982"/>
    <tableColumn id="8" xr3:uid="{0D9F5C4C-70B0-46E2-9E29-649E206B6616}" uniqueName="8" name="Дата" queryTableFieldId="19" dataDxfId="981"/>
    <tableColumn id="9" xr3:uid="{7C8561D4-BD7D-493F-BC95-213F2D55F3FD}" uniqueName="9" name="Время" queryTableFieldId="20" dataDxfId="980"/>
    <tableColumn id="5" xr3:uid="{E48795B2-2732-4E4A-81E8-B1585581420B}" uniqueName="5" name="Событие" queryTableFieldId="27" dataDxfId="979"/>
    <tableColumn id="7" xr3:uid="{F684EE24-0636-4EC2-AB94-A65EA5355534}" uniqueName="7" name="Объект" queryTableFieldId="29" dataDxfId="978"/>
    <tableColumn id="10" xr3:uid="{0C1B5273-277F-4438-B52D-9F868AD13DEE}" uniqueName="10" name="Груз" queryTableFieldId="30" dataDxfId="97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76"/>
    <tableColumn id="4" xr3:uid="{729433F6-F4FD-435B-851D-D34CC9060068}" uniqueName="4" name="Name" queryTableFieldId="14" dataDxfId="975"/>
    <tableColumn id="1" xr3:uid="{7A9B9B80-B872-4A82-9D9D-98A75E20F89B}" uniqueName="1" name="Folder Path" queryTableFieldId="11" dataDxfId="97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7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89" tableType="queryTable" totalsRowShown="0">
  <tableColumns count="13">
    <tableColumn id="11" xr3:uid="{2CE691F0-1D02-41BD-8E81-7716875609CD}" uniqueName="11" name="День нед" queryTableFieldId="39" dataDxfId="972"/>
    <tableColumn id="8" xr3:uid="{1A2A3B97-F602-468E-8AD3-5DD492638A71}" uniqueName="8" name="Дата" queryTableFieldId="19" dataDxfId="971"/>
    <tableColumn id="9" xr3:uid="{E8725BDD-FF6C-47C3-9100-825160B93721}" uniqueName="9" name="Время" queryTableFieldId="20" dataDxfId="970"/>
    <tableColumn id="5" xr3:uid="{F68EB906-7F6F-4765-A5C8-9B40064179BE}" uniqueName="5" name="Событие" queryTableFieldId="27" dataDxfId="969"/>
    <tableColumn id="7" xr3:uid="{812FE0F9-0D7E-497C-893A-B104BA069155}" uniqueName="7" name="Объект" queryTableFieldId="29" dataDxfId="968"/>
    <tableColumn id="10" xr3:uid="{1679E688-A047-4936-9EBC-9BDCFEA4CD95}" uniqueName="10" name="Груз" queryTableFieldId="30" dataDxfId="96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66"/>
    <tableColumn id="4" xr3:uid="{F9F7F55E-2CCF-4A6B-892F-1C76C0668832}" uniqueName="4" name="Name" queryTableFieldId="14" dataDxfId="965"/>
    <tableColumn id="1" xr3:uid="{0AF9B05B-8D0E-4B8A-81D0-358A18429CE8}" uniqueName="1" name="Folder Path" queryTableFieldId="11" dataDxfId="96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6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11" tableType="queryTable" totalsRowShown="0">
  <tableColumns count="13">
    <tableColumn id="11" xr3:uid="{96A6BDDB-7ED5-4607-80F3-3FD842EAEE0A}" uniqueName="11" name="День нед" queryTableFieldId="39" dataDxfId="962"/>
    <tableColumn id="8" xr3:uid="{FBEC9ECA-BD5C-442E-BB86-7CCAEF9464D2}" uniqueName="8" name="Дата" queryTableFieldId="19" dataDxfId="961"/>
    <tableColumn id="9" xr3:uid="{68242AF7-BC60-4380-843B-35A6CC4A66E6}" uniqueName="9" name="Время" queryTableFieldId="20" dataDxfId="960"/>
    <tableColumn id="5" xr3:uid="{C98BCFD6-9DE9-4A28-B769-F5737933429D}" uniqueName="5" name="Событие" queryTableFieldId="27" dataDxfId="959"/>
    <tableColumn id="7" xr3:uid="{4D44F8D4-93A4-4851-894E-AC8CDD93BD71}" uniqueName="7" name="Объект" queryTableFieldId="29" dataDxfId="958"/>
    <tableColumn id="10" xr3:uid="{0A838B00-A88A-40EE-A542-7E8E08968D89}" uniqueName="10" name="Груз" queryTableFieldId="30" dataDxfId="957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56"/>
    <tableColumn id="4" xr3:uid="{4FA2E248-D5A3-4824-875F-C328FA9AC2F9}" uniqueName="4" name="Name" queryTableFieldId="14" dataDxfId="955"/>
    <tableColumn id="1" xr3:uid="{B01A6B83-82C4-4172-AD5B-D2AF410DBE1B}" uniqueName="1" name="Folder Path" queryTableFieldId="11" dataDxfId="954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5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53" tableType="queryTable" totalsRowShown="0">
  <tableColumns count="13">
    <tableColumn id="11" xr3:uid="{2AD64508-44AB-4871-8C82-4C5A1E5A5DD2}" uniqueName="11" name="День нед" queryTableFieldId="39" dataDxfId="942"/>
    <tableColumn id="8" xr3:uid="{C788117B-4896-492B-97B3-B2502F0537D8}" uniqueName="8" name="Дата" queryTableFieldId="19" dataDxfId="941"/>
    <tableColumn id="9" xr3:uid="{E3EF5757-6705-492A-BD76-A47D414757C0}" uniqueName="9" name="Время" queryTableFieldId="20" dataDxfId="940"/>
    <tableColumn id="5" xr3:uid="{EF049B28-F832-4F3D-AB4F-3C396920BF5B}" uniqueName="5" name="Событие" queryTableFieldId="27" dataDxfId="939"/>
    <tableColumn id="7" xr3:uid="{DDB63E42-2809-4377-A568-A326109989E9}" uniqueName="7" name="Объект" queryTableFieldId="29" dataDxfId="938"/>
    <tableColumn id="10" xr3:uid="{A4FCF3D3-582A-4DEF-8FB8-9D050C82517D}" uniqueName="10" name="Груз" queryTableFieldId="30" dataDxfId="93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36"/>
    <tableColumn id="4" xr3:uid="{DA63B8EC-3587-40B4-A86A-92B91C78723D}" uniqueName="4" name="Name" queryTableFieldId="14" dataDxfId="935"/>
    <tableColumn id="1" xr3:uid="{360C7476-DEC6-4377-8E95-D472C6673B12}" uniqueName="1" name="Folder Path" queryTableFieldId="11" dataDxfId="93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3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04" tableType="queryTable" totalsRowShown="0">
  <tableColumns count="13">
    <tableColumn id="11" xr3:uid="{C40005DE-8CA6-428A-9DF2-E715CC943F02}" uniqueName="11" name="День нед" queryTableFieldId="39" dataDxfId="952"/>
    <tableColumn id="8" xr3:uid="{55C75F47-F14F-483C-9C7A-95288D9463D6}" uniqueName="8" name="Дата" queryTableFieldId="19" dataDxfId="951"/>
    <tableColumn id="9" xr3:uid="{79D3981C-638A-4D64-BACB-D64D85DAC855}" uniqueName="9" name="Время" queryTableFieldId="20" dataDxfId="950"/>
    <tableColumn id="5" xr3:uid="{B0B848B5-29B2-4292-89A5-7DE5A2F72D15}" uniqueName="5" name="Событие" queryTableFieldId="27" dataDxfId="949"/>
    <tableColumn id="7" xr3:uid="{A9E0C8AC-2336-4969-BC3E-110E6C33529C}" uniqueName="7" name="Объект" queryTableFieldId="29" dataDxfId="948"/>
    <tableColumn id="10" xr3:uid="{F8691CA5-2689-452F-9550-C52E06B35BD6}" uniqueName="10" name="Груз" queryTableFieldId="30" dataDxfId="947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46"/>
    <tableColumn id="4" xr3:uid="{E9716AC2-8439-4E67-8698-BA6CD84F7B9C}" uniqueName="4" name="Name" queryTableFieldId="14" dataDxfId="945"/>
    <tableColumn id="1" xr3:uid="{9AB30DEC-91E3-4633-A156-B937B586CECB}" uniqueName="1" name="Folder Path" queryTableFieldId="11" dataDxfId="944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43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37" tableType="queryTable" totalsRowShown="0">
  <tableColumns count="13">
    <tableColumn id="11" xr3:uid="{B21CFC33-55C8-4073-BBD2-E0A5154A10D6}" uniqueName="11" name="День нед" queryTableFieldId="39" dataDxfId="932"/>
    <tableColumn id="8" xr3:uid="{004370C0-0D3C-4162-A392-32C741C3A58B}" uniqueName="8" name="Дата" queryTableFieldId="19" dataDxfId="931"/>
    <tableColumn id="9" xr3:uid="{6537DA5E-247D-44FB-ACE3-933B3C9B9408}" uniqueName="9" name="Время" queryTableFieldId="20" dataDxfId="930"/>
    <tableColumn id="5" xr3:uid="{4FA9309D-407E-48C1-B1F9-C33DEA7645B1}" uniqueName="5" name="Событие" queryTableFieldId="27" dataDxfId="929"/>
    <tableColumn id="7" xr3:uid="{76E54E9E-D730-4C99-9BF5-96E9384FF63C}" uniqueName="7" name="Объект" queryTableFieldId="29" dataDxfId="928"/>
    <tableColumn id="10" xr3:uid="{B9F78DE2-7938-486B-9BE2-F824D0E7A6C4}" uniqueName="10" name="Груз" queryTableFieldId="30" dataDxfId="92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26"/>
    <tableColumn id="4" xr3:uid="{921D28C1-5761-48A7-B447-6A4446F87545}" uniqueName="4" name="Name" queryTableFieldId="14" dataDxfId="925"/>
    <tableColumn id="1" xr3:uid="{F1A648C1-8DB5-4DEF-B011-BD85E17FCAA3}" uniqueName="1" name="Folder Path" queryTableFieldId="11" dataDxfId="92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2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13" tableType="queryTable" totalsRowShown="0">
  <tableColumns count="13">
    <tableColumn id="11" xr3:uid="{326CF8DE-8E4F-4540-A010-20CF489342A6}" uniqueName="11" name="День нед" queryTableFieldId="39" dataDxfId="922"/>
    <tableColumn id="8" xr3:uid="{B803C26B-EDF7-4F4B-99B7-759FDE206BB4}" uniqueName="8" name="Дата" queryTableFieldId="19" dataDxfId="921"/>
    <tableColumn id="9" xr3:uid="{691C5FBB-50CD-4B8E-845B-069A5BEF4054}" uniqueName="9" name="Время" queryTableFieldId="20" dataDxfId="920"/>
    <tableColumn id="5" xr3:uid="{963AEB35-E363-4027-9FA3-EA15F072700D}" uniqueName="5" name="Событие" queryTableFieldId="27" dataDxfId="919"/>
    <tableColumn id="7" xr3:uid="{9C2F1BAF-3932-43E9-9155-EA713BB0011D}" uniqueName="7" name="Объект" queryTableFieldId="29" dataDxfId="918"/>
    <tableColumn id="10" xr3:uid="{5D4CEE63-A195-4AD7-9985-38CAADCF8E9D}" uniqueName="10" name="Груз" queryTableFieldId="30" dataDxfId="917"/>
    <tableColumn id="13" xr3:uid="{7298E84C-ACAB-4631-8905-CF20AC72E0EA}" uniqueName="13" name="Кол-во" queryTableFieldId="31" dataDxfId="916"/>
    <tableColumn id="14" xr3:uid="{7C8EF3A5-15A6-4571-8EB7-C981C6BEB025}" uniqueName="14" name="Примечание" queryTableFieldId="32" dataDxfId="915"/>
    <tableColumn id="4" xr3:uid="{D4638119-06B9-4DD4-899F-6281EFBF2A28}" uniqueName="4" name="Name" queryTableFieldId="14" dataDxfId="914"/>
    <tableColumn id="1" xr3:uid="{53F21A0B-EBC8-48C0-B8DE-B46C5D45C7AE}" uniqueName="1" name="Folder Path" queryTableFieldId="11" dataDxfId="91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1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8" tableType="queryTable" totalsRowShown="0">
  <tableColumns count="13">
    <tableColumn id="11" xr3:uid="{0CFDC447-3A1C-4713-8714-972F5D0CA073}" uniqueName="11" name="День нед" queryTableFieldId="39" dataDxfId="911"/>
    <tableColumn id="8" xr3:uid="{0C391974-E2F5-4A95-A1CF-60789D499629}" uniqueName="8" name="Дата" queryTableFieldId="19" dataDxfId="910"/>
    <tableColumn id="9" xr3:uid="{FA3DAD09-E88C-4F5F-BF0D-4C339BEA0379}" uniqueName="9" name="Время" queryTableFieldId="20" dataDxfId="909"/>
    <tableColumn id="5" xr3:uid="{A64C6221-99CB-4F4A-8D59-9A565B539E8F}" uniqueName="5" name="Событие" queryTableFieldId="27" dataDxfId="908"/>
    <tableColumn id="7" xr3:uid="{A450DCE6-DF8B-4086-A9AC-461A34512F32}" uniqueName="7" name="Объект" queryTableFieldId="29" dataDxfId="907"/>
    <tableColumn id="10" xr3:uid="{10063D90-AC03-4F75-A11D-AC21D3D60004}" uniqueName="10" name="Груз" queryTableFieldId="30" dataDxfId="906"/>
    <tableColumn id="13" xr3:uid="{181B76AA-1C08-4D33-806D-1F2F74743310}" uniqueName="13" name="Кол-во" queryTableFieldId="31" dataDxfId="905"/>
    <tableColumn id="14" xr3:uid="{4521D51C-620E-4319-B053-8C6D64C3EDE6}" uniqueName="14" name="Примечание" queryTableFieldId="32" dataDxfId="904"/>
    <tableColumn id="4" xr3:uid="{D15D4B57-C607-4304-9179-11BE299FB124}" uniqueName="4" name="Name" queryTableFieldId="14" dataDxfId="903"/>
    <tableColumn id="1" xr3:uid="{A0C0E586-D0B7-448D-928A-8F553900221D}" uniqueName="1" name="Folder Path" queryTableFieldId="11" dataDxfId="902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01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161" tableType="queryTable" totalsRowShown="0">
  <tableColumns count="13">
    <tableColumn id="11" xr3:uid="{DBE515D3-C915-413E-AB17-4F456480DC24}" uniqueName="11" name="День нед" queryTableFieldId="39" dataDxfId="900"/>
    <tableColumn id="8" xr3:uid="{3F87D45A-256D-42F9-A0B8-BE1BF846E410}" uniqueName="8" name="Дата" queryTableFieldId="19" dataDxfId="899"/>
    <tableColumn id="9" xr3:uid="{465B1309-C725-4992-B63E-A70188E91281}" uniqueName="9" name="Время" queryTableFieldId="20" dataDxfId="898"/>
    <tableColumn id="5" xr3:uid="{50C1A202-1B56-40A2-AB13-2511D2291499}" uniqueName="5" name="Событие" queryTableFieldId="27" dataDxfId="897"/>
    <tableColumn id="7" xr3:uid="{FDB3318C-D13D-4B0B-9853-1EF40B58299A}" uniqueName="7" name="Объект" queryTableFieldId="29" dataDxfId="896"/>
    <tableColumn id="10" xr3:uid="{1CEBC306-6BF1-49C1-A704-CC239C79F10B}" uniqueName="10" name="Груз" queryTableFieldId="30" dataDxfId="895"/>
    <tableColumn id="13" xr3:uid="{3EE0C05E-6FF0-490E-B1B0-19B341DAD03E}" uniqueName="13" name="Кол-во" queryTableFieldId="31" dataDxfId="894"/>
    <tableColumn id="14" xr3:uid="{2D68CF85-753C-481D-8DC1-3B9EC9B7EC53}" uniqueName="14" name="Примечание" queryTableFieldId="32" dataDxfId="893"/>
    <tableColumn id="4" xr3:uid="{C8B35D61-7E66-45AB-93A9-51E52D8140C2}" uniqueName="4" name="Name" queryTableFieldId="14" dataDxfId="892"/>
    <tableColumn id="1" xr3:uid="{7D5853A1-56B3-42B3-9B8D-B85E9D9A2D1A}" uniqueName="1" name="Folder Path" queryTableFieldId="11" dataDxfId="89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89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76" tableType="queryTable" totalsRowShown="0">
  <tableColumns count="13">
    <tableColumn id="11" xr3:uid="{C2F51F72-E32B-452E-A758-54D19EA7554C}" uniqueName="11" name="День нед" queryTableFieldId="39" dataDxfId="23"/>
    <tableColumn id="8" xr3:uid="{5605969B-3DDA-4935-9901-BA1373284B0A}" uniqueName="8" name="Дата" queryTableFieldId="19" dataDxfId="22"/>
    <tableColumn id="9" xr3:uid="{D9EC7471-58C0-46C9-8780-F73898B23AC2}" uniqueName="9" name="Время" queryTableFieldId="20" dataDxfId="21"/>
    <tableColumn id="5" xr3:uid="{96518AE6-7E5C-4C8D-B54C-F54D11234D6C}" uniqueName="5" name="Событие" queryTableFieldId="27" dataDxfId="20"/>
    <tableColumn id="7" xr3:uid="{F862865E-2F4F-4BAD-8D28-E2820B418659}" uniqueName="7" name="Объект" queryTableFieldId="29" dataDxfId="19"/>
    <tableColumn id="10" xr3:uid="{476FE760-4B7E-4311-B61C-EB76222CEA80}" uniqueName="10" name="Груз" queryTableFieldId="30" dataDxfId="18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6"/>
    <tableColumn id="4" xr3:uid="{F032B895-AD2B-487F-A174-968F9099A5EC}" uniqueName="4" name="Name" queryTableFieldId="14" dataDxfId="15"/>
    <tableColumn id="1" xr3:uid="{EDB0C229-E24E-4FEA-A0EA-4864FD102E8A}" uniqueName="1" name="Folder Path" queryTableFieldId="11" dataDxfId="1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5180" totalsRowShown="0">
  <autoFilter ref="A1:G518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2"/>
    <tableColumn id="8" xr3:uid="{60928C38-9593-43BD-B23F-A707A8BA6BF4}" uniqueName="8" name="Дата" queryTableFieldId="19" dataDxfId="11"/>
    <tableColumn id="9" xr3:uid="{9E5D4465-E1ED-428A-B708-C10ADDB65305}" uniqueName="9" name="Время" queryTableFieldId="20" dataDxfId="10"/>
    <tableColumn id="5" xr3:uid="{A9911CA3-0E83-4156-B13A-725D5483CB80}" uniqueName="5" name="Событие" queryTableFieldId="27" dataDxfId="1063"/>
    <tableColumn id="7" xr3:uid="{22ACAF1F-F285-43EB-B67C-1DAA0609E04C}" uniqueName="7" name="Объект" queryTableFieldId="29" dataDxfId="1062"/>
    <tableColumn id="10" xr3:uid="{8E679C38-5159-496B-8534-CDFA63A95BDF}" uniqueName="10" name="Груз" queryTableFieldId="30" dataDxfId="1061"/>
    <tableColumn id="13" xr3:uid="{A06491EC-5198-4E5F-9576-1A3B2FF455BF}" uniqueName="13" name="Кол-во" queryTableFieldId="31" dataDxfId="9"/>
    <tableColumn id="14" xr3:uid="{881B0B85-064A-4D8F-922A-E2F2D20FE30E}" uniqueName="14" name="Примечание" queryTableFieldId="32" dataDxfId="1060"/>
    <tableColumn id="4" xr3:uid="{83859021-3431-4733-9E28-9475D80139E8}" uniqueName="4" name="Name" queryTableFieldId="14" dataDxfId="1059"/>
    <tableColumn id="1" xr3:uid="{F6AD7BBE-7CE0-4E30-97C2-B8AA8EFFB52B}" uniqueName="1" name="Folder Path" queryTableFieldId="11" dataDxfId="1058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63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57"/>
    <tableColumn id="10" xr3:uid="{37082223-0A57-495F-97B8-0BCE1F173A2E}" uniqueName="10" name="Folder Path" queryTableFieldId="10" dataDxfId="105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55"/>
    <tableColumn id="10" xr3:uid="{2646CF32-E994-4A14-AEA5-9E938118AF27}" uniqueName="10" name="Folder Path" queryTableFieldId="10" dataDxfId="1054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74"/>
  <sheetViews>
    <sheetView tabSelected="1" zoomScale="90" zoomScaleNormal="90" workbookViewId="0">
      <pane ySplit="1" topLeftCell="A255" activePane="bottomLeft" state="frozen"/>
      <selection pane="bottomLeft" activeCell="D280" sqref="D28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8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8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8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8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8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8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8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8" t="s">
        <v>62</v>
      </c>
      <c r="E10" s="8" t="s">
        <v>67</v>
      </c>
      <c r="F10" s="8" t="s">
        <v>405</v>
      </c>
      <c r="H10" s="8"/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8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8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8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8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8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8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8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8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8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8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8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8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8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8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8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8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8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8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8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8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8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8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8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8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8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8" t="s">
        <v>91</v>
      </c>
      <c r="E40" s="8" t="s">
        <v>56</v>
      </c>
      <c r="F40" s="8" t="s">
        <v>1603</v>
      </c>
      <c r="H40" s="8"/>
      <c r="I40" s="8" t="s">
        <v>898</v>
      </c>
      <c r="J40" s="8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8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8" t="s">
        <v>62</v>
      </c>
      <c r="E41" s="8" t="s">
        <v>55</v>
      </c>
      <c r="F41" s="8" t="s">
        <v>1603</v>
      </c>
      <c r="H41" s="8"/>
      <c r="I41" s="8" t="s">
        <v>899</v>
      </c>
      <c r="J41" s="8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8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8" t="s">
        <v>91</v>
      </c>
      <c r="E42" s="8" t="s">
        <v>1604</v>
      </c>
      <c r="F42" s="8"/>
      <c r="H42" s="8"/>
      <c r="I42" s="8" t="s">
        <v>900</v>
      </c>
      <c r="J42" s="8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8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8" t="s">
        <v>62</v>
      </c>
      <c r="E43" s="8" t="s">
        <v>1604</v>
      </c>
      <c r="F43" s="8"/>
      <c r="H43" s="8"/>
      <c r="I43" s="8" t="s">
        <v>901</v>
      </c>
      <c r="J43" s="8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8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8" t="s">
        <v>91</v>
      </c>
      <c r="E44" s="8" t="s">
        <v>1605</v>
      </c>
      <c r="F44" s="8"/>
      <c r="H44" s="8"/>
      <c r="I44" s="8" t="s">
        <v>902</v>
      </c>
      <c r="J44" s="8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8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8" t="s">
        <v>91</v>
      </c>
      <c r="E45" s="8" t="s">
        <v>55</v>
      </c>
      <c r="F45" s="8" t="s">
        <v>1603</v>
      </c>
      <c r="H45" s="8"/>
      <c r="I45" s="8" t="s">
        <v>903</v>
      </c>
      <c r="J45" s="8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8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8" t="s">
        <v>62</v>
      </c>
      <c r="E46" s="8" t="s">
        <v>56</v>
      </c>
      <c r="F46" s="8" t="s">
        <v>165</v>
      </c>
      <c r="H46" s="8"/>
      <c r="I46" s="8" t="s">
        <v>1606</v>
      </c>
      <c r="J46" s="8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8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8" t="s">
        <v>62</v>
      </c>
      <c r="E47" s="8" t="s">
        <v>1605</v>
      </c>
      <c r="F47" s="8"/>
      <c r="H47" s="8"/>
      <c r="I47" s="8" t="s">
        <v>904</v>
      </c>
      <c r="J47" s="8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8" t="s">
        <v>1607</v>
      </c>
      <c r="E48" s="8"/>
      <c r="F48" s="8"/>
      <c r="H48" s="8"/>
      <c r="I48" s="8" t="s">
        <v>1644</v>
      </c>
      <c r="J48" s="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1645</v>
      </c>
      <c r="J49" s="8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1646</v>
      </c>
      <c r="J50" s="8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8" t="s">
        <v>64</v>
      </c>
      <c r="E51" s="8" t="s">
        <v>2336</v>
      </c>
      <c r="F51" s="8" t="s">
        <v>2337</v>
      </c>
      <c r="H51" s="8"/>
      <c r="I51" s="8" t="s">
        <v>1647</v>
      </c>
      <c r="J51" s="8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8" t="s">
        <v>62</v>
      </c>
      <c r="E52" s="8" t="s">
        <v>2336</v>
      </c>
      <c r="F52" s="8" t="s">
        <v>2338</v>
      </c>
      <c r="H52" s="8"/>
      <c r="I52" s="8" t="s">
        <v>1648</v>
      </c>
      <c r="J52" s="8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8" t="s">
        <v>62</v>
      </c>
      <c r="E53" s="8" t="s">
        <v>2339</v>
      </c>
      <c r="F53" s="8" t="s">
        <v>58</v>
      </c>
      <c r="H53" s="8"/>
      <c r="I53" s="8" t="s">
        <v>1649</v>
      </c>
      <c r="J53" s="8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1650</v>
      </c>
      <c r="J54" s="8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1651</v>
      </c>
      <c r="J55" s="8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8" t="s">
        <v>91</v>
      </c>
      <c r="E56" s="8" t="s">
        <v>1605</v>
      </c>
      <c r="F56" s="8"/>
      <c r="H56" s="8"/>
      <c r="I56" s="8" t="s">
        <v>1652</v>
      </c>
      <c r="J56" s="8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8" t="s">
        <v>62</v>
      </c>
      <c r="E57" s="8" t="s">
        <v>1605</v>
      </c>
      <c r="F57" s="8"/>
      <c r="H57" s="8"/>
      <c r="I57" s="8" t="s">
        <v>1653</v>
      </c>
      <c r="J57" s="8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8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8" t="s">
        <v>1607</v>
      </c>
      <c r="E58" s="8"/>
      <c r="F58" s="8"/>
      <c r="H58" s="8"/>
      <c r="I58" s="8" t="s">
        <v>1654</v>
      </c>
      <c r="J58" s="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8" t="s">
        <v>91</v>
      </c>
      <c r="E59" s="8" t="s">
        <v>70</v>
      </c>
      <c r="F59" s="8"/>
      <c r="H59" s="8"/>
      <c r="I59" s="8" t="s">
        <v>1655</v>
      </c>
      <c r="J59" s="8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8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8" t="s">
        <v>62</v>
      </c>
      <c r="E60" s="8" t="s">
        <v>70</v>
      </c>
      <c r="F60" s="8"/>
      <c r="H60" s="8" t="s">
        <v>2340</v>
      </c>
      <c r="I60" s="8" t="s">
        <v>1656</v>
      </c>
      <c r="J60" s="8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8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8" t="s">
        <v>1607</v>
      </c>
      <c r="E61" s="8"/>
      <c r="F61" s="8"/>
      <c r="H61" s="8"/>
      <c r="I61" s="8" t="s">
        <v>1657</v>
      </c>
      <c r="J61" s="8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8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8" t="s">
        <v>1607</v>
      </c>
      <c r="E62" s="8"/>
      <c r="F62" s="8"/>
      <c r="H62" s="8"/>
      <c r="I62" s="8" t="s">
        <v>1658</v>
      </c>
      <c r="J62" s="8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8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8" t="s">
        <v>91</v>
      </c>
      <c r="E63" s="8" t="s">
        <v>70</v>
      </c>
      <c r="F63" s="8"/>
      <c r="H63" s="8"/>
      <c r="I63" s="8" t="s">
        <v>2405</v>
      </c>
      <c r="J63" s="8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8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8" t="s">
        <v>62</v>
      </c>
      <c r="E64" s="8" t="s">
        <v>70</v>
      </c>
      <c r="F64" s="8"/>
      <c r="H64" s="8"/>
      <c r="I64" s="8" t="s">
        <v>2407</v>
      </c>
      <c r="J64" s="8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8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8" t="s">
        <v>2421</v>
      </c>
      <c r="E65" s="8" t="s">
        <v>1274</v>
      </c>
      <c r="F65" s="8" t="s">
        <v>2345</v>
      </c>
      <c r="H65" s="8"/>
      <c r="I65" s="8" t="s">
        <v>2409</v>
      </c>
      <c r="J65" s="8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8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2411</v>
      </c>
      <c r="J66" s="8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8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2413</v>
      </c>
      <c r="J67" s="8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8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2415</v>
      </c>
      <c r="J68" s="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8" t="s">
        <v>2422</v>
      </c>
      <c r="E69" s="8" t="s">
        <v>70</v>
      </c>
      <c r="F69" s="8" t="s">
        <v>58</v>
      </c>
      <c r="H69" s="8"/>
      <c r="I69" s="8" t="s">
        <v>2417</v>
      </c>
      <c r="J69" s="8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8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8" t="s">
        <v>2422</v>
      </c>
      <c r="E70" s="8" t="s">
        <v>70</v>
      </c>
      <c r="F70" s="8" t="s">
        <v>58</v>
      </c>
      <c r="H70" s="8" t="s">
        <v>2352</v>
      </c>
      <c r="I70" s="8" t="s">
        <v>2419</v>
      </c>
      <c r="J70" s="8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8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8" t="s">
        <v>3355</v>
      </c>
      <c r="E71" s="8" t="s">
        <v>3357</v>
      </c>
      <c r="F71" s="8" t="s">
        <v>51</v>
      </c>
      <c r="H71" s="8"/>
      <c r="I71" s="8" t="s">
        <v>2550</v>
      </c>
      <c r="J71" s="8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8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8" t="s">
        <v>85</v>
      </c>
      <c r="E72" s="8" t="s">
        <v>3357</v>
      </c>
      <c r="F72" s="8" t="s">
        <v>58</v>
      </c>
      <c r="H72" s="8"/>
      <c r="I72" s="8" t="s">
        <v>2552</v>
      </c>
      <c r="J72" s="8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8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8" t="s">
        <v>91</v>
      </c>
      <c r="E73" s="8" t="s">
        <v>3357</v>
      </c>
      <c r="F73" s="8" t="s">
        <v>58</v>
      </c>
      <c r="H73" s="8"/>
      <c r="I73" s="8" t="s">
        <v>2554</v>
      </c>
      <c r="J73" s="8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8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8" t="s">
        <v>62</v>
      </c>
      <c r="E74" s="8" t="s">
        <v>3357</v>
      </c>
      <c r="F74" s="8" t="s">
        <v>58</v>
      </c>
      <c r="H74" s="8"/>
      <c r="I74" s="8" t="s">
        <v>2556</v>
      </c>
      <c r="J74" s="8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8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8" t="s">
        <v>3355</v>
      </c>
      <c r="E75" s="8" t="s">
        <v>3356</v>
      </c>
      <c r="F75" s="8"/>
      <c r="H75" s="8"/>
      <c r="I75" s="8" t="s">
        <v>2558</v>
      </c>
      <c r="J75" s="8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8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8" t="s">
        <v>85</v>
      </c>
      <c r="E76" s="8" t="s">
        <v>3356</v>
      </c>
      <c r="F76" s="8"/>
      <c r="H76" s="8"/>
      <c r="I76" s="8" t="s">
        <v>2560</v>
      </c>
      <c r="J76" s="8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8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8" t="s">
        <v>64</v>
      </c>
      <c r="E77" s="8" t="s">
        <v>3358</v>
      </c>
      <c r="F77" s="8"/>
      <c r="H77" s="8"/>
      <c r="I77" s="8" t="s">
        <v>2562</v>
      </c>
      <c r="J77" s="8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8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8" t="s">
        <v>85</v>
      </c>
      <c r="E78" s="8" t="s">
        <v>3358</v>
      </c>
      <c r="F78" s="8"/>
      <c r="H78" s="8"/>
      <c r="I78" s="8" t="s">
        <v>2564</v>
      </c>
      <c r="J78" s="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8" t="s">
        <v>91</v>
      </c>
      <c r="E79" s="8" t="s">
        <v>3359</v>
      </c>
      <c r="F79" s="8" t="s">
        <v>51</v>
      </c>
      <c r="H79" s="8"/>
      <c r="I79" s="8" t="s">
        <v>2566</v>
      </c>
      <c r="J79" s="8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8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8" t="s">
        <v>91</v>
      </c>
      <c r="E80" s="8" t="s">
        <v>3360</v>
      </c>
      <c r="F80" s="8" t="s">
        <v>51</v>
      </c>
      <c r="H80" s="8"/>
      <c r="I80" s="8" t="s">
        <v>2568</v>
      </c>
      <c r="J80" s="8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8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8" t="s">
        <v>91</v>
      </c>
      <c r="E81" s="8" t="s">
        <v>3359</v>
      </c>
      <c r="F81" s="8" t="s">
        <v>3361</v>
      </c>
      <c r="H81" s="8" t="s">
        <v>3362</v>
      </c>
      <c r="I81" s="8" t="s">
        <v>2570</v>
      </c>
      <c r="J81" s="8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8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8" t="s">
        <v>62</v>
      </c>
      <c r="E82" s="8" t="s">
        <v>3359</v>
      </c>
      <c r="F82" s="8" t="s">
        <v>3361</v>
      </c>
      <c r="H82" s="8"/>
      <c r="I82" s="8" t="s">
        <v>2572</v>
      </c>
      <c r="J82" s="8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8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3417</v>
      </c>
      <c r="J83" s="8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8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3419</v>
      </c>
      <c r="J84" s="8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8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8" t="s">
        <v>91</v>
      </c>
      <c r="E85" s="8" t="s">
        <v>3359</v>
      </c>
      <c r="F85" s="8" t="s">
        <v>1276</v>
      </c>
      <c r="H85" s="8" t="s">
        <v>4068</v>
      </c>
      <c r="I85" s="8" t="s">
        <v>3525</v>
      </c>
      <c r="J85" s="8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8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8" t="s">
        <v>62</v>
      </c>
      <c r="E86" s="8" t="s">
        <v>3359</v>
      </c>
      <c r="F86" s="8" t="s">
        <v>51</v>
      </c>
      <c r="H86" s="8" t="s">
        <v>4069</v>
      </c>
      <c r="I86" s="8" t="s">
        <v>3527</v>
      </c>
      <c r="J86" s="8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8" t="s">
        <v>91</v>
      </c>
      <c r="E87" s="8" t="s">
        <v>70</v>
      </c>
      <c r="F87" s="8" t="s">
        <v>4070</v>
      </c>
      <c r="H87" s="8"/>
      <c r="I87" s="8" t="s">
        <v>3529</v>
      </c>
      <c r="J87" s="8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8" t="s">
        <v>62</v>
      </c>
      <c r="E88" s="8" t="s">
        <v>70</v>
      </c>
      <c r="F88" s="8" t="s">
        <v>4070</v>
      </c>
      <c r="H88" s="8"/>
      <c r="I88" s="8" t="s">
        <v>3531</v>
      </c>
      <c r="J88" s="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8" t="s">
        <v>91</v>
      </c>
      <c r="E89" s="8" t="s">
        <v>70</v>
      </c>
      <c r="F89" s="8" t="s">
        <v>4070</v>
      </c>
      <c r="H89" s="8"/>
      <c r="I89" s="8" t="s">
        <v>3533</v>
      </c>
      <c r="J89" s="8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8" t="s">
        <v>62</v>
      </c>
      <c r="E90" s="8" t="s">
        <v>70</v>
      </c>
      <c r="F90" s="8" t="s">
        <v>4070</v>
      </c>
      <c r="H90" s="8"/>
      <c r="I90" s="8" t="s">
        <v>3535</v>
      </c>
      <c r="J90" s="8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8" t="s">
        <v>1607</v>
      </c>
      <c r="E91" s="8"/>
      <c r="F91" s="8"/>
      <c r="H91" s="8"/>
      <c r="I91" s="8" t="s">
        <v>3537</v>
      </c>
      <c r="J91" s="8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8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8" t="s">
        <v>91</v>
      </c>
      <c r="E92" s="8" t="s">
        <v>70</v>
      </c>
      <c r="F92" s="8" t="s">
        <v>4070</v>
      </c>
      <c r="H92" s="8"/>
      <c r="I92" s="8" t="s">
        <v>3539</v>
      </c>
      <c r="J92" s="8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8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8" t="s">
        <v>62</v>
      </c>
      <c r="E93" s="8" t="s">
        <v>70</v>
      </c>
      <c r="F93" s="8" t="s">
        <v>4070</v>
      </c>
      <c r="H93" s="8"/>
      <c r="I93" s="8" t="s">
        <v>3541</v>
      </c>
      <c r="J93" s="8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8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8" t="s">
        <v>91</v>
      </c>
      <c r="E94" s="8" t="s">
        <v>70</v>
      </c>
      <c r="F94" s="8" t="s">
        <v>4070</v>
      </c>
      <c r="H94" s="8"/>
      <c r="I94" s="8" t="s">
        <v>3543</v>
      </c>
      <c r="J94" s="8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8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8" t="s">
        <v>62</v>
      </c>
      <c r="E95" s="8" t="s">
        <v>70</v>
      </c>
      <c r="F95" s="8" t="s">
        <v>4070</v>
      </c>
      <c r="H95" s="8"/>
      <c r="I95" s="8" t="s">
        <v>3545</v>
      </c>
      <c r="J95" s="8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8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3547</v>
      </c>
      <c r="J96" s="8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8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8" t="s">
        <v>91</v>
      </c>
      <c r="E97" s="8" t="s">
        <v>55</v>
      </c>
      <c r="F97" s="8" t="s">
        <v>4071</v>
      </c>
      <c r="H97" s="8"/>
      <c r="I97" s="8" t="s">
        <v>3549</v>
      </c>
      <c r="J97" s="8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8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8" t="s">
        <v>91</v>
      </c>
      <c r="E98" s="8" t="s">
        <v>70</v>
      </c>
      <c r="F98" s="8" t="s">
        <v>4070</v>
      </c>
      <c r="H98" s="8"/>
      <c r="I98" s="8" t="s">
        <v>3551</v>
      </c>
      <c r="J98" s="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8" t="s">
        <v>62</v>
      </c>
      <c r="E99" s="8" t="s">
        <v>70</v>
      </c>
      <c r="F99" s="8" t="s">
        <v>4070</v>
      </c>
      <c r="H99" s="8"/>
      <c r="I99" s="8" t="s">
        <v>3553</v>
      </c>
      <c r="J99" s="8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8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8" t="s">
        <v>1607</v>
      </c>
      <c r="E100" s="8"/>
      <c r="F100" s="8"/>
      <c r="H100" s="8"/>
      <c r="I100" s="8" t="s">
        <v>3555</v>
      </c>
      <c r="J100" s="8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8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8" t="s">
        <v>91</v>
      </c>
      <c r="E101" s="8" t="s">
        <v>4232</v>
      </c>
      <c r="F101" s="8" t="s">
        <v>51</v>
      </c>
      <c r="H101" s="8"/>
      <c r="I101" s="8" t="s">
        <v>4137</v>
      </c>
      <c r="J101" s="8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8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8" t="s">
        <v>62</v>
      </c>
      <c r="E102" s="8" t="s">
        <v>4232</v>
      </c>
      <c r="F102" s="8" t="s">
        <v>4233</v>
      </c>
      <c r="H102" s="8" t="s">
        <v>4234</v>
      </c>
      <c r="I102" s="8" t="s">
        <v>4139</v>
      </c>
      <c r="J102" s="8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8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8" t="s">
        <v>64</v>
      </c>
      <c r="E103" s="8" t="s">
        <v>3358</v>
      </c>
      <c r="F103" s="8" t="s">
        <v>4070</v>
      </c>
      <c r="H103" s="8"/>
      <c r="I103" s="8" t="s">
        <v>4244</v>
      </c>
      <c r="J103" s="8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8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8" t="s">
        <v>85</v>
      </c>
      <c r="E104" s="8" t="s">
        <v>3358</v>
      </c>
      <c r="F104" s="8" t="s">
        <v>4070</v>
      </c>
      <c r="H104" s="8"/>
      <c r="I104" s="8" t="s">
        <v>4246</v>
      </c>
      <c r="J104" s="8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8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8" t="s">
        <v>64</v>
      </c>
      <c r="E105" s="8" t="s">
        <v>3358</v>
      </c>
      <c r="F105" s="8" t="s">
        <v>4070</v>
      </c>
      <c r="H105" s="8"/>
      <c r="I105" s="8" t="s">
        <v>4397</v>
      </c>
      <c r="J105" s="8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8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8" t="s">
        <v>85</v>
      </c>
      <c r="E106" s="8" t="s">
        <v>3358</v>
      </c>
      <c r="F106" s="8" t="s">
        <v>4070</v>
      </c>
      <c r="H106" s="8"/>
      <c r="I106" s="8" t="s">
        <v>4399</v>
      </c>
      <c r="J106" s="8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8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8" t="s">
        <v>91</v>
      </c>
      <c r="E107" s="8" t="s">
        <v>4413</v>
      </c>
      <c r="F107" s="8" t="s">
        <v>51</v>
      </c>
      <c r="H107" s="8"/>
      <c r="I107" s="8" t="s">
        <v>4401</v>
      </c>
      <c r="J107" s="8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8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8" t="s">
        <v>2422</v>
      </c>
      <c r="E108" s="8" t="s">
        <v>4413</v>
      </c>
      <c r="F108" s="8" t="s">
        <v>51</v>
      </c>
      <c r="H108" s="8"/>
      <c r="I108" s="8" t="s">
        <v>4403</v>
      </c>
      <c r="J108" s="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8" t="s">
        <v>64</v>
      </c>
      <c r="E109" s="8" t="s">
        <v>3358</v>
      </c>
      <c r="F109" s="8" t="s">
        <v>4070</v>
      </c>
      <c r="H109" s="8"/>
      <c r="I109" s="8" t="s">
        <v>4405</v>
      </c>
      <c r="J109" s="8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8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8" t="s">
        <v>85</v>
      </c>
      <c r="E110" s="8" t="s">
        <v>3358</v>
      </c>
      <c r="F110" s="8" t="s">
        <v>4070</v>
      </c>
      <c r="H110" s="8"/>
      <c r="I110" s="8" t="s">
        <v>4407</v>
      </c>
      <c r="J110" s="8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8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8" t="s">
        <v>64</v>
      </c>
      <c r="E111" s="8" t="s">
        <v>3358</v>
      </c>
      <c r="F111" s="8" t="s">
        <v>4070</v>
      </c>
      <c r="H111" s="8"/>
      <c r="I111" s="8" t="s">
        <v>4409</v>
      </c>
      <c r="J111" s="8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8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8" t="s">
        <v>85</v>
      </c>
      <c r="E112" s="8" t="s">
        <v>3358</v>
      </c>
      <c r="F112" s="8" t="s">
        <v>4070</v>
      </c>
      <c r="H112" s="8"/>
      <c r="I112" s="8" t="s">
        <v>4411</v>
      </c>
      <c r="J112" s="8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8" t="s">
        <v>1607</v>
      </c>
      <c r="E113" s="8" t="s">
        <v>8</v>
      </c>
      <c r="F113" s="8"/>
      <c r="H113" s="8"/>
      <c r="I113" s="8" t="s">
        <v>4663</v>
      </c>
      <c r="J113" s="8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4665</v>
      </c>
      <c r="J114" s="8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8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8" t="s">
        <v>62</v>
      </c>
      <c r="E115" s="8" t="s">
        <v>4917</v>
      </c>
      <c r="F115" s="8" t="s">
        <v>58</v>
      </c>
      <c r="H115" s="8" t="s">
        <v>4914</v>
      </c>
      <c r="I115" s="8" t="s">
        <v>4802</v>
      </c>
      <c r="J115" s="8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8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8" t="s">
        <v>91</v>
      </c>
      <c r="E116" s="8" t="s">
        <v>4916</v>
      </c>
      <c r="F116" s="8" t="s">
        <v>51</v>
      </c>
      <c r="H116" s="8"/>
      <c r="I116" s="8" t="s">
        <v>4804</v>
      </c>
      <c r="J116" s="8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8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8" t="s">
        <v>91</v>
      </c>
      <c r="E117" s="8" t="s">
        <v>4915</v>
      </c>
      <c r="F117" s="8" t="s">
        <v>51</v>
      </c>
      <c r="H117" s="8"/>
      <c r="I117" s="8" t="s">
        <v>4806</v>
      </c>
      <c r="J117" s="8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8" t="s">
        <v>62</v>
      </c>
      <c r="E118" s="8" t="s">
        <v>4916</v>
      </c>
      <c r="F118" s="8" t="s">
        <v>51</v>
      </c>
      <c r="H118" s="8"/>
      <c r="I118" s="8" t="s">
        <v>4808</v>
      </c>
      <c r="J118" s="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8" t="s">
        <v>2422</v>
      </c>
      <c r="E119" s="8" t="s">
        <v>4915</v>
      </c>
      <c r="F119" s="8" t="s">
        <v>51</v>
      </c>
      <c r="H119" s="8"/>
      <c r="I119" s="8" t="s">
        <v>4810</v>
      </c>
      <c r="J119" s="8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8" t="s">
        <v>91</v>
      </c>
      <c r="E120" s="8" t="s">
        <v>4917</v>
      </c>
      <c r="F120" s="8" t="s">
        <v>58</v>
      </c>
      <c r="H120" s="8"/>
      <c r="I120" s="8" t="s">
        <v>4812</v>
      </c>
      <c r="J120" s="8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8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8" t="s">
        <v>62</v>
      </c>
      <c r="E121" s="8" t="s">
        <v>4917</v>
      </c>
      <c r="F121" s="8" t="s">
        <v>4918</v>
      </c>
      <c r="H121" s="8" t="s">
        <v>4919</v>
      </c>
      <c r="I121" s="8" t="s">
        <v>4814</v>
      </c>
      <c r="J121" s="8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8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8" t="s">
        <v>1607</v>
      </c>
      <c r="E122" s="8" t="s">
        <v>4994</v>
      </c>
      <c r="F122" s="8"/>
      <c r="H122" s="8" t="s">
        <v>4993</v>
      </c>
      <c r="I122" s="8" t="s">
        <v>4946</v>
      </c>
      <c r="J122" s="8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8" t="s">
        <v>64</v>
      </c>
      <c r="E123" s="8" t="s">
        <v>3358</v>
      </c>
      <c r="F123" s="8" t="s">
        <v>4070</v>
      </c>
      <c r="H123" s="8"/>
      <c r="I123" s="8" t="s">
        <v>4995</v>
      </c>
      <c r="J123" s="8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8" t="s">
        <v>91</v>
      </c>
      <c r="E124" s="8" t="s">
        <v>5045</v>
      </c>
      <c r="F124" s="8" t="s">
        <v>51</v>
      </c>
      <c r="H124" s="8"/>
      <c r="I124" s="8" t="s">
        <v>5059</v>
      </c>
      <c r="J124" s="8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8" t="s">
        <v>85</v>
      </c>
      <c r="E125" s="8" t="s">
        <v>5045</v>
      </c>
      <c r="F125" s="8" t="s">
        <v>58</v>
      </c>
      <c r="H125" s="8" t="s">
        <v>1287</v>
      </c>
      <c r="I125" s="8" t="s">
        <v>4997</v>
      </c>
      <c r="J125" s="8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8" t="s">
        <v>85</v>
      </c>
      <c r="E126" s="8" t="s">
        <v>5045</v>
      </c>
      <c r="F126" s="8" t="s">
        <v>58</v>
      </c>
      <c r="H126" s="8" t="s">
        <v>2352</v>
      </c>
      <c r="I126" s="8" t="s">
        <v>4999</v>
      </c>
      <c r="J126" s="8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8" t="s">
        <v>62</v>
      </c>
      <c r="E127" s="8" t="s">
        <v>70</v>
      </c>
      <c r="F127" s="8"/>
      <c r="H127" s="8"/>
      <c r="I127" s="8" t="s">
        <v>5001</v>
      </c>
      <c r="J127" s="8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8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8" t="s">
        <v>91</v>
      </c>
      <c r="E128" s="8" t="s">
        <v>70</v>
      </c>
      <c r="F128" s="8"/>
      <c r="H128" s="8"/>
      <c r="I128" s="8" t="s">
        <v>5003</v>
      </c>
      <c r="J128" s="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8" t="s">
        <v>85</v>
      </c>
      <c r="E129" s="8" t="s">
        <v>3358</v>
      </c>
      <c r="F129" s="8" t="s">
        <v>4070</v>
      </c>
      <c r="H129" s="8"/>
      <c r="I129" s="8" t="s">
        <v>5005</v>
      </c>
      <c r="J129" s="8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8" t="s">
        <v>91</v>
      </c>
      <c r="E130" s="8" t="s">
        <v>5310</v>
      </c>
      <c r="F130" s="8" t="s">
        <v>51</v>
      </c>
      <c r="H130" s="8"/>
      <c r="I130" s="8" t="s">
        <v>5218</v>
      </c>
      <c r="J130" s="8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8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8" t="s">
        <v>62</v>
      </c>
      <c r="E131" s="8" t="s">
        <v>5310</v>
      </c>
      <c r="F131" s="8" t="s">
        <v>5311</v>
      </c>
      <c r="H131" s="8"/>
      <c r="I131" s="8" t="s">
        <v>5220</v>
      </c>
      <c r="J131" s="8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8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8" t="s">
        <v>64</v>
      </c>
      <c r="E132" s="8" t="s">
        <v>3358</v>
      </c>
      <c r="F132" s="8" t="s">
        <v>4070</v>
      </c>
      <c r="H132" s="8"/>
      <c r="I132" s="8" t="s">
        <v>5222</v>
      </c>
      <c r="J132" s="8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8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8" t="s">
        <v>85</v>
      </c>
      <c r="E133" s="8" t="s">
        <v>3358</v>
      </c>
      <c r="F133" s="8" t="s">
        <v>4070</v>
      </c>
      <c r="H133" s="8"/>
      <c r="I133" s="8" t="s">
        <v>5224</v>
      </c>
      <c r="J133" s="8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8" t="s">
        <v>1607</v>
      </c>
      <c r="E134" s="8"/>
      <c r="F134" s="8"/>
      <c r="H134" s="8"/>
      <c r="I134" s="8" t="s">
        <v>5316</v>
      </c>
      <c r="J134" s="8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8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8" t="s">
        <v>64</v>
      </c>
      <c r="E135" s="8" t="s">
        <v>3358</v>
      </c>
      <c r="F135" s="8" t="s">
        <v>4070</v>
      </c>
      <c r="H135" s="8"/>
      <c r="I135" s="8" t="s">
        <v>5318</v>
      </c>
      <c r="J135" s="8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8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8" t="s">
        <v>5469</v>
      </c>
      <c r="E136" s="8"/>
      <c r="F136" s="8"/>
      <c r="H136" s="8"/>
      <c r="I136" s="8" t="s">
        <v>5320</v>
      </c>
      <c r="J136" s="8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8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8" t="s">
        <v>91</v>
      </c>
      <c r="E137" s="8" t="s">
        <v>4940</v>
      </c>
      <c r="F137" s="8"/>
      <c r="H137" s="8"/>
      <c r="I137" s="8" t="s">
        <v>5322</v>
      </c>
      <c r="J137" s="8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8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8" t="s">
        <v>5470</v>
      </c>
      <c r="E138" s="8" t="s">
        <v>86</v>
      </c>
      <c r="F138" s="8"/>
      <c r="H138" s="8"/>
      <c r="I138" s="8" t="s">
        <v>5324</v>
      </c>
      <c r="J138" s="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8" t="s">
        <v>85</v>
      </c>
      <c r="E139" s="8" t="s">
        <v>3358</v>
      </c>
      <c r="F139" s="8" t="s">
        <v>4070</v>
      </c>
      <c r="H139" s="8"/>
      <c r="I139" s="8" t="s">
        <v>5326</v>
      </c>
      <c r="J139" s="8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8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8" t="s">
        <v>1607</v>
      </c>
      <c r="E140" s="8"/>
      <c r="F140" s="8"/>
      <c r="H140" s="8"/>
      <c r="I140" s="8" t="s">
        <v>5496</v>
      </c>
      <c r="J140" s="8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8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8" t="s">
        <v>1607</v>
      </c>
      <c r="E141" s="8"/>
      <c r="F141" s="8"/>
      <c r="H141" s="8"/>
      <c r="I141" s="8" t="s">
        <v>5498</v>
      </c>
      <c r="J141" s="8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8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8" t="s">
        <v>1607</v>
      </c>
      <c r="E142" s="8"/>
      <c r="F142" s="8"/>
      <c r="H142" s="8"/>
      <c r="I142" s="8" t="s">
        <v>5703</v>
      </c>
      <c r="J142" s="8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8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8" t="s">
        <v>64</v>
      </c>
      <c r="E143" s="8" t="s">
        <v>3358</v>
      </c>
      <c r="F143" s="8" t="s">
        <v>4070</v>
      </c>
      <c r="H143" s="8"/>
      <c r="I143" s="8" t="s">
        <v>5758</v>
      </c>
      <c r="J143" s="8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8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8" t="s">
        <v>85</v>
      </c>
      <c r="E144" s="8" t="s">
        <v>3358</v>
      </c>
      <c r="F144" s="8" t="s">
        <v>4070</v>
      </c>
      <c r="H144" s="8"/>
      <c r="I144" s="8" t="s">
        <v>5760</v>
      </c>
      <c r="J144" s="8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8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8" t="s">
        <v>91</v>
      </c>
      <c r="E145" s="8" t="s">
        <v>5903</v>
      </c>
      <c r="F145" s="8" t="s">
        <v>60</v>
      </c>
      <c r="H145" s="8"/>
      <c r="I145" s="8" t="s">
        <v>5762</v>
      </c>
      <c r="J145" s="8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8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8" t="s">
        <v>62</v>
      </c>
      <c r="E146" s="8" t="s">
        <v>5903</v>
      </c>
      <c r="F146" s="8" t="s">
        <v>51</v>
      </c>
      <c r="H146" s="8"/>
      <c r="I146" s="8" t="s">
        <v>5764</v>
      </c>
      <c r="J146" s="8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8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8" t="s">
        <v>1607</v>
      </c>
      <c r="E147" s="8"/>
      <c r="F147" s="8"/>
      <c r="H147" s="8"/>
      <c r="I147" s="8" t="s">
        <v>5911</v>
      </c>
      <c r="J147" s="8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8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8" t="s">
        <v>91</v>
      </c>
      <c r="E148" s="8" t="s">
        <v>6154</v>
      </c>
      <c r="F148" s="8" t="s">
        <v>60</v>
      </c>
      <c r="H148" s="8"/>
      <c r="I148" s="8" t="s">
        <v>5913</v>
      </c>
      <c r="J148" s="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8" t="s">
        <v>62</v>
      </c>
      <c r="E149" s="8" t="s">
        <v>6154</v>
      </c>
      <c r="F149" s="8" t="s">
        <v>51</v>
      </c>
      <c r="H149" s="8"/>
      <c r="I149" s="8" t="s">
        <v>5915</v>
      </c>
      <c r="J149" s="8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5917</v>
      </c>
      <c r="J150" s="8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8" t="s">
        <v>91</v>
      </c>
      <c r="E151" s="8" t="s">
        <v>3358</v>
      </c>
      <c r="F151" s="8" t="s">
        <v>51</v>
      </c>
      <c r="H151" s="8"/>
      <c r="I151" s="8" t="s">
        <v>5919</v>
      </c>
      <c r="J151" s="8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5921</v>
      </c>
      <c r="J152" s="8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8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8" t="s">
        <v>62</v>
      </c>
      <c r="E153" s="8" t="s">
        <v>3358</v>
      </c>
      <c r="F153" s="8" t="s">
        <v>3405</v>
      </c>
      <c r="H153" s="8"/>
      <c r="I153" s="8" t="s">
        <v>5923</v>
      </c>
      <c r="J153" s="8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8" t="s">
        <v>91</v>
      </c>
      <c r="E154" s="8" t="s">
        <v>3358</v>
      </c>
      <c r="F154" s="8" t="s">
        <v>4070</v>
      </c>
      <c r="H154" s="8"/>
      <c r="I154" s="8" t="s">
        <v>6170</v>
      </c>
      <c r="J154" s="8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8" t="s">
        <v>62</v>
      </c>
      <c r="E155" s="8" t="s">
        <v>3358</v>
      </c>
      <c r="F155" s="8" t="s">
        <v>4070</v>
      </c>
      <c r="H155" s="8"/>
      <c r="I155" s="8" t="s">
        <v>6172</v>
      </c>
      <c r="J155" s="8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8" t="s">
        <v>64</v>
      </c>
      <c r="E156" s="8" t="s">
        <v>3358</v>
      </c>
      <c r="F156" s="8" t="s">
        <v>4070</v>
      </c>
      <c r="H156" s="8"/>
      <c r="I156" s="8" t="s">
        <v>6312</v>
      </c>
      <c r="J156" s="8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8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8" t="s">
        <v>85</v>
      </c>
      <c r="E157" s="8" t="s">
        <v>3358</v>
      </c>
      <c r="F157" s="8" t="s">
        <v>4070</v>
      </c>
      <c r="H157" s="8"/>
      <c r="I157" s="8" t="s">
        <v>6314</v>
      </c>
      <c r="J157" s="8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8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8" t="s">
        <v>91</v>
      </c>
      <c r="E158" s="8" t="s">
        <v>5045</v>
      </c>
      <c r="F158" s="8" t="s">
        <v>4070</v>
      </c>
      <c r="H158" s="8"/>
      <c r="I158" s="8" t="s">
        <v>6316</v>
      </c>
      <c r="J158" s="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8" t="s">
        <v>62</v>
      </c>
      <c r="E159" s="8" t="s">
        <v>5045</v>
      </c>
      <c r="F159" s="8" t="s">
        <v>4070</v>
      </c>
      <c r="H159" s="8"/>
      <c r="I159" s="8" t="s">
        <v>6318</v>
      </c>
      <c r="J159" s="8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8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8" t="s">
        <v>91</v>
      </c>
      <c r="E160" s="8" t="s">
        <v>3358</v>
      </c>
      <c r="F160" s="8" t="s">
        <v>4070</v>
      </c>
      <c r="H160" s="8"/>
      <c r="I160" s="8" t="s">
        <v>6320</v>
      </c>
      <c r="J160" s="8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8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8" t="s">
        <v>62</v>
      </c>
      <c r="E161" s="8" t="s">
        <v>3358</v>
      </c>
      <c r="F161" s="8" t="s">
        <v>4070</v>
      </c>
      <c r="H161" s="8"/>
      <c r="I161" s="8" t="s">
        <v>6322</v>
      </c>
      <c r="J161" s="8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8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8" t="s">
        <v>6434</v>
      </c>
      <c r="E162" s="8" t="s">
        <v>3358</v>
      </c>
      <c r="F162" s="8" t="s">
        <v>4070</v>
      </c>
      <c r="H162" s="8"/>
      <c r="I162" s="8" t="s">
        <v>6324</v>
      </c>
      <c r="J162" s="8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8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8" t="s">
        <v>64</v>
      </c>
      <c r="E163" s="8" t="s">
        <v>3358</v>
      </c>
      <c r="F163" s="8" t="s">
        <v>4070</v>
      </c>
      <c r="H163" s="8"/>
      <c r="I163" s="8" t="s">
        <v>6326</v>
      </c>
      <c r="J163" s="8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8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8" t="s">
        <v>62</v>
      </c>
      <c r="E164" s="8" t="s">
        <v>4940</v>
      </c>
      <c r="F164" s="8" t="s">
        <v>51</v>
      </c>
      <c r="H164" s="8"/>
      <c r="I164" s="8" t="s">
        <v>6328</v>
      </c>
      <c r="J164" s="8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8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8" t="s">
        <v>85</v>
      </c>
      <c r="E165" s="8" t="s">
        <v>3358</v>
      </c>
      <c r="F165" s="8" t="s">
        <v>4070</v>
      </c>
      <c r="H165" s="8"/>
      <c r="I165" s="8" t="s">
        <v>6330</v>
      </c>
      <c r="J165" s="8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8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8" t="s">
        <v>91</v>
      </c>
      <c r="E166" s="8" t="s">
        <v>6435</v>
      </c>
      <c r="F166" s="8"/>
      <c r="H166" s="8"/>
      <c r="I166" s="8" t="s">
        <v>6332</v>
      </c>
      <c r="J166" s="8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8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8" t="s">
        <v>62</v>
      </c>
      <c r="E167" s="8" t="s">
        <v>6435</v>
      </c>
      <c r="F167" s="8"/>
      <c r="H167" s="8"/>
      <c r="I167" s="8" t="s">
        <v>6334</v>
      </c>
      <c r="J167" s="8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8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8" t="s">
        <v>91</v>
      </c>
      <c r="E168" s="8" t="s">
        <v>4940</v>
      </c>
      <c r="F168" s="8" t="s">
        <v>51</v>
      </c>
      <c r="H168" s="8"/>
      <c r="I168" s="8" t="s">
        <v>6336</v>
      </c>
      <c r="J168" s="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6448</v>
      </c>
      <c r="J169" s="8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8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6450</v>
      </c>
      <c r="J170" s="8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8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8" t="s">
        <v>91</v>
      </c>
      <c r="E171" s="8" t="s">
        <v>70</v>
      </c>
      <c r="F171" s="8" t="s">
        <v>4070</v>
      </c>
      <c r="H171" s="8"/>
      <c r="I171" s="8" t="s">
        <v>6452</v>
      </c>
      <c r="J171" s="8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8" t="s">
        <v>62</v>
      </c>
      <c r="E172" s="8" t="s">
        <v>70</v>
      </c>
      <c r="F172" s="8" t="s">
        <v>4070</v>
      </c>
      <c r="H172" s="8"/>
      <c r="I172" s="8" t="s">
        <v>6454</v>
      </c>
      <c r="J172" s="8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8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8" t="s">
        <v>62</v>
      </c>
      <c r="E173" s="8" t="s">
        <v>4940</v>
      </c>
      <c r="F173" s="8" t="s">
        <v>51</v>
      </c>
      <c r="H173" s="8"/>
      <c r="I173" s="8" t="s">
        <v>6456</v>
      </c>
      <c r="J173" s="8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8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8" t="s">
        <v>91</v>
      </c>
      <c r="E174" s="8" t="s">
        <v>4940</v>
      </c>
      <c r="F174" s="8" t="s">
        <v>51</v>
      </c>
      <c r="H174" s="8"/>
      <c r="I174" s="8" t="s">
        <v>6458</v>
      </c>
      <c r="J174" s="8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8" t="s">
        <v>1607</v>
      </c>
      <c r="E175" s="8"/>
      <c r="F175" s="8"/>
      <c r="H175" s="8"/>
      <c r="I175" s="8" t="s">
        <v>6460</v>
      </c>
      <c r="J175" s="8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8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8" t="s">
        <v>1607</v>
      </c>
      <c r="E176" s="8"/>
      <c r="F176" s="8"/>
      <c r="H176" s="8"/>
      <c r="I176" s="8" t="s">
        <v>6462</v>
      </c>
      <c r="J176" s="8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8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8" t="s">
        <v>1607</v>
      </c>
      <c r="E177" s="8"/>
      <c r="F177" s="8"/>
      <c r="H177" s="8"/>
      <c r="I177" s="8" t="s">
        <v>6696</v>
      </c>
      <c r="J177" s="8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8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8" t="s">
        <v>91</v>
      </c>
      <c r="E178" s="8" t="s">
        <v>6788</v>
      </c>
      <c r="F178" s="8"/>
      <c r="H178" s="8"/>
      <c r="I178" s="8" t="s">
        <v>6698</v>
      </c>
      <c r="J178" s="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8" t="s">
        <v>62</v>
      </c>
      <c r="E179" s="8" t="s">
        <v>6788</v>
      </c>
      <c r="F179" s="8"/>
      <c r="H179" s="8"/>
      <c r="I179" s="8" t="s">
        <v>6700</v>
      </c>
      <c r="J179" s="8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8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8" t="s">
        <v>1607</v>
      </c>
      <c r="E180" s="8"/>
      <c r="F180" s="8"/>
      <c r="H180" s="8"/>
      <c r="I180" s="8" t="s">
        <v>6702</v>
      </c>
      <c r="J180" s="8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8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8" t="s">
        <v>1607</v>
      </c>
      <c r="E181" s="8"/>
      <c r="F181" s="8"/>
      <c r="H181" s="8"/>
      <c r="I181" s="8" t="s">
        <v>6803</v>
      </c>
      <c r="J181" s="8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8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8" t="s">
        <v>91</v>
      </c>
      <c r="E182" s="8" t="s">
        <v>7041</v>
      </c>
      <c r="F182" s="8"/>
      <c r="H182" s="8"/>
      <c r="I182" s="8" t="s">
        <v>6805</v>
      </c>
      <c r="J182" s="8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8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8" t="s">
        <v>62</v>
      </c>
      <c r="E183" s="8" t="s">
        <v>7041</v>
      </c>
      <c r="F183" s="8"/>
      <c r="H183" s="8"/>
      <c r="I183" s="8" t="s">
        <v>6807</v>
      </c>
      <c r="J183" s="8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8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8" t="s">
        <v>1607</v>
      </c>
      <c r="E184" s="8"/>
      <c r="F184" s="8"/>
      <c r="H184" s="8"/>
      <c r="I184" s="8" t="s">
        <v>6809</v>
      </c>
      <c r="J184" s="8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8" t="s">
        <v>91</v>
      </c>
      <c r="E185" s="8" t="s">
        <v>6679</v>
      </c>
      <c r="F185" s="8"/>
      <c r="H185" s="8"/>
      <c r="I185" s="8" t="s">
        <v>6811</v>
      </c>
      <c r="J185" s="8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8" t="s">
        <v>62</v>
      </c>
      <c r="E186" s="8" t="s">
        <v>6679</v>
      </c>
      <c r="F186" s="8"/>
      <c r="H186" s="8"/>
      <c r="I186" s="8" t="s">
        <v>6813</v>
      </c>
      <c r="J186" s="8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8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8" t="s">
        <v>91</v>
      </c>
      <c r="E187" s="8" t="s">
        <v>7042</v>
      </c>
      <c r="F187" s="8"/>
      <c r="H187" s="8"/>
      <c r="I187" s="8" t="s">
        <v>6815</v>
      </c>
      <c r="J187" s="8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8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8" t="s">
        <v>62</v>
      </c>
      <c r="E188" s="8" t="s">
        <v>7042</v>
      </c>
      <c r="F188" s="8"/>
      <c r="H188" s="8"/>
      <c r="I188" s="8" t="s">
        <v>6817</v>
      </c>
      <c r="J188" s="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8" t="s">
        <v>91</v>
      </c>
      <c r="E189" s="8" t="s">
        <v>7043</v>
      </c>
      <c r="F189" s="8"/>
      <c r="H189" s="8"/>
      <c r="I189" s="8" t="s">
        <v>6819</v>
      </c>
      <c r="J189" s="8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8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8" t="s">
        <v>62</v>
      </c>
      <c r="E190" s="8" t="s">
        <v>7043</v>
      </c>
      <c r="F190" s="8"/>
      <c r="H190" s="8"/>
      <c r="I190" s="8" t="s">
        <v>6821</v>
      </c>
      <c r="J190" s="8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8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8" t="s">
        <v>91</v>
      </c>
      <c r="E191" s="8" t="s">
        <v>7043</v>
      </c>
      <c r="F191" s="8"/>
      <c r="H191" s="8"/>
      <c r="I191" s="8" t="s">
        <v>6823</v>
      </c>
      <c r="J191" s="8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8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8" t="s">
        <v>91</v>
      </c>
      <c r="E192" s="8" t="s">
        <v>7044</v>
      </c>
      <c r="F192" s="8"/>
      <c r="H192" s="8"/>
      <c r="I192" s="8" t="s">
        <v>6825</v>
      </c>
      <c r="J192" s="8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8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8" t="s">
        <v>62</v>
      </c>
      <c r="E193" s="8" t="s">
        <v>7044</v>
      </c>
      <c r="F193" s="8"/>
      <c r="H193" s="8"/>
      <c r="I193" s="8" t="s">
        <v>6827</v>
      </c>
      <c r="J193" s="8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8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8" t="s">
        <v>62</v>
      </c>
      <c r="E194" s="8" t="s">
        <v>7043</v>
      </c>
      <c r="F194" s="8"/>
      <c r="H194" s="8"/>
      <c r="I194" s="8" t="s">
        <v>6829</v>
      </c>
      <c r="J194" s="8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8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8" t="s">
        <v>1607</v>
      </c>
      <c r="E195" s="8"/>
      <c r="F195" s="8"/>
      <c r="H195" s="8"/>
      <c r="I195" s="8" t="s">
        <v>6831</v>
      </c>
      <c r="J195" s="8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8" t="s">
        <v>91</v>
      </c>
      <c r="E196" s="8" t="s">
        <v>7042</v>
      </c>
      <c r="F196" s="8"/>
      <c r="H196" s="8"/>
      <c r="I196" s="8" t="s">
        <v>6833</v>
      </c>
      <c r="J196" s="8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8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8" t="s">
        <v>62</v>
      </c>
      <c r="E197" s="8" t="s">
        <v>7042</v>
      </c>
      <c r="F197" s="8"/>
      <c r="H197" s="8"/>
      <c r="I197" s="8" t="s">
        <v>6835</v>
      </c>
      <c r="J197" s="8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8" t="s">
        <v>1607</v>
      </c>
      <c r="E198" s="8"/>
      <c r="F198" s="8"/>
      <c r="H198" s="8" t="s">
        <v>7340</v>
      </c>
      <c r="I198" s="8" t="s">
        <v>7086</v>
      </c>
      <c r="J198" s="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8" t="s">
        <v>91</v>
      </c>
      <c r="E199" s="8" t="s">
        <v>7341</v>
      </c>
      <c r="F199" s="8" t="s">
        <v>51</v>
      </c>
      <c r="H199" s="8"/>
      <c r="I199" s="8" t="s">
        <v>7088</v>
      </c>
      <c r="J199" s="8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8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8" t="s">
        <v>62</v>
      </c>
      <c r="E200" s="8" t="s">
        <v>7341</v>
      </c>
      <c r="F200" s="8" t="s">
        <v>7342</v>
      </c>
      <c r="H200" s="8"/>
      <c r="I200" s="8" t="s">
        <v>7090</v>
      </c>
      <c r="J200" s="8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8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8" t="s">
        <v>91</v>
      </c>
      <c r="E201" s="8" t="s">
        <v>3358</v>
      </c>
      <c r="F201" s="8" t="s">
        <v>4070</v>
      </c>
      <c r="H201" s="8"/>
      <c r="I201" s="8" t="s">
        <v>7387</v>
      </c>
      <c r="J201" s="8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8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8" t="s">
        <v>62</v>
      </c>
      <c r="E202" s="8" t="s">
        <v>3358</v>
      </c>
      <c r="F202" s="8" t="s">
        <v>4070</v>
      </c>
      <c r="H202" s="8"/>
      <c r="I202" s="8" t="s">
        <v>7389</v>
      </c>
      <c r="J202" s="8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8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8" t="s">
        <v>1607</v>
      </c>
      <c r="E203" s="8"/>
      <c r="F203" s="8"/>
      <c r="H203" s="8"/>
      <c r="I203" s="8" t="s">
        <v>7391</v>
      </c>
      <c r="J203" s="8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8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8" t="s">
        <v>62</v>
      </c>
      <c r="E204" s="8" t="s">
        <v>6679</v>
      </c>
      <c r="F204" s="8" t="s">
        <v>2360</v>
      </c>
      <c r="H204" s="8" t="s">
        <v>7461</v>
      </c>
      <c r="I204" s="8" t="s">
        <v>7393</v>
      </c>
      <c r="J204" s="8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8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8" t="s">
        <v>91</v>
      </c>
      <c r="E205" s="8" t="s">
        <v>5310</v>
      </c>
      <c r="F205" s="8" t="s">
        <v>51</v>
      </c>
      <c r="H205" s="8"/>
      <c r="I205" s="8" t="s">
        <v>7665</v>
      </c>
      <c r="J205" s="8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8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8" t="s">
        <v>62</v>
      </c>
      <c r="E206" s="8" t="s">
        <v>5310</v>
      </c>
      <c r="F206" s="8" t="s">
        <v>3405</v>
      </c>
      <c r="H206" s="8"/>
      <c r="I206" s="8" t="s">
        <v>7667</v>
      </c>
      <c r="J206" s="8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8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8" t="s">
        <v>91</v>
      </c>
      <c r="E207" s="8" t="s">
        <v>7737</v>
      </c>
      <c r="F207" s="8"/>
      <c r="H207" s="8"/>
      <c r="I207" s="8" t="s">
        <v>7669</v>
      </c>
      <c r="J207" s="8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8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8" t="s">
        <v>91</v>
      </c>
      <c r="E208" s="8" t="s">
        <v>5310</v>
      </c>
      <c r="F208" s="8" t="s">
        <v>51</v>
      </c>
      <c r="H208" s="8"/>
      <c r="I208" s="8" t="s">
        <v>7671</v>
      </c>
      <c r="J208" s="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8" t="s">
        <v>62</v>
      </c>
      <c r="E209" s="8" t="s">
        <v>7737</v>
      </c>
      <c r="F209" s="8"/>
      <c r="H209" s="8"/>
      <c r="I209" s="8" t="s">
        <v>7673</v>
      </c>
      <c r="J209" s="8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8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8" t="s">
        <v>62</v>
      </c>
      <c r="E210" s="8" t="s">
        <v>5310</v>
      </c>
      <c r="F210" s="8" t="s">
        <v>7738</v>
      </c>
      <c r="H210" s="8"/>
      <c r="I210" s="8" t="s">
        <v>7675</v>
      </c>
      <c r="J210" s="8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8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8" t="s">
        <v>1607</v>
      </c>
      <c r="E211" s="8"/>
      <c r="F211" s="8"/>
      <c r="H211" s="8"/>
      <c r="I211" s="8" t="s">
        <v>7677</v>
      </c>
      <c r="J211" s="8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8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8" t="s">
        <v>1607</v>
      </c>
      <c r="E212" s="8"/>
      <c r="F212" s="8"/>
      <c r="H212" s="8"/>
      <c r="I212" s="8" t="s">
        <v>7762</v>
      </c>
      <c r="J212" s="8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8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8" t="s">
        <v>1607</v>
      </c>
      <c r="E213" s="8"/>
      <c r="F213" s="8"/>
      <c r="H213" s="8"/>
      <c r="I213" s="8" t="s">
        <v>7764</v>
      </c>
      <c r="J213" s="8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8" t="s">
        <v>1607</v>
      </c>
      <c r="E214" s="8"/>
      <c r="F214" s="8"/>
      <c r="H214" s="8"/>
      <c r="I214" s="8" t="s">
        <v>7934</v>
      </c>
      <c r="J214" s="8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8" t="s">
        <v>91</v>
      </c>
      <c r="E215" s="8" t="s">
        <v>3358</v>
      </c>
      <c r="F215" s="8" t="s">
        <v>4070</v>
      </c>
      <c r="H215" s="8"/>
      <c r="I215" s="8" t="s">
        <v>7936</v>
      </c>
      <c r="J215" s="8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8" t="s">
        <v>62</v>
      </c>
      <c r="E216" s="8" t="s">
        <v>3358</v>
      </c>
      <c r="F216" s="8" t="s">
        <v>4070</v>
      </c>
      <c r="H216" s="8"/>
      <c r="I216" s="8" t="s">
        <v>7938</v>
      </c>
      <c r="J216" s="8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8" t="s">
        <v>91</v>
      </c>
      <c r="E217" s="8" t="s">
        <v>8116</v>
      </c>
      <c r="F217" s="8" t="s">
        <v>60</v>
      </c>
      <c r="H217" s="8"/>
      <c r="I217" s="8" t="s">
        <v>8112</v>
      </c>
      <c r="J217" s="8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8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8" t="s">
        <v>62</v>
      </c>
      <c r="E218" s="8" t="s">
        <v>8116</v>
      </c>
      <c r="F218" s="8" t="s">
        <v>51</v>
      </c>
      <c r="H218" s="8"/>
      <c r="I218" s="8" t="s">
        <v>8114</v>
      </c>
      <c r="J218" s="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8" t="s">
        <v>91</v>
      </c>
      <c r="E219" s="8" t="s">
        <v>8117</v>
      </c>
      <c r="F219" s="8" t="s">
        <v>60</v>
      </c>
      <c r="H219" s="8"/>
      <c r="I219" s="8" t="s">
        <v>8102</v>
      </c>
      <c r="J219" s="8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8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8" t="s">
        <v>91</v>
      </c>
      <c r="E220" s="8" t="s">
        <v>8118</v>
      </c>
      <c r="F220" s="8"/>
      <c r="H220" s="8"/>
      <c r="I220" s="8" t="s">
        <v>8104</v>
      </c>
      <c r="J220" s="8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8" t="s">
        <v>62</v>
      </c>
      <c r="E221" s="8" t="s">
        <v>8117</v>
      </c>
      <c r="F221" s="8" t="s">
        <v>8119</v>
      </c>
      <c r="G221">
        <v>1</v>
      </c>
      <c r="H221" s="8"/>
      <c r="I221" s="8" t="s">
        <v>8106</v>
      </c>
      <c r="J221" s="8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8" t="s">
        <v>62</v>
      </c>
      <c r="E222" s="8" t="s">
        <v>8118</v>
      </c>
      <c r="F222" s="8"/>
      <c r="H222" s="8"/>
      <c r="I222" s="8" t="s">
        <v>8108</v>
      </c>
      <c r="J222" s="8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8" t="s">
        <v>62</v>
      </c>
      <c r="E223" s="8" t="s">
        <v>7608</v>
      </c>
      <c r="F223" s="8" t="s">
        <v>58</v>
      </c>
      <c r="H223" s="9" t="s">
        <v>7461</v>
      </c>
      <c r="I223" s="8" t="s">
        <v>8110</v>
      </c>
      <c r="J223" s="8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8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8" t="s">
        <v>1607</v>
      </c>
      <c r="E224" s="8"/>
      <c r="F224" s="8"/>
      <c r="H224" s="8"/>
      <c r="I224" s="8" t="s">
        <v>8379</v>
      </c>
      <c r="J224" s="8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8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8" t="s">
        <v>1607</v>
      </c>
      <c r="E225" s="8"/>
      <c r="F225" s="8"/>
      <c r="H225" s="8"/>
      <c r="I225" s="8" t="s">
        <v>8381</v>
      </c>
      <c r="J225" s="8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8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8" t="s">
        <v>1607</v>
      </c>
      <c r="E226" s="8"/>
      <c r="F226" s="8"/>
      <c r="H226" s="8"/>
      <c r="I226" s="8" t="s">
        <v>8446</v>
      </c>
      <c r="J226" s="8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8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8" t="s">
        <v>1607</v>
      </c>
      <c r="E227" s="8"/>
      <c r="F227" s="8"/>
      <c r="H227" s="8"/>
      <c r="I227" s="8" t="s">
        <v>8448</v>
      </c>
      <c r="J227" s="8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8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8" t="s">
        <v>1607</v>
      </c>
      <c r="E228" s="8"/>
      <c r="F228" s="8"/>
      <c r="H228" s="8"/>
      <c r="I228" s="8" t="s">
        <v>8587</v>
      </c>
      <c r="J228" s="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8" t="s">
        <v>62</v>
      </c>
      <c r="E229" s="8" t="s">
        <v>8714</v>
      </c>
      <c r="F229" s="8" t="s">
        <v>58</v>
      </c>
      <c r="G229">
        <v>4</v>
      </c>
      <c r="H229" s="8" t="s">
        <v>7461</v>
      </c>
      <c r="I229" s="8" t="s">
        <v>8589</v>
      </c>
      <c r="J229" s="8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8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8" t="s">
        <v>91</v>
      </c>
      <c r="E230" s="8" t="s">
        <v>70</v>
      </c>
      <c r="F230" s="8" t="s">
        <v>4070</v>
      </c>
      <c r="H230" s="8"/>
      <c r="I230" s="8" t="s">
        <v>8728</v>
      </c>
      <c r="J230" s="8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8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8" t="s">
        <v>62</v>
      </c>
      <c r="E231" s="8" t="s">
        <v>70</v>
      </c>
      <c r="F231" s="8" t="s">
        <v>4087</v>
      </c>
      <c r="H231" s="8"/>
      <c r="I231" s="8" t="s">
        <v>8730</v>
      </c>
      <c r="J231" s="8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8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8" t="s">
        <v>91</v>
      </c>
      <c r="E232" s="8" t="s">
        <v>8912</v>
      </c>
      <c r="F232" s="8"/>
      <c r="H232" s="8"/>
      <c r="I232" s="8" t="s">
        <v>8814</v>
      </c>
      <c r="J232" s="8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8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8" t="s">
        <v>62</v>
      </c>
      <c r="E233" s="8" t="s">
        <v>8912</v>
      </c>
      <c r="F233" s="8" t="s">
        <v>53</v>
      </c>
      <c r="G233">
        <v>11</v>
      </c>
      <c r="H233" s="8"/>
      <c r="I233" s="8" t="s">
        <v>8816</v>
      </c>
      <c r="J233" s="8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8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8" t="s">
        <v>91</v>
      </c>
      <c r="E234" s="8" t="s">
        <v>8913</v>
      </c>
      <c r="F234" s="8"/>
      <c r="H234" s="8"/>
      <c r="I234" s="8" t="s">
        <v>8818</v>
      </c>
      <c r="J234" s="8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8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8" t="s">
        <v>1607</v>
      </c>
      <c r="E235" s="8"/>
      <c r="F235" s="8"/>
      <c r="H235" s="8"/>
      <c r="I235" s="8" t="s">
        <v>8820</v>
      </c>
      <c r="J235" s="8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8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8" t="s">
        <v>1607</v>
      </c>
      <c r="E236" s="8"/>
      <c r="F236" s="8"/>
      <c r="H236" s="8"/>
      <c r="I236" s="8" t="s">
        <v>8930</v>
      </c>
      <c r="J236" s="8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8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8" t="s">
        <v>91</v>
      </c>
      <c r="E237" s="8" t="s">
        <v>9129</v>
      </c>
      <c r="F237" s="8" t="s">
        <v>60</v>
      </c>
      <c r="H237" s="8"/>
      <c r="I237" s="8" t="s">
        <v>8932</v>
      </c>
      <c r="J237" s="8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8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8" t="s">
        <v>62</v>
      </c>
      <c r="E238" s="8" t="s">
        <v>9129</v>
      </c>
      <c r="F238" s="8" t="s">
        <v>51</v>
      </c>
      <c r="H238" s="8"/>
      <c r="I238" s="8" t="s">
        <v>8934</v>
      </c>
      <c r="J238" s="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8" t="s">
        <v>62</v>
      </c>
      <c r="E239" s="8" t="s">
        <v>4940</v>
      </c>
      <c r="F239" s="8" t="s">
        <v>9130</v>
      </c>
      <c r="H239" s="8"/>
      <c r="I239" s="8" t="s">
        <v>8936</v>
      </c>
      <c r="J239" s="8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8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8" t="s">
        <v>91</v>
      </c>
      <c r="E240" s="8" t="s">
        <v>4940</v>
      </c>
      <c r="F240" s="8"/>
      <c r="H240" s="8"/>
      <c r="I240" s="8" t="s">
        <v>8938</v>
      </c>
      <c r="J240" s="8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8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8" t="s">
        <v>1607</v>
      </c>
      <c r="E241" s="8"/>
      <c r="F241" s="8"/>
      <c r="H241" s="8"/>
      <c r="I241" s="8" t="s">
        <v>9158</v>
      </c>
      <c r="J241" s="8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8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9160</v>
      </c>
      <c r="J242" s="8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8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8" t="s">
        <v>62</v>
      </c>
      <c r="E243" s="8" t="s">
        <v>70</v>
      </c>
      <c r="F243" s="8" t="s">
        <v>9302</v>
      </c>
      <c r="G243">
        <v>2</v>
      </c>
      <c r="H243" s="8"/>
      <c r="I243" s="8" t="s">
        <v>9162</v>
      </c>
      <c r="J243" s="8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8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8" t="s">
        <v>91</v>
      </c>
      <c r="E244" s="8" t="s">
        <v>70</v>
      </c>
      <c r="F244" s="8" t="s">
        <v>9302</v>
      </c>
      <c r="G244">
        <v>2</v>
      </c>
      <c r="H244" s="8"/>
      <c r="I244" s="8" t="s">
        <v>9164</v>
      </c>
      <c r="J244" s="8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8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9166</v>
      </c>
      <c r="J245" s="8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8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9168</v>
      </c>
      <c r="J246" s="8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8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8" t="s">
        <v>62</v>
      </c>
      <c r="E247" s="8" t="s">
        <v>66</v>
      </c>
      <c r="F247" s="8" t="s">
        <v>51</v>
      </c>
      <c r="H247" s="8" t="s">
        <v>4134</v>
      </c>
      <c r="I247" s="8" t="s">
        <v>9170</v>
      </c>
      <c r="J247" s="8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8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8" t="s">
        <v>1607</v>
      </c>
      <c r="E248" s="8"/>
      <c r="F248" s="8"/>
      <c r="H248" s="8"/>
      <c r="I248" s="8" t="s">
        <v>9172</v>
      </c>
      <c r="J248" s="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8" t="s">
        <v>91</v>
      </c>
      <c r="E249" s="8" t="s">
        <v>9412</v>
      </c>
      <c r="F249" s="8"/>
      <c r="H249" s="8"/>
      <c r="I249" s="8" t="s">
        <v>9344</v>
      </c>
      <c r="J249" s="8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8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8" t="s">
        <v>62</v>
      </c>
      <c r="E250" s="8" t="s">
        <v>9412</v>
      </c>
      <c r="F250" s="8"/>
      <c r="H250" s="8"/>
      <c r="I250" s="8" t="s">
        <v>9346</v>
      </c>
      <c r="J250" s="8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8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8" t="s">
        <v>1607</v>
      </c>
      <c r="E251" s="8"/>
      <c r="F251" s="8"/>
      <c r="H251" s="8"/>
      <c r="I251" s="8" t="s">
        <v>9348</v>
      </c>
      <c r="J251" s="8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8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8" t="s">
        <v>91</v>
      </c>
      <c r="E252" s="8" t="s">
        <v>11067</v>
      </c>
      <c r="F252" s="8"/>
      <c r="H252" s="8"/>
      <c r="I252" s="8" t="s">
        <v>10584</v>
      </c>
      <c r="J252" s="8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8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8" t="s">
        <v>91</v>
      </c>
      <c r="E253" s="8" t="s">
        <v>11066</v>
      </c>
      <c r="F253" s="8" t="s">
        <v>4070</v>
      </c>
      <c r="H253" s="8" t="s">
        <v>11069</v>
      </c>
      <c r="I253" s="8" t="s">
        <v>10586</v>
      </c>
      <c r="J253" s="8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8" t="s">
        <v>62</v>
      </c>
      <c r="E254" s="8" t="s">
        <v>11067</v>
      </c>
      <c r="F254" s="8" t="s">
        <v>165</v>
      </c>
      <c r="H254" s="8"/>
      <c r="I254" s="8" t="s">
        <v>10588</v>
      </c>
      <c r="J254" s="8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8" t="s">
        <v>91</v>
      </c>
      <c r="E255" s="8" t="s">
        <v>11068</v>
      </c>
      <c r="F255" s="8" t="s">
        <v>60</v>
      </c>
      <c r="H255" s="8"/>
      <c r="I255" s="8" t="s">
        <v>10590</v>
      </c>
      <c r="J255" s="8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8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8" t="s">
        <v>91</v>
      </c>
      <c r="E256" s="8" t="s">
        <v>11066</v>
      </c>
      <c r="F256" s="8" t="s">
        <v>4070</v>
      </c>
      <c r="H256" s="8"/>
      <c r="I256" s="8" t="s">
        <v>10592</v>
      </c>
      <c r="J256" s="8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8" t="s">
        <v>62</v>
      </c>
      <c r="E257" s="8" t="s">
        <v>11068</v>
      </c>
      <c r="F257" s="8" t="s">
        <v>51</v>
      </c>
      <c r="H257" s="8"/>
      <c r="I257" s="8" t="s">
        <v>10594</v>
      </c>
      <c r="J257" s="8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8" t="s">
        <v>62</v>
      </c>
      <c r="E258" s="8" t="s">
        <v>11066</v>
      </c>
      <c r="F258" s="8" t="s">
        <v>4070</v>
      </c>
      <c r="H258" s="8"/>
      <c r="I258" s="8" t="s">
        <v>10596</v>
      </c>
      <c r="J258" s="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8" t="s">
        <v>62</v>
      </c>
      <c r="E259" s="8" t="s">
        <v>11070</v>
      </c>
      <c r="F259" s="8" t="s">
        <v>58</v>
      </c>
      <c r="G259">
        <v>3</v>
      </c>
      <c r="H259" s="8" t="s">
        <v>7461</v>
      </c>
      <c r="I259" s="8" t="s">
        <v>10598</v>
      </c>
      <c r="J259" s="8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8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8" t="s">
        <v>91</v>
      </c>
      <c r="E260" s="8" t="s">
        <v>11066</v>
      </c>
      <c r="F260" s="8"/>
      <c r="H260" s="8"/>
      <c r="I260" s="8" t="s">
        <v>13485</v>
      </c>
      <c r="J260" s="8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8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8" t="s">
        <v>62</v>
      </c>
      <c r="E261" s="8" t="s">
        <v>11066</v>
      </c>
      <c r="F261" s="8"/>
      <c r="H261" s="8"/>
      <c r="I261" s="8" t="s">
        <v>13488</v>
      </c>
      <c r="J261" s="8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8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8" t="s">
        <v>91</v>
      </c>
      <c r="E262" s="8" t="s">
        <v>13843</v>
      </c>
      <c r="F262" s="8" t="s">
        <v>51</v>
      </c>
      <c r="H262" s="8" t="s">
        <v>13844</v>
      </c>
      <c r="I262" s="8" t="s">
        <v>13840</v>
      </c>
      <c r="J262" s="8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8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8" t="s">
        <v>1607</v>
      </c>
      <c r="E263" s="8" t="s">
        <v>8</v>
      </c>
      <c r="F263" s="8"/>
      <c r="H263" s="8"/>
      <c r="I263" s="8" t="s">
        <v>13912</v>
      </c>
      <c r="J263" s="8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8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8" t="s">
        <v>1607</v>
      </c>
      <c r="E264" s="8" t="s">
        <v>8</v>
      </c>
      <c r="F264" s="8"/>
      <c r="H264" s="8"/>
      <c r="I264" s="8" t="s">
        <v>13915</v>
      </c>
      <c r="J264" s="8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8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8" t="s">
        <v>91</v>
      </c>
      <c r="E265" s="8" t="s">
        <v>11066</v>
      </c>
      <c r="F265" s="8" t="s">
        <v>4070</v>
      </c>
      <c r="H265" s="8"/>
      <c r="I265" s="8" t="s">
        <v>14078</v>
      </c>
      <c r="J265" s="8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8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8" t="s">
        <v>62</v>
      </c>
      <c r="E266" s="8" t="s">
        <v>11066</v>
      </c>
      <c r="F266" s="8" t="s">
        <v>4070</v>
      </c>
      <c r="H266" s="8"/>
      <c r="I266" s="8" t="s">
        <v>14081</v>
      </c>
      <c r="J266" s="8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8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8" t="s">
        <v>16183</v>
      </c>
      <c r="E267" s="8" t="s">
        <v>9597</v>
      </c>
      <c r="F267" s="8" t="s">
        <v>4070</v>
      </c>
      <c r="H267" s="8"/>
      <c r="I267" s="8" t="s">
        <v>14084</v>
      </c>
      <c r="J267" s="8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8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8" t="s">
        <v>62</v>
      </c>
      <c r="E268" s="8" t="s">
        <v>9597</v>
      </c>
      <c r="F268" s="8"/>
      <c r="H268" s="8"/>
      <c r="I268" s="8" t="s">
        <v>14087</v>
      </c>
      <c r="J268" s="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8" t="s">
        <v>16184</v>
      </c>
      <c r="E269" s="8"/>
      <c r="F269" s="8"/>
      <c r="H269" s="8" t="s">
        <v>16185</v>
      </c>
      <c r="I269" s="8" t="s">
        <v>14090</v>
      </c>
      <c r="J269" s="8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8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8" t="s">
        <v>16184</v>
      </c>
      <c r="E270" s="8"/>
      <c r="F270" s="8"/>
      <c r="H270" s="8" t="s">
        <v>16185</v>
      </c>
      <c r="I270" s="8" t="s">
        <v>16186</v>
      </c>
      <c r="J270" s="8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8" t="s">
        <v>16184</v>
      </c>
      <c r="E271" s="8"/>
      <c r="F271" s="8"/>
      <c r="H271" s="8" t="s">
        <v>16185</v>
      </c>
      <c r="I271" s="8" t="s">
        <v>14093</v>
      </c>
      <c r="J271" s="8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8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8" t="s">
        <v>16184</v>
      </c>
      <c r="E272" s="8"/>
      <c r="F272" s="8"/>
      <c r="H272" s="8"/>
      <c r="I272" s="8" t="s">
        <v>16710</v>
      </c>
      <c r="J272" s="8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8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8" t="s">
        <v>16184</v>
      </c>
      <c r="E273" s="8"/>
      <c r="F273" s="8"/>
      <c r="H273" s="8"/>
      <c r="I273" s="8" t="s">
        <v>16713</v>
      </c>
      <c r="J273" s="8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8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8" t="s">
        <v>16184</v>
      </c>
      <c r="E274" s="8"/>
      <c r="F274" s="8"/>
      <c r="H274" s="8"/>
      <c r="I274" s="8" t="s">
        <v>16716</v>
      </c>
      <c r="J274" s="8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8" t="str">
        <f>VLOOKUP(склад2въезд[[#This Row],[Name]], СпрСобытий!$F:$G, 2, FALSE)</f>
        <v>Въезд на базу</v>
      </c>
    </row>
  </sheetData>
  <phoneticPr fontId="2" type="noConversion"/>
  <conditionalFormatting sqref="E275:E288 D275:D285 G2:H274 D2:E274">
    <cfRule type="containsText" dxfId="889" priority="23" operator="containsText" text="Выезд с территории">
      <formula>NOT(ISERROR(SEARCH("Выезд с территории",D2)))</formula>
    </cfRule>
  </conditionalFormatting>
  <conditionalFormatting sqref="F2:F762">
    <cfRule type="notContainsText" dxfId="888" priority="21" operator="notContains" text="порожний">
      <formula>ISERROR(SEARCH("порожний",F2))</formula>
    </cfRule>
  </conditionalFormatting>
  <conditionalFormatting sqref="E2:E288">
    <cfRule type="containsText" dxfId="887" priority="12" operator="containsText" text="Газель базы">
      <formula>NOT(ISERROR(SEARCH("Газель базы",E2)))</formula>
    </cfRule>
    <cfRule type="containsText" dxfId="886" priority="13" operator="containsText" text="Погрузчик базы">
      <formula>NOT(ISERROR(SEARCH("Погрузчик базы",E2)))</formula>
    </cfRule>
  </conditionalFormatting>
  <conditionalFormatting sqref="E2:E288">
    <cfRule type="containsText" dxfId="885" priority="11" operator="containsText" text="Трактор базы">
      <formula>NOT(ISERROR(SEARCH("Трактор базы",E2)))</formula>
    </cfRule>
  </conditionalFormatting>
  <conditionalFormatting sqref="A2:C274">
    <cfRule type="expression" dxfId="884" priority="9">
      <formula>$A2="пн"</formula>
    </cfRule>
  </conditionalFormatting>
  <conditionalFormatting sqref="A2:C276">
    <cfRule type="expression" dxfId="883" priority="3">
      <formula>$A2="вс"</formula>
    </cfRule>
    <cfRule type="expression" dxfId="882" priority="4">
      <formula>$A2="сб"</formula>
    </cfRule>
    <cfRule type="expression" dxfId="881" priority="5">
      <formula>$A2="пт"</formula>
    </cfRule>
    <cfRule type="expression" dxfId="880" priority="6">
      <formula>$A2="чт"</formula>
    </cfRule>
    <cfRule type="expression" dxfId="879" priority="7">
      <formula>$A2="ср"</formula>
    </cfRule>
    <cfRule type="expression" dxfId="878" priority="8">
      <formula>$A2="вт"</formula>
    </cfRule>
  </conditionalFormatting>
  <conditionalFormatting sqref="D2:D285">
    <cfRule type="containsText" dxfId="8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5">
    <cfRule type="containsText" dxfId="8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04"/>
  <sheetViews>
    <sheetView zoomScale="90" zoomScaleNormal="90" workbookViewId="0">
      <pane ySplit="1" topLeftCell="A279" activePane="bottomLeft" state="frozen"/>
      <selection pane="bottomLeft" activeCell="I299" sqref="I299:I30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13491</v>
      </c>
      <c r="J282" s="8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13845</v>
      </c>
      <c r="E283" s="8" t="s">
        <v>86</v>
      </c>
      <c r="F283" s="8"/>
      <c r="H283" s="8"/>
      <c r="I283" s="8" t="s">
        <v>13494</v>
      </c>
      <c r="J283" s="8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13846</v>
      </c>
      <c r="E284" s="8" t="s">
        <v>86</v>
      </c>
      <c r="F284" s="8"/>
      <c r="H284" s="8"/>
      <c r="I284" s="8" t="s">
        <v>13497</v>
      </c>
      <c r="J284" s="8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13906</v>
      </c>
      <c r="J285" s="8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13909</v>
      </c>
      <c r="J286" s="8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8" t="s">
        <v>4</v>
      </c>
      <c r="E287" s="8" t="s">
        <v>16651</v>
      </c>
      <c r="F287" s="8"/>
      <c r="H287" s="8"/>
      <c r="I287" s="8" t="s">
        <v>14096</v>
      </c>
      <c r="J287" s="8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8" t="s">
        <v>4</v>
      </c>
      <c r="E288" s="8" t="s">
        <v>16652</v>
      </c>
      <c r="F288" s="8"/>
      <c r="H288" s="8"/>
      <c r="I288" s="8" t="s">
        <v>14099</v>
      </c>
      <c r="J288" s="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8" t="s">
        <v>9140</v>
      </c>
      <c r="E289" s="8" t="s">
        <v>86</v>
      </c>
      <c r="F289" s="8"/>
      <c r="H289" s="8"/>
      <c r="I289" s="8" t="s">
        <v>14102</v>
      </c>
      <c r="J289" s="8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8" t="s">
        <v>1607</v>
      </c>
      <c r="E290" s="8" t="s">
        <v>8</v>
      </c>
      <c r="F290" s="8"/>
      <c r="H290" s="8"/>
      <c r="I290" s="8" t="s">
        <v>14105</v>
      </c>
      <c r="J290" s="8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8" t="s">
        <v>1607</v>
      </c>
      <c r="E291" s="8" t="s">
        <v>8</v>
      </c>
      <c r="F291" s="8"/>
      <c r="H291" s="8"/>
      <c r="I291" s="8" t="s">
        <v>14108</v>
      </c>
      <c r="J291" s="8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8" t="s">
        <v>4</v>
      </c>
      <c r="E292" s="8" t="s">
        <v>16651</v>
      </c>
      <c r="F292" s="8"/>
      <c r="H292" s="8"/>
      <c r="I292" s="8" t="s">
        <v>14111</v>
      </c>
      <c r="J292" s="8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8" t="s">
        <v>1607</v>
      </c>
      <c r="E293" s="8" t="s">
        <v>8</v>
      </c>
      <c r="F293" s="8"/>
      <c r="H293" s="8"/>
      <c r="I293" s="8" t="s">
        <v>14114</v>
      </c>
      <c r="J293" s="8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8" t="s">
        <v>1607</v>
      </c>
      <c r="E294" s="8" t="s">
        <v>8</v>
      </c>
      <c r="F294" s="8"/>
      <c r="H294" s="8"/>
      <c r="I294" s="8" t="s">
        <v>14117</v>
      </c>
      <c r="J294" s="8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8" t="s">
        <v>4</v>
      </c>
      <c r="E295" s="8" t="s">
        <v>16651</v>
      </c>
      <c r="F295" s="8"/>
      <c r="H295" s="8"/>
      <c r="I295" s="8" t="s">
        <v>14120</v>
      </c>
      <c r="J295" s="8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8" t="s">
        <v>1607</v>
      </c>
      <c r="E296" s="8" t="s">
        <v>8</v>
      </c>
      <c r="F296" s="8"/>
      <c r="H296" s="8"/>
      <c r="I296" s="8" t="s">
        <v>14123</v>
      </c>
      <c r="J296" s="8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8" t="s">
        <v>4</v>
      </c>
      <c r="E297" s="8" t="s">
        <v>8</v>
      </c>
      <c r="F297" s="8"/>
      <c r="H297" s="8"/>
      <c r="I297" s="8" t="s">
        <v>14126</v>
      </c>
      <c r="J297" s="8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8" t="s">
        <v>1607</v>
      </c>
      <c r="E298" s="8" t="s">
        <v>8</v>
      </c>
      <c r="F298" s="8"/>
      <c r="H298" s="8"/>
      <c r="I298" s="8" t="s">
        <v>14129</v>
      </c>
      <c r="J298" s="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8" t="s">
        <v>4</v>
      </c>
      <c r="E299" s="8" t="s">
        <v>8</v>
      </c>
      <c r="F299" s="8"/>
      <c r="H299" s="8"/>
      <c r="I299" s="8" t="s">
        <v>16692</v>
      </c>
      <c r="J299" s="8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8" t="s">
        <v>1607</v>
      </c>
      <c r="E300" s="8" t="s">
        <v>8</v>
      </c>
      <c r="F300" s="8"/>
      <c r="H300" s="8"/>
      <c r="I300" s="8" t="s">
        <v>16695</v>
      </c>
      <c r="J300" s="8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8" t="s">
        <v>4</v>
      </c>
      <c r="E301" s="8" t="s">
        <v>8</v>
      </c>
      <c r="F301" s="8"/>
      <c r="H301" s="8"/>
      <c r="I301" s="8" t="s">
        <v>16698</v>
      </c>
      <c r="J301" s="8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8" t="s">
        <v>1607</v>
      </c>
      <c r="E302" s="8" t="s">
        <v>8</v>
      </c>
      <c r="F302" s="8"/>
      <c r="H302" s="8"/>
      <c r="I302" s="8" t="s">
        <v>16701</v>
      </c>
      <c r="J302" s="8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8" t="s">
        <v>4</v>
      </c>
      <c r="E303" s="8" t="s">
        <v>8</v>
      </c>
      <c r="F303" s="8"/>
      <c r="H303" s="8"/>
      <c r="I303" s="8" t="s">
        <v>16704</v>
      </c>
      <c r="J303" s="8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8" t="s">
        <v>1607</v>
      </c>
      <c r="E304" s="8" t="s">
        <v>8</v>
      </c>
      <c r="F304" s="8"/>
      <c r="H304" s="8"/>
      <c r="I304" s="8" t="s">
        <v>16707</v>
      </c>
      <c r="J304" s="8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</sheetData>
  <conditionalFormatting sqref="D305:D315 E305:E318 G2:H304 D2:E304">
    <cfRule type="containsText" dxfId="875" priority="14" operator="containsText" text="Выезд с территории">
      <formula>NOT(ISERROR(SEARCH("Выезд с территории",D2)))</formula>
    </cfRule>
  </conditionalFormatting>
  <conditionalFormatting sqref="F2:F304">
    <cfRule type="notContainsText" dxfId="874" priority="13" operator="notContains" text="порожний">
      <formula>ISERROR(SEARCH("порожний",F2))</formula>
    </cfRule>
  </conditionalFormatting>
  <conditionalFormatting sqref="E2:E318">
    <cfRule type="containsText" dxfId="873" priority="11" operator="containsText" text="Газель базы">
      <formula>NOT(ISERROR(SEARCH("Газель базы",E2)))</formula>
    </cfRule>
    <cfRule type="containsText" dxfId="872" priority="12" operator="containsText" text="Погрузчик базы">
      <formula>NOT(ISERROR(SEARCH("Погрузчик базы",E2)))</formula>
    </cfRule>
  </conditionalFormatting>
  <conditionalFormatting sqref="E2:E318">
    <cfRule type="containsText" dxfId="871" priority="10" operator="containsText" text="Трактор базы">
      <formula>NOT(ISERROR(SEARCH("Трактор базы",E2)))</formula>
    </cfRule>
  </conditionalFormatting>
  <conditionalFormatting sqref="A2:C304">
    <cfRule type="expression" dxfId="870" priority="9">
      <formula>$A2="пн"</formula>
    </cfRule>
  </conditionalFormatting>
  <conditionalFormatting sqref="A2:C306">
    <cfRule type="expression" dxfId="869" priority="3">
      <formula>$A2="вс"</formula>
    </cfRule>
    <cfRule type="expression" dxfId="868" priority="4">
      <formula>$A2="сб"</formula>
    </cfRule>
    <cfRule type="expression" dxfId="867" priority="5">
      <formula>$A2="пт"</formula>
    </cfRule>
    <cfRule type="expression" dxfId="866" priority="6">
      <formula>$A2="чт"</formula>
    </cfRule>
    <cfRule type="expression" dxfId="865" priority="7">
      <formula>$A2="ср"</formula>
    </cfRule>
    <cfRule type="expression" dxfId="864" priority="8">
      <formula>$A2="вт"</formula>
    </cfRule>
  </conditionalFormatting>
  <conditionalFormatting sqref="D2:D315">
    <cfRule type="containsText" dxfId="8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5">
    <cfRule type="containsText" dxfId="8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09"/>
  <sheetViews>
    <sheetView zoomScale="90" zoomScaleNormal="90" workbookViewId="0">
      <pane ySplit="1" topLeftCell="A188" activePane="bottomLeft" state="frozen"/>
      <selection pane="bottomLeft" activeCell="E189" sqref="E18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13608</v>
      </c>
      <c r="J164" s="8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13611</v>
      </c>
      <c r="J165" s="8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13933</v>
      </c>
      <c r="J166" s="8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13936</v>
      </c>
      <c r="J167" s="8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8" t="s">
        <v>4</v>
      </c>
      <c r="E168" s="8" t="s">
        <v>7045</v>
      </c>
      <c r="F168" s="8"/>
      <c r="H168" s="8"/>
      <c r="I168" s="8" t="s">
        <v>14313</v>
      </c>
      <c r="J168" s="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8" t="s">
        <v>4</v>
      </c>
      <c r="E169" s="8" t="s">
        <v>7045</v>
      </c>
      <c r="F169" s="8"/>
      <c r="H169" s="8"/>
      <c r="I169" s="8" t="s">
        <v>14316</v>
      </c>
      <c r="J169" s="8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8" t="s">
        <v>4</v>
      </c>
      <c r="E170" s="8" t="s">
        <v>7045</v>
      </c>
      <c r="F170" s="8"/>
      <c r="H170" s="8"/>
      <c r="I170" s="8" t="s">
        <v>16189</v>
      </c>
      <c r="J170" s="8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8" t="s">
        <v>4</v>
      </c>
      <c r="E171" s="8" t="s">
        <v>7045</v>
      </c>
      <c r="F171" s="8"/>
      <c r="H171" s="8"/>
      <c r="I171" s="8" t="s">
        <v>14319</v>
      </c>
      <c r="J171" s="8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8" t="s">
        <v>4</v>
      </c>
      <c r="E172" s="8" t="s">
        <v>7045</v>
      </c>
      <c r="F172" s="8"/>
      <c r="H172" s="8"/>
      <c r="I172" s="8" t="s">
        <v>14322</v>
      </c>
      <c r="J172" s="8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8" t="s">
        <v>4</v>
      </c>
      <c r="E173" s="8" t="s">
        <v>7045</v>
      </c>
      <c r="F173" s="8"/>
      <c r="H173" s="8"/>
      <c r="I173" s="8" t="s">
        <v>14325</v>
      </c>
      <c r="J173" s="8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8" t="s">
        <v>4</v>
      </c>
      <c r="E174" s="8" t="s">
        <v>8</v>
      </c>
      <c r="F174" s="8"/>
      <c r="H174" s="8"/>
      <c r="I174" s="8" t="s">
        <v>14328</v>
      </c>
      <c r="J174" s="8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8" t="s">
        <v>4</v>
      </c>
      <c r="E175" s="8" t="s">
        <v>11066</v>
      </c>
      <c r="F175" s="8"/>
      <c r="H175" s="8"/>
      <c r="I175" s="8" t="s">
        <v>14331</v>
      </c>
      <c r="J175" s="8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8" t="s">
        <v>4</v>
      </c>
      <c r="E176" s="8" t="s">
        <v>16653</v>
      </c>
      <c r="F176" s="8"/>
      <c r="H176" s="8"/>
      <c r="I176" s="8" t="s">
        <v>14334</v>
      </c>
      <c r="J176" s="8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8" t="s">
        <v>16654</v>
      </c>
      <c r="E177" s="8" t="s">
        <v>16653</v>
      </c>
      <c r="F177" s="8"/>
      <c r="H177" s="8" t="s">
        <v>16655</v>
      </c>
      <c r="I177" s="8" t="s">
        <v>14337</v>
      </c>
      <c r="J177" s="8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8" t="s">
        <v>587</v>
      </c>
      <c r="E178" s="8" t="s">
        <v>16653</v>
      </c>
      <c r="F178" s="8"/>
      <c r="H178" s="8"/>
      <c r="I178" s="8" t="s">
        <v>14340</v>
      </c>
      <c r="J178" s="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8" t="s">
        <v>3390</v>
      </c>
      <c r="E179" s="8" t="s">
        <v>86</v>
      </c>
      <c r="F179" s="8"/>
      <c r="H179" s="8"/>
      <c r="I179" s="8" t="s">
        <v>14343</v>
      </c>
      <c r="J179" s="8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8" t="s">
        <v>4</v>
      </c>
      <c r="E180" s="8" t="s">
        <v>8</v>
      </c>
      <c r="F180" s="8"/>
      <c r="H180" s="8"/>
      <c r="I180" s="8" t="s">
        <v>14346</v>
      </c>
      <c r="J180" s="8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8" t="s">
        <v>4</v>
      </c>
      <c r="E181" s="8" t="s">
        <v>8</v>
      </c>
      <c r="F181" s="8"/>
      <c r="H181" s="8"/>
      <c r="I181" s="8" t="s">
        <v>14349</v>
      </c>
      <c r="J181" s="8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8" t="s">
        <v>4</v>
      </c>
      <c r="E182" s="8" t="s">
        <v>7045</v>
      </c>
      <c r="F182" s="8"/>
      <c r="H182" s="8"/>
      <c r="I182" s="8" t="s">
        <v>14352</v>
      </c>
      <c r="J182" s="8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8" t="s">
        <v>4</v>
      </c>
      <c r="E183" s="8" t="s">
        <v>7045</v>
      </c>
      <c r="F183" s="8"/>
      <c r="H183" s="8"/>
      <c r="I183" s="8" t="s">
        <v>14355</v>
      </c>
      <c r="J183" s="8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8" t="s">
        <v>137</v>
      </c>
      <c r="E184" s="8" t="s">
        <v>16656</v>
      </c>
      <c r="F184" s="8"/>
      <c r="H184" s="8"/>
      <c r="I184" s="8" t="s">
        <v>14358</v>
      </c>
      <c r="J184" s="8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8" t="s">
        <v>4</v>
      </c>
      <c r="E185" s="8" t="s">
        <v>7045</v>
      </c>
      <c r="F185" s="8"/>
      <c r="H185" s="8"/>
      <c r="I185" s="8" t="s">
        <v>14361</v>
      </c>
      <c r="J185" s="8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8" t="s">
        <v>4</v>
      </c>
      <c r="E186" s="8" t="s">
        <v>8</v>
      </c>
      <c r="F186" s="8"/>
      <c r="H186" s="8"/>
      <c r="I186" s="8" t="s">
        <v>14364</v>
      </c>
      <c r="J186" s="8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8" t="s">
        <v>1273</v>
      </c>
      <c r="E187" s="8" t="s">
        <v>16661</v>
      </c>
      <c r="F187" s="8"/>
      <c r="H187" s="8"/>
      <c r="I187" s="8" t="s">
        <v>14367</v>
      </c>
      <c r="J187" s="8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8" t="s">
        <v>9596</v>
      </c>
      <c r="E188" s="8" t="s">
        <v>16661</v>
      </c>
      <c r="F188" s="8"/>
      <c r="H188" s="8"/>
      <c r="I188" s="8" t="s">
        <v>14370</v>
      </c>
      <c r="J188" s="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8" t="s">
        <v>587</v>
      </c>
      <c r="E189" s="8" t="s">
        <v>16661</v>
      </c>
      <c r="F189" s="8" t="s">
        <v>16657</v>
      </c>
      <c r="H189" s="8"/>
      <c r="I189" s="8" t="s">
        <v>14373</v>
      </c>
      <c r="J189" s="8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8" t="s">
        <v>4</v>
      </c>
      <c r="E190" s="8" t="s">
        <v>8</v>
      </c>
      <c r="F190" s="8"/>
      <c r="H190" s="8"/>
      <c r="I190" s="8" t="s">
        <v>14376</v>
      </c>
      <c r="J190" s="8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8" t="s">
        <v>1273</v>
      </c>
      <c r="E191" s="8" t="s">
        <v>70</v>
      </c>
      <c r="F191" s="8"/>
      <c r="H191" s="8"/>
      <c r="I191" s="8" t="s">
        <v>14379</v>
      </c>
      <c r="J191" s="8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8" t="s">
        <v>16658</v>
      </c>
      <c r="E192" s="8" t="s">
        <v>70</v>
      </c>
      <c r="F192" s="8"/>
      <c r="H192" s="8"/>
      <c r="I192" s="8" t="s">
        <v>14382</v>
      </c>
      <c r="J192" s="8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8" t="s">
        <v>16658</v>
      </c>
      <c r="E193" s="8" t="s">
        <v>70</v>
      </c>
      <c r="F193" s="8"/>
      <c r="H193" s="8" t="s">
        <v>2352</v>
      </c>
      <c r="I193" s="8" t="s">
        <v>14385</v>
      </c>
      <c r="J193" s="8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8" t="s">
        <v>587</v>
      </c>
      <c r="E194" s="8" t="s">
        <v>70</v>
      </c>
      <c r="F194" s="8"/>
      <c r="H194" s="8"/>
      <c r="I194" s="8" t="s">
        <v>14388</v>
      </c>
      <c r="J194" s="8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8" t="s">
        <v>4</v>
      </c>
      <c r="E195" s="8" t="s">
        <v>8</v>
      </c>
      <c r="F195" s="8"/>
      <c r="H195" s="8"/>
      <c r="I195" s="8" t="s">
        <v>14391</v>
      </c>
      <c r="J195" s="8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8" t="s">
        <v>16659</v>
      </c>
      <c r="E196" s="8" t="s">
        <v>86</v>
      </c>
      <c r="F196" s="8"/>
      <c r="H196" s="8"/>
      <c r="I196" s="8" t="s">
        <v>14394</v>
      </c>
      <c r="J196" s="8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8" t="s">
        <v>16659</v>
      </c>
      <c r="E197" s="8" t="s">
        <v>86</v>
      </c>
      <c r="F197" s="8"/>
      <c r="H197" s="8" t="s">
        <v>2352</v>
      </c>
      <c r="I197" s="8" t="s">
        <v>14397</v>
      </c>
      <c r="J197" s="8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8" t="s">
        <v>1273</v>
      </c>
      <c r="E198" s="8" t="s">
        <v>70</v>
      </c>
      <c r="F198" s="8"/>
      <c r="H198" s="8"/>
      <c r="I198" s="8" t="s">
        <v>14400</v>
      </c>
      <c r="J198" s="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8" t="s">
        <v>16660</v>
      </c>
      <c r="E199" s="8" t="s">
        <v>70</v>
      </c>
      <c r="F199" s="8"/>
      <c r="H199" s="8"/>
      <c r="I199" s="8" t="s">
        <v>14403</v>
      </c>
      <c r="J199" s="8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8" t="s">
        <v>16659</v>
      </c>
      <c r="E200" s="8" t="s">
        <v>86</v>
      </c>
      <c r="F200" s="8"/>
      <c r="H200" s="8"/>
      <c r="I200" s="8" t="s">
        <v>14406</v>
      </c>
      <c r="J200" s="8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8" t="s">
        <v>16659</v>
      </c>
      <c r="E201" s="8" t="s">
        <v>86</v>
      </c>
      <c r="F201" s="8"/>
      <c r="H201" s="8" t="s">
        <v>2352</v>
      </c>
      <c r="I201" s="8" t="s">
        <v>14409</v>
      </c>
      <c r="J201" s="8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8" t="s">
        <v>587</v>
      </c>
      <c r="E202" s="8" t="s">
        <v>70</v>
      </c>
      <c r="F202" s="8"/>
      <c r="H202" s="8"/>
      <c r="I202" s="8" t="s">
        <v>14412</v>
      </c>
      <c r="J202" s="8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8" t="s">
        <v>4</v>
      </c>
      <c r="E203" s="8" t="s">
        <v>8</v>
      </c>
      <c r="F203" s="8"/>
      <c r="H203" s="8"/>
      <c r="I203" s="8" t="s">
        <v>16731</v>
      </c>
      <c r="J203" s="8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8" t="s">
        <v>4</v>
      </c>
      <c r="E204" s="8" t="s">
        <v>8</v>
      </c>
      <c r="F204" s="8"/>
      <c r="H204" s="8"/>
      <c r="I204" s="8" t="s">
        <v>16734</v>
      </c>
      <c r="J204" s="8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8" t="s">
        <v>4</v>
      </c>
      <c r="E205" s="8" t="s">
        <v>8</v>
      </c>
      <c r="F205" s="8"/>
      <c r="H205" s="8"/>
      <c r="I205" s="8" t="s">
        <v>16737</v>
      </c>
      <c r="J205" s="8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8" t="s">
        <v>1607</v>
      </c>
      <c r="E206" s="8" t="s">
        <v>8</v>
      </c>
      <c r="F206" s="8"/>
      <c r="H206" s="8"/>
      <c r="I206" s="8" t="s">
        <v>16740</v>
      </c>
      <c r="J206" s="8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8" t="s">
        <v>1607</v>
      </c>
      <c r="E207" s="8" t="s">
        <v>8</v>
      </c>
      <c r="F207" s="8"/>
      <c r="H207" s="8"/>
      <c r="I207" s="8" t="s">
        <v>16743</v>
      </c>
      <c r="J207" s="8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8" t="s">
        <v>1607</v>
      </c>
      <c r="E208" s="8" t="s">
        <v>8</v>
      </c>
      <c r="F208" s="8"/>
      <c r="H208" s="8"/>
      <c r="I208" s="8" t="s">
        <v>16746</v>
      </c>
      <c r="J208" s="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8" t="s">
        <v>4</v>
      </c>
      <c r="E209" s="8" t="s">
        <v>8</v>
      </c>
      <c r="F209" s="8"/>
      <c r="H209" s="8"/>
      <c r="I209" s="8" t="s">
        <v>16749</v>
      </c>
      <c r="J209" s="8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</sheetData>
  <conditionalFormatting sqref="D210:D220 E210:E223 G2:H209 D2:E209">
    <cfRule type="containsText" dxfId="861" priority="14" operator="containsText" text="Выезд с территории">
      <formula>NOT(ISERROR(SEARCH("Выезд с территории",D2)))</formula>
    </cfRule>
  </conditionalFormatting>
  <conditionalFormatting sqref="F2:F209">
    <cfRule type="notContainsText" dxfId="860" priority="13" operator="notContains" text="порожний">
      <formula>ISERROR(SEARCH("порожний",F2))</formula>
    </cfRule>
  </conditionalFormatting>
  <conditionalFormatting sqref="E2:E223">
    <cfRule type="containsText" dxfId="859" priority="11" operator="containsText" text="Газель базы">
      <formula>NOT(ISERROR(SEARCH("Газель базы",E2)))</formula>
    </cfRule>
    <cfRule type="containsText" dxfId="858" priority="12" operator="containsText" text="Погрузчик базы">
      <formula>NOT(ISERROR(SEARCH("Погрузчик базы",E2)))</formula>
    </cfRule>
  </conditionalFormatting>
  <conditionalFormatting sqref="E2:E223">
    <cfRule type="containsText" dxfId="857" priority="10" operator="containsText" text="Трактор базы">
      <formula>NOT(ISERROR(SEARCH("Трактор базы",E2)))</formula>
    </cfRule>
  </conditionalFormatting>
  <conditionalFormatting sqref="A2:C209">
    <cfRule type="expression" dxfId="856" priority="9">
      <formula>$A2="пн"</formula>
    </cfRule>
  </conditionalFormatting>
  <conditionalFormatting sqref="A2:C211">
    <cfRule type="expression" dxfId="855" priority="3">
      <formula>$A2="вс"</formula>
    </cfRule>
    <cfRule type="expression" dxfId="854" priority="4">
      <formula>$A2="сб"</formula>
    </cfRule>
    <cfRule type="expression" dxfId="853" priority="5">
      <formula>$A2="пт"</formula>
    </cfRule>
    <cfRule type="expression" dxfId="852" priority="6">
      <formula>$A2="чт"</formula>
    </cfRule>
    <cfRule type="expression" dxfId="851" priority="7">
      <formula>$A2="ср"</formula>
    </cfRule>
    <cfRule type="expression" dxfId="850" priority="8">
      <formula>$A2="вт"</formula>
    </cfRule>
  </conditionalFormatting>
  <conditionalFormatting sqref="D2:D220">
    <cfRule type="containsText" dxfId="8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0">
    <cfRule type="containsText" dxfId="8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90"/>
  <sheetViews>
    <sheetView zoomScale="90" zoomScaleNormal="90" workbookViewId="0">
      <pane ySplit="1" topLeftCell="A274" activePane="bottomLeft" state="frozen"/>
      <selection pane="bottomLeft" activeCell="I287" sqref="I287:I29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1607</v>
      </c>
      <c r="E108" s="8" t="s">
        <v>8</v>
      </c>
      <c r="F108" s="8"/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4</v>
      </c>
      <c r="E109" s="8" t="s">
        <v>3358</v>
      </c>
      <c r="F109" s="8" t="s">
        <v>4070</v>
      </c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13847</v>
      </c>
      <c r="E261" s="8" t="s">
        <v>468</v>
      </c>
      <c r="F261" s="8"/>
      <c r="H261" s="8"/>
      <c r="I261" s="8" t="s">
        <v>13753</v>
      </c>
      <c r="J261" s="8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13848</v>
      </c>
      <c r="E262" s="8" t="s">
        <v>86</v>
      </c>
      <c r="F262" s="8"/>
      <c r="H262" s="8"/>
      <c r="I262" s="8" t="s">
        <v>13756</v>
      </c>
      <c r="J262" s="8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13849</v>
      </c>
      <c r="E263" s="8" t="s">
        <v>86</v>
      </c>
      <c r="F263" s="8"/>
      <c r="H263" s="8"/>
      <c r="I263" s="8" t="s">
        <v>13759</v>
      </c>
      <c r="J263" s="8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13847</v>
      </c>
      <c r="E264" s="8" t="s">
        <v>468</v>
      </c>
      <c r="F264" s="8"/>
      <c r="H264" s="8"/>
      <c r="I264" s="8" t="s">
        <v>13762</v>
      </c>
      <c r="J264" s="8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13765</v>
      </c>
      <c r="J265" s="8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13768</v>
      </c>
      <c r="J266" s="8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13847</v>
      </c>
      <c r="E267" s="8" t="s">
        <v>468</v>
      </c>
      <c r="F267" s="8"/>
      <c r="H267" s="8"/>
      <c r="I267" s="8" t="s">
        <v>13771</v>
      </c>
      <c r="J267" s="8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13774</v>
      </c>
      <c r="J268" s="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8</v>
      </c>
      <c r="F269" s="8"/>
      <c r="H269" s="8"/>
      <c r="I269" s="8" t="s">
        <v>13918</v>
      </c>
      <c r="J269" s="8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13921</v>
      </c>
      <c r="J270" s="8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13924</v>
      </c>
      <c r="J271" s="8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8" t="s">
        <v>4</v>
      </c>
      <c r="E272" s="8" t="s">
        <v>8</v>
      </c>
      <c r="F272" s="8"/>
      <c r="H272" s="8"/>
      <c r="I272" s="8" t="s">
        <v>14867</v>
      </c>
      <c r="J272" s="8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8" t="s">
        <v>4</v>
      </c>
      <c r="E273" s="8" t="s">
        <v>8</v>
      </c>
      <c r="F273" s="8"/>
      <c r="H273" s="8"/>
      <c r="I273" s="8" t="s">
        <v>14870</v>
      </c>
      <c r="J273" s="8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8" t="s">
        <v>4</v>
      </c>
      <c r="E274" s="8" t="s">
        <v>8</v>
      </c>
      <c r="F274" s="8"/>
      <c r="H274" s="8"/>
      <c r="I274" s="8" t="s">
        <v>14873</v>
      </c>
      <c r="J274" s="8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8" t="s">
        <v>4</v>
      </c>
      <c r="E275" s="8" t="s">
        <v>12</v>
      </c>
      <c r="F275" s="8"/>
      <c r="H275" s="8"/>
      <c r="I275" s="8" t="s">
        <v>14876</v>
      </c>
      <c r="J275" s="8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8" t="s">
        <v>4</v>
      </c>
      <c r="E276" s="8" t="s">
        <v>12</v>
      </c>
      <c r="F276" s="8"/>
      <c r="H276" s="8"/>
      <c r="I276" s="8" t="s">
        <v>14879</v>
      </c>
      <c r="J276" s="8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8" t="s">
        <v>4</v>
      </c>
      <c r="E277" s="8" t="s">
        <v>8</v>
      </c>
      <c r="F277" s="8"/>
      <c r="H277" s="8"/>
      <c r="I277" s="8" t="s">
        <v>14882</v>
      </c>
      <c r="J277" s="8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8" t="s">
        <v>4</v>
      </c>
      <c r="E278" s="8" t="s">
        <v>8</v>
      </c>
      <c r="F278" s="8"/>
      <c r="H278" s="8"/>
      <c r="I278" s="8" t="s">
        <v>14885</v>
      </c>
      <c r="J278" s="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8" t="s">
        <v>4</v>
      </c>
      <c r="E279" s="8" t="s">
        <v>16653</v>
      </c>
      <c r="F279" s="8"/>
      <c r="H279" s="8"/>
      <c r="I279" s="8" t="s">
        <v>14888</v>
      </c>
      <c r="J279" s="8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8" t="s">
        <v>4</v>
      </c>
      <c r="E280" s="8" t="s">
        <v>8</v>
      </c>
      <c r="F280" s="8"/>
      <c r="H280" s="8"/>
      <c r="I280" s="8" t="s">
        <v>14891</v>
      </c>
      <c r="J280" s="8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8" t="s">
        <v>4</v>
      </c>
      <c r="E281" s="8" t="s">
        <v>16661</v>
      </c>
      <c r="F281" s="8" t="s">
        <v>51</v>
      </c>
      <c r="H281" s="8"/>
      <c r="I281" s="8" t="s">
        <v>14894</v>
      </c>
      <c r="J281" s="8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8" t="s">
        <v>4</v>
      </c>
      <c r="E282" s="8" t="s">
        <v>16661</v>
      </c>
      <c r="F282" s="8" t="s">
        <v>16657</v>
      </c>
      <c r="H282" s="8"/>
      <c r="I282" s="8" t="s">
        <v>14897</v>
      </c>
      <c r="J282" s="8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8" t="s">
        <v>4</v>
      </c>
      <c r="E283" s="8" t="s">
        <v>8</v>
      </c>
      <c r="F283" s="8"/>
      <c r="H283" s="8"/>
      <c r="I283" s="8" t="s">
        <v>14900</v>
      </c>
      <c r="J283" s="8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8" t="s">
        <v>16662</v>
      </c>
      <c r="E284" s="8" t="s">
        <v>86</v>
      </c>
      <c r="F284" s="8"/>
      <c r="H284" s="8"/>
      <c r="I284" s="8" t="s">
        <v>14903</v>
      </c>
      <c r="J284" s="8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8" t="s">
        <v>4</v>
      </c>
      <c r="E285" s="8" t="s">
        <v>8</v>
      </c>
      <c r="F285" s="8"/>
      <c r="H285" s="8"/>
      <c r="I285" s="8" t="s">
        <v>14906</v>
      </c>
      <c r="J285" s="8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8" t="s">
        <v>4</v>
      </c>
      <c r="E286" s="8" t="s">
        <v>8</v>
      </c>
      <c r="F286" s="8"/>
      <c r="H286" s="8"/>
      <c r="I286" s="8" t="s">
        <v>14909</v>
      </c>
      <c r="J286" s="8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8" t="s">
        <v>4</v>
      </c>
      <c r="E287" s="8" t="s">
        <v>8</v>
      </c>
      <c r="F287" s="8"/>
      <c r="H287" s="8"/>
      <c r="I287" s="8" t="s">
        <v>16719</v>
      </c>
      <c r="J287" s="8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8" t="s">
        <v>4</v>
      </c>
      <c r="E288" s="8" t="s">
        <v>8</v>
      </c>
      <c r="F288" s="8"/>
      <c r="H288" s="8"/>
      <c r="I288" s="8" t="s">
        <v>16722</v>
      </c>
      <c r="J288" s="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8" t="s">
        <v>4</v>
      </c>
      <c r="E289" s="8" t="s">
        <v>8</v>
      </c>
      <c r="F289" s="8"/>
      <c r="H289" s="8"/>
      <c r="I289" s="8" t="s">
        <v>16725</v>
      </c>
      <c r="J289" s="8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8" t="s">
        <v>4</v>
      </c>
      <c r="E290" s="8" t="s">
        <v>8</v>
      </c>
      <c r="F290" s="8"/>
      <c r="H290" s="8"/>
      <c r="I290" s="8" t="s">
        <v>16728</v>
      </c>
      <c r="J290" s="8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</sheetData>
  <conditionalFormatting sqref="D291:D301 E291:E304 G2:H290 D2:E290">
    <cfRule type="containsText" dxfId="847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846" priority="13" operator="notContains" text="порожний">
      <formula>ISERROR(SEARCH("порожний",F2))</formula>
    </cfRule>
  </conditionalFormatting>
  <conditionalFormatting sqref="E2:E304">
    <cfRule type="containsText" dxfId="845" priority="11" operator="containsText" text="Газель базы">
      <formula>NOT(ISERROR(SEARCH("Газель базы",E2)))</formula>
    </cfRule>
    <cfRule type="containsText" dxfId="844" priority="12" operator="containsText" text="Погрузчик базы">
      <formula>NOT(ISERROR(SEARCH("Погрузчик базы",E2)))</formula>
    </cfRule>
  </conditionalFormatting>
  <conditionalFormatting sqref="E2:E304">
    <cfRule type="containsText" dxfId="843" priority="10" operator="containsText" text="Трактор базы">
      <formula>NOT(ISERROR(SEARCH("Трактор базы",E2)))</formula>
    </cfRule>
  </conditionalFormatting>
  <conditionalFormatting sqref="A2:C290">
    <cfRule type="expression" dxfId="842" priority="9">
      <formula>$A2="пн"</formula>
    </cfRule>
  </conditionalFormatting>
  <conditionalFormatting sqref="A2:C292">
    <cfRule type="expression" dxfId="841" priority="3">
      <formula>$A2="вс"</formula>
    </cfRule>
    <cfRule type="expression" dxfId="840" priority="4">
      <formula>$A2="сб"</formula>
    </cfRule>
    <cfRule type="expression" dxfId="839" priority="5">
      <formula>$A2="пт"</formula>
    </cfRule>
    <cfRule type="expression" dxfId="838" priority="6">
      <formula>$A2="чт"</formula>
    </cfRule>
    <cfRule type="expression" dxfId="837" priority="7">
      <formula>$A2="ср"</formula>
    </cfRule>
    <cfRule type="expression" dxfId="836" priority="8">
      <formula>$A2="вт"</formula>
    </cfRule>
  </conditionalFormatting>
  <conditionalFormatting sqref="D2:D301">
    <cfRule type="containsText" dxfId="8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8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86"/>
  <sheetViews>
    <sheetView zoomScale="90" zoomScaleNormal="90" workbookViewId="0">
      <pane ySplit="1" topLeftCell="A373" activePane="bottomLeft" state="frozen"/>
      <selection pane="bottomLeft" activeCell="I376" sqref="I376:I38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1607</v>
      </c>
      <c r="E14" s="8" t="s">
        <v>8</v>
      </c>
      <c r="F14" s="8"/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226</v>
      </c>
      <c r="E15" s="8" t="s">
        <v>67</v>
      </c>
      <c r="F15" s="8" t="s">
        <v>405</v>
      </c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1607</v>
      </c>
      <c r="E16" s="8" t="s">
        <v>8</v>
      </c>
      <c r="F16" s="8"/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226</v>
      </c>
      <c r="E17" s="8" t="s">
        <v>67</v>
      </c>
      <c r="F17" s="8" t="s">
        <v>405</v>
      </c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226</v>
      </c>
      <c r="E18" s="8" t="s">
        <v>67</v>
      </c>
      <c r="F18" s="8" t="s">
        <v>405</v>
      </c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1607</v>
      </c>
      <c r="E19" s="8" t="s">
        <v>8</v>
      </c>
      <c r="F19" s="8"/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1607</v>
      </c>
      <c r="E20" s="8" t="s">
        <v>8</v>
      </c>
      <c r="F20" s="8"/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226</v>
      </c>
      <c r="E21" s="8" t="s">
        <v>67</v>
      </c>
      <c r="F21" s="8" t="s">
        <v>405</v>
      </c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13500</v>
      </c>
      <c r="J359" s="8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13503</v>
      </c>
      <c r="J360" s="8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13506</v>
      </c>
      <c r="J361" s="8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14044</v>
      </c>
      <c r="J362" s="8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14047</v>
      </c>
      <c r="J363" s="8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8" t="s">
        <v>4</v>
      </c>
      <c r="E364" s="8" t="s">
        <v>8</v>
      </c>
      <c r="F364" s="8"/>
      <c r="H364" s="8"/>
      <c r="I364" s="8" t="s">
        <v>14132</v>
      </c>
      <c r="J364" s="8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8" t="s">
        <v>4</v>
      </c>
      <c r="E365" s="8" t="s">
        <v>8</v>
      </c>
      <c r="F365" s="8"/>
      <c r="H365" s="8"/>
      <c r="I365" s="8" t="s">
        <v>14135</v>
      </c>
      <c r="J365" s="8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8" t="s">
        <v>4</v>
      </c>
      <c r="E366" s="8" t="s">
        <v>8</v>
      </c>
      <c r="F366" s="8"/>
      <c r="H366" s="8"/>
      <c r="I366" s="8" t="s">
        <v>14138</v>
      </c>
      <c r="J366" s="8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8" t="s">
        <v>4</v>
      </c>
      <c r="E367" s="8" t="s">
        <v>8</v>
      </c>
      <c r="F367" s="8"/>
      <c r="H367" s="8"/>
      <c r="I367" s="8" t="s">
        <v>14141</v>
      </c>
      <c r="J367" s="8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8" t="s">
        <v>4</v>
      </c>
      <c r="E368" s="8" t="s">
        <v>8</v>
      </c>
      <c r="F368" s="8"/>
      <c r="H368" s="8"/>
      <c r="I368" s="8" t="s">
        <v>14144</v>
      </c>
      <c r="J368" s="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8" t="s">
        <v>4</v>
      </c>
      <c r="E369" s="8" t="s">
        <v>8</v>
      </c>
      <c r="F369" s="8"/>
      <c r="H369" s="8"/>
      <c r="I369" s="8" t="s">
        <v>14147</v>
      </c>
      <c r="J369" s="8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8" t="s">
        <v>9603</v>
      </c>
      <c r="E370" s="8" t="s">
        <v>86</v>
      </c>
      <c r="F370" s="8"/>
      <c r="H370" s="8"/>
      <c r="I370" s="8" t="s">
        <v>14150</v>
      </c>
      <c r="J370" s="8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8" t="s">
        <v>588</v>
      </c>
      <c r="E371" s="8" t="s">
        <v>86</v>
      </c>
      <c r="F371" s="8"/>
      <c r="H371" s="8"/>
      <c r="I371" s="8" t="s">
        <v>14153</v>
      </c>
      <c r="J371" s="8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8" t="s">
        <v>1607</v>
      </c>
      <c r="E372" s="8" t="s">
        <v>8</v>
      </c>
      <c r="F372" s="8"/>
      <c r="H372" s="8"/>
      <c r="I372" s="8" t="s">
        <v>14156</v>
      </c>
      <c r="J372" s="8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8" t="s">
        <v>137</v>
      </c>
      <c r="E373" s="8" t="s">
        <v>11066</v>
      </c>
      <c r="F373" s="8"/>
      <c r="H373" s="8"/>
      <c r="I373" s="8" t="s">
        <v>14159</v>
      </c>
      <c r="J373" s="8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8" t="s">
        <v>4</v>
      </c>
      <c r="E374" s="8" t="s">
        <v>16661</v>
      </c>
      <c r="F374" s="8" t="s">
        <v>16657</v>
      </c>
      <c r="H374" s="8"/>
      <c r="I374" s="8" t="s">
        <v>14162</v>
      </c>
      <c r="J374" s="8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8" t="s">
        <v>4</v>
      </c>
      <c r="E375" s="8" t="s">
        <v>8</v>
      </c>
      <c r="F375" s="8"/>
      <c r="H375" s="8"/>
      <c r="I375" s="8" t="s">
        <v>14165</v>
      </c>
      <c r="J375" s="8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8" t="s">
        <v>4</v>
      </c>
      <c r="E376" s="8" t="s">
        <v>8</v>
      </c>
      <c r="F376" s="8"/>
      <c r="H376" s="8"/>
      <c r="I376" s="8" t="s">
        <v>17055</v>
      </c>
      <c r="J376" s="8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8" t="s">
        <v>4</v>
      </c>
      <c r="E377" s="8" t="s">
        <v>7045</v>
      </c>
      <c r="F377" s="8"/>
      <c r="H377" s="8"/>
      <c r="I377" s="8" t="s">
        <v>17058</v>
      </c>
      <c r="J377" s="8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8" t="s">
        <v>1273</v>
      </c>
      <c r="E378" s="8" t="s">
        <v>10130</v>
      </c>
      <c r="F378" s="8"/>
      <c r="H378" s="8"/>
      <c r="I378" s="8" t="s">
        <v>17061</v>
      </c>
      <c r="J378" s="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8" t="s">
        <v>587</v>
      </c>
      <c r="E379" s="8" t="s">
        <v>10130</v>
      </c>
      <c r="F379" s="8"/>
      <c r="H379" s="8"/>
      <c r="I379" s="8" t="s">
        <v>17064</v>
      </c>
      <c r="J379" s="8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8" t="s">
        <v>4921</v>
      </c>
      <c r="E380" s="8" t="s">
        <v>3356</v>
      </c>
      <c r="F380" s="8"/>
      <c r="H380" s="8"/>
      <c r="I380" s="8" t="s">
        <v>17067</v>
      </c>
      <c r="J380" s="8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8" t="s">
        <v>1607</v>
      </c>
      <c r="E381" s="8" t="s">
        <v>8</v>
      </c>
      <c r="F381" s="8"/>
      <c r="H381" s="8"/>
      <c r="I381" s="8" t="s">
        <v>17070</v>
      </c>
      <c r="J381" s="8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8" t="s">
        <v>1607</v>
      </c>
      <c r="E382" s="8" t="s">
        <v>8</v>
      </c>
      <c r="F382" s="8"/>
      <c r="H382" s="8"/>
      <c r="I382" s="8" t="s">
        <v>17073</v>
      </c>
      <c r="J382" s="8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8" t="s">
        <v>1607</v>
      </c>
      <c r="E383" s="8" t="s">
        <v>8</v>
      </c>
      <c r="F383" s="8"/>
      <c r="H383" s="8"/>
      <c r="I383" s="8" t="s">
        <v>17076</v>
      </c>
      <c r="J383" s="8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8" t="s">
        <v>1607</v>
      </c>
      <c r="E384" s="8" t="s">
        <v>8</v>
      </c>
      <c r="F384" s="8"/>
      <c r="H384" s="8"/>
      <c r="I384" s="8" t="s">
        <v>17079</v>
      </c>
      <c r="J384" s="8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8" t="s">
        <v>1607</v>
      </c>
      <c r="E385" s="8" t="s">
        <v>8</v>
      </c>
      <c r="F385" s="8"/>
      <c r="H385" s="8"/>
      <c r="I385" s="8" t="s">
        <v>17082</v>
      </c>
      <c r="J385" s="8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8" t="s">
        <v>1607</v>
      </c>
      <c r="E386" s="8" t="s">
        <v>8</v>
      </c>
      <c r="F386" s="8"/>
      <c r="H386" s="8"/>
      <c r="I386" s="8" t="s">
        <v>17085</v>
      </c>
      <c r="J386" s="8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</sheetData>
  <conditionalFormatting sqref="E387:E400 D387:D397 G2:H386 D2:E386">
    <cfRule type="containsText" dxfId="833" priority="17" operator="containsText" text="Выезд с территории">
      <formula>NOT(ISERROR(SEARCH("Выезд с территории",D2)))</formula>
    </cfRule>
  </conditionalFormatting>
  <conditionalFormatting sqref="F2:F386">
    <cfRule type="notContainsText" dxfId="832" priority="16" operator="notContains" text="порожний">
      <formula>ISERROR(SEARCH("порожний",F2))</formula>
    </cfRule>
  </conditionalFormatting>
  <conditionalFormatting sqref="E2:E400">
    <cfRule type="containsText" dxfId="831" priority="14" operator="containsText" text="Газель базы">
      <formula>NOT(ISERROR(SEARCH("Газель базы",E2)))</formula>
    </cfRule>
    <cfRule type="containsText" dxfId="830" priority="15" operator="containsText" text="Погрузчик базы">
      <formula>NOT(ISERROR(SEARCH("Погрузчик базы",E2)))</formula>
    </cfRule>
  </conditionalFormatting>
  <conditionalFormatting sqref="E2:E400">
    <cfRule type="containsText" dxfId="829" priority="13" operator="containsText" text="Трактор базы">
      <formula>NOT(ISERROR(SEARCH("Трактор базы",E2)))</formula>
    </cfRule>
  </conditionalFormatting>
  <conditionalFormatting sqref="A2:C386">
    <cfRule type="expression" dxfId="828" priority="12">
      <formula>$A2="пн"</formula>
    </cfRule>
  </conditionalFormatting>
  <conditionalFormatting sqref="A2:C388">
    <cfRule type="expression" dxfId="827" priority="6">
      <formula>$A2="вс"</formula>
    </cfRule>
    <cfRule type="expression" dxfId="826" priority="7">
      <formula>$A2="сб"</formula>
    </cfRule>
    <cfRule type="expression" dxfId="825" priority="8">
      <formula>$A2="пт"</formula>
    </cfRule>
    <cfRule type="expression" dxfId="824" priority="9">
      <formula>$A2="чт"</formula>
    </cfRule>
    <cfRule type="expression" dxfId="823" priority="10">
      <formula>$A2="ср"</formula>
    </cfRule>
    <cfRule type="expression" dxfId="822" priority="11">
      <formula>$A2="вт"</formula>
    </cfRule>
  </conditionalFormatting>
  <conditionalFormatting sqref="D2:D397">
    <cfRule type="containsText" dxfId="82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7">
    <cfRule type="containsText" dxfId="82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42"/>
  <sheetViews>
    <sheetView zoomScale="90" zoomScaleNormal="90" workbookViewId="0">
      <pane ySplit="1" topLeftCell="A222" activePane="bottomLeft" state="frozen"/>
      <selection pane="bottomLeft" activeCell="I234" sqref="I234:I24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13777</v>
      </c>
      <c r="J205" s="8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13780</v>
      </c>
      <c r="J206" s="8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13783</v>
      </c>
      <c r="J207" s="8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13786</v>
      </c>
      <c r="J208" s="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14050</v>
      </c>
      <c r="J209" s="8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14077</v>
      </c>
      <c r="E210" s="8" t="s">
        <v>8</v>
      </c>
      <c r="F210" s="8"/>
      <c r="H210" s="8"/>
      <c r="I210" s="8" t="s">
        <v>14053</v>
      </c>
      <c r="J210" s="8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14077</v>
      </c>
      <c r="E211" s="8" t="s">
        <v>8</v>
      </c>
      <c r="F211" s="8"/>
      <c r="H211" s="8"/>
      <c r="I211" s="8" t="s">
        <v>14056</v>
      </c>
      <c r="J211" s="8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14059</v>
      </c>
      <c r="J212" s="8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14062</v>
      </c>
      <c r="J213" s="8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8" t="s">
        <v>4</v>
      </c>
      <c r="E214" s="8" t="s">
        <v>8</v>
      </c>
      <c r="F214" s="8"/>
      <c r="H214" s="8"/>
      <c r="I214" s="8" t="s">
        <v>14945</v>
      </c>
      <c r="J214" s="8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8" t="s">
        <v>1607</v>
      </c>
      <c r="E215" s="8" t="s">
        <v>8</v>
      </c>
      <c r="F215" s="8"/>
      <c r="H215" s="8"/>
      <c r="I215" s="8" t="s">
        <v>14948</v>
      </c>
      <c r="J215" s="8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8" t="s">
        <v>4</v>
      </c>
      <c r="E216" s="8" t="s">
        <v>8</v>
      </c>
      <c r="F216" s="8"/>
      <c r="H216" s="8"/>
      <c r="I216" s="8" t="s">
        <v>14951</v>
      </c>
      <c r="J216" s="8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8" t="s">
        <v>1607</v>
      </c>
      <c r="E217" s="8" t="s">
        <v>8</v>
      </c>
      <c r="F217" s="8"/>
      <c r="H217" s="8"/>
      <c r="I217" s="8" t="s">
        <v>14954</v>
      </c>
      <c r="J217" s="8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8" t="s">
        <v>4</v>
      </c>
      <c r="E218" s="8" t="s">
        <v>8</v>
      </c>
      <c r="F218" s="8"/>
      <c r="H218" s="8"/>
      <c r="I218" s="8" t="s">
        <v>14957</v>
      </c>
      <c r="J218" s="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8" t="s">
        <v>7</v>
      </c>
      <c r="E219" s="8"/>
      <c r="F219" s="8"/>
      <c r="H219" s="8"/>
      <c r="I219" s="8" t="s">
        <v>14960</v>
      </c>
      <c r="J219" s="8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8" t="s">
        <v>588</v>
      </c>
      <c r="E220" s="8" t="s">
        <v>86</v>
      </c>
      <c r="F220" s="8"/>
      <c r="H220" s="8"/>
      <c r="I220" s="8" t="s">
        <v>14963</v>
      </c>
      <c r="J220" s="8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8" t="s">
        <v>1539</v>
      </c>
      <c r="E221" s="8"/>
      <c r="F221" s="8"/>
      <c r="H221" s="8"/>
      <c r="I221" s="8" t="s">
        <v>14966</v>
      </c>
      <c r="J221" s="8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8" t="s">
        <v>1539</v>
      </c>
      <c r="E222" s="8"/>
      <c r="F222" s="8"/>
      <c r="H222" s="8"/>
      <c r="I222" s="8" t="s">
        <v>14969</v>
      </c>
      <c r="J222" s="8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8" t="s">
        <v>4</v>
      </c>
      <c r="E223" s="8" t="s">
        <v>8</v>
      </c>
      <c r="F223" s="8"/>
      <c r="H223" s="8"/>
      <c r="I223" s="8" t="s">
        <v>14972</v>
      </c>
      <c r="J223" s="8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8" t="s">
        <v>4</v>
      </c>
      <c r="E224" s="8" t="s">
        <v>8</v>
      </c>
      <c r="F224" s="8"/>
      <c r="H224" s="8"/>
      <c r="I224" s="8" t="s">
        <v>14975</v>
      </c>
      <c r="J224" s="8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8" t="s">
        <v>1539</v>
      </c>
      <c r="E225" s="8"/>
      <c r="F225" s="8"/>
      <c r="H225" s="8"/>
      <c r="I225" s="8" t="s">
        <v>14978</v>
      </c>
      <c r="J225" s="8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8" t="s">
        <v>4</v>
      </c>
      <c r="E226" s="8" t="s">
        <v>8</v>
      </c>
      <c r="F226" s="8"/>
      <c r="H226" s="8"/>
      <c r="I226" s="8" t="s">
        <v>14981</v>
      </c>
      <c r="J226" s="8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8" t="s">
        <v>1539</v>
      </c>
      <c r="E227" s="8"/>
      <c r="F227" s="8"/>
      <c r="H227" s="8"/>
      <c r="I227" s="8" t="s">
        <v>14984</v>
      </c>
      <c r="J227" s="8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8" t="s">
        <v>1539</v>
      </c>
      <c r="E228" s="8"/>
      <c r="F228" s="8"/>
      <c r="H228" s="8"/>
      <c r="I228" s="8" t="s">
        <v>14987</v>
      </c>
      <c r="J228" s="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8" t="s">
        <v>4</v>
      </c>
      <c r="E229" s="8" t="s">
        <v>8</v>
      </c>
      <c r="F229" s="8"/>
      <c r="H229" s="8"/>
      <c r="I229" s="8" t="s">
        <v>14990</v>
      </c>
      <c r="J229" s="8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8" t="s">
        <v>4</v>
      </c>
      <c r="E230" s="8" t="s">
        <v>8</v>
      </c>
      <c r="F230" s="8"/>
      <c r="H230" s="8"/>
      <c r="I230" s="8" t="s">
        <v>14993</v>
      </c>
      <c r="J230" s="8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8" t="s">
        <v>7</v>
      </c>
      <c r="E231" s="8"/>
      <c r="F231" s="8"/>
      <c r="H231" s="8"/>
      <c r="I231" s="8" t="s">
        <v>14996</v>
      </c>
      <c r="J231" s="8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8" t="s">
        <v>7</v>
      </c>
      <c r="E232" s="8"/>
      <c r="F232" s="8"/>
      <c r="H232" s="8"/>
      <c r="I232" s="8" t="s">
        <v>14999</v>
      </c>
      <c r="J232" s="8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8" t="s">
        <v>4</v>
      </c>
      <c r="E233" s="8" t="s">
        <v>8</v>
      </c>
      <c r="F233" s="8"/>
      <c r="H233" s="8"/>
      <c r="I233" s="8" t="s">
        <v>15002</v>
      </c>
      <c r="J233" s="8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8" t="s">
        <v>4</v>
      </c>
      <c r="E234" s="8" t="s">
        <v>8</v>
      </c>
      <c r="F234" s="8"/>
      <c r="H234" s="8"/>
      <c r="I234" s="8" t="s">
        <v>16782</v>
      </c>
      <c r="J234" s="8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8" t="s">
        <v>7</v>
      </c>
      <c r="E235" s="8"/>
      <c r="F235" s="8"/>
      <c r="H235" s="8"/>
      <c r="I235" s="8" t="s">
        <v>16785</v>
      </c>
      <c r="J235" s="8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8" t="s">
        <v>4</v>
      </c>
      <c r="E236" s="8" t="s">
        <v>8</v>
      </c>
      <c r="F236" s="8"/>
      <c r="H236" s="8"/>
      <c r="I236" s="8" t="s">
        <v>16788</v>
      </c>
      <c r="J236" s="8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8" t="s">
        <v>4</v>
      </c>
      <c r="E237" s="8" t="s">
        <v>8</v>
      </c>
      <c r="F237" s="8"/>
      <c r="H237" s="8"/>
      <c r="I237" s="8" t="s">
        <v>16791</v>
      </c>
      <c r="J237" s="8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8" t="s">
        <v>1607</v>
      </c>
      <c r="E238" s="8" t="s">
        <v>8</v>
      </c>
      <c r="F238" s="8"/>
      <c r="H238" s="8"/>
      <c r="I238" s="8" t="s">
        <v>16794</v>
      </c>
      <c r="J238" s="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8" t="s">
        <v>7</v>
      </c>
      <c r="E239" s="8"/>
      <c r="F239" s="8"/>
      <c r="H239" s="8"/>
      <c r="I239" s="8" t="s">
        <v>16797</v>
      </c>
      <c r="J239" s="8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8" t="s">
        <v>4</v>
      </c>
      <c r="E240" s="8" t="s">
        <v>8</v>
      </c>
      <c r="F240" s="8"/>
      <c r="H240" s="8"/>
      <c r="I240" s="8" t="s">
        <v>16800</v>
      </c>
      <c r="J240" s="8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8" t="s">
        <v>4</v>
      </c>
      <c r="E241" s="8" t="s">
        <v>8</v>
      </c>
      <c r="F241" s="8"/>
      <c r="H241" s="8"/>
      <c r="I241" s="8" t="s">
        <v>16803</v>
      </c>
      <c r="J241" s="8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8" t="s">
        <v>1607</v>
      </c>
      <c r="E242" s="8" t="s">
        <v>8</v>
      </c>
      <c r="F242" s="8"/>
      <c r="H242" s="8"/>
      <c r="I242" s="8" t="s">
        <v>16806</v>
      </c>
      <c r="J242" s="8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</sheetData>
  <conditionalFormatting sqref="D243:D253 E243:E256 G2:H242 D2:E242">
    <cfRule type="containsText" dxfId="819" priority="14" operator="containsText" text="Выезд с территории">
      <formula>NOT(ISERROR(SEARCH("Выезд с территории",D2)))</formula>
    </cfRule>
  </conditionalFormatting>
  <conditionalFormatting sqref="F2:F242">
    <cfRule type="notContainsText" dxfId="818" priority="13" operator="notContains" text="порожний">
      <formula>ISERROR(SEARCH("порожний",F2))</formula>
    </cfRule>
  </conditionalFormatting>
  <conditionalFormatting sqref="E2:E256">
    <cfRule type="containsText" dxfId="817" priority="11" operator="containsText" text="Газель базы">
      <formula>NOT(ISERROR(SEARCH("Газель базы",E2)))</formula>
    </cfRule>
    <cfRule type="containsText" dxfId="816" priority="12" operator="containsText" text="Погрузчик базы">
      <formula>NOT(ISERROR(SEARCH("Погрузчик базы",E2)))</formula>
    </cfRule>
  </conditionalFormatting>
  <conditionalFormatting sqref="E2:E256">
    <cfRule type="containsText" dxfId="815" priority="10" operator="containsText" text="Трактор базы">
      <formula>NOT(ISERROR(SEARCH("Трактор базы",E2)))</formula>
    </cfRule>
  </conditionalFormatting>
  <conditionalFormatting sqref="A2:C242">
    <cfRule type="expression" dxfId="814" priority="9">
      <formula>$A2="пн"</formula>
    </cfRule>
  </conditionalFormatting>
  <conditionalFormatting sqref="A2:C244">
    <cfRule type="expression" dxfId="813" priority="3">
      <formula>$A2="вс"</formula>
    </cfRule>
    <cfRule type="expression" dxfId="812" priority="4">
      <formula>$A2="сб"</formula>
    </cfRule>
    <cfRule type="expression" dxfId="811" priority="5">
      <formula>$A2="пт"</formula>
    </cfRule>
    <cfRule type="expression" dxfId="810" priority="6">
      <formula>$A2="чт"</formula>
    </cfRule>
    <cfRule type="expression" dxfId="809" priority="7">
      <formula>$A2="ср"</formula>
    </cfRule>
    <cfRule type="expression" dxfId="808" priority="8">
      <formula>$A2="вт"</formula>
    </cfRule>
  </conditionalFormatting>
  <conditionalFormatting sqref="D2:D253">
    <cfRule type="containsText" dxfId="8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3">
    <cfRule type="containsText" dxfId="8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69"/>
  <sheetViews>
    <sheetView zoomScale="90" zoomScaleNormal="90" workbookViewId="0">
      <pane ySplit="1" topLeftCell="A350" activePane="bottomLeft" state="frozen"/>
      <selection pane="bottomLeft" activeCell="I361" sqref="I361:I36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13789</v>
      </c>
      <c r="J324" s="8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13792</v>
      </c>
      <c r="J325" s="8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13795</v>
      </c>
      <c r="J326" s="8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13847</v>
      </c>
      <c r="E327" s="8" t="s">
        <v>1274</v>
      </c>
      <c r="F327" s="8"/>
      <c r="H327" s="8"/>
      <c r="I327" s="8" t="s">
        <v>13798</v>
      </c>
      <c r="J327" s="8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13801</v>
      </c>
      <c r="J328" s="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14065</v>
      </c>
      <c r="J329" s="8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14068</v>
      </c>
      <c r="J330" s="8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14071</v>
      </c>
      <c r="J331" s="8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14074</v>
      </c>
      <c r="J332" s="8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8" t="s">
        <v>4</v>
      </c>
      <c r="E333" s="8" t="s">
        <v>8</v>
      </c>
      <c r="F333" s="8"/>
      <c r="H333" s="8"/>
      <c r="I333" s="8" t="s">
        <v>14168</v>
      </c>
      <c r="J333" s="8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8" t="s">
        <v>7</v>
      </c>
      <c r="E334" s="8"/>
      <c r="F334" s="8"/>
      <c r="H334" s="8"/>
      <c r="I334" s="8" t="s">
        <v>14171</v>
      </c>
      <c r="J334" s="8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8" t="s">
        <v>11</v>
      </c>
      <c r="E335" s="8"/>
      <c r="F335" s="8"/>
      <c r="H335" s="8"/>
      <c r="I335" s="8" t="s">
        <v>14174</v>
      </c>
      <c r="J335" s="8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8" t="s">
        <v>11</v>
      </c>
      <c r="E336" s="8"/>
      <c r="F336" s="8"/>
      <c r="H336" s="8" t="s">
        <v>2352</v>
      </c>
      <c r="I336" s="8" t="s">
        <v>14177</v>
      </c>
      <c r="J336" s="8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8" t="s">
        <v>11</v>
      </c>
      <c r="E337" s="8"/>
      <c r="F337" s="8"/>
      <c r="H337" s="8" t="s">
        <v>2352</v>
      </c>
      <c r="I337" s="8" t="s">
        <v>14180</v>
      </c>
      <c r="J337" s="8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8" t="s">
        <v>11</v>
      </c>
      <c r="E338" s="8"/>
      <c r="F338" s="8"/>
      <c r="H338" s="8" t="s">
        <v>2352</v>
      </c>
      <c r="I338" s="8" t="s">
        <v>14183</v>
      </c>
      <c r="J338" s="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8" t="s">
        <v>4</v>
      </c>
      <c r="E339" s="8" t="s">
        <v>8</v>
      </c>
      <c r="F339" s="8"/>
      <c r="H339" s="8"/>
      <c r="I339" s="8" t="s">
        <v>14186</v>
      </c>
      <c r="J339" s="8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8" t="s">
        <v>4</v>
      </c>
      <c r="E340" s="8" t="s">
        <v>8</v>
      </c>
      <c r="F340" s="8"/>
      <c r="H340" s="8"/>
      <c r="I340" s="8" t="s">
        <v>14189</v>
      </c>
      <c r="J340" s="8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8" t="s">
        <v>11</v>
      </c>
      <c r="E341" s="8"/>
      <c r="F341" s="8"/>
      <c r="H341" s="8"/>
      <c r="I341" s="8" t="s">
        <v>14192</v>
      </c>
      <c r="J341" s="8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8" t="s">
        <v>4</v>
      </c>
      <c r="E342" s="8" t="s">
        <v>8</v>
      </c>
      <c r="F342" s="8"/>
      <c r="H342" s="8"/>
      <c r="I342" s="8" t="s">
        <v>14195</v>
      </c>
      <c r="J342" s="8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8" t="s">
        <v>4</v>
      </c>
      <c r="E343" s="8" t="s">
        <v>8</v>
      </c>
      <c r="F343" s="8"/>
      <c r="H343" s="8"/>
      <c r="I343" s="8" t="s">
        <v>14198</v>
      </c>
      <c r="J343" s="8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8" t="s">
        <v>11</v>
      </c>
      <c r="E344" s="8"/>
      <c r="F344" s="8"/>
      <c r="H344" s="8"/>
      <c r="I344" s="8" t="s">
        <v>14201</v>
      </c>
      <c r="J344" s="8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8" t="s">
        <v>11</v>
      </c>
      <c r="E345" s="8"/>
      <c r="F345" s="8"/>
      <c r="H345" s="8"/>
      <c r="I345" s="8" t="s">
        <v>14204</v>
      </c>
      <c r="J345" s="8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8" t="s">
        <v>4</v>
      </c>
      <c r="E346" s="8" t="s">
        <v>8</v>
      </c>
      <c r="F346" s="8"/>
      <c r="H346" s="8"/>
      <c r="I346" s="8" t="s">
        <v>14207</v>
      </c>
      <c r="J346" s="8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8" t="s">
        <v>4</v>
      </c>
      <c r="E347" s="8" t="s">
        <v>8</v>
      </c>
      <c r="F347" s="8"/>
      <c r="H347" s="8"/>
      <c r="I347" s="8" t="s">
        <v>14210</v>
      </c>
      <c r="J347" s="8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8" t="s">
        <v>7</v>
      </c>
      <c r="E348" s="8"/>
      <c r="F348" s="8"/>
      <c r="H348" s="8"/>
      <c r="I348" s="8" t="s">
        <v>14213</v>
      </c>
      <c r="J348" s="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8" t="s">
        <v>11</v>
      </c>
      <c r="E349" s="8"/>
      <c r="F349" s="8"/>
      <c r="H349" s="8"/>
      <c r="I349" s="8" t="s">
        <v>14216</v>
      </c>
      <c r="J349" s="8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8" t="s">
        <v>11</v>
      </c>
      <c r="E350" s="8"/>
      <c r="F350" s="8"/>
      <c r="H350" s="8"/>
      <c r="I350" s="8" t="s">
        <v>14219</v>
      </c>
      <c r="J350" s="8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8" t="s">
        <v>4</v>
      </c>
      <c r="E351" s="8" t="s">
        <v>8</v>
      </c>
      <c r="F351" s="8"/>
      <c r="H351" s="8"/>
      <c r="I351" s="8" t="s">
        <v>14222</v>
      </c>
      <c r="J351" s="8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8" t="s">
        <v>4</v>
      </c>
      <c r="E352" s="8" t="s">
        <v>16663</v>
      </c>
      <c r="F352" s="8"/>
      <c r="H352" s="8"/>
      <c r="I352" s="8" t="s">
        <v>14225</v>
      </c>
      <c r="J352" s="8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8" t="s">
        <v>7</v>
      </c>
      <c r="E353" s="8"/>
      <c r="F353" s="8"/>
      <c r="H353" s="8"/>
      <c r="I353" s="8" t="s">
        <v>14228</v>
      </c>
      <c r="J353" s="8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8" t="s">
        <v>4</v>
      </c>
      <c r="E354" s="8" t="s">
        <v>8</v>
      </c>
      <c r="F354" s="8"/>
      <c r="H354" s="8"/>
      <c r="I354" s="8" t="s">
        <v>14231</v>
      </c>
      <c r="J354" s="8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8" t="s">
        <v>4</v>
      </c>
      <c r="E355" s="8" t="s">
        <v>8</v>
      </c>
      <c r="F355" s="8"/>
      <c r="H355" s="8"/>
      <c r="I355" s="8" t="s">
        <v>14234</v>
      </c>
      <c r="J355" s="8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8" t="s">
        <v>11</v>
      </c>
      <c r="E356" s="8"/>
      <c r="F356" s="8"/>
      <c r="H356" s="8"/>
      <c r="I356" s="8" t="s">
        <v>14237</v>
      </c>
      <c r="J356" s="8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8" t="s">
        <v>4</v>
      </c>
      <c r="E357" s="8" t="s">
        <v>8</v>
      </c>
      <c r="F357" s="8"/>
      <c r="H357" s="8"/>
      <c r="I357" s="8" t="s">
        <v>14240</v>
      </c>
      <c r="J357" s="8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8" t="s">
        <v>11</v>
      </c>
      <c r="E358" s="8"/>
      <c r="F358" s="8"/>
      <c r="H358" s="8"/>
      <c r="I358" s="8" t="s">
        <v>14243</v>
      </c>
      <c r="J358" s="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8" t="s">
        <v>11</v>
      </c>
      <c r="E359" s="8"/>
      <c r="F359" s="8"/>
      <c r="H359" s="8"/>
      <c r="I359" s="8" t="s">
        <v>14246</v>
      </c>
      <c r="J359" s="8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8" t="s">
        <v>4</v>
      </c>
      <c r="E360" s="8" t="s">
        <v>8</v>
      </c>
      <c r="F360" s="8"/>
      <c r="H360" s="8"/>
      <c r="I360" s="8" t="s">
        <v>14249</v>
      </c>
      <c r="J360" s="8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8" t="s">
        <v>4</v>
      </c>
      <c r="E361" s="8" t="s">
        <v>8</v>
      </c>
      <c r="F361" s="8"/>
      <c r="H361" s="8"/>
      <c r="I361" s="8" t="s">
        <v>17359</v>
      </c>
      <c r="J361" s="8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8" t="s">
        <v>11</v>
      </c>
      <c r="E362" s="8"/>
      <c r="F362" s="8"/>
      <c r="H362" s="8"/>
      <c r="I362" s="8" t="s">
        <v>17362</v>
      </c>
      <c r="J362" s="8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8" t="s">
        <v>11</v>
      </c>
      <c r="E363" s="8"/>
      <c r="F363" s="8"/>
      <c r="H363" s="8"/>
      <c r="I363" s="8" t="s">
        <v>17365</v>
      </c>
      <c r="J363" s="8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8" t="s">
        <v>4</v>
      </c>
      <c r="E364" s="8" t="s">
        <v>8</v>
      </c>
      <c r="F364" s="8"/>
      <c r="H364" s="8"/>
      <c r="I364" s="8" t="s">
        <v>17368</v>
      </c>
      <c r="J364" s="8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8" t="s">
        <v>4</v>
      </c>
      <c r="E365" s="8" t="s">
        <v>8</v>
      </c>
      <c r="F365" s="8"/>
      <c r="H365" s="8"/>
      <c r="I365" s="8" t="s">
        <v>17371</v>
      </c>
      <c r="J365" s="8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8" t="s">
        <v>11</v>
      </c>
      <c r="E366" s="8"/>
      <c r="F366" s="8"/>
      <c r="H366" s="8"/>
      <c r="I366" s="8" t="s">
        <v>17374</v>
      </c>
      <c r="J366" s="8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8" t="s">
        <v>4</v>
      </c>
      <c r="E367" s="8" t="s">
        <v>8</v>
      </c>
      <c r="F367" s="8"/>
      <c r="H367" s="8"/>
      <c r="I367" s="8" t="s">
        <v>17377</v>
      </c>
      <c r="J367" s="8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8" t="s">
        <v>4</v>
      </c>
      <c r="E368" s="8" t="s">
        <v>8</v>
      </c>
      <c r="F368" s="8"/>
      <c r="H368" s="8"/>
      <c r="I368" s="8" t="s">
        <v>17380</v>
      </c>
      <c r="J368" s="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8" t="s">
        <v>1607</v>
      </c>
      <c r="E369" s="8" t="s">
        <v>8</v>
      </c>
      <c r="F369" s="8"/>
      <c r="H369" s="8"/>
      <c r="I369" s="8" t="s">
        <v>17383</v>
      </c>
      <c r="J369" s="8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</sheetData>
  <conditionalFormatting sqref="E370:E383 D1:D197 D370:D1048576 G2:H369 D2:E369">
    <cfRule type="containsText" dxfId="805" priority="18" operator="containsText" text="Выезд с территории">
      <formula>NOT(ISERROR(SEARCH("Выезд с территории",D1)))</formula>
    </cfRule>
  </conditionalFormatting>
  <conditionalFormatting sqref="F2:F369">
    <cfRule type="notContainsText" dxfId="804" priority="17" operator="notContains" text="порожний">
      <formula>ISERROR(SEARCH("порожний",F2))</formula>
    </cfRule>
  </conditionalFormatting>
  <conditionalFormatting sqref="E2:E383">
    <cfRule type="containsText" dxfId="803" priority="15" operator="containsText" text="Газель базы">
      <formula>NOT(ISERROR(SEARCH("Газель базы",E2)))</formula>
    </cfRule>
    <cfRule type="containsText" dxfId="802" priority="16" operator="containsText" text="Погрузчик базы">
      <formula>NOT(ISERROR(SEARCH("Погрузчик базы",E2)))</formula>
    </cfRule>
  </conditionalFormatting>
  <conditionalFormatting sqref="E2:E383">
    <cfRule type="containsText" dxfId="801" priority="14" operator="containsText" text="Трактор базы">
      <formula>NOT(ISERROR(SEARCH("Трактор базы",E2)))</formula>
    </cfRule>
  </conditionalFormatting>
  <conditionalFormatting sqref="A2:C369">
    <cfRule type="expression" dxfId="800" priority="13">
      <formula>$A2="пн"</formula>
    </cfRule>
  </conditionalFormatting>
  <conditionalFormatting sqref="A2:C371">
    <cfRule type="expression" dxfId="799" priority="7">
      <formula>$A2="вс"</formula>
    </cfRule>
    <cfRule type="expression" dxfId="798" priority="8">
      <formula>$A2="сб"</formula>
    </cfRule>
    <cfRule type="expression" dxfId="797" priority="9">
      <formula>$A2="пт"</formula>
    </cfRule>
    <cfRule type="expression" dxfId="796" priority="10">
      <formula>$A2="чт"</formula>
    </cfRule>
    <cfRule type="expression" dxfId="795" priority="11">
      <formula>$A2="ср"</formula>
    </cfRule>
    <cfRule type="expression" dxfId="794" priority="12">
      <formula>$A2="вт"</formula>
    </cfRule>
  </conditionalFormatting>
  <conditionalFormatting sqref="D1:D1048576">
    <cfRule type="containsText" dxfId="79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9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9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387"/>
  <sheetViews>
    <sheetView zoomScale="90" zoomScaleNormal="90" workbookViewId="0">
      <pane ySplit="1" topLeftCell="A367" activePane="bottomLeft" state="frozen"/>
      <selection pane="bottomLeft" activeCell="I378" sqref="I378:I3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3.28515625" bestFit="1" customWidth="1"/>
    <col min="6" max="6" width="25.14062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13895</v>
      </c>
      <c r="F300" s="8"/>
      <c r="H300" s="8"/>
      <c r="I300" s="8" t="s">
        <v>13850</v>
      </c>
      <c r="J300" s="8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13853</v>
      </c>
      <c r="J301" s="8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13856</v>
      </c>
      <c r="J302" s="8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13859</v>
      </c>
      <c r="J303" s="8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13862</v>
      </c>
      <c r="J304" s="8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13865</v>
      </c>
      <c r="J305" s="8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13868</v>
      </c>
      <c r="J306" s="8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13871</v>
      </c>
      <c r="J307" s="8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13874</v>
      </c>
      <c r="J308" s="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13877</v>
      </c>
      <c r="J309" s="8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13880</v>
      </c>
      <c r="J310" s="8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13883</v>
      </c>
      <c r="J311" s="8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13895</v>
      </c>
      <c r="F312" s="8"/>
      <c r="H312" s="8"/>
      <c r="I312" s="8" t="s">
        <v>13886</v>
      </c>
      <c r="J312" s="8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13889</v>
      </c>
      <c r="J313" s="8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13896</v>
      </c>
      <c r="E314" s="8" t="s">
        <v>1274</v>
      </c>
      <c r="F314" s="8"/>
      <c r="H314" s="8"/>
      <c r="I314" s="8" t="s">
        <v>13892</v>
      </c>
      <c r="J314" s="8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8</v>
      </c>
      <c r="F315" s="8"/>
      <c r="H315" s="8"/>
      <c r="I315" s="8" t="s">
        <v>13927</v>
      </c>
      <c r="J315" s="8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8</v>
      </c>
      <c r="F316" s="8"/>
      <c r="H316" s="8"/>
      <c r="I316" s="8" t="s">
        <v>13930</v>
      </c>
      <c r="J316" s="8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8" t="s">
        <v>1607</v>
      </c>
      <c r="E317" s="8" t="s">
        <v>6157</v>
      </c>
      <c r="F317" s="8"/>
      <c r="H317" s="8"/>
      <c r="I317" s="8" t="s">
        <v>15005</v>
      </c>
      <c r="J317" s="8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8" t="s">
        <v>7354</v>
      </c>
      <c r="E318" s="8" t="s">
        <v>468</v>
      </c>
      <c r="F318" s="8"/>
      <c r="H318" s="8"/>
      <c r="I318" s="8" t="s">
        <v>15008</v>
      </c>
      <c r="J318" s="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8" t="s">
        <v>16665</v>
      </c>
      <c r="E319" s="8" t="s">
        <v>468</v>
      </c>
      <c r="F319" s="8"/>
      <c r="G319">
        <v>2</v>
      </c>
      <c r="H319" s="8"/>
      <c r="I319" s="8" t="s">
        <v>15257</v>
      </c>
      <c r="J319" s="8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8" t="s">
        <v>7354</v>
      </c>
      <c r="E320" s="8" t="s">
        <v>468</v>
      </c>
      <c r="F320" s="8"/>
      <c r="H320" s="8"/>
      <c r="I320" s="8" t="s">
        <v>15011</v>
      </c>
      <c r="J320" s="8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8" t="s">
        <v>7354</v>
      </c>
      <c r="E321" s="8" t="s">
        <v>468</v>
      </c>
      <c r="F321" s="8"/>
      <c r="H321" s="8"/>
      <c r="I321" s="8" t="s">
        <v>15014</v>
      </c>
      <c r="J321" s="8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8" t="s">
        <v>7354</v>
      </c>
      <c r="E322" s="8" t="s">
        <v>468</v>
      </c>
      <c r="F322" s="8"/>
      <c r="H322" s="8"/>
      <c r="I322" s="8" t="s">
        <v>15017</v>
      </c>
      <c r="J322" s="8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8" t="s">
        <v>7354</v>
      </c>
      <c r="E323" s="8" t="s">
        <v>468</v>
      </c>
      <c r="F323" s="8"/>
      <c r="H323" s="8"/>
      <c r="I323" s="8" t="s">
        <v>15020</v>
      </c>
      <c r="J323" s="8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8" t="s">
        <v>4</v>
      </c>
      <c r="E324" s="8" t="s">
        <v>6157</v>
      </c>
      <c r="F324" s="8"/>
      <c r="H324" s="8"/>
      <c r="I324" s="8" t="s">
        <v>15023</v>
      </c>
      <c r="J324" s="8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8" t="s">
        <v>4</v>
      </c>
      <c r="E325" s="8" t="s">
        <v>6157</v>
      </c>
      <c r="F325" s="8"/>
      <c r="H325" s="8"/>
      <c r="I325" s="8" t="s">
        <v>15026</v>
      </c>
      <c r="J325" s="8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8" t="s">
        <v>16666</v>
      </c>
      <c r="E326" s="8"/>
      <c r="F326" s="8"/>
      <c r="H326" s="8"/>
      <c r="I326" s="8" t="s">
        <v>15029</v>
      </c>
      <c r="J326" s="8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8" t="s">
        <v>16666</v>
      </c>
      <c r="E327" s="8"/>
      <c r="F327" s="8"/>
      <c r="H327" s="8" t="s">
        <v>2352</v>
      </c>
      <c r="I327" s="8" t="s">
        <v>15032</v>
      </c>
      <c r="J327" s="8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8" t="s">
        <v>4</v>
      </c>
      <c r="E328" s="8" t="s">
        <v>6157</v>
      </c>
      <c r="F328" s="8"/>
      <c r="H328" s="8"/>
      <c r="I328" s="8" t="s">
        <v>15035</v>
      </c>
      <c r="J328" s="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8" t="s">
        <v>4</v>
      </c>
      <c r="E329" s="8" t="s">
        <v>468</v>
      </c>
      <c r="F329" s="8"/>
      <c r="H329" s="8"/>
      <c r="I329" s="8" t="s">
        <v>15038</v>
      </c>
      <c r="J329" s="8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8" t="s">
        <v>4</v>
      </c>
      <c r="E330" s="8" t="s">
        <v>6157</v>
      </c>
      <c r="F330" s="8"/>
      <c r="H330" s="8"/>
      <c r="I330" s="8" t="s">
        <v>15041</v>
      </c>
      <c r="J330" s="8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8" t="s">
        <v>4</v>
      </c>
      <c r="E331" s="8" t="s">
        <v>6157</v>
      </c>
      <c r="F331" s="8"/>
      <c r="H331" s="8" t="s">
        <v>2352</v>
      </c>
      <c r="I331" s="8" t="s">
        <v>15044</v>
      </c>
      <c r="J331" s="8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8" t="s">
        <v>7354</v>
      </c>
      <c r="E332" s="8" t="s">
        <v>16667</v>
      </c>
      <c r="F332" s="8"/>
      <c r="H332" s="8" t="s">
        <v>16668</v>
      </c>
      <c r="I332" s="8" t="s">
        <v>15047</v>
      </c>
      <c r="J332" s="8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8" t="s">
        <v>4</v>
      </c>
      <c r="E333" s="8" t="s">
        <v>6157</v>
      </c>
      <c r="F333" s="8"/>
      <c r="H333" s="8"/>
      <c r="I333" s="8" t="s">
        <v>15050</v>
      </c>
      <c r="J333" s="8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8" t="s">
        <v>4</v>
      </c>
      <c r="E334" s="8" t="s">
        <v>6157</v>
      </c>
      <c r="F334" s="8"/>
      <c r="H334" s="8"/>
      <c r="I334" s="8" t="s">
        <v>15053</v>
      </c>
      <c r="J334" s="8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8" t="s">
        <v>4</v>
      </c>
      <c r="E335" s="8" t="s">
        <v>6157</v>
      </c>
      <c r="F335" s="8"/>
      <c r="H335" s="8"/>
      <c r="I335" s="8" t="s">
        <v>16192</v>
      </c>
      <c r="J335" s="8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8" t="s">
        <v>9140</v>
      </c>
      <c r="E336" s="8" t="s">
        <v>86</v>
      </c>
      <c r="F336" s="8"/>
      <c r="H336" s="8"/>
      <c r="I336" s="8" t="s">
        <v>16195</v>
      </c>
      <c r="J336" s="8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8" t="s">
        <v>4</v>
      </c>
      <c r="E337" s="8" t="s">
        <v>6157</v>
      </c>
      <c r="F337" s="8"/>
      <c r="H337" s="8"/>
      <c r="I337" s="8" t="s">
        <v>16198</v>
      </c>
      <c r="J337" s="8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8" t="s">
        <v>1607</v>
      </c>
      <c r="E338" s="8" t="s">
        <v>6157</v>
      </c>
      <c r="F338" s="8"/>
      <c r="H338" s="8"/>
      <c r="I338" s="8" t="s">
        <v>16201</v>
      </c>
      <c r="J338" s="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8" t="s">
        <v>4</v>
      </c>
      <c r="E339" s="8" t="s">
        <v>6157</v>
      </c>
      <c r="F339" s="8"/>
      <c r="H339" s="8"/>
      <c r="I339" s="8" t="s">
        <v>16204</v>
      </c>
      <c r="J339" s="8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8" t="s">
        <v>4</v>
      </c>
      <c r="E340" s="8" t="s">
        <v>6157</v>
      </c>
      <c r="F340" s="8"/>
      <c r="H340" s="8"/>
      <c r="I340" s="8" t="s">
        <v>16207</v>
      </c>
      <c r="J340" s="8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8" t="s">
        <v>7354</v>
      </c>
      <c r="E341" s="8" t="s">
        <v>1274</v>
      </c>
      <c r="F341" s="8"/>
      <c r="H341" s="8"/>
      <c r="I341" s="8" t="s">
        <v>16210</v>
      </c>
      <c r="J341" s="8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8" t="s">
        <v>4</v>
      </c>
      <c r="E342" s="8" t="s">
        <v>6157</v>
      </c>
      <c r="F342" s="8"/>
      <c r="H342" s="8"/>
      <c r="I342" s="8" t="s">
        <v>16213</v>
      </c>
      <c r="J342" s="8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8" t="s">
        <v>1273</v>
      </c>
      <c r="E343" s="8" t="s">
        <v>86</v>
      </c>
      <c r="F343" s="8"/>
      <c r="H343" s="8"/>
      <c r="I343" s="8" t="s">
        <v>16216</v>
      </c>
      <c r="J343" s="8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8" t="s">
        <v>587</v>
      </c>
      <c r="E344" s="8" t="s">
        <v>86</v>
      </c>
      <c r="F344" s="8"/>
      <c r="H344" s="8"/>
      <c r="I344" s="8" t="s">
        <v>16219</v>
      </c>
      <c r="J344" s="8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8" t="s">
        <v>4</v>
      </c>
      <c r="E345" s="8" t="s">
        <v>6157</v>
      </c>
      <c r="F345" s="8"/>
      <c r="H345" s="8"/>
      <c r="I345" s="8" t="s">
        <v>16222</v>
      </c>
      <c r="J345" s="8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8" t="s">
        <v>4</v>
      </c>
      <c r="E346" s="8" t="s">
        <v>6157</v>
      </c>
      <c r="F346" s="8"/>
      <c r="H346" s="8"/>
      <c r="I346" s="8" t="s">
        <v>16225</v>
      </c>
      <c r="J346" s="8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8" t="s">
        <v>1607</v>
      </c>
      <c r="E347" s="8" t="s">
        <v>6157</v>
      </c>
      <c r="F347" s="8"/>
      <c r="H347" s="8"/>
      <c r="I347" s="8" t="s">
        <v>16228</v>
      </c>
      <c r="J347" s="8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8" t="s">
        <v>1607</v>
      </c>
      <c r="E348" s="8" t="s">
        <v>6157</v>
      </c>
      <c r="F348" s="8"/>
      <c r="H348" s="8"/>
      <c r="I348" s="8" t="s">
        <v>16231</v>
      </c>
      <c r="J348" s="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8" t="s">
        <v>4</v>
      </c>
      <c r="E349" s="8" t="s">
        <v>6157</v>
      </c>
      <c r="F349" s="8"/>
      <c r="H349" s="8"/>
      <c r="I349" s="8" t="s">
        <v>16234</v>
      </c>
      <c r="J349" s="8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8" t="s">
        <v>4</v>
      </c>
      <c r="E350" s="8" t="s">
        <v>468</v>
      </c>
      <c r="F350" s="8"/>
      <c r="H350" s="8"/>
      <c r="I350" s="8" t="s">
        <v>16237</v>
      </c>
      <c r="J350" s="8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8" t="s">
        <v>7354</v>
      </c>
      <c r="E351" s="8" t="s">
        <v>468</v>
      </c>
      <c r="F351" s="8"/>
      <c r="H351" s="8"/>
      <c r="I351" s="8" t="s">
        <v>16240</v>
      </c>
      <c r="J351" s="8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8" t="s">
        <v>16669</v>
      </c>
      <c r="E352" s="8"/>
      <c r="F352" s="8"/>
      <c r="H352" s="8"/>
      <c r="I352" s="8" t="s">
        <v>16243</v>
      </c>
      <c r="J352" s="8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8" t="s">
        <v>16669</v>
      </c>
      <c r="E353" s="8"/>
      <c r="F353" s="8"/>
      <c r="H353" s="8" t="s">
        <v>2352</v>
      </c>
      <c r="I353" s="8" t="s">
        <v>16246</v>
      </c>
      <c r="J353" s="8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8" t="s">
        <v>16669</v>
      </c>
      <c r="E354" s="8"/>
      <c r="F354" s="8"/>
      <c r="H354" s="8" t="s">
        <v>2352</v>
      </c>
      <c r="I354" s="8" t="s">
        <v>16249</v>
      </c>
      <c r="J354" s="8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8" t="s">
        <v>1607</v>
      </c>
      <c r="E355" s="8" t="s">
        <v>6157</v>
      </c>
      <c r="F355" s="8"/>
      <c r="H355" s="8"/>
      <c r="I355" s="8" t="s">
        <v>16252</v>
      </c>
      <c r="J355" s="8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8" t="s">
        <v>1607</v>
      </c>
      <c r="E356" s="8" t="s">
        <v>6157</v>
      </c>
      <c r="F356" s="8"/>
      <c r="H356" s="8"/>
      <c r="I356" s="8" t="s">
        <v>16255</v>
      </c>
      <c r="J356" s="8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8" t="s">
        <v>587</v>
      </c>
      <c r="E357" s="8" t="s">
        <v>86</v>
      </c>
      <c r="F357" s="8"/>
      <c r="H357" s="8"/>
      <c r="I357" s="8" t="s">
        <v>16258</v>
      </c>
      <c r="J357" s="8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8" t="s">
        <v>16670</v>
      </c>
      <c r="E358" s="8" t="s">
        <v>86</v>
      </c>
      <c r="F358" s="8"/>
      <c r="H358" s="8"/>
      <c r="I358" s="8" t="s">
        <v>16261</v>
      </c>
      <c r="J358" s="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8" t="s">
        <v>4</v>
      </c>
      <c r="E359" s="8" t="s">
        <v>6157</v>
      </c>
      <c r="F359" s="8"/>
      <c r="H359" s="8"/>
      <c r="I359" s="8" t="s">
        <v>16264</v>
      </c>
      <c r="J359" s="8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8" t="s">
        <v>4</v>
      </c>
      <c r="E360" s="8" t="s">
        <v>9317</v>
      </c>
      <c r="F360" s="8"/>
      <c r="H360" s="8"/>
      <c r="I360" s="8" t="s">
        <v>16267</v>
      </c>
      <c r="J360" s="8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8" t="s">
        <v>16671</v>
      </c>
      <c r="E361" s="8" t="s">
        <v>86</v>
      </c>
      <c r="F361" s="8"/>
      <c r="H361" s="8"/>
      <c r="I361" s="8" t="s">
        <v>16270</v>
      </c>
      <c r="J361" s="8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8" t="s">
        <v>10241</v>
      </c>
      <c r="E362" s="8" t="s">
        <v>86</v>
      </c>
      <c r="F362" s="8"/>
      <c r="H362" s="8"/>
      <c r="I362" s="8" t="s">
        <v>16273</v>
      </c>
      <c r="J362" s="8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8" t="s">
        <v>10241</v>
      </c>
      <c r="E363" s="8" t="s">
        <v>86</v>
      </c>
      <c r="F363" s="8"/>
      <c r="H363" s="8"/>
      <c r="I363" s="8" t="s">
        <v>16276</v>
      </c>
      <c r="J363" s="8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8" t="s">
        <v>4</v>
      </c>
      <c r="E364" s="8" t="s">
        <v>9317</v>
      </c>
      <c r="F364" s="8"/>
      <c r="H364" s="8"/>
      <c r="I364" s="8" t="s">
        <v>16279</v>
      </c>
      <c r="J364" s="8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8" t="s">
        <v>7354</v>
      </c>
      <c r="E365" s="8" t="s">
        <v>468</v>
      </c>
      <c r="F365" s="8"/>
      <c r="H365" s="8"/>
      <c r="I365" s="8" t="s">
        <v>16282</v>
      </c>
      <c r="J365" s="8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8" t="s">
        <v>4</v>
      </c>
      <c r="E366" s="8" t="s">
        <v>9317</v>
      </c>
      <c r="F366" s="8"/>
      <c r="H366" s="8"/>
      <c r="I366" s="8" t="s">
        <v>16285</v>
      </c>
      <c r="J366" s="8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8" t="s">
        <v>1627</v>
      </c>
      <c r="E367" s="8" t="s">
        <v>1058</v>
      </c>
      <c r="F367" s="8"/>
      <c r="H367" s="8"/>
      <c r="I367" s="8" t="s">
        <v>16288</v>
      </c>
      <c r="J367" s="8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8" t="s">
        <v>1627</v>
      </c>
      <c r="E368" s="8" t="s">
        <v>1058</v>
      </c>
      <c r="F368" s="8"/>
      <c r="H368" s="8"/>
      <c r="I368" s="8" t="s">
        <v>16291</v>
      </c>
      <c r="J368" s="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8" t="s">
        <v>4</v>
      </c>
      <c r="E369" s="8" t="s">
        <v>6157</v>
      </c>
      <c r="F369" s="8"/>
      <c r="H369" s="8"/>
      <c r="I369" s="8" t="s">
        <v>16294</v>
      </c>
      <c r="J369" s="8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8" t="s">
        <v>1627</v>
      </c>
      <c r="E370" s="8" t="s">
        <v>1058</v>
      </c>
      <c r="F370" s="8"/>
      <c r="H370" s="8"/>
      <c r="I370" s="8" t="s">
        <v>16297</v>
      </c>
      <c r="J370" s="8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8" t="s">
        <v>4</v>
      </c>
      <c r="E371" s="8" t="s">
        <v>6157</v>
      </c>
      <c r="F371" s="8"/>
      <c r="H371" s="8"/>
      <c r="I371" s="8" t="s">
        <v>16300</v>
      </c>
      <c r="J371" s="8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8" t="s">
        <v>4</v>
      </c>
      <c r="E372" s="8" t="s">
        <v>6157</v>
      </c>
      <c r="F372" s="8"/>
      <c r="H372" s="8" t="s">
        <v>2352</v>
      </c>
      <c r="I372" s="8" t="s">
        <v>16303</v>
      </c>
      <c r="J372" s="8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8" t="s">
        <v>1627</v>
      </c>
      <c r="E373" s="8" t="s">
        <v>1058</v>
      </c>
      <c r="F373" s="8"/>
      <c r="H373" s="8"/>
      <c r="I373" s="8" t="s">
        <v>16306</v>
      </c>
      <c r="J373" s="8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8" t="s">
        <v>1627</v>
      </c>
      <c r="E374" s="8" t="s">
        <v>1058</v>
      </c>
      <c r="F374" s="8"/>
      <c r="H374" s="8"/>
      <c r="I374" s="8" t="s">
        <v>16309</v>
      </c>
      <c r="J374" s="8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8" t="s">
        <v>1627</v>
      </c>
      <c r="E375" s="8" t="s">
        <v>1058</v>
      </c>
      <c r="F375" s="8"/>
      <c r="H375" s="8"/>
      <c r="I375" s="8" t="s">
        <v>16312</v>
      </c>
      <c r="J375" s="8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8" t="s">
        <v>4</v>
      </c>
      <c r="E376" s="8" t="s">
        <v>9317</v>
      </c>
      <c r="F376" s="8"/>
      <c r="H376" s="8"/>
      <c r="I376" s="8" t="s">
        <v>16315</v>
      </c>
      <c r="J376" s="8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8" t="s">
        <v>4</v>
      </c>
      <c r="E377" s="8" t="s">
        <v>6157</v>
      </c>
      <c r="F377" s="8"/>
      <c r="H377" s="8"/>
      <c r="I377" s="8" t="s">
        <v>16318</v>
      </c>
      <c r="J377" s="8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8" t="s">
        <v>4</v>
      </c>
      <c r="E378" s="8" t="s">
        <v>6157</v>
      </c>
      <c r="F378" s="8"/>
      <c r="H378" s="8"/>
      <c r="I378" s="8" t="s">
        <v>16752</v>
      </c>
      <c r="J378" s="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8" t="s">
        <v>1607</v>
      </c>
      <c r="E379" s="8" t="s">
        <v>6157</v>
      </c>
      <c r="F379" s="8"/>
      <c r="H379" s="8"/>
      <c r="I379" s="8" t="s">
        <v>16755</v>
      </c>
      <c r="J379" s="8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8" t="s">
        <v>4</v>
      </c>
      <c r="E380" s="8" t="s">
        <v>6157</v>
      </c>
      <c r="F380" s="8"/>
      <c r="H380" s="8"/>
      <c r="I380" s="8" t="s">
        <v>16758</v>
      </c>
      <c r="J380" s="8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8" t="s">
        <v>1607</v>
      </c>
      <c r="E381" s="8" t="s">
        <v>6157</v>
      </c>
      <c r="F381" s="8"/>
      <c r="H381" s="8"/>
      <c r="I381" s="8" t="s">
        <v>16761</v>
      </c>
      <c r="J381" s="8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8" t="s">
        <v>4</v>
      </c>
      <c r="E382" s="8" t="s">
        <v>6157</v>
      </c>
      <c r="F382" s="8"/>
      <c r="H382" s="8"/>
      <c r="I382" s="8" t="s">
        <v>16764</v>
      </c>
      <c r="J382" s="8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8" t="s">
        <v>7354</v>
      </c>
      <c r="E383" s="8" t="s">
        <v>1274</v>
      </c>
      <c r="F383" s="8"/>
      <c r="H383" s="8"/>
      <c r="I383" s="8" t="s">
        <v>16767</v>
      </c>
      <c r="J383" s="8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8" t="s">
        <v>7354</v>
      </c>
      <c r="E384" s="8" t="s">
        <v>1274</v>
      </c>
      <c r="F384" s="8"/>
      <c r="H384" s="8"/>
      <c r="I384" s="8" t="s">
        <v>16770</v>
      </c>
      <c r="J384" s="8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8" t="s">
        <v>7354</v>
      </c>
      <c r="E385" s="8" t="s">
        <v>1274</v>
      </c>
      <c r="F385" s="8"/>
      <c r="H385" s="8"/>
      <c r="I385" s="8" t="s">
        <v>16773</v>
      </c>
      <c r="J385" s="8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8" t="s">
        <v>7354</v>
      </c>
      <c r="E386" s="8" t="s">
        <v>1274</v>
      </c>
      <c r="F386" s="8"/>
      <c r="H386" s="8"/>
      <c r="I386" s="8" t="s">
        <v>16776</v>
      </c>
      <c r="J386" s="8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8" t="s">
        <v>7354</v>
      </c>
      <c r="E387" s="8" t="s">
        <v>1274</v>
      </c>
      <c r="F387" s="8"/>
      <c r="H387" s="8"/>
      <c r="I387" s="8" t="s">
        <v>16779</v>
      </c>
      <c r="J387" s="8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</sheetData>
  <conditionalFormatting sqref="D388:D398 E388:E401 G2:H387 D2:E387">
    <cfRule type="containsText" dxfId="790" priority="14" operator="containsText" text="Выезд с территории">
      <formula>NOT(ISERROR(SEARCH("Выезд с территории",D2)))</formula>
    </cfRule>
  </conditionalFormatting>
  <conditionalFormatting sqref="F2:F387">
    <cfRule type="notContainsText" dxfId="789" priority="13" operator="notContains" text="порожний">
      <formula>ISERROR(SEARCH("порожний",F2))</formula>
    </cfRule>
  </conditionalFormatting>
  <conditionalFormatting sqref="E2:E401">
    <cfRule type="containsText" dxfId="788" priority="11" operator="containsText" text="Газель базы">
      <formula>NOT(ISERROR(SEARCH("Газель базы",E2)))</formula>
    </cfRule>
    <cfRule type="containsText" dxfId="787" priority="12" operator="containsText" text="Погрузчик базы">
      <formula>NOT(ISERROR(SEARCH("Погрузчик базы",E2)))</formula>
    </cfRule>
  </conditionalFormatting>
  <conditionalFormatting sqref="E2:E401">
    <cfRule type="containsText" dxfId="786" priority="10" operator="containsText" text="Трактор базы">
      <formula>NOT(ISERROR(SEARCH("Трактор базы",E2)))</formula>
    </cfRule>
  </conditionalFormatting>
  <conditionalFormatting sqref="A2:C387">
    <cfRule type="expression" dxfId="785" priority="9">
      <formula>$A2="пн"</formula>
    </cfRule>
  </conditionalFormatting>
  <conditionalFormatting sqref="A2:C389">
    <cfRule type="expression" dxfId="784" priority="3">
      <formula>$A2="вс"</formula>
    </cfRule>
    <cfRule type="expression" dxfId="783" priority="4">
      <formula>$A2="сб"</formula>
    </cfRule>
    <cfRule type="expression" dxfId="782" priority="5">
      <formula>$A2="пт"</formula>
    </cfRule>
    <cfRule type="expression" dxfId="781" priority="6">
      <formula>$A2="чт"</formula>
    </cfRule>
    <cfRule type="expression" dxfId="780" priority="7">
      <formula>$A2="ср"</formula>
    </cfRule>
    <cfRule type="expression" dxfId="779" priority="8">
      <formula>$A2="вт"</formula>
    </cfRule>
  </conditionalFormatting>
  <conditionalFormatting sqref="D2:D398">
    <cfRule type="containsText" dxfId="7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8">
    <cfRule type="containsText" dxfId="7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89"/>
  <sheetViews>
    <sheetView zoomScale="90" zoomScaleNormal="90" workbookViewId="0">
      <pane ySplit="1" topLeftCell="A667" activePane="bottomLeft" state="frozen"/>
      <selection pane="bottomLeft" activeCell="I670" sqref="I670:I68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13804</v>
      </c>
      <c r="J612" s="8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13807</v>
      </c>
      <c r="J613" s="8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13810</v>
      </c>
      <c r="J614" s="8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13813</v>
      </c>
      <c r="J615" s="8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13816</v>
      </c>
      <c r="J616" s="8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13819</v>
      </c>
      <c r="J617" s="8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13822</v>
      </c>
      <c r="J618" s="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13825</v>
      </c>
      <c r="J619" s="8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13828</v>
      </c>
      <c r="J620" s="8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13831</v>
      </c>
      <c r="J621" s="8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13834</v>
      </c>
      <c r="J622" s="8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13837</v>
      </c>
      <c r="J623" s="8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8</v>
      </c>
      <c r="F624" s="8"/>
      <c r="H624" s="8"/>
      <c r="I624" s="8" t="s">
        <v>13951</v>
      </c>
      <c r="J624" s="8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8</v>
      </c>
      <c r="F625" s="8"/>
      <c r="H625" s="8"/>
      <c r="I625" s="8" t="s">
        <v>13954</v>
      </c>
      <c r="J625" s="8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8</v>
      </c>
      <c r="F626" s="8"/>
      <c r="H626" s="8"/>
      <c r="I626" s="8" t="s">
        <v>13957</v>
      </c>
      <c r="J626" s="8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8" t="s">
        <v>1607</v>
      </c>
      <c r="E627" s="8" t="s">
        <v>9</v>
      </c>
      <c r="F627" s="8"/>
      <c r="H627" s="8"/>
      <c r="I627" s="8" t="s">
        <v>16153</v>
      </c>
      <c r="J627" s="8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8" t="s">
        <v>1607</v>
      </c>
      <c r="E628" s="8" t="s">
        <v>9</v>
      </c>
      <c r="F628" s="8"/>
      <c r="H628" s="8"/>
      <c r="I628" s="8" t="s">
        <v>16156</v>
      </c>
      <c r="J628" s="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8" t="s">
        <v>1607</v>
      </c>
      <c r="E629" s="8" t="s">
        <v>9</v>
      </c>
      <c r="F629" s="8"/>
      <c r="H629" s="8"/>
      <c r="I629" s="8" t="s">
        <v>16159</v>
      </c>
      <c r="J629" s="8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8" t="s">
        <v>7354</v>
      </c>
      <c r="E630" s="8" t="s">
        <v>7355</v>
      </c>
      <c r="F630" s="8"/>
      <c r="H630" s="8"/>
      <c r="I630" s="8" t="s">
        <v>16162</v>
      </c>
      <c r="J630" s="8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8" t="s">
        <v>7354</v>
      </c>
      <c r="E631" s="8" t="s">
        <v>4131</v>
      </c>
      <c r="F631" s="8"/>
      <c r="H631" s="8"/>
      <c r="I631" s="8" t="s">
        <v>16165</v>
      </c>
      <c r="J631" s="8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8" t="s">
        <v>4</v>
      </c>
      <c r="E632" s="8" t="s">
        <v>9</v>
      </c>
      <c r="F632" s="8"/>
      <c r="H632" s="8"/>
      <c r="I632" s="8" t="s">
        <v>16168</v>
      </c>
      <c r="J632" s="8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8" t="s">
        <v>1607</v>
      </c>
      <c r="E633" s="8" t="s">
        <v>9</v>
      </c>
      <c r="F633" s="8"/>
      <c r="H633" s="8"/>
      <c r="I633" s="8" t="s">
        <v>16171</v>
      </c>
      <c r="J633" s="8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8" t="s">
        <v>1607</v>
      </c>
      <c r="E634" s="8" t="s">
        <v>9</v>
      </c>
      <c r="F634" s="8"/>
      <c r="H634" s="8"/>
      <c r="I634" s="8" t="s">
        <v>16174</v>
      </c>
      <c r="J634" s="8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8" t="s">
        <v>1607</v>
      </c>
      <c r="E635" s="8" t="s">
        <v>9</v>
      </c>
      <c r="F635" s="8"/>
      <c r="H635" s="8"/>
      <c r="I635" s="8" t="s">
        <v>16177</v>
      </c>
      <c r="J635" s="8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8" t="s">
        <v>1607</v>
      </c>
      <c r="E636" s="8" t="s">
        <v>9</v>
      </c>
      <c r="F636" s="8"/>
      <c r="H636" s="8" t="s">
        <v>16672</v>
      </c>
      <c r="I636" s="8" t="s">
        <v>16180</v>
      </c>
      <c r="J636" s="8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8" t="s">
        <v>20</v>
      </c>
      <c r="E637" s="8"/>
      <c r="F637" s="8"/>
      <c r="H637" s="8"/>
      <c r="I637" s="8" t="s">
        <v>16321</v>
      </c>
      <c r="J637" s="8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8" t="s">
        <v>4</v>
      </c>
      <c r="E638" s="8" t="s">
        <v>9</v>
      </c>
      <c r="F638" s="8"/>
      <c r="H638" s="8"/>
      <c r="I638" s="8" t="s">
        <v>16324</v>
      </c>
      <c r="J638" s="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8" t="s">
        <v>7354</v>
      </c>
      <c r="E639" s="8" t="s">
        <v>7355</v>
      </c>
      <c r="F639" s="8"/>
      <c r="H639" s="8"/>
      <c r="I639" s="8" t="s">
        <v>16327</v>
      </c>
      <c r="J639" s="8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8" t="s">
        <v>7354</v>
      </c>
      <c r="E640" s="8" t="s">
        <v>7355</v>
      </c>
      <c r="F640" s="8"/>
      <c r="H640" s="8"/>
      <c r="I640" s="8" t="s">
        <v>16330</v>
      </c>
      <c r="J640" s="8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8" t="s">
        <v>7354</v>
      </c>
      <c r="E641" s="8" t="s">
        <v>7355</v>
      </c>
      <c r="F641" s="8"/>
      <c r="H641" s="8"/>
      <c r="I641" s="8" t="s">
        <v>16333</v>
      </c>
      <c r="J641" s="8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8" t="s">
        <v>4</v>
      </c>
      <c r="E642" s="8" t="s">
        <v>9</v>
      </c>
      <c r="F642" s="8"/>
      <c r="H642" s="8"/>
      <c r="I642" s="8" t="s">
        <v>16336</v>
      </c>
      <c r="J642" s="8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8" t="s">
        <v>7354</v>
      </c>
      <c r="E643" s="8" t="s">
        <v>7355</v>
      </c>
      <c r="F643" s="8"/>
      <c r="H643" s="8"/>
      <c r="I643" s="8" t="s">
        <v>16339</v>
      </c>
      <c r="J643" s="8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8" t="s">
        <v>7354</v>
      </c>
      <c r="E644" s="8" t="s">
        <v>7355</v>
      </c>
      <c r="F644" s="8"/>
      <c r="H644" s="8"/>
      <c r="I644" s="8" t="s">
        <v>16342</v>
      </c>
      <c r="J644" s="8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8" t="s">
        <v>7354</v>
      </c>
      <c r="E645" s="8" t="s">
        <v>7355</v>
      </c>
      <c r="F645" s="8"/>
      <c r="H645" s="8"/>
      <c r="I645" s="8" t="s">
        <v>16345</v>
      </c>
      <c r="J645" s="8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8" t="s">
        <v>7354</v>
      </c>
      <c r="E646" s="8" t="s">
        <v>7355</v>
      </c>
      <c r="F646" s="8"/>
      <c r="H646" s="8"/>
      <c r="I646" s="8" t="s">
        <v>16348</v>
      </c>
      <c r="J646" s="8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8" t="s">
        <v>4</v>
      </c>
      <c r="E647" s="8" t="s">
        <v>9</v>
      </c>
      <c r="F647" s="8"/>
      <c r="H647" s="8"/>
      <c r="I647" s="8" t="s">
        <v>16351</v>
      </c>
      <c r="J647" s="8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8" t="s">
        <v>16673</v>
      </c>
      <c r="E648" s="8" t="s">
        <v>7355</v>
      </c>
      <c r="F648" s="8"/>
      <c r="H648" s="8"/>
      <c r="I648" s="8" t="s">
        <v>16354</v>
      </c>
      <c r="J648" s="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8" t="s">
        <v>4</v>
      </c>
      <c r="E649" s="8" t="s">
        <v>4131</v>
      </c>
      <c r="F649" s="8"/>
      <c r="H649" s="8"/>
      <c r="I649" s="8" t="s">
        <v>16357</v>
      </c>
      <c r="J649" s="8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8" t="s">
        <v>7354</v>
      </c>
      <c r="E650" s="8" t="s">
        <v>7355</v>
      </c>
      <c r="F650" s="8"/>
      <c r="H650" s="8"/>
      <c r="I650" s="8" t="s">
        <v>16360</v>
      </c>
      <c r="J650" s="8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8" t="s">
        <v>7354</v>
      </c>
      <c r="E651" s="8" t="s">
        <v>7355</v>
      </c>
      <c r="F651" s="8"/>
      <c r="H651" s="8"/>
      <c r="I651" s="8" t="s">
        <v>16363</v>
      </c>
      <c r="J651" s="8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8" t="s">
        <v>1607</v>
      </c>
      <c r="E652" s="8" t="s">
        <v>9</v>
      </c>
      <c r="F652" s="8"/>
      <c r="H652" s="8"/>
      <c r="I652" s="8" t="s">
        <v>16366</v>
      </c>
      <c r="J652" s="8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8" t="s">
        <v>4</v>
      </c>
      <c r="E653" s="8" t="s">
        <v>9</v>
      </c>
      <c r="F653" s="8"/>
      <c r="H653" s="8"/>
      <c r="I653" s="8" t="s">
        <v>16369</v>
      </c>
      <c r="J653" s="8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8" t="s">
        <v>4</v>
      </c>
      <c r="E654" s="8" t="s">
        <v>4131</v>
      </c>
      <c r="F654" s="8"/>
      <c r="H654" s="8"/>
      <c r="I654" s="8" t="s">
        <v>16372</v>
      </c>
      <c r="J654" s="8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8" t="s">
        <v>7354</v>
      </c>
      <c r="E655" s="8" t="s">
        <v>4131</v>
      </c>
      <c r="F655" s="8"/>
      <c r="H655" s="8"/>
      <c r="I655" s="8" t="s">
        <v>16375</v>
      </c>
      <c r="J655" s="8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8" t="s">
        <v>7354</v>
      </c>
      <c r="E656" s="8" t="s">
        <v>7355</v>
      </c>
      <c r="F656" s="8"/>
      <c r="H656" s="8"/>
      <c r="I656" s="8" t="s">
        <v>16378</v>
      </c>
      <c r="J656" s="8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8" t="s">
        <v>16674</v>
      </c>
      <c r="E657" s="8"/>
      <c r="F657" s="8"/>
      <c r="H657" s="8"/>
      <c r="I657" s="8" t="s">
        <v>16381</v>
      </c>
      <c r="J657" s="8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8" t="s">
        <v>16674</v>
      </c>
      <c r="E658" s="8"/>
      <c r="F658" s="8"/>
      <c r="H658" s="8" t="s">
        <v>2352</v>
      </c>
      <c r="I658" s="8" t="s">
        <v>16384</v>
      </c>
      <c r="J658" s="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8" t="s">
        <v>16674</v>
      </c>
      <c r="E659" s="8"/>
      <c r="F659" s="8"/>
      <c r="H659" s="8" t="s">
        <v>2352</v>
      </c>
      <c r="I659" s="8" t="s">
        <v>16387</v>
      </c>
      <c r="J659" s="8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8" t="s">
        <v>16669</v>
      </c>
      <c r="E660" s="8"/>
      <c r="F660" s="8"/>
      <c r="H660" s="8"/>
      <c r="I660" s="8" t="s">
        <v>16390</v>
      </c>
      <c r="J660" s="8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8" t="s">
        <v>4</v>
      </c>
      <c r="E661" s="8" t="s">
        <v>9</v>
      </c>
      <c r="F661" s="8"/>
      <c r="H661" s="8"/>
      <c r="I661" s="8" t="s">
        <v>16393</v>
      </c>
      <c r="J661" s="8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8" t="s">
        <v>1607</v>
      </c>
      <c r="E662" s="8" t="s">
        <v>9</v>
      </c>
      <c r="F662" s="8"/>
      <c r="H662" s="8"/>
      <c r="I662" s="8" t="s">
        <v>16396</v>
      </c>
      <c r="J662" s="8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8" t="s">
        <v>1607</v>
      </c>
      <c r="E663" s="8" t="s">
        <v>9</v>
      </c>
      <c r="F663" s="8"/>
      <c r="H663" s="8"/>
      <c r="I663" s="8" t="s">
        <v>16399</v>
      </c>
      <c r="J663" s="8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8" t="s">
        <v>1607</v>
      </c>
      <c r="E664" s="8" t="s">
        <v>9</v>
      </c>
      <c r="F664" s="8"/>
      <c r="H664" s="8"/>
      <c r="I664" s="8" t="s">
        <v>16402</v>
      </c>
      <c r="J664" s="8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8" t="s">
        <v>7354</v>
      </c>
      <c r="E665" s="8" t="s">
        <v>7355</v>
      </c>
      <c r="F665" s="8"/>
      <c r="H665" s="8"/>
      <c r="I665" s="8" t="s">
        <v>16405</v>
      </c>
      <c r="J665" s="8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8" t="s">
        <v>7354</v>
      </c>
      <c r="E666" s="8" t="s">
        <v>4131</v>
      </c>
      <c r="F666" s="8"/>
      <c r="H666" s="8"/>
      <c r="I666" s="8" t="s">
        <v>16408</v>
      </c>
      <c r="J666" s="8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8" t="s">
        <v>7354</v>
      </c>
      <c r="E667" s="8" t="s">
        <v>4131</v>
      </c>
      <c r="F667" s="8"/>
      <c r="H667" s="8"/>
      <c r="I667" s="8" t="s">
        <v>16411</v>
      </c>
      <c r="J667" s="8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8" t="s">
        <v>4</v>
      </c>
      <c r="E668" s="8" t="s">
        <v>4131</v>
      </c>
      <c r="F668" s="8"/>
      <c r="H668" s="8"/>
      <c r="I668" s="8" t="s">
        <v>16414</v>
      </c>
      <c r="J668" s="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8" t="s">
        <v>4</v>
      </c>
      <c r="E669" s="8" t="s">
        <v>9</v>
      </c>
      <c r="F669" s="8"/>
      <c r="H669" s="8"/>
      <c r="I669" s="8" t="s">
        <v>16417</v>
      </c>
      <c r="J669" s="8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8" t="s">
        <v>4</v>
      </c>
      <c r="E670" s="8" t="s">
        <v>17477</v>
      </c>
      <c r="F670" s="8"/>
      <c r="H670" s="8"/>
      <c r="I670" s="8" t="s">
        <v>17386</v>
      </c>
      <c r="J670" s="8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8" t="s">
        <v>4</v>
      </c>
      <c r="E671" s="8" t="s">
        <v>17477</v>
      </c>
      <c r="F671" s="8"/>
      <c r="H671" s="8"/>
      <c r="I671" s="8" t="s">
        <v>17389</v>
      </c>
      <c r="J671" s="8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8" t="s">
        <v>4</v>
      </c>
      <c r="E672" s="8" t="s">
        <v>17476</v>
      </c>
      <c r="F672" s="8"/>
      <c r="H672" s="8" t="s">
        <v>17478</v>
      </c>
      <c r="I672" s="8" t="s">
        <v>17392</v>
      </c>
      <c r="J672" s="8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8" t="s">
        <v>1607</v>
      </c>
      <c r="E673" s="8" t="s">
        <v>9</v>
      </c>
      <c r="F673" s="8"/>
      <c r="H673" s="8"/>
      <c r="I673" s="8" t="s">
        <v>17395</v>
      </c>
      <c r="J673" s="8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8" t="s">
        <v>1607</v>
      </c>
      <c r="E674" s="8" t="s">
        <v>9</v>
      </c>
      <c r="F674" s="8"/>
      <c r="H674" s="8"/>
      <c r="I674" s="8" t="s">
        <v>17398</v>
      </c>
      <c r="J674" s="8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8" t="s">
        <v>1627</v>
      </c>
      <c r="E675" s="8" t="s">
        <v>687</v>
      </c>
      <c r="F675" s="8"/>
      <c r="H675" s="8"/>
      <c r="I675" s="8" t="s">
        <v>17401</v>
      </c>
      <c r="J675" s="8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8" t="s">
        <v>1627</v>
      </c>
      <c r="E676" s="8" t="s">
        <v>687</v>
      </c>
      <c r="F676" s="8"/>
      <c r="H676" s="8"/>
      <c r="I676" s="8" t="s">
        <v>17404</v>
      </c>
      <c r="J676" s="8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8" t="s">
        <v>1627</v>
      </c>
      <c r="E677" s="8" t="s">
        <v>687</v>
      </c>
      <c r="F677" s="8"/>
      <c r="H677" s="8"/>
      <c r="I677" s="8" t="s">
        <v>17407</v>
      </c>
      <c r="J677" s="8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8" t="s">
        <v>1627</v>
      </c>
      <c r="E678" s="8" t="s">
        <v>687</v>
      </c>
      <c r="F678" s="8"/>
      <c r="H678" s="8"/>
      <c r="I678" s="8" t="s">
        <v>17410</v>
      </c>
      <c r="J678" s="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8" t="s">
        <v>1627</v>
      </c>
      <c r="E679" s="8" t="s">
        <v>687</v>
      </c>
      <c r="F679" s="8"/>
      <c r="H679" s="8"/>
      <c r="I679" s="8" t="s">
        <v>17413</v>
      </c>
      <c r="J679" s="8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8" t="s">
        <v>1627</v>
      </c>
      <c r="E680" s="8" t="s">
        <v>687</v>
      </c>
      <c r="F680" s="8"/>
      <c r="H680" s="8"/>
      <c r="I680" s="8" t="s">
        <v>17416</v>
      </c>
      <c r="J680" s="8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8" t="s">
        <v>1627</v>
      </c>
      <c r="E681" s="8" t="s">
        <v>687</v>
      </c>
      <c r="F681" s="8"/>
      <c r="H681" s="8"/>
      <c r="I681" s="8" t="s">
        <v>17419</v>
      </c>
      <c r="J681" s="8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8" t="s">
        <v>1627</v>
      </c>
      <c r="E682" s="8" t="s">
        <v>687</v>
      </c>
      <c r="F682" s="8"/>
      <c r="H682" s="8"/>
      <c r="I682" s="8" t="s">
        <v>17422</v>
      </c>
      <c r="J682" s="8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8" t="s">
        <v>1627</v>
      </c>
      <c r="E683" s="8" t="s">
        <v>687</v>
      </c>
      <c r="F683" s="8"/>
      <c r="H683" s="8"/>
      <c r="I683" s="8" t="s">
        <v>17425</v>
      </c>
      <c r="J683" s="8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8" t="s">
        <v>1627</v>
      </c>
      <c r="E684" s="8" t="s">
        <v>687</v>
      </c>
      <c r="F684" s="8"/>
      <c r="H684" s="8"/>
      <c r="I684" s="8" t="s">
        <v>17428</v>
      </c>
      <c r="J684" s="8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8" t="s">
        <v>1627</v>
      </c>
      <c r="E685" s="8" t="s">
        <v>687</v>
      </c>
      <c r="F685" s="8"/>
      <c r="H685" s="8"/>
      <c r="I685" s="8" t="s">
        <v>17431</v>
      </c>
      <c r="J685" s="8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8" t="s">
        <v>4</v>
      </c>
      <c r="E686" s="8" t="s">
        <v>9</v>
      </c>
      <c r="F686" s="8"/>
      <c r="H686" s="8"/>
      <c r="I686" s="8" t="s">
        <v>17434</v>
      </c>
      <c r="J686" s="8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8" t="s">
        <v>4</v>
      </c>
      <c r="E687" s="8" t="s">
        <v>9</v>
      </c>
      <c r="F687" s="8"/>
      <c r="H687" s="8"/>
      <c r="I687" s="8" t="s">
        <v>17437</v>
      </c>
      <c r="J687" s="8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8" t="s">
        <v>7746</v>
      </c>
      <c r="E688" s="8" t="s">
        <v>1274</v>
      </c>
      <c r="F688" s="8"/>
      <c r="H688" s="8"/>
      <c r="I688" s="8" t="s">
        <v>17440</v>
      </c>
      <c r="J688" s="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8" t="s">
        <v>7746</v>
      </c>
      <c r="E689" s="8" t="s">
        <v>1274</v>
      </c>
      <c r="F689" s="8"/>
      <c r="H689" s="8"/>
      <c r="I689" s="8" t="s">
        <v>17443</v>
      </c>
      <c r="J689" s="8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</sheetData>
  <conditionalFormatting sqref="D690:D700 E690:E703 G2:H689 D2:E689">
    <cfRule type="containsText" dxfId="776" priority="14" operator="containsText" text="Выезд с территории">
      <formula>NOT(ISERROR(SEARCH("Выезд с территории",D2)))</formula>
    </cfRule>
  </conditionalFormatting>
  <conditionalFormatting sqref="F2:F689">
    <cfRule type="notContainsText" dxfId="775" priority="13" operator="notContains" text="порожний">
      <formula>ISERROR(SEARCH("порожний",F2))</formula>
    </cfRule>
  </conditionalFormatting>
  <conditionalFormatting sqref="E2:E703">
    <cfRule type="containsText" dxfId="774" priority="11" operator="containsText" text="Газель базы">
      <formula>NOT(ISERROR(SEARCH("Газель базы",E2)))</formula>
    </cfRule>
    <cfRule type="containsText" dxfId="773" priority="12" operator="containsText" text="Погрузчик базы">
      <formula>NOT(ISERROR(SEARCH("Погрузчик базы",E2)))</formula>
    </cfRule>
  </conditionalFormatting>
  <conditionalFormatting sqref="E2:E703">
    <cfRule type="containsText" dxfId="772" priority="10" operator="containsText" text="Трактор базы">
      <formula>NOT(ISERROR(SEARCH("Трактор базы",E2)))</formula>
    </cfRule>
  </conditionalFormatting>
  <conditionalFormatting sqref="A2:C689">
    <cfRule type="expression" dxfId="771" priority="9">
      <formula>$A2="пн"</formula>
    </cfRule>
  </conditionalFormatting>
  <conditionalFormatting sqref="A2:C691">
    <cfRule type="expression" dxfId="770" priority="3">
      <formula>$A2="вс"</formula>
    </cfRule>
    <cfRule type="expression" dxfId="769" priority="4">
      <formula>$A2="сб"</formula>
    </cfRule>
    <cfRule type="expression" dxfId="768" priority="5">
      <formula>$A2="пт"</formula>
    </cfRule>
    <cfRule type="expression" dxfId="767" priority="6">
      <formula>$A2="чт"</formula>
    </cfRule>
    <cfRule type="expression" dxfId="766" priority="7">
      <formula>$A2="ср"</formula>
    </cfRule>
    <cfRule type="expression" dxfId="765" priority="8">
      <formula>$A2="вт"</formula>
    </cfRule>
  </conditionalFormatting>
  <conditionalFormatting sqref="D2:D700">
    <cfRule type="containsText" dxfId="7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0">
    <cfRule type="containsText" dxfId="7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711"/>
  <sheetViews>
    <sheetView zoomScale="90" zoomScaleNormal="90" workbookViewId="0">
      <pane ySplit="1" topLeftCell="A691" activePane="bottomLeft" state="frozen"/>
      <selection pane="bottomLeft" activeCell="I695" sqref="I695:I7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10" t="s">
        <v>2382</v>
      </c>
      <c r="I171" s="8" t="s">
        <v>2274</v>
      </c>
      <c r="J171" s="8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10" t="s">
        <v>2382</v>
      </c>
      <c r="I176" s="8" t="s">
        <v>2284</v>
      </c>
      <c r="J176" s="8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13509</v>
      </c>
      <c r="J634" s="8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13512</v>
      </c>
      <c r="J635" s="8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13515</v>
      </c>
      <c r="J636" s="8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13518</v>
      </c>
      <c r="J637" s="8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13521</v>
      </c>
      <c r="J638" s="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13897</v>
      </c>
      <c r="E639" s="8" t="s">
        <v>1274</v>
      </c>
      <c r="F639" s="8"/>
      <c r="H639" s="8"/>
      <c r="I639" s="8" t="s">
        <v>13524</v>
      </c>
      <c r="J639" s="8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13897</v>
      </c>
      <c r="E640" s="8" t="s">
        <v>1274</v>
      </c>
      <c r="F640" s="8"/>
      <c r="H640" s="8"/>
      <c r="I640" s="8" t="s">
        <v>13527</v>
      </c>
      <c r="J640" s="8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13530</v>
      </c>
      <c r="J641" s="8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13533</v>
      </c>
      <c r="J642" s="8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13939</v>
      </c>
      <c r="J643" s="8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13942</v>
      </c>
      <c r="J644" s="8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13945</v>
      </c>
      <c r="J645" s="8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13948</v>
      </c>
      <c r="J646" s="8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8" t="s">
        <v>4</v>
      </c>
      <c r="E647" s="8" t="s">
        <v>8</v>
      </c>
      <c r="F647" s="8"/>
      <c r="H647" s="8"/>
      <c r="I647" s="8" t="s">
        <v>14252</v>
      </c>
      <c r="J647" s="8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8" t="s">
        <v>7354</v>
      </c>
      <c r="E648" s="8" t="s">
        <v>468</v>
      </c>
      <c r="F648" s="8"/>
      <c r="H648" s="8"/>
      <c r="I648" s="8" t="s">
        <v>14256</v>
      </c>
      <c r="J648" s="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8" t="s">
        <v>16675</v>
      </c>
      <c r="E649" s="8" t="s">
        <v>468</v>
      </c>
      <c r="F649" s="8"/>
      <c r="H649" s="8"/>
      <c r="I649" s="8" t="s">
        <v>14259</v>
      </c>
      <c r="J649" s="8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8" t="s">
        <v>4</v>
      </c>
      <c r="E650" s="8" t="s">
        <v>468</v>
      </c>
      <c r="F650" s="8"/>
      <c r="H650" s="8"/>
      <c r="I650" s="8" t="s">
        <v>14262</v>
      </c>
      <c r="J650" s="8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8" t="s">
        <v>4</v>
      </c>
      <c r="E651" s="8" t="s">
        <v>8</v>
      </c>
      <c r="F651" s="8"/>
      <c r="H651" s="8"/>
      <c r="I651" s="8" t="s">
        <v>14265</v>
      </c>
      <c r="J651" s="8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8" t="s">
        <v>1273</v>
      </c>
      <c r="E652" s="8" t="s">
        <v>11070</v>
      </c>
      <c r="F652" s="8"/>
      <c r="H652" s="8"/>
      <c r="I652" s="8" t="s">
        <v>14268</v>
      </c>
      <c r="J652" s="8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8" t="s">
        <v>16676</v>
      </c>
      <c r="E653" s="8" t="s">
        <v>11070</v>
      </c>
      <c r="F653" s="8"/>
      <c r="H653" s="8" t="s">
        <v>4390</v>
      </c>
      <c r="I653" s="8" t="s">
        <v>14271</v>
      </c>
      <c r="J653" s="8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8" t="s">
        <v>587</v>
      </c>
      <c r="E654" s="8" t="s">
        <v>11070</v>
      </c>
      <c r="F654" s="8"/>
      <c r="H654" s="8"/>
      <c r="I654" s="8" t="s">
        <v>14274</v>
      </c>
      <c r="J654" s="8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8" t="s">
        <v>16677</v>
      </c>
      <c r="E655" s="8" t="s">
        <v>1274</v>
      </c>
      <c r="F655" s="8"/>
      <c r="H655" s="8"/>
      <c r="I655" s="8" t="s">
        <v>14277</v>
      </c>
      <c r="J655" s="8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8" t="s">
        <v>1273</v>
      </c>
      <c r="E656" s="8" t="s">
        <v>9597</v>
      </c>
      <c r="F656" s="8"/>
      <c r="H656" s="8"/>
      <c r="I656" s="8" t="s">
        <v>14280</v>
      </c>
      <c r="J656" s="8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8" t="s">
        <v>227</v>
      </c>
      <c r="E657" s="8" t="s">
        <v>9597</v>
      </c>
      <c r="F657" s="8" t="s">
        <v>16678</v>
      </c>
      <c r="H657" s="8"/>
      <c r="I657" s="8" t="s">
        <v>14283</v>
      </c>
      <c r="J657" s="8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8" t="s">
        <v>587</v>
      </c>
      <c r="E658" s="8" t="s">
        <v>9597</v>
      </c>
      <c r="F658" s="8"/>
      <c r="H658" s="8"/>
      <c r="I658" s="8" t="s">
        <v>14286</v>
      </c>
      <c r="J658" s="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8" t="s">
        <v>4</v>
      </c>
      <c r="E659" s="8" t="s">
        <v>8</v>
      </c>
      <c r="F659" s="8"/>
      <c r="H659" s="8"/>
      <c r="I659" s="8" t="s">
        <v>14289</v>
      </c>
      <c r="J659" s="8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8" t="s">
        <v>4</v>
      </c>
      <c r="E660" s="8" t="s">
        <v>8</v>
      </c>
      <c r="F660" s="8"/>
      <c r="H660" s="8"/>
      <c r="I660" s="8" t="s">
        <v>16489</v>
      </c>
      <c r="J660" s="8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8" t="s">
        <v>7354</v>
      </c>
      <c r="E661" s="8" t="s">
        <v>1274</v>
      </c>
      <c r="F661" s="8"/>
      <c r="H661" s="8"/>
      <c r="I661" s="8" t="s">
        <v>16492</v>
      </c>
      <c r="J661" s="8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8" t="s">
        <v>4</v>
      </c>
      <c r="E662" s="8" t="s">
        <v>468</v>
      </c>
      <c r="F662" s="8"/>
      <c r="H662" s="8"/>
      <c r="I662" s="8" t="s">
        <v>16495</v>
      </c>
      <c r="J662" s="8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8" t="s">
        <v>4</v>
      </c>
      <c r="E663" s="8" t="s">
        <v>8</v>
      </c>
      <c r="F663" s="8"/>
      <c r="H663" s="8"/>
      <c r="I663" s="8" t="s">
        <v>16498</v>
      </c>
      <c r="J663" s="8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8" t="s">
        <v>4</v>
      </c>
      <c r="E664" s="8" t="s">
        <v>8</v>
      </c>
      <c r="F664" s="8"/>
      <c r="H664" s="8"/>
      <c r="I664" s="8" t="s">
        <v>16501</v>
      </c>
      <c r="J664" s="8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8" t="s">
        <v>1607</v>
      </c>
      <c r="E665" s="8" t="s">
        <v>8</v>
      </c>
      <c r="F665" s="8"/>
      <c r="H665" s="8"/>
      <c r="I665" s="8" t="s">
        <v>16504</v>
      </c>
      <c r="J665" s="8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8" t="s">
        <v>4</v>
      </c>
      <c r="E666" s="8" t="s">
        <v>8</v>
      </c>
      <c r="F666" s="8"/>
      <c r="H666" s="8"/>
      <c r="I666" s="8" t="s">
        <v>16507</v>
      </c>
      <c r="J666" s="8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8" t="s">
        <v>4</v>
      </c>
      <c r="E667" s="8" t="s">
        <v>16679</v>
      </c>
      <c r="F667" s="8"/>
      <c r="H667" s="8"/>
      <c r="I667" s="8" t="s">
        <v>16510</v>
      </c>
      <c r="J667" s="8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8" t="s">
        <v>4</v>
      </c>
      <c r="E668" s="8" t="s">
        <v>7068</v>
      </c>
      <c r="F668" s="8"/>
      <c r="H668" s="8"/>
      <c r="I668" s="8" t="s">
        <v>16513</v>
      </c>
      <c r="J668" s="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8" t="s">
        <v>7354</v>
      </c>
      <c r="E669" s="8" t="s">
        <v>468</v>
      </c>
      <c r="F669" s="8"/>
      <c r="H669" s="8"/>
      <c r="I669" s="8" t="s">
        <v>16516</v>
      </c>
      <c r="J669" s="8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8" t="s">
        <v>7354</v>
      </c>
      <c r="E670" s="8" t="s">
        <v>1274</v>
      </c>
      <c r="F670" s="8"/>
      <c r="H670" s="8"/>
      <c r="I670" s="8" t="s">
        <v>16519</v>
      </c>
      <c r="J670" s="8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8" t="s">
        <v>1273</v>
      </c>
      <c r="E671" s="8" t="s">
        <v>16656</v>
      </c>
      <c r="F671" s="8"/>
      <c r="H671" s="8"/>
      <c r="I671" s="8" t="s">
        <v>16522</v>
      </c>
      <c r="J671" s="8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8" t="s">
        <v>16680</v>
      </c>
      <c r="E672" s="8"/>
      <c r="F672" s="8"/>
      <c r="H672" s="8"/>
      <c r="I672" s="8" t="s">
        <v>16525</v>
      </c>
      <c r="J672" s="8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8" t="s">
        <v>16680</v>
      </c>
      <c r="E673" s="8"/>
      <c r="F673" s="8"/>
      <c r="H673" s="8" t="s">
        <v>2352</v>
      </c>
      <c r="I673" s="8" t="s">
        <v>16528</v>
      </c>
      <c r="J673" s="8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8" t="s">
        <v>16680</v>
      </c>
      <c r="E674" s="8"/>
      <c r="F674" s="8"/>
      <c r="H674" s="8" t="s">
        <v>2352</v>
      </c>
      <c r="I674" s="8" t="s">
        <v>16531</v>
      </c>
      <c r="J674" s="8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8" t="s">
        <v>16680</v>
      </c>
      <c r="E675" s="8"/>
      <c r="F675" s="8"/>
      <c r="H675" s="8" t="s">
        <v>2352</v>
      </c>
      <c r="I675" s="8" t="s">
        <v>16534</v>
      </c>
      <c r="J675" s="8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8" t="s">
        <v>226</v>
      </c>
      <c r="E676" s="8"/>
      <c r="F676" s="8" t="s">
        <v>53</v>
      </c>
      <c r="G676">
        <v>13</v>
      </c>
      <c r="H676" s="8"/>
      <c r="I676" s="8" t="s">
        <v>16537</v>
      </c>
      <c r="J676" s="8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8" t="s">
        <v>4</v>
      </c>
      <c r="E677" s="8" t="s">
        <v>8</v>
      </c>
      <c r="F677" s="8"/>
      <c r="H677" s="8"/>
      <c r="I677" s="8" t="s">
        <v>16540</v>
      </c>
      <c r="J677" s="8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8" t="s">
        <v>1607</v>
      </c>
      <c r="E678" s="8" t="s">
        <v>8</v>
      </c>
      <c r="F678" s="8"/>
      <c r="H678" s="8"/>
      <c r="I678" s="8" t="s">
        <v>16543</v>
      </c>
      <c r="J678" s="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8" t="s">
        <v>1273</v>
      </c>
      <c r="E679" s="8" t="s">
        <v>16661</v>
      </c>
      <c r="F679" s="8"/>
      <c r="H679" s="8"/>
      <c r="I679" s="8" t="s">
        <v>16546</v>
      </c>
      <c r="J679" s="8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8" t="s">
        <v>226</v>
      </c>
      <c r="E680" s="8" t="s">
        <v>16661</v>
      </c>
      <c r="F680" s="8" t="s">
        <v>16657</v>
      </c>
      <c r="H680" s="8"/>
      <c r="I680" s="8" t="s">
        <v>16549</v>
      </c>
      <c r="J680" s="8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8" t="s">
        <v>226</v>
      </c>
      <c r="E681" s="8" t="s">
        <v>16661</v>
      </c>
      <c r="F681" s="8" t="s">
        <v>16657</v>
      </c>
      <c r="H681" s="8" t="s">
        <v>2352</v>
      </c>
      <c r="I681" s="8" t="s">
        <v>16552</v>
      </c>
      <c r="J681" s="8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8" t="s">
        <v>587</v>
      </c>
      <c r="E682" s="8" t="s">
        <v>16661</v>
      </c>
      <c r="F682" s="8" t="s">
        <v>16657</v>
      </c>
      <c r="H682" s="8"/>
      <c r="I682" s="8" t="s">
        <v>16555</v>
      </c>
      <c r="J682" s="8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8" t="s">
        <v>4</v>
      </c>
      <c r="E683" s="8" t="s">
        <v>8</v>
      </c>
      <c r="F683" s="8"/>
      <c r="H683" s="8"/>
      <c r="I683" s="8" t="s">
        <v>16558</v>
      </c>
      <c r="J683" s="8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8" t="s">
        <v>4</v>
      </c>
      <c r="E684" s="8" t="s">
        <v>7361</v>
      </c>
      <c r="F684" s="8"/>
      <c r="H684" s="8"/>
      <c r="I684" s="8" t="s">
        <v>16561</v>
      </c>
      <c r="J684" s="8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8" t="s">
        <v>7354</v>
      </c>
      <c r="E685" s="8" t="s">
        <v>86</v>
      </c>
      <c r="F685" s="8"/>
      <c r="H685" s="8" t="s">
        <v>2365</v>
      </c>
      <c r="I685" s="8" t="s">
        <v>16564</v>
      </c>
      <c r="J685" s="8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8" t="s">
        <v>7354</v>
      </c>
      <c r="E686" s="8" t="s">
        <v>86</v>
      </c>
      <c r="F686" s="8"/>
      <c r="H686" s="8" t="s">
        <v>2352</v>
      </c>
      <c r="I686" s="8" t="s">
        <v>16567</v>
      </c>
      <c r="J686" s="8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8" t="s">
        <v>7354</v>
      </c>
      <c r="E687" s="8" t="s">
        <v>86</v>
      </c>
      <c r="F687" s="8"/>
      <c r="H687" s="8" t="s">
        <v>2352</v>
      </c>
      <c r="I687" s="8" t="s">
        <v>16570</v>
      </c>
      <c r="J687" s="8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8" t="s">
        <v>7354</v>
      </c>
      <c r="E688" s="8" t="s">
        <v>86</v>
      </c>
      <c r="F688" s="8"/>
      <c r="H688" s="8"/>
      <c r="I688" s="8" t="s">
        <v>16573</v>
      </c>
      <c r="J688" s="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8" t="s">
        <v>1273</v>
      </c>
      <c r="E689" s="8" t="s">
        <v>10130</v>
      </c>
      <c r="F689" s="8"/>
      <c r="H689" s="8"/>
      <c r="I689" s="8" t="s">
        <v>16576</v>
      </c>
      <c r="J689" s="8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8" t="s">
        <v>16676</v>
      </c>
      <c r="E690" s="8" t="s">
        <v>10130</v>
      </c>
      <c r="F690" s="8"/>
      <c r="H690" s="8" t="s">
        <v>4390</v>
      </c>
      <c r="I690" s="8" t="s">
        <v>16579</v>
      </c>
      <c r="J690" s="8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8" t="s">
        <v>587</v>
      </c>
      <c r="E691" s="8" t="s">
        <v>10130</v>
      </c>
      <c r="F691" s="8"/>
      <c r="H691" s="8"/>
      <c r="I691" s="8" t="s">
        <v>16582</v>
      </c>
      <c r="J691" s="8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8" t="s">
        <v>4</v>
      </c>
      <c r="E692" s="8" t="s">
        <v>468</v>
      </c>
      <c r="F692" s="8"/>
      <c r="H692" s="8"/>
      <c r="I692" s="8" t="s">
        <v>16585</v>
      </c>
      <c r="J692" s="8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8" t="s">
        <v>4</v>
      </c>
      <c r="E693" s="8" t="s">
        <v>468</v>
      </c>
      <c r="F693" s="8"/>
      <c r="H693" s="8"/>
      <c r="I693" s="8" t="s">
        <v>16588</v>
      </c>
      <c r="J693" s="8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8" t="s">
        <v>4</v>
      </c>
      <c r="E694" s="8" t="s">
        <v>8</v>
      </c>
      <c r="F694" s="8"/>
      <c r="H694" s="8"/>
      <c r="I694" s="8" t="s">
        <v>16591</v>
      </c>
      <c r="J694" s="8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8" t="s">
        <v>4</v>
      </c>
      <c r="E695" s="8" t="s">
        <v>8</v>
      </c>
      <c r="F695" s="8"/>
      <c r="H695" s="8"/>
      <c r="I695" s="8" t="s">
        <v>16827</v>
      </c>
      <c r="J695" s="8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8" t="s">
        <v>4</v>
      </c>
      <c r="E696" s="8" t="s">
        <v>17479</v>
      </c>
      <c r="F696" s="8"/>
      <c r="H696" s="8"/>
      <c r="I696" s="8" t="s">
        <v>16830</v>
      </c>
      <c r="J696" s="8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8" t="s">
        <v>4</v>
      </c>
      <c r="E697" s="8" t="s">
        <v>468</v>
      </c>
      <c r="F697" s="8"/>
      <c r="H697" s="8"/>
      <c r="I697" s="8" t="s">
        <v>16833</v>
      </c>
      <c r="J697" s="8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8" t="s">
        <v>4</v>
      </c>
      <c r="E698" s="8" t="s">
        <v>8</v>
      </c>
      <c r="F698" s="8"/>
      <c r="H698" s="8"/>
      <c r="I698" s="8" t="s">
        <v>16836</v>
      </c>
      <c r="J698" s="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8" t="s">
        <v>4</v>
      </c>
      <c r="E699" s="8" t="s">
        <v>8</v>
      </c>
      <c r="F699" s="8"/>
      <c r="H699" s="8"/>
      <c r="I699" s="8" t="s">
        <v>16839</v>
      </c>
      <c r="J699" s="8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8" t="s">
        <v>4</v>
      </c>
      <c r="E700" s="8" t="s">
        <v>17479</v>
      </c>
      <c r="F700" s="8"/>
      <c r="H700" s="8"/>
      <c r="I700" s="8" t="s">
        <v>16842</v>
      </c>
      <c r="J700" s="8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8" t="s">
        <v>1607</v>
      </c>
      <c r="E701" s="8" t="s">
        <v>8</v>
      </c>
      <c r="F701" s="8"/>
      <c r="H701" s="8"/>
      <c r="I701" s="8" t="s">
        <v>16845</v>
      </c>
      <c r="J701" s="8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8" t="s">
        <v>4</v>
      </c>
      <c r="E702" s="8" t="s">
        <v>8</v>
      </c>
      <c r="F702" s="8"/>
      <c r="H702" s="8"/>
      <c r="I702" s="8" t="s">
        <v>16848</v>
      </c>
      <c r="J702" s="8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8" t="s">
        <v>17480</v>
      </c>
      <c r="E703" s="8" t="s">
        <v>1274</v>
      </c>
      <c r="F703" s="8"/>
      <c r="H703" s="8"/>
      <c r="I703" s="8" t="s">
        <v>16851</v>
      </c>
      <c r="J703" s="8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8" t="s">
        <v>17480</v>
      </c>
      <c r="E704" s="8" t="s">
        <v>1274</v>
      </c>
      <c r="F704" s="8"/>
      <c r="H704" s="8"/>
      <c r="I704" s="8" t="s">
        <v>16854</v>
      </c>
      <c r="J704" s="8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8" t="s">
        <v>17480</v>
      </c>
      <c r="E705" s="8" t="s">
        <v>1274</v>
      </c>
      <c r="F705" s="8"/>
      <c r="H705" s="8"/>
      <c r="I705" s="8" t="s">
        <v>16857</v>
      </c>
      <c r="J705" s="8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8" t="s">
        <v>17480</v>
      </c>
      <c r="E706" s="8" t="s">
        <v>1274</v>
      </c>
      <c r="F706" s="8"/>
      <c r="H706" s="8"/>
      <c r="I706" s="8" t="s">
        <v>16860</v>
      </c>
      <c r="J706" s="8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8" t="s">
        <v>17480</v>
      </c>
      <c r="E707" s="8" t="s">
        <v>1274</v>
      </c>
      <c r="F707" s="8"/>
      <c r="H707" s="8"/>
      <c r="I707" s="8" t="s">
        <v>16863</v>
      </c>
      <c r="J707" s="8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8" t="s">
        <v>17480</v>
      </c>
      <c r="E708" s="8" t="s">
        <v>1274</v>
      </c>
      <c r="F708" s="8"/>
      <c r="H708" s="8"/>
      <c r="I708" s="8" t="s">
        <v>16866</v>
      </c>
      <c r="J708" s="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8" t="s">
        <v>17480</v>
      </c>
      <c r="E709" s="8" t="s">
        <v>1274</v>
      </c>
      <c r="F709" s="8"/>
      <c r="H709" s="8"/>
      <c r="I709" s="8" t="s">
        <v>16869</v>
      </c>
      <c r="J709" s="8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8" t="s">
        <v>17480</v>
      </c>
      <c r="E710" s="8" t="s">
        <v>1274</v>
      </c>
      <c r="F710" s="8"/>
      <c r="H710" s="8"/>
      <c r="I710" s="8" t="s">
        <v>16872</v>
      </c>
      <c r="J710" s="8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8" t="s">
        <v>4</v>
      </c>
      <c r="E711" s="8" t="s">
        <v>8</v>
      </c>
      <c r="F711" s="8"/>
      <c r="H711" s="8"/>
      <c r="I711" s="8" t="s">
        <v>16875</v>
      </c>
      <c r="J711" s="8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</sheetData>
  <conditionalFormatting sqref="D712:D722 E712:E725 G2:H711 D2:E711">
    <cfRule type="containsText" dxfId="762" priority="14" operator="containsText" text="Выезд с территории">
      <formula>NOT(ISERROR(SEARCH("Выезд с территории",D2)))</formula>
    </cfRule>
  </conditionalFormatting>
  <conditionalFormatting sqref="F2:F711">
    <cfRule type="notContainsText" dxfId="761" priority="13" operator="notContains" text="порожний">
      <formula>ISERROR(SEARCH("порожний",F2))</formula>
    </cfRule>
  </conditionalFormatting>
  <conditionalFormatting sqref="E2:E725">
    <cfRule type="containsText" dxfId="760" priority="11" operator="containsText" text="Газель базы">
      <formula>NOT(ISERROR(SEARCH("Газель базы",E2)))</formula>
    </cfRule>
    <cfRule type="containsText" dxfId="759" priority="12" operator="containsText" text="Погрузчик базы">
      <formula>NOT(ISERROR(SEARCH("Погрузчик базы",E2)))</formula>
    </cfRule>
  </conditionalFormatting>
  <conditionalFormatting sqref="E2:E725">
    <cfRule type="containsText" dxfId="758" priority="10" operator="containsText" text="Трактор базы">
      <formula>NOT(ISERROR(SEARCH("Трактор базы",E2)))</formula>
    </cfRule>
  </conditionalFormatting>
  <conditionalFormatting sqref="A2:C711">
    <cfRule type="expression" dxfId="757" priority="9">
      <formula>$A2="пн"</formula>
    </cfRule>
  </conditionalFormatting>
  <conditionalFormatting sqref="A2:C713">
    <cfRule type="expression" dxfId="756" priority="3">
      <formula>$A2="вс"</formula>
    </cfRule>
    <cfRule type="expression" dxfId="755" priority="4">
      <formula>$A2="сб"</formula>
    </cfRule>
    <cfRule type="expression" dxfId="754" priority="5">
      <formula>$A2="пт"</formula>
    </cfRule>
    <cfRule type="expression" dxfId="753" priority="6">
      <formula>$A2="чт"</formula>
    </cfRule>
    <cfRule type="expression" dxfId="752" priority="7">
      <formula>$A2="ср"</formula>
    </cfRule>
    <cfRule type="expression" dxfId="751" priority="8">
      <formula>$A2="вт"</formula>
    </cfRule>
  </conditionalFormatting>
  <conditionalFormatting sqref="D2:D722">
    <cfRule type="containsText" dxfId="7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22">
    <cfRule type="containsText" dxfId="7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53"/>
  <sheetViews>
    <sheetView zoomScale="90" zoomScaleNormal="90" workbookViewId="0">
      <pane ySplit="1" topLeftCell="A335" activePane="bottomLeft" state="frozen"/>
      <selection pane="bottomLeft" activeCell="I348" sqref="I348:I3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13536</v>
      </c>
      <c r="J311" s="8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13539</v>
      </c>
      <c r="J312" s="8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13542</v>
      </c>
      <c r="J313" s="8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13545</v>
      </c>
      <c r="J314" s="8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13548</v>
      </c>
      <c r="J315" s="8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13960</v>
      </c>
      <c r="J316" s="8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13963</v>
      </c>
      <c r="J317" s="8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8" t="s">
        <v>4</v>
      </c>
      <c r="E318" s="8" t="s">
        <v>11066</v>
      </c>
      <c r="F318" s="8"/>
      <c r="H318" s="8"/>
      <c r="I318" s="8" t="s">
        <v>14292</v>
      </c>
      <c r="J318" s="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8" t="s">
        <v>4</v>
      </c>
      <c r="E319" s="8" t="s">
        <v>11066</v>
      </c>
      <c r="F319" s="8"/>
      <c r="H319" s="8" t="s">
        <v>2352</v>
      </c>
      <c r="I319" s="8" t="s">
        <v>14295</v>
      </c>
      <c r="J319" s="8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8" t="s">
        <v>4</v>
      </c>
      <c r="E320" s="8" t="s">
        <v>11066</v>
      </c>
      <c r="F320" s="8"/>
      <c r="H320" s="8" t="s">
        <v>16681</v>
      </c>
      <c r="I320" s="8" t="s">
        <v>14298</v>
      </c>
      <c r="J320" s="8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8" t="s">
        <v>4</v>
      </c>
      <c r="E321" s="8" t="s">
        <v>8</v>
      </c>
      <c r="F321" s="8"/>
      <c r="H321" s="8"/>
      <c r="I321" s="8" t="s">
        <v>14301</v>
      </c>
      <c r="J321" s="8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8" t="s">
        <v>4</v>
      </c>
      <c r="E322" s="8" t="s">
        <v>8</v>
      </c>
      <c r="F322" s="8"/>
      <c r="H322" s="8"/>
      <c r="I322" s="8" t="s">
        <v>14304</v>
      </c>
      <c r="J322" s="8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8" t="s">
        <v>4</v>
      </c>
      <c r="E323" s="8" t="s">
        <v>8</v>
      </c>
      <c r="F323" s="8"/>
      <c r="H323" s="8"/>
      <c r="I323" s="8" t="s">
        <v>14307</v>
      </c>
      <c r="J323" s="8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8" t="s">
        <v>1607</v>
      </c>
      <c r="E324" s="8" t="s">
        <v>8</v>
      </c>
      <c r="F324" s="8"/>
      <c r="H324" s="8"/>
      <c r="I324" s="8" t="s">
        <v>14310</v>
      </c>
      <c r="J324" s="8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8" t="s">
        <v>4</v>
      </c>
      <c r="E325" s="8" t="s">
        <v>8</v>
      </c>
      <c r="F325" s="8"/>
      <c r="H325" s="8"/>
      <c r="I325" s="8" t="s">
        <v>16420</v>
      </c>
      <c r="J325" s="8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8" t="s">
        <v>588</v>
      </c>
      <c r="E326" s="8" t="s">
        <v>86</v>
      </c>
      <c r="F326" s="8"/>
      <c r="H326" s="8"/>
      <c r="I326" s="8" t="s">
        <v>16423</v>
      </c>
      <c r="J326" s="8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8" t="s">
        <v>588</v>
      </c>
      <c r="E327" s="8" t="s">
        <v>86</v>
      </c>
      <c r="F327" s="8"/>
      <c r="H327" s="8"/>
      <c r="I327" s="8" t="s">
        <v>16426</v>
      </c>
      <c r="J327" s="8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8" t="s">
        <v>588</v>
      </c>
      <c r="E328" s="8" t="s">
        <v>86</v>
      </c>
      <c r="F328" s="8"/>
      <c r="H328" s="8"/>
      <c r="I328" s="8" t="s">
        <v>16429</v>
      </c>
      <c r="J328" s="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8" t="s">
        <v>1539</v>
      </c>
      <c r="E329" s="8"/>
      <c r="F329" s="8"/>
      <c r="H329" s="8"/>
      <c r="I329" s="8" t="s">
        <v>16432</v>
      </c>
      <c r="J329" s="8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8" t="s">
        <v>1539</v>
      </c>
      <c r="E330" s="8"/>
      <c r="F330" s="8"/>
      <c r="H330" s="8"/>
      <c r="I330" s="8" t="s">
        <v>16435</v>
      </c>
      <c r="J330" s="8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8" t="s">
        <v>1539</v>
      </c>
      <c r="E331" s="8"/>
      <c r="F331" s="8"/>
      <c r="H331" s="8"/>
      <c r="I331" s="8" t="s">
        <v>16438</v>
      </c>
      <c r="J331" s="8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8" t="s">
        <v>1539</v>
      </c>
      <c r="E332" s="8"/>
      <c r="F332" s="8"/>
      <c r="H332" s="8"/>
      <c r="I332" s="8" t="s">
        <v>16441</v>
      </c>
      <c r="J332" s="8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8" t="s">
        <v>588</v>
      </c>
      <c r="E333" s="8" t="s">
        <v>86</v>
      </c>
      <c r="F333" s="8"/>
      <c r="H333" s="8"/>
      <c r="I333" s="8" t="s">
        <v>16444</v>
      </c>
      <c r="J333" s="8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8" t="s">
        <v>4</v>
      </c>
      <c r="E334" s="8" t="s">
        <v>8</v>
      </c>
      <c r="F334" s="8"/>
      <c r="H334" s="8"/>
      <c r="I334" s="8" t="s">
        <v>16447</v>
      </c>
      <c r="J334" s="8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8" t="s">
        <v>4</v>
      </c>
      <c r="E335" s="8" t="s">
        <v>8</v>
      </c>
      <c r="F335" s="8"/>
      <c r="H335" s="8"/>
      <c r="I335" s="8" t="s">
        <v>16450</v>
      </c>
      <c r="J335" s="8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8" t="s">
        <v>4</v>
      </c>
      <c r="E336" s="8" t="s">
        <v>8</v>
      </c>
      <c r="F336" s="8"/>
      <c r="H336" s="8"/>
      <c r="I336" s="8" t="s">
        <v>16453</v>
      </c>
      <c r="J336" s="8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8" t="s">
        <v>4</v>
      </c>
      <c r="E337" s="8" t="s">
        <v>11066</v>
      </c>
      <c r="F337" s="8"/>
      <c r="H337" s="8" t="s">
        <v>16682</v>
      </c>
      <c r="I337" s="8" t="s">
        <v>16456</v>
      </c>
      <c r="J337" s="8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8" t="s">
        <v>4</v>
      </c>
      <c r="E338" s="8" t="s">
        <v>8</v>
      </c>
      <c r="F338" s="8"/>
      <c r="H338" s="8"/>
      <c r="I338" s="8" t="s">
        <v>16459</v>
      </c>
      <c r="J338" s="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8" t="s">
        <v>4</v>
      </c>
      <c r="E339" s="8" t="s">
        <v>11066</v>
      </c>
      <c r="F339" s="8"/>
      <c r="H339" s="8" t="s">
        <v>16681</v>
      </c>
      <c r="I339" s="8" t="s">
        <v>16462</v>
      </c>
      <c r="J339" s="8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8" t="s">
        <v>4</v>
      </c>
      <c r="E340" s="8" t="s">
        <v>8</v>
      </c>
      <c r="F340" s="8"/>
      <c r="H340" s="8"/>
      <c r="I340" s="8" t="s">
        <v>16465</v>
      </c>
      <c r="J340" s="8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8" t="s">
        <v>4</v>
      </c>
      <c r="E341" s="8" t="s">
        <v>16661</v>
      </c>
      <c r="F341" s="8" t="s">
        <v>16657</v>
      </c>
      <c r="H341" s="8"/>
      <c r="I341" s="8" t="s">
        <v>16468</v>
      </c>
      <c r="J341" s="8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8" t="s">
        <v>4</v>
      </c>
      <c r="E342" s="8" t="s">
        <v>8</v>
      </c>
      <c r="F342" s="8"/>
      <c r="H342" s="8"/>
      <c r="I342" s="8" t="s">
        <v>16471</v>
      </c>
      <c r="J342" s="8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8" t="s">
        <v>4</v>
      </c>
      <c r="E343" s="8" t="s">
        <v>8</v>
      </c>
      <c r="F343" s="8"/>
      <c r="H343" s="8"/>
      <c r="I343" s="8" t="s">
        <v>16474</v>
      </c>
      <c r="J343" s="8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8" t="s">
        <v>1539</v>
      </c>
      <c r="E344" s="8"/>
      <c r="F344" s="8"/>
      <c r="H344" s="8"/>
      <c r="I344" s="8" t="s">
        <v>16477</v>
      </c>
      <c r="J344" s="8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8" t="s">
        <v>1539</v>
      </c>
      <c r="E345" s="8"/>
      <c r="F345" s="8"/>
      <c r="H345" s="8"/>
      <c r="I345" s="8" t="s">
        <v>16480</v>
      </c>
      <c r="J345" s="8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8" t="s">
        <v>4</v>
      </c>
      <c r="E346" s="8" t="s">
        <v>8</v>
      </c>
      <c r="F346" s="8"/>
      <c r="H346" s="8"/>
      <c r="I346" s="8" t="s">
        <v>16483</v>
      </c>
      <c r="J346" s="8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8" t="s">
        <v>4</v>
      </c>
      <c r="E347" s="8" t="s">
        <v>8</v>
      </c>
      <c r="F347" s="8"/>
      <c r="H347" s="8"/>
      <c r="I347" s="8" t="s">
        <v>16486</v>
      </c>
      <c r="J347" s="8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8" t="s">
        <v>4</v>
      </c>
      <c r="E348" s="8" t="s">
        <v>8</v>
      </c>
      <c r="F348" s="8"/>
      <c r="H348" s="8"/>
      <c r="I348" s="8" t="s">
        <v>16809</v>
      </c>
      <c r="J348" s="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8" t="s">
        <v>1607</v>
      </c>
      <c r="E349" s="8" t="s">
        <v>8</v>
      </c>
      <c r="F349" s="8"/>
      <c r="H349" s="8"/>
      <c r="I349" s="8" t="s">
        <v>16812</v>
      </c>
      <c r="J349" s="8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8" t="s">
        <v>4</v>
      </c>
      <c r="E350" s="8" t="s">
        <v>8</v>
      </c>
      <c r="F350" s="8"/>
      <c r="H350" s="8"/>
      <c r="I350" s="8" t="s">
        <v>16815</v>
      </c>
      <c r="J350" s="8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8" t="s">
        <v>1607</v>
      </c>
      <c r="E351" s="8" t="s">
        <v>8</v>
      </c>
      <c r="F351" s="8"/>
      <c r="H351" s="8"/>
      <c r="I351" s="8" t="s">
        <v>16818</v>
      </c>
      <c r="J351" s="8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8" t="s">
        <v>4</v>
      </c>
      <c r="E352" s="8" t="s">
        <v>8</v>
      </c>
      <c r="F352" s="8"/>
      <c r="H352" s="8"/>
      <c r="I352" s="8" t="s">
        <v>16821</v>
      </c>
      <c r="J352" s="8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8" t="s">
        <v>1607</v>
      </c>
      <c r="E353" s="8" t="s">
        <v>8</v>
      </c>
      <c r="F353" s="8"/>
      <c r="H353" s="8"/>
      <c r="I353" s="8" t="s">
        <v>16824</v>
      </c>
      <c r="J353" s="8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</sheetData>
  <conditionalFormatting sqref="D354:D364 E354:E367 G2:H353 D2:E353">
    <cfRule type="containsText" dxfId="748" priority="14" operator="containsText" text="Выезд с территории">
      <formula>NOT(ISERROR(SEARCH("Выезд с территории",D2)))</formula>
    </cfRule>
  </conditionalFormatting>
  <conditionalFormatting sqref="F2:F353">
    <cfRule type="notContainsText" dxfId="747" priority="13" operator="notContains" text="порожний">
      <formula>ISERROR(SEARCH("порожний",F2))</formula>
    </cfRule>
  </conditionalFormatting>
  <conditionalFormatting sqref="E2:E367">
    <cfRule type="containsText" dxfId="746" priority="11" operator="containsText" text="Газель базы">
      <formula>NOT(ISERROR(SEARCH("Газель базы",E2)))</formula>
    </cfRule>
    <cfRule type="containsText" dxfId="745" priority="12" operator="containsText" text="Погрузчик базы">
      <formula>NOT(ISERROR(SEARCH("Погрузчик базы",E2)))</formula>
    </cfRule>
  </conditionalFormatting>
  <conditionalFormatting sqref="E2:E367">
    <cfRule type="containsText" dxfId="744" priority="10" operator="containsText" text="Трактор базы">
      <formula>NOT(ISERROR(SEARCH("Трактор базы",E2)))</formula>
    </cfRule>
  </conditionalFormatting>
  <conditionalFormatting sqref="A2:C353">
    <cfRule type="expression" dxfId="743" priority="9">
      <formula>$A2="пн"</formula>
    </cfRule>
  </conditionalFormatting>
  <conditionalFormatting sqref="A2:C355">
    <cfRule type="expression" dxfId="742" priority="3">
      <formula>$A2="вс"</formula>
    </cfRule>
    <cfRule type="expression" dxfId="741" priority="4">
      <formula>$A2="сб"</formula>
    </cfRule>
    <cfRule type="expression" dxfId="740" priority="5">
      <formula>$A2="пт"</formula>
    </cfRule>
    <cfRule type="expression" dxfId="739" priority="6">
      <formula>$A2="чт"</formula>
    </cfRule>
    <cfRule type="expression" dxfId="738" priority="7">
      <formula>$A2="ср"</formula>
    </cfRule>
    <cfRule type="expression" dxfId="737" priority="8">
      <formula>$A2="вт"</formula>
    </cfRule>
  </conditionalFormatting>
  <conditionalFormatting sqref="D2:D364">
    <cfRule type="containsText" dxfId="7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4">
    <cfRule type="containsText" dxfId="7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04"/>
  <sheetViews>
    <sheetView zoomScale="90" zoomScaleNormal="90" workbookViewId="0">
      <pane ySplit="1" topLeftCell="A281" activePane="bottomLeft" state="frozen"/>
      <selection pane="bottomLeft" activeCell="I295" sqref="I295:I30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13551</v>
      </c>
      <c r="J246" s="8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13847</v>
      </c>
      <c r="E247" s="8" t="s">
        <v>468</v>
      </c>
      <c r="F247" s="8"/>
      <c r="H247" s="8"/>
      <c r="I247" s="8" t="s">
        <v>13554</v>
      </c>
      <c r="J247" s="8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13847</v>
      </c>
      <c r="E248" s="8" t="s">
        <v>468</v>
      </c>
      <c r="F248" s="8"/>
      <c r="H248" s="8"/>
      <c r="I248" s="8" t="s">
        <v>13557</v>
      </c>
      <c r="J248" s="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13560</v>
      </c>
      <c r="J249" s="8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13563</v>
      </c>
      <c r="J250" s="8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13847</v>
      </c>
      <c r="E251" s="8" t="s">
        <v>468</v>
      </c>
      <c r="F251" s="8"/>
      <c r="H251" s="8"/>
      <c r="I251" s="8" t="s">
        <v>13566</v>
      </c>
      <c r="J251" s="8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13569</v>
      </c>
      <c r="J252" s="8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 t="s">
        <v>8</v>
      </c>
      <c r="F253" s="8"/>
      <c r="H253" s="8"/>
      <c r="I253" s="8" t="s">
        <v>13966</v>
      </c>
      <c r="J253" s="8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 t="s">
        <v>8</v>
      </c>
      <c r="F254" s="8"/>
      <c r="H254" s="8"/>
      <c r="I254" s="8" t="s">
        <v>13969</v>
      </c>
      <c r="J254" s="8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13972</v>
      </c>
      <c r="J255" s="8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13975</v>
      </c>
      <c r="J256" s="8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13978</v>
      </c>
      <c r="J257" s="8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13981</v>
      </c>
      <c r="J258" s="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 t="s">
        <v>8</v>
      </c>
      <c r="F259" s="8"/>
      <c r="H259" s="8"/>
      <c r="I259" s="8" t="s">
        <v>13984</v>
      </c>
      <c r="J259" s="8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13987</v>
      </c>
      <c r="J260" s="8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8" t="s">
        <v>4</v>
      </c>
      <c r="E261" s="8" t="s">
        <v>8</v>
      </c>
      <c r="F261" s="8"/>
      <c r="H261" s="8"/>
      <c r="I261" s="8" t="s">
        <v>14415</v>
      </c>
      <c r="J261" s="8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8" t="s">
        <v>4</v>
      </c>
      <c r="E262" s="8" t="s">
        <v>8</v>
      </c>
      <c r="F262" s="8"/>
      <c r="H262" s="8" t="s">
        <v>2352</v>
      </c>
      <c r="I262" s="8" t="s">
        <v>14418</v>
      </c>
      <c r="J262" s="8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8" t="s">
        <v>7</v>
      </c>
      <c r="E263" s="8"/>
      <c r="F263" s="8"/>
      <c r="H263" s="8"/>
      <c r="I263" s="8" t="s">
        <v>14421</v>
      </c>
      <c r="J263" s="8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8" t="s">
        <v>4</v>
      </c>
      <c r="E264" s="8" t="s">
        <v>8</v>
      </c>
      <c r="F264" s="8"/>
      <c r="H264" s="8"/>
      <c r="I264" s="8" t="s">
        <v>14424</v>
      </c>
      <c r="J264" s="8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8" t="s">
        <v>4</v>
      </c>
      <c r="E265" s="8" t="s">
        <v>8</v>
      </c>
      <c r="F265" s="8"/>
      <c r="H265" s="8"/>
      <c r="I265" s="8" t="s">
        <v>14427</v>
      </c>
      <c r="J265" s="8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8" t="s">
        <v>4</v>
      </c>
      <c r="E266" s="8" t="s">
        <v>8</v>
      </c>
      <c r="F266" s="8"/>
      <c r="H266" s="8"/>
      <c r="I266" s="8" t="s">
        <v>14430</v>
      </c>
      <c r="J266" s="8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8" t="s">
        <v>12</v>
      </c>
      <c r="E267" s="8"/>
      <c r="F267" s="8"/>
      <c r="H267" s="8"/>
      <c r="I267" s="8" t="s">
        <v>14433</v>
      </c>
      <c r="J267" s="8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8" t="s">
        <v>12</v>
      </c>
      <c r="E268" s="8"/>
      <c r="F268" s="8"/>
      <c r="H268" s="8"/>
      <c r="I268" s="8" t="s">
        <v>14436</v>
      </c>
      <c r="J268" s="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8" t="s">
        <v>12</v>
      </c>
      <c r="E269" s="8"/>
      <c r="F269" s="8"/>
      <c r="H269" s="8"/>
      <c r="I269" s="8" t="s">
        <v>14439</v>
      </c>
      <c r="J269" s="8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8" t="s">
        <v>4</v>
      </c>
      <c r="E270" s="8" t="s">
        <v>8</v>
      </c>
      <c r="F270" s="8"/>
      <c r="H270" s="8"/>
      <c r="I270" s="8" t="s">
        <v>14442</v>
      </c>
      <c r="J270" s="8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8" t="s">
        <v>7</v>
      </c>
      <c r="E271" s="8"/>
      <c r="F271" s="8"/>
      <c r="H271" s="8"/>
      <c r="I271" s="8" t="s">
        <v>14445</v>
      </c>
      <c r="J271" s="8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8" t="s">
        <v>7</v>
      </c>
      <c r="E272" s="8"/>
      <c r="F272" s="8"/>
      <c r="H272" s="8"/>
      <c r="I272" s="8" t="s">
        <v>14448</v>
      </c>
      <c r="J272" s="8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8" t="s">
        <v>7</v>
      </c>
      <c r="E273" s="8"/>
      <c r="F273" s="8"/>
      <c r="H273" s="8"/>
      <c r="I273" s="8" t="s">
        <v>14451</v>
      </c>
      <c r="J273" s="8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8" t="s">
        <v>4</v>
      </c>
      <c r="E274" s="8" t="s">
        <v>8</v>
      </c>
      <c r="F274" s="8"/>
      <c r="H274" s="8"/>
      <c r="I274" s="8" t="s">
        <v>14454</v>
      </c>
      <c r="J274" s="8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8" t="s">
        <v>4</v>
      </c>
      <c r="E275" s="8" t="s">
        <v>8</v>
      </c>
      <c r="F275" s="8"/>
      <c r="H275" s="8"/>
      <c r="I275" s="8" t="s">
        <v>14457</v>
      </c>
      <c r="J275" s="8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8" t="s">
        <v>7</v>
      </c>
      <c r="E276" s="8"/>
      <c r="F276" s="8"/>
      <c r="H276" s="8"/>
      <c r="I276" s="8" t="s">
        <v>14460</v>
      </c>
      <c r="J276" s="8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8" t="s">
        <v>4</v>
      </c>
      <c r="E277" s="8" t="s">
        <v>8</v>
      </c>
      <c r="F277" s="8"/>
      <c r="H277" s="8"/>
      <c r="I277" s="8" t="s">
        <v>14463</v>
      </c>
      <c r="J277" s="8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8" t="s">
        <v>4</v>
      </c>
      <c r="E278" s="8" t="s">
        <v>8</v>
      </c>
      <c r="F278" s="8"/>
      <c r="H278" s="8"/>
      <c r="I278" s="8" t="s">
        <v>14466</v>
      </c>
      <c r="J278" s="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8" t="s">
        <v>4</v>
      </c>
      <c r="E279" s="8" t="s">
        <v>8</v>
      </c>
      <c r="F279" s="8"/>
      <c r="H279" s="8"/>
      <c r="I279" s="8" t="s">
        <v>14469</v>
      </c>
      <c r="J279" s="8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8" t="s">
        <v>12</v>
      </c>
      <c r="E280" s="8"/>
      <c r="F280" s="8"/>
      <c r="H280" s="8"/>
      <c r="I280" s="8" t="s">
        <v>14472</v>
      </c>
      <c r="J280" s="8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8" t="s">
        <v>4</v>
      </c>
      <c r="E281" s="8" t="s">
        <v>8</v>
      </c>
      <c r="F281" s="8"/>
      <c r="H281" s="8"/>
      <c r="I281" s="8" t="s">
        <v>14475</v>
      </c>
      <c r="J281" s="8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8" t="s">
        <v>4</v>
      </c>
      <c r="E282" s="8" t="s">
        <v>8</v>
      </c>
      <c r="F282" s="8"/>
      <c r="H282" s="8"/>
      <c r="I282" s="8" t="s">
        <v>14478</v>
      </c>
      <c r="J282" s="8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8" t="s">
        <v>7</v>
      </c>
      <c r="E283" s="8"/>
      <c r="F283" s="8"/>
      <c r="H283" s="8"/>
      <c r="I283" s="8" t="s">
        <v>14481</v>
      </c>
      <c r="J283" s="8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8" t="s">
        <v>4</v>
      </c>
      <c r="E284" s="8" t="s">
        <v>8</v>
      </c>
      <c r="F284" s="8"/>
      <c r="H284" s="8"/>
      <c r="I284" s="8" t="s">
        <v>14484</v>
      </c>
      <c r="J284" s="8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8" t="s">
        <v>12</v>
      </c>
      <c r="E285" s="8"/>
      <c r="F285" s="8"/>
      <c r="H285" s="8"/>
      <c r="I285" s="8" t="s">
        <v>14487</v>
      </c>
      <c r="J285" s="8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8" t="s">
        <v>12</v>
      </c>
      <c r="E286" s="8"/>
      <c r="F286" s="8"/>
      <c r="H286" s="8"/>
      <c r="I286" s="8" t="s">
        <v>14490</v>
      </c>
      <c r="J286" s="8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8" t="s">
        <v>12</v>
      </c>
      <c r="E287" s="8"/>
      <c r="F287" s="8"/>
      <c r="H287" s="8"/>
      <c r="I287" s="8" t="s">
        <v>14493</v>
      </c>
      <c r="J287" s="8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8" t="s">
        <v>12</v>
      </c>
      <c r="E288" s="8"/>
      <c r="F288" s="8"/>
      <c r="H288" s="8"/>
      <c r="I288" s="8" t="s">
        <v>14496</v>
      </c>
      <c r="J288" s="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8" t="s">
        <v>7</v>
      </c>
      <c r="E289" s="8"/>
      <c r="F289" s="8"/>
      <c r="H289" s="8"/>
      <c r="I289" s="8" t="s">
        <v>14499</v>
      </c>
      <c r="J289" s="8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8" t="s">
        <v>7</v>
      </c>
      <c r="E290" s="8"/>
      <c r="F290" s="8"/>
      <c r="H290" s="8"/>
      <c r="I290" s="8" t="s">
        <v>14502</v>
      </c>
      <c r="J290" s="8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8" t="s">
        <v>4</v>
      </c>
      <c r="E291" s="8" t="s">
        <v>8</v>
      </c>
      <c r="F291" s="8"/>
      <c r="H291" s="8"/>
      <c r="I291" s="8" t="s">
        <v>14505</v>
      </c>
      <c r="J291" s="8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8" t="s">
        <v>7</v>
      </c>
      <c r="E292" s="8"/>
      <c r="F292" s="8"/>
      <c r="H292" s="8"/>
      <c r="I292" s="8" t="s">
        <v>14508</v>
      </c>
      <c r="J292" s="8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8" t="s">
        <v>4</v>
      </c>
      <c r="E293" s="8" t="s">
        <v>8</v>
      </c>
      <c r="F293" s="8"/>
      <c r="H293" s="8"/>
      <c r="I293" s="8" t="s">
        <v>14511</v>
      </c>
      <c r="J293" s="8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8" t="s">
        <v>4</v>
      </c>
      <c r="E294" s="8" t="s">
        <v>8</v>
      </c>
      <c r="F294" s="8"/>
      <c r="H294" s="8"/>
      <c r="I294" s="8" t="s">
        <v>14514</v>
      </c>
      <c r="J294" s="8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8" t="s">
        <v>4</v>
      </c>
      <c r="E295" s="8" t="s">
        <v>8</v>
      </c>
      <c r="F295" s="8"/>
      <c r="H295" s="8"/>
      <c r="I295" s="8" t="s">
        <v>17446</v>
      </c>
      <c r="J295" s="8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8" t="s">
        <v>4</v>
      </c>
      <c r="E296" s="8" t="s">
        <v>8</v>
      </c>
      <c r="F296" s="8"/>
      <c r="H296" s="8" t="s">
        <v>2352</v>
      </c>
      <c r="I296" s="8" t="s">
        <v>17449</v>
      </c>
      <c r="J296" s="8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8" t="s">
        <v>10020</v>
      </c>
      <c r="E297" s="8"/>
      <c r="F297" s="8"/>
      <c r="H297" s="8"/>
      <c r="I297" s="8" t="s">
        <v>17452</v>
      </c>
      <c r="J297" s="8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8" t="s">
        <v>10020</v>
      </c>
      <c r="E298" s="8"/>
      <c r="F298" s="8"/>
      <c r="H298" s="8"/>
      <c r="I298" s="8" t="s">
        <v>17455</v>
      </c>
      <c r="J298" s="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8" t="s">
        <v>10020</v>
      </c>
      <c r="E299" s="8"/>
      <c r="F299" s="8"/>
      <c r="H299" s="8"/>
      <c r="I299" s="8" t="s">
        <v>17458</v>
      </c>
      <c r="J299" s="8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8" t="s">
        <v>4</v>
      </c>
      <c r="E300" s="8" t="s">
        <v>8</v>
      </c>
      <c r="F300" s="8"/>
      <c r="H300" s="8"/>
      <c r="I300" s="8" t="s">
        <v>17461</v>
      </c>
      <c r="J300" s="8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8" t="s">
        <v>7</v>
      </c>
      <c r="E301" s="8"/>
      <c r="F301" s="8"/>
      <c r="H301" s="8"/>
      <c r="I301" s="8" t="s">
        <v>17464</v>
      </c>
      <c r="J301" s="8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8" t="s">
        <v>4</v>
      </c>
      <c r="E302" s="8" t="s">
        <v>8</v>
      </c>
      <c r="F302" s="8"/>
      <c r="H302" s="8"/>
      <c r="I302" s="8" t="s">
        <v>17467</v>
      </c>
      <c r="J302" s="8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8" t="s">
        <v>4</v>
      </c>
      <c r="E303" s="8" t="s">
        <v>8</v>
      </c>
      <c r="F303" s="8"/>
      <c r="H303" s="8"/>
      <c r="I303" s="8" t="s">
        <v>17470</v>
      </c>
      <c r="J303" s="8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8" t="s">
        <v>1607</v>
      </c>
      <c r="E304" s="8" t="s">
        <v>8</v>
      </c>
      <c r="F304" s="8"/>
      <c r="H304" s="8"/>
      <c r="I304" s="8" t="s">
        <v>17473</v>
      </c>
      <c r="J304" s="8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</sheetData>
  <conditionalFormatting sqref="D305:D315 E305:E318 G2:H304 D2:E304">
    <cfRule type="containsText" dxfId="734" priority="14" operator="containsText" text="Выезд с территории">
      <formula>NOT(ISERROR(SEARCH("Выезд с территории",D2)))</formula>
    </cfRule>
  </conditionalFormatting>
  <conditionalFormatting sqref="F2:F304">
    <cfRule type="notContainsText" dxfId="733" priority="13" operator="notContains" text="порожний">
      <formula>ISERROR(SEARCH("порожний",F2))</formula>
    </cfRule>
  </conditionalFormatting>
  <conditionalFormatting sqref="E2:E318">
    <cfRule type="containsText" dxfId="732" priority="11" operator="containsText" text="Газель базы">
      <formula>NOT(ISERROR(SEARCH("Газель базы",E2)))</formula>
    </cfRule>
    <cfRule type="containsText" dxfId="731" priority="12" operator="containsText" text="Погрузчик базы">
      <formula>NOT(ISERROR(SEARCH("Погрузчик базы",E2)))</formula>
    </cfRule>
  </conditionalFormatting>
  <conditionalFormatting sqref="E2:E318">
    <cfRule type="containsText" dxfId="730" priority="10" operator="containsText" text="Трактор базы">
      <formula>NOT(ISERROR(SEARCH("Трактор базы",E2)))</formula>
    </cfRule>
  </conditionalFormatting>
  <conditionalFormatting sqref="A2:C304">
    <cfRule type="expression" dxfId="729" priority="9">
      <formula>$A2="пн"</formula>
    </cfRule>
  </conditionalFormatting>
  <conditionalFormatting sqref="A2:C306">
    <cfRule type="expression" dxfId="728" priority="3">
      <formula>$A2="вс"</formula>
    </cfRule>
    <cfRule type="expression" dxfId="727" priority="4">
      <formula>$A2="сб"</formula>
    </cfRule>
    <cfRule type="expression" dxfId="726" priority="5">
      <formula>$A2="пт"</formula>
    </cfRule>
    <cfRule type="expression" dxfId="725" priority="6">
      <formula>$A2="чт"</formula>
    </cfRule>
    <cfRule type="expression" dxfId="724" priority="7">
      <formula>$A2="ср"</formula>
    </cfRule>
    <cfRule type="expression" dxfId="723" priority="8">
      <formula>$A2="вт"</formula>
    </cfRule>
  </conditionalFormatting>
  <conditionalFormatting sqref="D2:D315">
    <cfRule type="containsText" dxfId="7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5">
    <cfRule type="containsText" dxfId="7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37"/>
  <sheetViews>
    <sheetView topLeftCell="B1" zoomScale="90" zoomScaleNormal="90" workbookViewId="0">
      <pane ySplit="1" topLeftCell="A221" activePane="bottomLeft" state="frozen"/>
      <selection pane="bottomLeft" activeCell="I233" sqref="I233:I23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13572</v>
      </c>
      <c r="J208" s="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13575</v>
      </c>
      <c r="J209" s="8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13578</v>
      </c>
      <c r="J210" s="8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13581</v>
      </c>
      <c r="J211" s="8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13584</v>
      </c>
      <c r="J212" s="8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13990</v>
      </c>
      <c r="J213" s="8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13993</v>
      </c>
      <c r="J214" s="8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13996</v>
      </c>
      <c r="J215" s="8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8" t="s">
        <v>4</v>
      </c>
      <c r="E216" s="8" t="s">
        <v>8</v>
      </c>
      <c r="F216" s="8"/>
      <c r="H216" s="8"/>
      <c r="I216" s="8" t="s">
        <v>14517</v>
      </c>
      <c r="J216" s="8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8" t="s">
        <v>4</v>
      </c>
      <c r="E217" s="8" t="s">
        <v>8</v>
      </c>
      <c r="F217" s="8"/>
      <c r="H217" s="8"/>
      <c r="I217" s="8" t="s">
        <v>14520</v>
      </c>
      <c r="J217" s="8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8" t="s">
        <v>1607</v>
      </c>
      <c r="E218" s="8" t="s">
        <v>8</v>
      </c>
      <c r="F218" s="8"/>
      <c r="H218" s="8"/>
      <c r="I218" s="8" t="s">
        <v>14523</v>
      </c>
      <c r="J218" s="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8" t="s">
        <v>9603</v>
      </c>
      <c r="E219" s="8" t="s">
        <v>86</v>
      </c>
      <c r="F219" s="8"/>
      <c r="H219" s="8"/>
      <c r="I219" s="8" t="s">
        <v>14526</v>
      </c>
      <c r="J219" s="8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8" t="s">
        <v>4</v>
      </c>
      <c r="E220" s="8" t="s">
        <v>8</v>
      </c>
      <c r="F220" s="8"/>
      <c r="H220" s="8"/>
      <c r="I220" s="8" t="s">
        <v>14529</v>
      </c>
      <c r="J220" s="8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8" t="s">
        <v>588</v>
      </c>
      <c r="E221" s="8" t="s">
        <v>86</v>
      </c>
      <c r="F221" s="8"/>
      <c r="H221" s="8"/>
      <c r="I221" s="8" t="s">
        <v>14532</v>
      </c>
      <c r="J221" s="8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8" t="s">
        <v>588</v>
      </c>
      <c r="E222" s="8" t="s">
        <v>86</v>
      </c>
      <c r="F222" s="8"/>
      <c r="H222" s="8"/>
      <c r="I222" s="8" t="s">
        <v>14535</v>
      </c>
      <c r="J222" s="8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8" t="s">
        <v>4</v>
      </c>
      <c r="E223" s="8" t="s">
        <v>8</v>
      </c>
      <c r="F223" s="8"/>
      <c r="H223" s="8"/>
      <c r="I223" s="8" t="s">
        <v>14538</v>
      </c>
      <c r="J223" s="8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8" t="s">
        <v>4</v>
      </c>
      <c r="E224" s="8" t="s">
        <v>8</v>
      </c>
      <c r="F224" s="8"/>
      <c r="H224" s="8"/>
      <c r="I224" s="8" t="s">
        <v>14541</v>
      </c>
      <c r="J224" s="8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8" t="s">
        <v>4</v>
      </c>
      <c r="E225" s="8" t="s">
        <v>8</v>
      </c>
      <c r="F225" s="8"/>
      <c r="H225" s="8"/>
      <c r="I225" s="8" t="s">
        <v>14544</v>
      </c>
      <c r="J225" s="8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8" t="s">
        <v>16683</v>
      </c>
      <c r="E226" s="8" t="s">
        <v>86</v>
      </c>
      <c r="F226" s="8"/>
      <c r="H226" s="8"/>
      <c r="I226" s="8" t="s">
        <v>14547</v>
      </c>
      <c r="J226" s="8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8" t="s">
        <v>4</v>
      </c>
      <c r="E227" s="8" t="s">
        <v>11066</v>
      </c>
      <c r="F227" s="8"/>
      <c r="H227" s="8"/>
      <c r="I227" s="8" t="s">
        <v>14550</v>
      </c>
      <c r="J227" s="8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8" t="s">
        <v>4</v>
      </c>
      <c r="E228" s="8" t="s">
        <v>11066</v>
      </c>
      <c r="F228" s="8"/>
      <c r="H228" s="8" t="s">
        <v>2352</v>
      </c>
      <c r="I228" s="8" t="s">
        <v>14552</v>
      </c>
      <c r="J228" s="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8" t="s">
        <v>4</v>
      </c>
      <c r="E229" s="8" t="s">
        <v>11066</v>
      </c>
      <c r="F229" s="8"/>
      <c r="H229" s="8" t="s">
        <v>2352</v>
      </c>
      <c r="I229" s="8" t="s">
        <v>14555</v>
      </c>
      <c r="J229" s="8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8" t="s">
        <v>4</v>
      </c>
      <c r="E230" s="8" t="s">
        <v>11066</v>
      </c>
      <c r="F230" s="8"/>
      <c r="H230" s="8" t="s">
        <v>16684</v>
      </c>
      <c r="I230" s="8" t="s">
        <v>14558</v>
      </c>
      <c r="J230" s="8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8" t="s">
        <v>4</v>
      </c>
      <c r="E231" s="8" t="s">
        <v>8</v>
      </c>
      <c r="F231" s="8"/>
      <c r="H231" s="8"/>
      <c r="I231" s="8" t="s">
        <v>14561</v>
      </c>
      <c r="J231" s="8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8" t="s">
        <v>1617</v>
      </c>
      <c r="E232" s="8"/>
      <c r="F232" s="8"/>
      <c r="H232" s="8"/>
      <c r="I232" s="8" t="s">
        <v>14564</v>
      </c>
      <c r="J232" s="8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8" t="s">
        <v>1607</v>
      </c>
      <c r="E233" s="8" t="s">
        <v>8</v>
      </c>
      <c r="F233" s="8"/>
      <c r="H233" s="8"/>
      <c r="I233" s="8" t="s">
        <v>16878</v>
      </c>
      <c r="J233" s="8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8" t="s">
        <v>4</v>
      </c>
      <c r="E234" s="8" t="s">
        <v>8</v>
      </c>
      <c r="F234" s="8"/>
      <c r="H234" s="8"/>
      <c r="I234" s="8" t="s">
        <v>16881</v>
      </c>
      <c r="J234" s="8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8" t="s">
        <v>1607</v>
      </c>
      <c r="E235" s="8" t="s">
        <v>8</v>
      </c>
      <c r="F235" s="8"/>
      <c r="H235" s="8"/>
      <c r="I235" s="8" t="s">
        <v>16884</v>
      </c>
      <c r="J235" s="8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8" t="s">
        <v>4</v>
      </c>
      <c r="E236" s="8" t="s">
        <v>8</v>
      </c>
      <c r="F236" s="8"/>
      <c r="H236" s="8"/>
      <c r="I236" s="8" t="s">
        <v>16887</v>
      </c>
      <c r="J236" s="8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8" t="s">
        <v>1607</v>
      </c>
      <c r="E237" s="8" t="s">
        <v>8</v>
      </c>
      <c r="F237" s="8"/>
      <c r="H237" s="8"/>
      <c r="I237" s="8" t="s">
        <v>16890</v>
      </c>
      <c r="J237" s="8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</sheetData>
  <conditionalFormatting sqref="D238:D248 E238:E251 G2:H237 D2:E237">
    <cfRule type="containsText" dxfId="720" priority="14" operator="containsText" text="Выезд с территории">
      <formula>NOT(ISERROR(SEARCH("Выезд с территории",D2)))</formula>
    </cfRule>
  </conditionalFormatting>
  <conditionalFormatting sqref="F2:F237">
    <cfRule type="notContainsText" dxfId="719" priority="13" operator="notContains" text="порожний">
      <formula>ISERROR(SEARCH("порожний",F2))</formula>
    </cfRule>
  </conditionalFormatting>
  <conditionalFormatting sqref="E2:E251">
    <cfRule type="containsText" dxfId="718" priority="11" operator="containsText" text="Газель базы">
      <formula>NOT(ISERROR(SEARCH("Газель базы",E2)))</formula>
    </cfRule>
    <cfRule type="containsText" dxfId="717" priority="12" operator="containsText" text="Погрузчик базы">
      <formula>NOT(ISERROR(SEARCH("Погрузчик базы",E2)))</formula>
    </cfRule>
  </conditionalFormatting>
  <conditionalFormatting sqref="E2:E251">
    <cfRule type="containsText" dxfId="716" priority="10" operator="containsText" text="Трактор базы">
      <formula>NOT(ISERROR(SEARCH("Трактор базы",E2)))</formula>
    </cfRule>
  </conditionalFormatting>
  <conditionalFormatting sqref="A2:C237">
    <cfRule type="expression" dxfId="715" priority="9">
      <formula>$A2="пн"</formula>
    </cfRule>
  </conditionalFormatting>
  <conditionalFormatting sqref="A2:C239">
    <cfRule type="expression" dxfId="714" priority="3">
      <formula>$A2="вс"</formula>
    </cfRule>
    <cfRule type="expression" dxfId="713" priority="4">
      <formula>$A2="сб"</formula>
    </cfRule>
    <cfRule type="expression" dxfId="712" priority="5">
      <formula>$A2="пт"</formula>
    </cfRule>
    <cfRule type="expression" dxfId="711" priority="6">
      <formula>$A2="чт"</formula>
    </cfRule>
    <cfRule type="expression" dxfId="710" priority="7">
      <formula>$A2="ср"</formula>
    </cfRule>
    <cfRule type="expression" dxfId="709" priority="8">
      <formula>$A2="вт"</formula>
    </cfRule>
  </conditionalFormatting>
  <conditionalFormatting sqref="D2:D248">
    <cfRule type="containsText" dxfId="7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8">
    <cfRule type="containsText" dxfId="7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13"/>
  <sheetViews>
    <sheetView zoomScale="90" zoomScaleNormal="90" workbookViewId="0">
      <pane ySplit="1" topLeftCell="A86" activePane="bottomLeft" state="frozen"/>
      <selection pane="bottomLeft" activeCell="I74" sqref="I74:I11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13587</v>
      </c>
      <c r="J37" s="8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13590</v>
      </c>
      <c r="J38" s="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13593</v>
      </c>
      <c r="J39" s="8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13898</v>
      </c>
      <c r="E40" s="8" t="s">
        <v>13843</v>
      </c>
      <c r="F40" s="8"/>
      <c r="H40" s="8"/>
      <c r="I40" s="8" t="s">
        <v>13596</v>
      </c>
      <c r="J40" s="8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13898</v>
      </c>
      <c r="E41" s="8" t="s">
        <v>13843</v>
      </c>
      <c r="F41" s="8"/>
      <c r="H41" s="8"/>
      <c r="I41" s="8" t="s">
        <v>13599</v>
      </c>
      <c r="J41" s="8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13843</v>
      </c>
      <c r="F42" s="8" t="s">
        <v>13899</v>
      </c>
      <c r="H42" s="8"/>
      <c r="I42" s="8" t="s">
        <v>13602</v>
      </c>
      <c r="J42" s="8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13605</v>
      </c>
      <c r="J43" s="8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13999</v>
      </c>
      <c r="J44" s="8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14002</v>
      </c>
      <c r="J45" s="8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 t="s">
        <v>8</v>
      </c>
      <c r="F46" s="8"/>
      <c r="H46" s="8"/>
      <c r="I46" s="8" t="s">
        <v>14005</v>
      </c>
      <c r="J46" s="8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14008</v>
      </c>
      <c r="J47" s="8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 t="s">
        <v>8</v>
      </c>
      <c r="F48" s="8"/>
      <c r="H48" s="8"/>
      <c r="I48" s="8" t="s">
        <v>14011</v>
      </c>
      <c r="J48" s="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 t="s">
        <v>8</v>
      </c>
      <c r="F49" s="8"/>
      <c r="H49" s="8"/>
      <c r="I49" s="8" t="s">
        <v>14014</v>
      </c>
      <c r="J49" s="8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 t="s">
        <v>8</v>
      </c>
      <c r="F50" s="8"/>
      <c r="H50" s="8"/>
      <c r="I50" s="8" t="s">
        <v>14017</v>
      </c>
      <c r="J50" s="8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 t="s">
        <v>8</v>
      </c>
      <c r="F51" s="8"/>
      <c r="H51" s="8"/>
      <c r="I51" s="8" t="s">
        <v>14020</v>
      </c>
      <c r="J51" s="8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14023</v>
      </c>
      <c r="J52" s="8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8" t="s">
        <v>4</v>
      </c>
      <c r="E53" s="8" t="s">
        <v>8</v>
      </c>
      <c r="F53" s="8"/>
      <c r="H53" s="8"/>
      <c r="I53" s="8" t="s">
        <v>14567</v>
      </c>
      <c r="J53" s="8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8" t="s">
        <v>10020</v>
      </c>
      <c r="E54" s="8"/>
      <c r="F54" s="8"/>
      <c r="H54" s="8"/>
      <c r="I54" s="8" t="s">
        <v>14570</v>
      </c>
      <c r="J54" s="8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8" t="s">
        <v>4</v>
      </c>
      <c r="E55" s="8" t="s">
        <v>8</v>
      </c>
      <c r="F55" s="8"/>
      <c r="H55" s="8"/>
      <c r="I55" s="8" t="s">
        <v>14573</v>
      </c>
      <c r="J55" s="8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8" t="s">
        <v>10020</v>
      </c>
      <c r="E56" s="8"/>
      <c r="F56" s="8"/>
      <c r="H56" s="8"/>
      <c r="I56" s="8" t="s">
        <v>14576</v>
      </c>
      <c r="J56" s="8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8" t="s">
        <v>10020</v>
      </c>
      <c r="E57" s="8"/>
      <c r="F57" s="8"/>
      <c r="H57" s="8"/>
      <c r="I57" s="8" t="s">
        <v>14579</v>
      </c>
      <c r="J57" s="8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8" t="s">
        <v>4</v>
      </c>
      <c r="E58" s="8" t="s">
        <v>8</v>
      </c>
      <c r="F58" s="8"/>
      <c r="H58" s="8"/>
      <c r="I58" s="8" t="s">
        <v>14582</v>
      </c>
      <c r="J58" s="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8" t="s">
        <v>10020</v>
      </c>
      <c r="E59" s="8"/>
      <c r="F59" s="8"/>
      <c r="H59" s="8"/>
      <c r="I59" s="8" t="s">
        <v>14585</v>
      </c>
      <c r="J59" s="8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8" t="s">
        <v>10020</v>
      </c>
      <c r="E60" s="8"/>
      <c r="F60" s="8"/>
      <c r="H60" s="8"/>
      <c r="I60" s="8" t="s">
        <v>14588</v>
      </c>
      <c r="J60" s="8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8" t="s">
        <v>91</v>
      </c>
      <c r="E61" s="8" t="s">
        <v>9597</v>
      </c>
      <c r="F61" s="8"/>
      <c r="H61" s="8"/>
      <c r="I61" s="8" t="s">
        <v>14591</v>
      </c>
      <c r="J61" s="8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8" t="s">
        <v>10020</v>
      </c>
      <c r="E62" s="8"/>
      <c r="F62" s="8"/>
      <c r="H62" s="8"/>
      <c r="I62" s="8" t="s">
        <v>14594</v>
      </c>
      <c r="J62" s="8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8" t="s">
        <v>4</v>
      </c>
      <c r="E63" s="8" t="s">
        <v>8</v>
      </c>
      <c r="F63" s="8"/>
      <c r="H63" s="8"/>
      <c r="I63" s="8" t="s">
        <v>14597</v>
      </c>
      <c r="J63" s="8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8" t="s">
        <v>4</v>
      </c>
      <c r="E64" s="8" t="s">
        <v>8</v>
      </c>
      <c r="F64" s="8"/>
      <c r="H64" s="8"/>
      <c r="I64" s="8" t="s">
        <v>14600</v>
      </c>
      <c r="J64" s="8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8" t="s">
        <v>10020</v>
      </c>
      <c r="E65" s="8"/>
      <c r="F65" s="8"/>
      <c r="H65" s="8"/>
      <c r="I65" s="8" t="s">
        <v>14603</v>
      </c>
      <c r="J65" s="8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8" t="s">
        <v>4</v>
      </c>
      <c r="E66" s="8" t="s">
        <v>8</v>
      </c>
      <c r="F66" s="8"/>
      <c r="H66" s="8"/>
      <c r="I66" s="8" t="s">
        <v>14606</v>
      </c>
      <c r="J66" s="8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8" t="s">
        <v>10020</v>
      </c>
      <c r="E67" s="8"/>
      <c r="F67" s="8"/>
      <c r="H67" s="8"/>
      <c r="I67" s="8" t="s">
        <v>14609</v>
      </c>
      <c r="J67" s="8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8" t="s">
        <v>4</v>
      </c>
      <c r="E68" s="8" t="s">
        <v>8</v>
      </c>
      <c r="F68" s="8"/>
      <c r="H68" s="8"/>
      <c r="I68" s="8" t="s">
        <v>14612</v>
      </c>
      <c r="J68" s="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8" t="s">
        <v>4</v>
      </c>
      <c r="E69" s="8" t="s">
        <v>8</v>
      </c>
      <c r="F69" s="8"/>
      <c r="H69" s="8"/>
      <c r="I69" s="8" t="s">
        <v>14615</v>
      </c>
      <c r="J69" s="8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8" t="s">
        <v>10020</v>
      </c>
      <c r="E70" s="8"/>
      <c r="F70" s="8"/>
      <c r="H70" s="8"/>
      <c r="I70" s="8" t="s">
        <v>14618</v>
      </c>
      <c r="J70" s="8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8" t="s">
        <v>10020</v>
      </c>
      <c r="E71" s="8"/>
      <c r="F71" s="8"/>
      <c r="H71" s="8"/>
      <c r="I71" s="8" t="s">
        <v>14621</v>
      </c>
      <c r="J71" s="8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8" t="s">
        <v>10020</v>
      </c>
      <c r="E72" s="8"/>
      <c r="F72" s="8"/>
      <c r="H72" s="8"/>
      <c r="I72" s="8" t="s">
        <v>14624</v>
      </c>
      <c r="J72" s="8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8" t="s">
        <v>10020</v>
      </c>
      <c r="E73" s="8"/>
      <c r="F73" s="8"/>
      <c r="H73" s="8"/>
      <c r="I73" s="8" t="s">
        <v>14627</v>
      </c>
      <c r="J73" s="8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8" t="s">
        <v>10020</v>
      </c>
      <c r="E74" s="8"/>
      <c r="F74" s="8"/>
      <c r="H74" s="8"/>
      <c r="I74" s="8" t="s">
        <v>16935</v>
      </c>
      <c r="J74" s="8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8" t="s">
        <v>17481</v>
      </c>
      <c r="E75" s="8" t="s">
        <v>468</v>
      </c>
      <c r="F75" s="8"/>
      <c r="H75" s="8"/>
      <c r="I75" s="8" t="s">
        <v>16938</v>
      </c>
      <c r="J75" s="8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8" t="s">
        <v>17481</v>
      </c>
      <c r="E76" s="8" t="s">
        <v>468</v>
      </c>
      <c r="F76" s="8"/>
      <c r="H76" s="8"/>
      <c r="I76" s="8" t="s">
        <v>16941</v>
      </c>
      <c r="J76" s="8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8" t="s">
        <v>17481</v>
      </c>
      <c r="E77" s="8" t="s">
        <v>468</v>
      </c>
      <c r="F77" s="8"/>
      <c r="H77" s="8"/>
      <c r="I77" s="8" t="s">
        <v>16944</v>
      </c>
      <c r="J77" s="8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8" t="s">
        <v>17481</v>
      </c>
      <c r="E78" s="8" t="s">
        <v>468</v>
      </c>
      <c r="F78" s="8"/>
      <c r="H78" s="8"/>
      <c r="I78" s="8" t="s">
        <v>16947</v>
      </c>
      <c r="J78" s="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8" t="s">
        <v>17481</v>
      </c>
      <c r="E79" s="8" t="s">
        <v>468</v>
      </c>
      <c r="F79" s="8"/>
      <c r="H79" s="8"/>
      <c r="I79" s="8" t="s">
        <v>16950</v>
      </c>
      <c r="J79" s="8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8" t="s">
        <v>17481</v>
      </c>
      <c r="E80" s="8" t="s">
        <v>468</v>
      </c>
      <c r="F80" s="8"/>
      <c r="H80" s="8"/>
      <c r="I80" s="8" t="s">
        <v>16953</v>
      </c>
      <c r="J80" s="8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8" t="s">
        <v>17481</v>
      </c>
      <c r="E81" s="8" t="s">
        <v>468</v>
      </c>
      <c r="F81" s="8"/>
      <c r="H81" s="8"/>
      <c r="I81" s="8" t="s">
        <v>16956</v>
      </c>
      <c r="J81" s="8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8" t="s">
        <v>17481</v>
      </c>
      <c r="E82" s="8" t="s">
        <v>468</v>
      </c>
      <c r="F82" s="8"/>
      <c r="H82" s="8"/>
      <c r="I82" s="8" t="s">
        <v>16959</v>
      </c>
      <c r="J82" s="8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8" t="s">
        <v>17481</v>
      </c>
      <c r="E83" s="8" t="s">
        <v>468</v>
      </c>
      <c r="F83" s="8"/>
      <c r="H83" s="8"/>
      <c r="I83" s="8" t="s">
        <v>16962</v>
      </c>
      <c r="J83" s="8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8" t="s">
        <v>17481</v>
      </c>
      <c r="E84" s="8" t="s">
        <v>468</v>
      </c>
      <c r="F84" s="8"/>
      <c r="H84" s="8"/>
      <c r="I84" s="8" t="s">
        <v>16965</v>
      </c>
      <c r="J84" s="8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8" t="s">
        <v>17481</v>
      </c>
      <c r="E85" s="8" t="s">
        <v>468</v>
      </c>
      <c r="F85" s="8"/>
      <c r="H85" s="8"/>
      <c r="I85" s="8" t="s">
        <v>16968</v>
      </c>
      <c r="J85" s="8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8" t="s">
        <v>17481</v>
      </c>
      <c r="E86" s="8" t="s">
        <v>468</v>
      </c>
      <c r="F86" s="8"/>
      <c r="H86" s="8"/>
      <c r="I86" s="8" t="s">
        <v>16971</v>
      </c>
      <c r="J86" s="8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8" t="s">
        <v>10020</v>
      </c>
      <c r="E87" s="8"/>
      <c r="F87" s="8"/>
      <c r="H87" s="8"/>
      <c r="I87" s="8" t="s">
        <v>16974</v>
      </c>
      <c r="J87" s="8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8" t="s">
        <v>10020</v>
      </c>
      <c r="E88" s="8"/>
      <c r="F88" s="8"/>
      <c r="H88" s="8"/>
      <c r="I88" s="8" t="s">
        <v>16977</v>
      </c>
      <c r="J88" s="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8" t="s">
        <v>10020</v>
      </c>
      <c r="E89" s="8"/>
      <c r="F89" s="8"/>
      <c r="H89" s="8"/>
      <c r="I89" s="8" t="s">
        <v>16980</v>
      </c>
      <c r="J89" s="8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8" t="s">
        <v>4</v>
      </c>
      <c r="E90" s="8" t="s">
        <v>8</v>
      </c>
      <c r="F90" s="8"/>
      <c r="H90" s="8"/>
      <c r="I90" s="8" t="s">
        <v>16983</v>
      </c>
      <c r="J90" s="8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8" t="s">
        <v>10020</v>
      </c>
      <c r="E91" s="8"/>
      <c r="F91" s="8"/>
      <c r="H91" s="8"/>
      <c r="I91" s="8" t="s">
        <v>16986</v>
      </c>
      <c r="J91" s="8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8" t="s">
        <v>10020</v>
      </c>
      <c r="E92" s="8"/>
      <c r="F92" s="8"/>
      <c r="H92" s="8"/>
      <c r="I92" s="8" t="s">
        <v>16989</v>
      </c>
      <c r="J92" s="8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8" t="s">
        <v>10020</v>
      </c>
      <c r="E93" s="8"/>
      <c r="F93" s="8"/>
      <c r="H93" s="8"/>
      <c r="I93" s="8" t="s">
        <v>16992</v>
      </c>
      <c r="J93" s="8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8" t="s">
        <v>10020</v>
      </c>
      <c r="E94" s="8"/>
      <c r="F94" s="8"/>
      <c r="H94" s="8"/>
      <c r="I94" s="8" t="s">
        <v>16995</v>
      </c>
      <c r="J94" s="8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8" t="s">
        <v>10020</v>
      </c>
      <c r="E95" s="8"/>
      <c r="F95" s="8"/>
      <c r="H95" s="8"/>
      <c r="I95" s="8" t="s">
        <v>16998</v>
      </c>
      <c r="J95" s="8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8" t="s">
        <v>4</v>
      </c>
      <c r="E96" s="8" t="s">
        <v>8</v>
      </c>
      <c r="F96" s="8"/>
      <c r="H96" s="8"/>
      <c r="I96" s="8" t="s">
        <v>17001</v>
      </c>
      <c r="J96" s="8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8" t="s">
        <v>10020</v>
      </c>
      <c r="E97" s="8"/>
      <c r="F97" s="8"/>
      <c r="H97" s="8"/>
      <c r="I97" s="8" t="s">
        <v>17004</v>
      </c>
      <c r="J97" s="8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8" t="s">
        <v>10020</v>
      </c>
      <c r="E98" s="8"/>
      <c r="F98" s="8"/>
      <c r="H98" s="8"/>
      <c r="I98" s="8" t="s">
        <v>17007</v>
      </c>
      <c r="J98" s="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8" t="s">
        <v>10020</v>
      </c>
      <c r="E99" s="8"/>
      <c r="F99" s="8"/>
      <c r="H99" s="8"/>
      <c r="I99" s="8" t="s">
        <v>17010</v>
      </c>
      <c r="J99" s="8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8" t="s">
        <v>4</v>
      </c>
      <c r="E100" s="8" t="s">
        <v>8</v>
      </c>
      <c r="F100" s="8"/>
      <c r="H100" s="8"/>
      <c r="I100" s="8" t="s">
        <v>17013</v>
      </c>
      <c r="J100" s="8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8" t="s">
        <v>10020</v>
      </c>
      <c r="E101" s="8"/>
      <c r="F101" s="8"/>
      <c r="H101" s="8"/>
      <c r="I101" s="8" t="s">
        <v>17016</v>
      </c>
      <c r="J101" s="8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8" t="s">
        <v>4</v>
      </c>
      <c r="E102" s="8" t="s">
        <v>8</v>
      </c>
      <c r="F102" s="8"/>
      <c r="H102" s="8"/>
      <c r="I102" s="8" t="s">
        <v>17019</v>
      </c>
      <c r="J102" s="8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8" t="s">
        <v>10020</v>
      </c>
      <c r="E103" s="8"/>
      <c r="F103" s="8"/>
      <c r="H103" s="8"/>
      <c r="I103" s="8" t="s">
        <v>17022</v>
      </c>
      <c r="J103" s="8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8" t="s">
        <v>10020</v>
      </c>
      <c r="E104" s="8"/>
      <c r="F104" s="8"/>
      <c r="H104" s="8"/>
      <c r="I104" s="8" t="s">
        <v>17025</v>
      </c>
      <c r="J104" s="8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8" t="s">
        <v>10020</v>
      </c>
      <c r="E105" s="8"/>
      <c r="F105" s="8"/>
      <c r="H105" s="8"/>
      <c r="I105" s="8" t="s">
        <v>17028</v>
      </c>
      <c r="J105" s="8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8" t="s">
        <v>10020</v>
      </c>
      <c r="E106" s="8"/>
      <c r="F106" s="8"/>
      <c r="H106" s="8"/>
      <c r="I106" s="8" t="s">
        <v>17031</v>
      </c>
      <c r="J106" s="8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8" t="s">
        <v>10020</v>
      </c>
      <c r="E107" s="8"/>
      <c r="F107" s="8"/>
      <c r="H107" s="8"/>
      <c r="I107" s="8" t="s">
        <v>17034</v>
      </c>
      <c r="J107" s="8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8" t="s">
        <v>10020</v>
      </c>
      <c r="E108" s="8"/>
      <c r="F108" s="8"/>
      <c r="H108" s="8"/>
      <c r="I108" s="8" t="s">
        <v>17037</v>
      </c>
      <c r="J108" s="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8" t="s">
        <v>10020</v>
      </c>
      <c r="E109" s="8"/>
      <c r="F109" s="8"/>
      <c r="H109" s="8"/>
      <c r="I109" s="8" t="s">
        <v>17040</v>
      </c>
      <c r="J109" s="8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8" t="s">
        <v>10020</v>
      </c>
      <c r="E110" s="8"/>
      <c r="F110" s="8"/>
      <c r="H110" s="8"/>
      <c r="I110" s="8" t="s">
        <v>17043</v>
      </c>
      <c r="J110" s="8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8" t="s">
        <v>4</v>
      </c>
      <c r="E111" s="8" t="s">
        <v>8</v>
      </c>
      <c r="F111" s="8"/>
      <c r="H111" s="8"/>
      <c r="I111" s="8" t="s">
        <v>17046</v>
      </c>
      <c r="J111" s="8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8" t="s">
        <v>4</v>
      </c>
      <c r="E112" s="8" t="s">
        <v>8</v>
      </c>
      <c r="F112" s="8"/>
      <c r="H112" s="8"/>
      <c r="I112" s="8" t="s">
        <v>17049</v>
      </c>
      <c r="J112" s="8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8" t="s">
        <v>1607</v>
      </c>
      <c r="E113" s="8" t="s">
        <v>8</v>
      </c>
      <c r="F113" s="8"/>
      <c r="H113" s="8"/>
      <c r="I113" s="8" t="s">
        <v>17052</v>
      </c>
      <c r="J113" s="8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</sheetData>
  <conditionalFormatting sqref="D114:D124 E114:E127 D2:E113 G2:H113">
    <cfRule type="containsText" dxfId="706" priority="14" operator="containsText" text="Выезд с территории">
      <formula>NOT(ISERROR(SEARCH("Выезд с территории",D2)))</formula>
    </cfRule>
  </conditionalFormatting>
  <conditionalFormatting sqref="F2:F113">
    <cfRule type="notContainsText" dxfId="705" priority="13" operator="notContains" text="порожний">
      <formula>ISERROR(SEARCH("порожний",F2))</formula>
    </cfRule>
  </conditionalFormatting>
  <conditionalFormatting sqref="E2:E127">
    <cfRule type="containsText" dxfId="704" priority="11" operator="containsText" text="Газель базы">
      <formula>NOT(ISERROR(SEARCH("Газель базы",E2)))</formula>
    </cfRule>
    <cfRule type="containsText" dxfId="703" priority="12" operator="containsText" text="Погрузчик базы">
      <formula>NOT(ISERROR(SEARCH("Погрузчик базы",E2)))</formula>
    </cfRule>
  </conditionalFormatting>
  <conditionalFormatting sqref="E2:E127">
    <cfRule type="containsText" dxfId="702" priority="10" operator="containsText" text="Трактор базы">
      <formula>NOT(ISERROR(SEARCH("Трактор базы",E2)))</formula>
    </cfRule>
  </conditionalFormatting>
  <conditionalFormatting sqref="A2:C113">
    <cfRule type="expression" dxfId="701" priority="9">
      <formula>$A2="пн"</formula>
    </cfRule>
  </conditionalFormatting>
  <conditionalFormatting sqref="A2:C115">
    <cfRule type="expression" dxfId="700" priority="3">
      <formula>$A2="вс"</formula>
    </cfRule>
    <cfRule type="expression" dxfId="699" priority="4">
      <formula>$A2="сб"</formula>
    </cfRule>
    <cfRule type="expression" dxfId="698" priority="5">
      <formula>$A2="пт"</formula>
    </cfRule>
    <cfRule type="expression" dxfId="697" priority="6">
      <formula>$A2="чт"</formula>
    </cfRule>
    <cfRule type="expression" dxfId="696" priority="7">
      <formula>$A2="ср"</formula>
    </cfRule>
    <cfRule type="expression" dxfId="695" priority="8">
      <formula>$A2="вт"</formula>
    </cfRule>
  </conditionalFormatting>
  <conditionalFormatting sqref="D2:D124">
    <cfRule type="containsText" dxfId="6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4">
    <cfRule type="containsText" dxfId="6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48"/>
  <sheetViews>
    <sheetView zoomScale="90" zoomScaleNormal="90" workbookViewId="0">
      <pane ySplit="1" topLeftCell="A26" activePane="bottomLeft" state="frozen"/>
      <selection pane="bottomLeft" activeCell="I35" sqref="I35:I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26.85546875" bestFit="1" customWidth="1"/>
    <col min="6" max="6" width="6.28515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8</v>
      </c>
      <c r="F2" s="8"/>
      <c r="H2" s="8"/>
      <c r="I2" s="8" t="s">
        <v>10865</v>
      </c>
      <c r="J2" s="8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8</v>
      </c>
      <c r="F3" s="8"/>
      <c r="H3" s="8"/>
      <c r="I3" s="8" t="s">
        <v>10573</v>
      </c>
      <c r="J3" s="8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8</v>
      </c>
      <c r="F5" s="8"/>
      <c r="H5" s="8"/>
      <c r="I5" s="8" t="s">
        <v>10579</v>
      </c>
      <c r="J5" s="8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8</v>
      </c>
      <c r="F6" s="8"/>
      <c r="H6" s="8"/>
      <c r="I6" s="8" t="s">
        <v>13614</v>
      </c>
      <c r="J6" s="8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8</v>
      </c>
      <c r="F7" s="8"/>
      <c r="H7" s="8"/>
      <c r="I7" s="8" t="s">
        <v>13617</v>
      </c>
      <c r="J7" s="8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8</v>
      </c>
      <c r="F8" s="8"/>
      <c r="H8" s="8"/>
      <c r="I8" s="8" t="s">
        <v>13620</v>
      </c>
      <c r="J8" s="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8</v>
      </c>
      <c r="F9" s="8"/>
      <c r="H9" s="8"/>
      <c r="I9" s="8" t="s">
        <v>13623</v>
      </c>
      <c r="J9" s="8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8</v>
      </c>
      <c r="F10" s="8"/>
      <c r="H10" s="8"/>
      <c r="I10" s="8" t="s">
        <v>13626</v>
      </c>
      <c r="J10" s="8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8</v>
      </c>
      <c r="F11" s="8"/>
      <c r="H11" s="8"/>
      <c r="I11" s="8" t="s">
        <v>13629</v>
      </c>
      <c r="J11" s="8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8</v>
      </c>
      <c r="F12" s="8"/>
      <c r="H12" s="8"/>
      <c r="I12" s="8" t="s">
        <v>13632</v>
      </c>
      <c r="J12" s="8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8</v>
      </c>
      <c r="F13" s="8"/>
      <c r="H13" s="8"/>
      <c r="I13" s="8" t="s">
        <v>13635</v>
      </c>
      <c r="J13" s="8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8</v>
      </c>
      <c r="F14" s="8"/>
      <c r="H14" s="8"/>
      <c r="I14" s="8" t="s">
        <v>14026</v>
      </c>
      <c r="J14" s="8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8</v>
      </c>
      <c r="F15" s="8"/>
      <c r="H15" s="8"/>
      <c r="I15" s="8" t="s">
        <v>14029</v>
      </c>
      <c r="J15" s="8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8" t="s">
        <v>16685</v>
      </c>
      <c r="E16" s="8" t="s">
        <v>86</v>
      </c>
      <c r="F16" s="8"/>
      <c r="H16" s="8"/>
      <c r="I16" s="8" t="s">
        <v>14630</v>
      </c>
      <c r="J16" s="8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8" t="s">
        <v>4</v>
      </c>
      <c r="E17" s="8" t="s">
        <v>8</v>
      </c>
      <c r="F17" s="8"/>
      <c r="H17" s="8"/>
      <c r="I17" s="8" t="s">
        <v>14633</v>
      </c>
      <c r="J17" s="8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8" t="s">
        <v>4</v>
      </c>
      <c r="E18" s="8" t="s">
        <v>8</v>
      </c>
      <c r="F18" s="8"/>
      <c r="H18" s="8"/>
      <c r="I18" s="8" t="s">
        <v>14636</v>
      </c>
      <c r="J18" s="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8" t="s">
        <v>4</v>
      </c>
      <c r="E19" s="8" t="s">
        <v>11070</v>
      </c>
      <c r="F19" s="8"/>
      <c r="H19" s="8" t="s">
        <v>4390</v>
      </c>
      <c r="I19" s="8" t="s">
        <v>14639</v>
      </c>
      <c r="J19" s="8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8" t="s">
        <v>4</v>
      </c>
      <c r="E20" s="8" t="s">
        <v>8</v>
      </c>
      <c r="F20" s="8"/>
      <c r="H20" s="8"/>
      <c r="I20" s="8" t="s">
        <v>14642</v>
      </c>
      <c r="J20" s="8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8" t="s">
        <v>1607</v>
      </c>
      <c r="E21" s="8" t="s">
        <v>8</v>
      </c>
      <c r="F21" s="8"/>
      <c r="H21" s="8"/>
      <c r="I21" s="8" t="s">
        <v>14645</v>
      </c>
      <c r="J21" s="8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8" t="s">
        <v>1607</v>
      </c>
      <c r="E22" s="8" t="s">
        <v>8</v>
      </c>
      <c r="F22" s="8"/>
      <c r="H22" s="8"/>
      <c r="I22" s="8" t="s">
        <v>14648</v>
      </c>
      <c r="J22" s="8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8" t="s">
        <v>4</v>
      </c>
      <c r="E23" s="8" t="s">
        <v>8</v>
      </c>
      <c r="F23" s="8"/>
      <c r="H23" s="8"/>
      <c r="I23" s="8" t="s">
        <v>16594</v>
      </c>
      <c r="J23" s="8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8" t="s">
        <v>4</v>
      </c>
      <c r="E24" s="8" t="s">
        <v>8</v>
      </c>
      <c r="F24" s="8"/>
      <c r="H24" s="8"/>
      <c r="I24" s="8" t="s">
        <v>16597</v>
      </c>
      <c r="J24" s="8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8" t="s">
        <v>1607</v>
      </c>
      <c r="E25" s="8" t="s">
        <v>8</v>
      </c>
      <c r="F25" s="8"/>
      <c r="H25" s="8"/>
      <c r="I25" s="8" t="s">
        <v>16600</v>
      </c>
      <c r="J25" s="8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8" t="s">
        <v>4</v>
      </c>
      <c r="E26" s="8" t="s">
        <v>8</v>
      </c>
      <c r="F26" s="8"/>
      <c r="H26" s="8"/>
      <c r="I26" s="8" t="s">
        <v>16603</v>
      </c>
      <c r="J26" s="8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8" t="s">
        <v>16685</v>
      </c>
      <c r="E27" s="8" t="s">
        <v>1274</v>
      </c>
      <c r="F27" s="8"/>
      <c r="H27" s="8"/>
      <c r="I27" s="8" t="s">
        <v>16606</v>
      </c>
      <c r="J27" s="8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8" t="s">
        <v>4</v>
      </c>
      <c r="E28" s="8" t="s">
        <v>8</v>
      </c>
      <c r="F28" s="8"/>
      <c r="H28" s="8"/>
      <c r="I28" s="8" t="s">
        <v>16609</v>
      </c>
      <c r="J28" s="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8" t="s">
        <v>4</v>
      </c>
      <c r="E29" s="8" t="s">
        <v>16656</v>
      </c>
      <c r="F29" s="8"/>
      <c r="H29" s="8"/>
      <c r="I29" s="8" t="s">
        <v>16612</v>
      </c>
      <c r="J29" s="8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8" t="s">
        <v>4</v>
      </c>
      <c r="E30" s="8" t="s">
        <v>468</v>
      </c>
      <c r="F30" s="8"/>
      <c r="H30" s="8"/>
      <c r="I30" s="8" t="s">
        <v>16615</v>
      </c>
      <c r="J30" s="8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8" t="s">
        <v>16686</v>
      </c>
      <c r="E31" s="8" t="s">
        <v>1274</v>
      </c>
      <c r="F31" s="8"/>
      <c r="H31" s="8"/>
      <c r="I31" s="8" t="s">
        <v>16618</v>
      </c>
      <c r="J31" s="8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8" t="s">
        <v>1273</v>
      </c>
      <c r="E32" s="8" t="s">
        <v>16661</v>
      </c>
      <c r="F32" s="8"/>
      <c r="H32" s="8"/>
      <c r="I32" s="8" t="s">
        <v>16621</v>
      </c>
      <c r="J32" s="8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8" t="s">
        <v>226</v>
      </c>
      <c r="E33" s="8" t="s">
        <v>16661</v>
      </c>
      <c r="F33" s="8" t="s">
        <v>58</v>
      </c>
      <c r="H33" s="8"/>
      <c r="I33" s="8" t="s">
        <v>16624</v>
      </c>
      <c r="J33" s="8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8" t="s">
        <v>226</v>
      </c>
      <c r="E34" s="8" t="s">
        <v>16661</v>
      </c>
      <c r="F34" s="8" t="s">
        <v>58</v>
      </c>
      <c r="H34" s="8" t="s">
        <v>16681</v>
      </c>
      <c r="I34" s="8" t="s">
        <v>16627</v>
      </c>
      <c r="J34" s="8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8" t="s">
        <v>4</v>
      </c>
      <c r="E35" s="8" t="s">
        <v>8</v>
      </c>
      <c r="F35" s="8"/>
      <c r="H35" s="8"/>
      <c r="I35" s="8" t="s">
        <v>16893</v>
      </c>
      <c r="J35" s="8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8" t="s">
        <v>17483</v>
      </c>
      <c r="E36" s="8" t="s">
        <v>86</v>
      </c>
      <c r="F36" s="8"/>
      <c r="H36" s="8"/>
      <c r="I36" s="8" t="s">
        <v>16896</v>
      </c>
      <c r="J36" s="8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8" t="s">
        <v>17482</v>
      </c>
      <c r="E37" s="8" t="s">
        <v>86</v>
      </c>
      <c r="F37" s="8"/>
      <c r="H37" s="8"/>
      <c r="I37" s="8" t="s">
        <v>16899</v>
      </c>
      <c r="J37" s="8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8" t="s">
        <v>4</v>
      </c>
      <c r="E38" s="8" t="s">
        <v>16656</v>
      </c>
      <c r="F38" s="8"/>
      <c r="H38" s="8" t="s">
        <v>17484</v>
      </c>
      <c r="I38" s="8" t="s">
        <v>16902</v>
      </c>
      <c r="J38" s="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8" t="s">
        <v>17485</v>
      </c>
      <c r="E39" s="8" t="s">
        <v>1274</v>
      </c>
      <c r="F39" s="8"/>
      <c r="H39" s="8"/>
      <c r="I39" s="8" t="s">
        <v>16905</v>
      </c>
      <c r="J39" s="8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8" t="s">
        <v>17485</v>
      </c>
      <c r="E40" s="8" t="s">
        <v>1274</v>
      </c>
      <c r="F40" s="8"/>
      <c r="H40" s="8" t="s">
        <v>2352</v>
      </c>
      <c r="I40" s="8" t="s">
        <v>16908</v>
      </c>
      <c r="J40" s="8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8" t="s">
        <v>4</v>
      </c>
      <c r="E41" s="8" t="s">
        <v>8</v>
      </c>
      <c r="F41" s="8"/>
      <c r="H41" s="8"/>
      <c r="I41" s="8" t="s">
        <v>16911</v>
      </c>
      <c r="J41" s="8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8" t="s">
        <v>1607</v>
      </c>
      <c r="E42" s="8" t="s">
        <v>8</v>
      </c>
      <c r="F42" s="8"/>
      <c r="H42" s="8"/>
      <c r="I42" s="8" t="s">
        <v>16914</v>
      </c>
      <c r="J42" s="8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8" t="s">
        <v>4</v>
      </c>
      <c r="E43" s="8" t="s">
        <v>8</v>
      </c>
      <c r="F43" s="8"/>
      <c r="H43" s="8"/>
      <c r="I43" s="8" t="s">
        <v>16917</v>
      </c>
      <c r="J43" s="8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8" t="s">
        <v>1607</v>
      </c>
      <c r="E44" s="8" t="s">
        <v>8</v>
      </c>
      <c r="F44" s="8"/>
      <c r="H44" s="8"/>
      <c r="I44" s="8" t="s">
        <v>16920</v>
      </c>
      <c r="J44" s="8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8" t="s">
        <v>4</v>
      </c>
      <c r="E45" s="8" t="s">
        <v>8</v>
      </c>
      <c r="F45" s="8"/>
      <c r="H45" s="8"/>
      <c r="I45" s="8" t="s">
        <v>16923</v>
      </c>
      <c r="J45" s="8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8" t="s">
        <v>17480</v>
      </c>
      <c r="E46" s="8" t="s">
        <v>1274</v>
      </c>
      <c r="F46" s="8"/>
      <c r="H46" s="8"/>
      <c r="I46" s="8" t="s">
        <v>16926</v>
      </c>
      <c r="J46" s="8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8" t="s">
        <v>4</v>
      </c>
      <c r="E47" s="8" t="s">
        <v>8</v>
      </c>
      <c r="F47" s="8"/>
      <c r="H47" s="8"/>
      <c r="I47" s="8" t="s">
        <v>16929</v>
      </c>
      <c r="J47" s="8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8" t="s">
        <v>17480</v>
      </c>
      <c r="E48" s="8" t="s">
        <v>1274</v>
      </c>
      <c r="F48" s="8"/>
      <c r="H48" s="8"/>
      <c r="I48" s="8" t="s">
        <v>16932</v>
      </c>
      <c r="J48" s="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</sheetData>
  <conditionalFormatting sqref="D49:D59 E49:E62 D2:E48 G2:H48">
    <cfRule type="containsText" dxfId="692" priority="14" operator="containsText" text="Выезд с территории">
      <formula>NOT(ISERROR(SEARCH("Выезд с территории",D2)))</formula>
    </cfRule>
  </conditionalFormatting>
  <conditionalFormatting sqref="F2:F48">
    <cfRule type="notContainsText" dxfId="691" priority="13" operator="notContains" text="порожний">
      <formula>ISERROR(SEARCH("порожний",F2))</formula>
    </cfRule>
  </conditionalFormatting>
  <conditionalFormatting sqref="E2:E62">
    <cfRule type="containsText" dxfId="690" priority="11" operator="containsText" text="Газель базы">
      <formula>NOT(ISERROR(SEARCH("Газель базы",E2)))</formula>
    </cfRule>
    <cfRule type="containsText" dxfId="689" priority="12" operator="containsText" text="Погрузчик базы">
      <formula>NOT(ISERROR(SEARCH("Погрузчик базы",E2)))</formula>
    </cfRule>
  </conditionalFormatting>
  <conditionalFormatting sqref="E2:E62">
    <cfRule type="containsText" dxfId="688" priority="10" operator="containsText" text="Трактор базы">
      <formula>NOT(ISERROR(SEARCH("Трактор базы",E2)))</formula>
    </cfRule>
  </conditionalFormatting>
  <conditionalFormatting sqref="A2:C48">
    <cfRule type="expression" dxfId="687" priority="9">
      <formula>$A2="пн"</formula>
    </cfRule>
  </conditionalFormatting>
  <conditionalFormatting sqref="A2:C50">
    <cfRule type="expression" dxfId="686" priority="3">
      <formula>$A2="вс"</formula>
    </cfRule>
    <cfRule type="expression" dxfId="685" priority="4">
      <formula>$A2="сб"</formula>
    </cfRule>
    <cfRule type="expression" dxfId="684" priority="5">
      <formula>$A2="пт"</formula>
    </cfRule>
    <cfRule type="expression" dxfId="683" priority="6">
      <formula>$A2="чт"</formula>
    </cfRule>
    <cfRule type="expression" dxfId="682" priority="7">
      <formula>$A2="ср"</formula>
    </cfRule>
    <cfRule type="expression" dxfId="681" priority="8">
      <formula>$A2="вт"</formula>
    </cfRule>
  </conditionalFormatting>
  <conditionalFormatting sqref="D2:D59">
    <cfRule type="containsText" dxfId="6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">
    <cfRule type="containsText" dxfId="6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161"/>
  <sheetViews>
    <sheetView zoomScale="90" zoomScaleNormal="90" workbookViewId="0">
      <pane ySplit="1" topLeftCell="A135" activePane="bottomLeft" state="frozen"/>
      <selection pane="bottomLeft" activeCell="I86" sqref="I86:I16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28515625" bestFit="1" customWidth="1"/>
    <col min="5" max="5" width="20.8554687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11080</v>
      </c>
      <c r="F2" s="8"/>
      <c r="H2" s="8"/>
      <c r="I2" s="8" t="s">
        <v>10868</v>
      </c>
      <c r="J2" s="8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11080</v>
      </c>
      <c r="F3" s="8"/>
      <c r="H3" s="8" t="s">
        <v>11081</v>
      </c>
      <c r="I3" s="8" t="s">
        <v>10871</v>
      </c>
      <c r="J3" s="8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11080</v>
      </c>
      <c r="F4" s="8"/>
      <c r="H4" s="8" t="s">
        <v>11081</v>
      </c>
      <c r="I4" s="8" t="s">
        <v>10874</v>
      </c>
      <c r="J4" s="8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11080</v>
      </c>
      <c r="F5" s="8"/>
      <c r="H5" s="8"/>
      <c r="I5" s="8" t="s">
        <v>10877</v>
      </c>
      <c r="J5" s="8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8</v>
      </c>
      <c r="F7" s="8"/>
      <c r="H7" s="8"/>
      <c r="I7" s="8" t="s">
        <v>13638</v>
      </c>
      <c r="J7" s="8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8</v>
      </c>
      <c r="F8" s="8"/>
      <c r="H8" s="8"/>
      <c r="I8" s="8" t="s">
        <v>13641</v>
      </c>
      <c r="J8" s="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8</v>
      </c>
      <c r="F9" s="8"/>
      <c r="H9" s="8"/>
      <c r="I9" s="8" t="s">
        <v>13644</v>
      </c>
      <c r="J9" s="8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8</v>
      </c>
      <c r="F10" s="8"/>
      <c r="H10" s="8"/>
      <c r="I10" s="8" t="s">
        <v>13647</v>
      </c>
      <c r="J10" s="8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8</v>
      </c>
      <c r="F11" s="8"/>
      <c r="H11" s="8"/>
      <c r="I11" s="8" t="s">
        <v>13650</v>
      </c>
      <c r="J11" s="8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11080</v>
      </c>
      <c r="F12" s="8"/>
      <c r="H12" s="8"/>
      <c r="I12" s="8" t="s">
        <v>14032</v>
      </c>
      <c r="J12" s="8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11080</v>
      </c>
      <c r="F13" s="8"/>
      <c r="H13" s="8"/>
      <c r="I13" s="8" t="s">
        <v>14035</v>
      </c>
      <c r="J13" s="8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8" t="s">
        <v>1607</v>
      </c>
      <c r="E14" s="8" t="s">
        <v>11080</v>
      </c>
      <c r="F14" s="8"/>
      <c r="H14" s="8"/>
      <c r="I14" s="8" t="s">
        <v>14651</v>
      </c>
      <c r="J14" s="8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8" t="s">
        <v>4</v>
      </c>
      <c r="E15" s="8" t="s">
        <v>468</v>
      </c>
      <c r="F15" s="8"/>
      <c r="H15" s="8"/>
      <c r="I15" s="8" t="s">
        <v>14654</v>
      </c>
      <c r="J15" s="8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8" t="s">
        <v>4</v>
      </c>
      <c r="E16" s="8" t="s">
        <v>16687</v>
      </c>
      <c r="F16" s="8"/>
      <c r="H16" s="8"/>
      <c r="I16" s="8" t="s">
        <v>14657</v>
      </c>
      <c r="J16" s="8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8" t="s">
        <v>4</v>
      </c>
      <c r="E17" s="8" t="s">
        <v>1274</v>
      </c>
      <c r="F17" s="8"/>
      <c r="H17" s="8"/>
      <c r="I17" s="8" t="s">
        <v>14660</v>
      </c>
      <c r="J17" s="8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8" t="s">
        <v>4</v>
      </c>
      <c r="E18" s="8" t="s">
        <v>16688</v>
      </c>
      <c r="F18" s="8"/>
      <c r="H18" s="8"/>
      <c r="I18" s="8" t="s">
        <v>14663</v>
      </c>
      <c r="J18" s="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8" t="s">
        <v>4</v>
      </c>
      <c r="E19" s="8" t="s">
        <v>1274</v>
      </c>
      <c r="F19" s="8"/>
      <c r="H19" s="8"/>
      <c r="I19" s="8" t="s">
        <v>14666</v>
      </c>
      <c r="J19" s="8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8" t="s">
        <v>1607</v>
      </c>
      <c r="E20" s="8" t="s">
        <v>11080</v>
      </c>
      <c r="F20" s="8"/>
      <c r="H20" s="8"/>
      <c r="I20" s="8" t="s">
        <v>14669</v>
      </c>
      <c r="J20" s="8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8" t="s">
        <v>4</v>
      </c>
      <c r="E21" s="8" t="s">
        <v>1274</v>
      </c>
      <c r="F21" s="8"/>
      <c r="H21" s="8"/>
      <c r="I21" s="8" t="s">
        <v>14672</v>
      </c>
      <c r="J21" s="8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8" t="s">
        <v>4</v>
      </c>
      <c r="E22" s="8" t="s">
        <v>1274</v>
      </c>
      <c r="F22" s="8"/>
      <c r="H22" s="8"/>
      <c r="I22" s="8" t="s">
        <v>14675</v>
      </c>
      <c r="J22" s="8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8" t="s">
        <v>16689</v>
      </c>
      <c r="E23" s="8" t="s">
        <v>1274</v>
      </c>
      <c r="F23" s="8"/>
      <c r="H23" s="8"/>
      <c r="I23" s="8" t="s">
        <v>14678</v>
      </c>
      <c r="J23" s="8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8" t="s">
        <v>16689</v>
      </c>
      <c r="E24" s="8" t="s">
        <v>1274</v>
      </c>
      <c r="F24" s="8"/>
      <c r="H24" s="8"/>
      <c r="I24" s="8" t="s">
        <v>14681</v>
      </c>
      <c r="J24" s="8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8" t="s">
        <v>16689</v>
      </c>
      <c r="E25" s="8" t="s">
        <v>1274</v>
      </c>
      <c r="F25" s="8"/>
      <c r="H25" s="8"/>
      <c r="I25" s="8" t="s">
        <v>14684</v>
      </c>
      <c r="J25" s="8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8" t="s">
        <v>16689</v>
      </c>
      <c r="E26" s="8" t="s">
        <v>1274</v>
      </c>
      <c r="F26" s="8"/>
      <c r="H26" s="8"/>
      <c r="I26" s="8" t="s">
        <v>14687</v>
      </c>
      <c r="J26" s="8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8" t="s">
        <v>1607</v>
      </c>
      <c r="E27" s="8" t="s">
        <v>11080</v>
      </c>
      <c r="F27" s="8"/>
      <c r="H27" s="8"/>
      <c r="I27" s="8" t="s">
        <v>14690</v>
      </c>
      <c r="J27" s="8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8" t="s">
        <v>4</v>
      </c>
      <c r="E28" s="8" t="s">
        <v>468</v>
      </c>
      <c r="F28" s="8"/>
      <c r="H28" s="8"/>
      <c r="I28" s="8" t="s">
        <v>14693</v>
      </c>
      <c r="J28" s="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8" t="s">
        <v>4</v>
      </c>
      <c r="E29" s="8" t="s">
        <v>1274</v>
      </c>
      <c r="F29" s="8"/>
      <c r="H29" s="8"/>
      <c r="I29" s="8" t="s">
        <v>14696</v>
      </c>
      <c r="J29" s="8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8" t="s">
        <v>4</v>
      </c>
      <c r="E30" s="8" t="s">
        <v>16688</v>
      </c>
      <c r="F30" s="8"/>
      <c r="H30" s="8"/>
      <c r="I30" s="8" t="s">
        <v>14699</v>
      </c>
      <c r="J30" s="8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8" t="s">
        <v>4</v>
      </c>
      <c r="E31" s="8" t="s">
        <v>1274</v>
      </c>
      <c r="F31" s="8"/>
      <c r="H31" s="8"/>
      <c r="I31" s="8" t="s">
        <v>14702</v>
      </c>
      <c r="J31" s="8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8" t="s">
        <v>1607</v>
      </c>
      <c r="E32" s="8" t="s">
        <v>11080</v>
      </c>
      <c r="F32" s="8"/>
      <c r="H32" s="8"/>
      <c r="I32" s="8" t="s">
        <v>14705</v>
      </c>
      <c r="J32" s="8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8" t="s">
        <v>1607</v>
      </c>
      <c r="E33" s="8" t="s">
        <v>11080</v>
      </c>
      <c r="F33" s="8"/>
      <c r="H33" s="8"/>
      <c r="I33" s="8" t="s">
        <v>14708</v>
      </c>
      <c r="J33" s="8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8" t="s">
        <v>4</v>
      </c>
      <c r="E34" s="8" t="s">
        <v>1274</v>
      </c>
      <c r="F34" s="8"/>
      <c r="H34" s="8"/>
      <c r="I34" s="8" t="s">
        <v>14711</v>
      </c>
      <c r="J34" s="8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8" t="s">
        <v>4</v>
      </c>
      <c r="E35" s="8" t="s">
        <v>468</v>
      </c>
      <c r="F35" s="8"/>
      <c r="H35" s="8"/>
      <c r="I35" s="8" t="s">
        <v>14714</v>
      </c>
      <c r="J35" s="8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8" t="s">
        <v>4</v>
      </c>
      <c r="E36" s="8" t="s">
        <v>468</v>
      </c>
      <c r="F36" s="8"/>
      <c r="H36" s="8"/>
      <c r="I36" s="8" t="s">
        <v>14717</v>
      </c>
      <c r="J36" s="8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8" t="s">
        <v>16689</v>
      </c>
      <c r="E37" s="8" t="s">
        <v>468</v>
      </c>
      <c r="F37" s="8"/>
      <c r="H37" s="8"/>
      <c r="I37" s="8" t="s">
        <v>14720</v>
      </c>
      <c r="J37" s="8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8" t="s">
        <v>16689</v>
      </c>
      <c r="E38" s="8" t="s">
        <v>468</v>
      </c>
      <c r="F38" s="8"/>
      <c r="H38" s="8"/>
      <c r="I38" s="8" t="s">
        <v>14723</v>
      </c>
      <c r="J38" s="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8" t="s">
        <v>16689</v>
      </c>
      <c r="E39" s="8" t="s">
        <v>468</v>
      </c>
      <c r="F39" s="8"/>
      <c r="H39" s="8"/>
      <c r="I39" s="8" t="s">
        <v>14726</v>
      </c>
      <c r="J39" s="8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8" t="s">
        <v>16689</v>
      </c>
      <c r="E40" s="8" t="s">
        <v>468</v>
      </c>
      <c r="F40" s="8"/>
      <c r="H40" s="8"/>
      <c r="I40" s="8" t="s">
        <v>14729</v>
      </c>
      <c r="J40" s="8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8" t="s">
        <v>16689</v>
      </c>
      <c r="E41" s="8" t="s">
        <v>468</v>
      </c>
      <c r="F41" s="8"/>
      <c r="H41" s="8"/>
      <c r="I41" s="8" t="s">
        <v>14732</v>
      </c>
      <c r="J41" s="8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8" t="s">
        <v>4</v>
      </c>
      <c r="E42" s="8" t="s">
        <v>468</v>
      </c>
      <c r="F42" s="8"/>
      <c r="H42" s="8"/>
      <c r="I42" s="8" t="s">
        <v>14735</v>
      </c>
      <c r="J42" s="8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8" t="s">
        <v>4</v>
      </c>
      <c r="E43" s="8" t="s">
        <v>16687</v>
      </c>
      <c r="F43" s="8"/>
      <c r="H43" s="8"/>
      <c r="I43" s="8" t="s">
        <v>14738</v>
      </c>
      <c r="J43" s="8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8" t="s">
        <v>16689</v>
      </c>
      <c r="E44" s="8" t="s">
        <v>468</v>
      </c>
      <c r="F44" s="8"/>
      <c r="H44" s="8"/>
      <c r="I44" s="8" t="s">
        <v>14741</v>
      </c>
      <c r="J44" s="8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8" t="s">
        <v>16689</v>
      </c>
      <c r="E45" s="8" t="s">
        <v>468</v>
      </c>
      <c r="F45" s="8"/>
      <c r="H45" s="8"/>
      <c r="I45" s="8" t="s">
        <v>14744</v>
      </c>
      <c r="J45" s="8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8" t="s">
        <v>16689</v>
      </c>
      <c r="E46" s="8" t="s">
        <v>468</v>
      </c>
      <c r="F46" s="8"/>
      <c r="H46" s="8"/>
      <c r="I46" s="8" t="s">
        <v>14747</v>
      </c>
      <c r="J46" s="8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8" t="s">
        <v>16689</v>
      </c>
      <c r="E47" s="8" t="s">
        <v>468</v>
      </c>
      <c r="F47" s="8"/>
      <c r="H47" s="8"/>
      <c r="I47" s="8" t="s">
        <v>14750</v>
      </c>
      <c r="J47" s="8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8" t="s">
        <v>16689</v>
      </c>
      <c r="E48" s="8" t="s">
        <v>468</v>
      </c>
      <c r="F48" s="8"/>
      <c r="H48" s="8"/>
      <c r="I48" s="8" t="s">
        <v>14753</v>
      </c>
      <c r="J48" s="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8" t="s">
        <v>4</v>
      </c>
      <c r="E49" s="8" t="s">
        <v>16687</v>
      </c>
      <c r="F49" s="8"/>
      <c r="H49" s="8"/>
      <c r="I49" s="8" t="s">
        <v>14756</v>
      </c>
      <c r="J49" s="8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8" t="s">
        <v>4</v>
      </c>
      <c r="E50" s="8" t="s">
        <v>1274</v>
      </c>
      <c r="F50" s="8"/>
      <c r="H50" s="8"/>
      <c r="I50" s="8" t="s">
        <v>14759</v>
      </c>
      <c r="J50" s="8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8" t="s">
        <v>4</v>
      </c>
      <c r="E51" s="8" t="s">
        <v>468</v>
      </c>
      <c r="F51" s="8"/>
      <c r="H51" s="8"/>
      <c r="I51" s="8" t="s">
        <v>14762</v>
      </c>
      <c r="J51" s="8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8" t="s">
        <v>4</v>
      </c>
      <c r="E52" s="8" t="s">
        <v>468</v>
      </c>
      <c r="F52" s="8"/>
      <c r="H52" s="8"/>
      <c r="I52" s="8" t="s">
        <v>14765</v>
      </c>
      <c r="J52" s="8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8" t="s">
        <v>4</v>
      </c>
      <c r="E53" s="8" t="s">
        <v>468</v>
      </c>
      <c r="F53" s="8"/>
      <c r="H53" s="8"/>
      <c r="I53" s="8" t="s">
        <v>14768</v>
      </c>
      <c r="J53" s="8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8" t="s">
        <v>4</v>
      </c>
      <c r="E54" s="8" t="s">
        <v>468</v>
      </c>
      <c r="F54" s="8"/>
      <c r="H54" s="8"/>
      <c r="I54" s="8" t="s">
        <v>14771</v>
      </c>
      <c r="J54" s="8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8" t="s">
        <v>4</v>
      </c>
      <c r="E55" s="8" t="s">
        <v>16687</v>
      </c>
      <c r="F55" s="8"/>
      <c r="H55" s="8"/>
      <c r="I55" s="8" t="s">
        <v>14774</v>
      </c>
      <c r="J55" s="8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8" t="s">
        <v>16689</v>
      </c>
      <c r="E56" s="8" t="s">
        <v>468</v>
      </c>
      <c r="F56" s="8"/>
      <c r="H56" s="8"/>
      <c r="I56" s="8" t="s">
        <v>14777</v>
      </c>
      <c r="J56" s="8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8" t="s">
        <v>16689</v>
      </c>
      <c r="E57" s="8" t="s">
        <v>468</v>
      </c>
      <c r="F57" s="8"/>
      <c r="H57" s="8"/>
      <c r="I57" s="8" t="s">
        <v>14780</v>
      </c>
      <c r="J57" s="8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8" t="s">
        <v>16689</v>
      </c>
      <c r="E58" s="8" t="s">
        <v>468</v>
      </c>
      <c r="F58" s="8"/>
      <c r="H58" s="8"/>
      <c r="I58" s="8" t="s">
        <v>14783</v>
      </c>
      <c r="J58" s="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8" t="s">
        <v>16689</v>
      </c>
      <c r="E59" s="8" t="s">
        <v>468</v>
      </c>
      <c r="F59" s="8"/>
      <c r="H59" s="8"/>
      <c r="I59" s="8" t="s">
        <v>14786</v>
      </c>
      <c r="J59" s="8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8" t="s">
        <v>16689</v>
      </c>
      <c r="E60" s="8" t="s">
        <v>468</v>
      </c>
      <c r="F60" s="8"/>
      <c r="H60" s="8"/>
      <c r="I60" s="8" t="s">
        <v>14789</v>
      </c>
      <c r="J60" s="8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8" t="s">
        <v>16689</v>
      </c>
      <c r="E61" s="8" t="s">
        <v>468</v>
      </c>
      <c r="F61" s="8"/>
      <c r="H61" s="8"/>
      <c r="I61" s="8" t="s">
        <v>14792</v>
      </c>
      <c r="J61" s="8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8" t="s">
        <v>16689</v>
      </c>
      <c r="E62" s="8" t="s">
        <v>468</v>
      </c>
      <c r="F62" s="8"/>
      <c r="H62" s="8"/>
      <c r="I62" s="8" t="s">
        <v>14795</v>
      </c>
      <c r="J62" s="8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8" t="s">
        <v>16689</v>
      </c>
      <c r="E63" s="8" t="s">
        <v>468</v>
      </c>
      <c r="F63" s="8"/>
      <c r="H63" s="8"/>
      <c r="I63" s="8" t="s">
        <v>14798</v>
      </c>
      <c r="J63" s="8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8" t="s">
        <v>16689</v>
      </c>
      <c r="E64" s="8" t="s">
        <v>468</v>
      </c>
      <c r="F64" s="8"/>
      <c r="H64" s="8"/>
      <c r="I64" s="8" t="s">
        <v>14801</v>
      </c>
      <c r="J64" s="8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8" t="s">
        <v>4</v>
      </c>
      <c r="E65" s="8" t="s">
        <v>468</v>
      </c>
      <c r="F65" s="8"/>
      <c r="H65" s="8"/>
      <c r="I65" s="8" t="s">
        <v>14804</v>
      </c>
      <c r="J65" s="8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8" t="s">
        <v>4</v>
      </c>
      <c r="E66" s="8" t="s">
        <v>1274</v>
      </c>
      <c r="F66" s="8"/>
      <c r="H66" s="8"/>
      <c r="I66" s="8" t="s">
        <v>14807</v>
      </c>
      <c r="J66" s="8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8" t="s">
        <v>4</v>
      </c>
      <c r="E67" s="8" t="s">
        <v>468</v>
      </c>
      <c r="F67" s="8"/>
      <c r="H67" s="8"/>
      <c r="I67" s="8" t="s">
        <v>14810</v>
      </c>
      <c r="J67" s="8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8" t="s">
        <v>16689</v>
      </c>
      <c r="E68" s="8" t="s">
        <v>468</v>
      </c>
      <c r="F68" s="8"/>
      <c r="H68" s="8"/>
      <c r="I68" s="8" t="s">
        <v>14813</v>
      </c>
      <c r="J68" s="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8" t="s">
        <v>16689</v>
      </c>
      <c r="E69" s="8" t="s">
        <v>468</v>
      </c>
      <c r="F69" s="8"/>
      <c r="H69" s="8"/>
      <c r="I69" s="8" t="s">
        <v>14816</v>
      </c>
      <c r="J69" s="8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8" t="s">
        <v>4</v>
      </c>
      <c r="E70" s="8" t="s">
        <v>16687</v>
      </c>
      <c r="F70" s="8"/>
      <c r="H70" s="8"/>
      <c r="I70" s="8" t="s">
        <v>14819</v>
      </c>
      <c r="J70" s="8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8" t="s">
        <v>4</v>
      </c>
      <c r="E71" s="8" t="s">
        <v>1274</v>
      </c>
      <c r="F71" s="8"/>
      <c r="H71" s="8"/>
      <c r="I71" s="8" t="s">
        <v>14822</v>
      </c>
      <c r="J71" s="8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8" t="s">
        <v>4</v>
      </c>
      <c r="E72" s="8" t="s">
        <v>468</v>
      </c>
      <c r="F72" s="8"/>
      <c r="H72" s="8"/>
      <c r="I72" s="8" t="s">
        <v>14825</v>
      </c>
      <c r="J72" s="8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8" t="s">
        <v>4</v>
      </c>
      <c r="E73" s="8" t="s">
        <v>468</v>
      </c>
      <c r="F73" s="8"/>
      <c r="H73" s="8"/>
      <c r="I73" s="8" t="s">
        <v>14828</v>
      </c>
      <c r="J73" s="8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8" t="s">
        <v>16689</v>
      </c>
      <c r="E74" s="8" t="s">
        <v>468</v>
      </c>
      <c r="F74" s="8"/>
      <c r="H74" s="8"/>
      <c r="I74" s="8" t="s">
        <v>14831</v>
      </c>
      <c r="J74" s="8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8" t="s">
        <v>16689</v>
      </c>
      <c r="E75" s="8" t="s">
        <v>468</v>
      </c>
      <c r="F75" s="8"/>
      <c r="H75" s="8"/>
      <c r="I75" s="8" t="s">
        <v>14834</v>
      </c>
      <c r="J75" s="8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8" t="s">
        <v>16689</v>
      </c>
      <c r="E76" s="8" t="s">
        <v>468</v>
      </c>
      <c r="F76" s="8"/>
      <c r="H76" s="8"/>
      <c r="I76" s="8" t="s">
        <v>14837</v>
      </c>
      <c r="J76" s="8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8" t="s">
        <v>16689</v>
      </c>
      <c r="E77" s="8" t="s">
        <v>468</v>
      </c>
      <c r="F77" s="8"/>
      <c r="H77" s="8"/>
      <c r="I77" s="8" t="s">
        <v>14840</v>
      </c>
      <c r="J77" s="8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8" t="s">
        <v>4</v>
      </c>
      <c r="E78" s="8" t="s">
        <v>468</v>
      </c>
      <c r="F78" s="8"/>
      <c r="H78" s="8"/>
      <c r="I78" s="8" t="s">
        <v>14843</v>
      </c>
      <c r="J78" s="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8" t="s">
        <v>16690</v>
      </c>
      <c r="E79" s="8" t="s">
        <v>468</v>
      </c>
      <c r="F79" s="8"/>
      <c r="H79" s="8"/>
      <c r="I79" s="8" t="s">
        <v>14846</v>
      </c>
      <c r="J79" s="8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8" t="s">
        <v>4</v>
      </c>
      <c r="E80" s="8" t="s">
        <v>11080</v>
      </c>
      <c r="F80" s="8"/>
      <c r="H80" s="8"/>
      <c r="I80" s="8" t="s">
        <v>14849</v>
      </c>
      <c r="J80" s="8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8" t="s">
        <v>16691</v>
      </c>
      <c r="E81" s="8"/>
      <c r="F81" s="8"/>
      <c r="H81" s="8"/>
      <c r="I81" s="8" t="s">
        <v>14852</v>
      </c>
      <c r="J81" s="8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8" t="s">
        <v>16691</v>
      </c>
      <c r="E82" s="8"/>
      <c r="F82" s="8"/>
      <c r="H82" s="8"/>
      <c r="I82" s="8" t="s">
        <v>14855</v>
      </c>
      <c r="J82" s="8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8" t="s">
        <v>16691</v>
      </c>
      <c r="E83" s="8"/>
      <c r="F83" s="8"/>
      <c r="H83" s="8"/>
      <c r="I83" s="8" t="s">
        <v>14858</v>
      </c>
      <c r="J83" s="8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8" t="s">
        <v>4</v>
      </c>
      <c r="E84" s="8" t="s">
        <v>16688</v>
      </c>
      <c r="F84" s="8"/>
      <c r="H84" s="8"/>
      <c r="I84" s="8" t="s">
        <v>14861</v>
      </c>
      <c r="J84" s="8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8" t="s">
        <v>4</v>
      </c>
      <c r="E85" s="8" t="s">
        <v>11080</v>
      </c>
      <c r="F85" s="8"/>
      <c r="H85" s="8"/>
      <c r="I85" s="8" t="s">
        <v>14864</v>
      </c>
      <c r="J85" s="8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8" t="s">
        <v>4</v>
      </c>
      <c r="E86" s="8" t="s">
        <v>11080</v>
      </c>
      <c r="F86" s="8"/>
      <c r="H86" s="8"/>
      <c r="I86" s="8" t="s">
        <v>17088</v>
      </c>
      <c r="J86" s="8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8" t="s">
        <v>16689</v>
      </c>
      <c r="E87" s="8" t="s">
        <v>468</v>
      </c>
      <c r="F87" s="8"/>
      <c r="H87" s="8"/>
      <c r="I87" s="8" t="s">
        <v>17091</v>
      </c>
      <c r="J87" s="8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8" t="s">
        <v>16689</v>
      </c>
      <c r="E88" s="8" t="s">
        <v>468</v>
      </c>
      <c r="F88" s="8"/>
      <c r="H88" s="8"/>
      <c r="I88" s="8" t="s">
        <v>17094</v>
      </c>
      <c r="J88" s="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8" t="s">
        <v>16689</v>
      </c>
      <c r="E89" s="8" t="s">
        <v>468</v>
      </c>
      <c r="F89" s="8"/>
      <c r="H89" s="8"/>
      <c r="I89" s="8" t="s">
        <v>17097</v>
      </c>
      <c r="J89" s="8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8" t="s">
        <v>16689</v>
      </c>
      <c r="E90" s="8" t="s">
        <v>468</v>
      </c>
      <c r="F90" s="8"/>
      <c r="H90" s="8"/>
      <c r="I90" s="8" t="s">
        <v>17100</v>
      </c>
      <c r="J90" s="8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8" t="s">
        <v>16689</v>
      </c>
      <c r="E91" s="8" t="s">
        <v>468</v>
      </c>
      <c r="F91" s="8"/>
      <c r="H91" s="8"/>
      <c r="I91" s="8" t="s">
        <v>17103</v>
      </c>
      <c r="J91" s="8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8" t="s">
        <v>16689</v>
      </c>
      <c r="E92" s="8" t="s">
        <v>468</v>
      </c>
      <c r="F92" s="8"/>
      <c r="H92" s="8"/>
      <c r="I92" s="8" t="s">
        <v>17106</v>
      </c>
      <c r="J92" s="8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8" t="s">
        <v>16689</v>
      </c>
      <c r="E93" s="8" t="s">
        <v>1274</v>
      </c>
      <c r="F93" s="8"/>
      <c r="H93" s="8"/>
      <c r="I93" s="8" t="s">
        <v>17109</v>
      </c>
      <c r="J93" s="8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8" t="s">
        <v>4</v>
      </c>
      <c r="E94" s="8" t="s">
        <v>468</v>
      </c>
      <c r="F94" s="8"/>
      <c r="H94" s="8"/>
      <c r="I94" s="8" t="s">
        <v>17112</v>
      </c>
      <c r="J94" s="8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8" t="s">
        <v>16689</v>
      </c>
      <c r="E95" s="8" t="s">
        <v>17486</v>
      </c>
      <c r="F95" s="8"/>
      <c r="H95" s="8"/>
      <c r="I95" s="8" t="s">
        <v>17114</v>
      </c>
      <c r="J95" s="8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8" t="s">
        <v>16689</v>
      </c>
      <c r="E96" s="8" t="s">
        <v>17486</v>
      </c>
      <c r="F96" s="8"/>
      <c r="H96" s="8"/>
      <c r="I96" s="8" t="s">
        <v>17117</v>
      </c>
      <c r="J96" s="8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8" t="s">
        <v>16689</v>
      </c>
      <c r="E97" s="8" t="s">
        <v>17486</v>
      </c>
      <c r="F97" s="8"/>
      <c r="H97" s="8"/>
      <c r="I97" s="8" t="s">
        <v>17120</v>
      </c>
      <c r="J97" s="8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8" t="s">
        <v>16689</v>
      </c>
      <c r="E98" s="8" t="s">
        <v>17486</v>
      </c>
      <c r="F98" s="8"/>
      <c r="H98" s="8"/>
      <c r="I98" s="8" t="s">
        <v>17123</v>
      </c>
      <c r="J98" s="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8" t="s">
        <v>16689</v>
      </c>
      <c r="E99" s="8" t="s">
        <v>17486</v>
      </c>
      <c r="F99" s="8"/>
      <c r="H99" s="8"/>
      <c r="I99" s="8" t="s">
        <v>17126</v>
      </c>
      <c r="J99" s="8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8" t="s">
        <v>4</v>
      </c>
      <c r="E100" s="8" t="s">
        <v>468</v>
      </c>
      <c r="F100" s="8"/>
      <c r="H100" s="8"/>
      <c r="I100" s="8" t="s">
        <v>17129</v>
      </c>
      <c r="J100" s="8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8" t="s">
        <v>4</v>
      </c>
      <c r="E101" s="8" t="s">
        <v>468</v>
      </c>
      <c r="F101" s="8"/>
      <c r="H101" s="8"/>
      <c r="I101" s="8" t="s">
        <v>17132</v>
      </c>
      <c r="J101" s="8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8" t="s">
        <v>4</v>
      </c>
      <c r="E102" s="8" t="s">
        <v>468</v>
      </c>
      <c r="F102" s="8"/>
      <c r="H102" s="8"/>
      <c r="I102" s="8" t="s">
        <v>17135</v>
      </c>
      <c r="J102" s="8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8" t="s">
        <v>4</v>
      </c>
      <c r="E103" s="8" t="s">
        <v>468</v>
      </c>
      <c r="F103" s="8"/>
      <c r="H103" s="8"/>
      <c r="I103" s="8" t="s">
        <v>17138</v>
      </c>
      <c r="J103" s="8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8" t="s">
        <v>4</v>
      </c>
      <c r="E104" s="8" t="s">
        <v>468</v>
      </c>
      <c r="F104" s="8"/>
      <c r="H104" s="8"/>
      <c r="I104" s="8" t="s">
        <v>17141</v>
      </c>
      <c r="J104" s="8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8" t="s">
        <v>4</v>
      </c>
      <c r="E105" s="8" t="s">
        <v>468</v>
      </c>
      <c r="F105" s="8"/>
      <c r="H105" s="8"/>
      <c r="I105" s="8" t="s">
        <v>17144</v>
      </c>
      <c r="J105" s="8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8" t="s">
        <v>4</v>
      </c>
      <c r="E106" s="8" t="s">
        <v>468</v>
      </c>
      <c r="F106" s="8"/>
      <c r="H106" s="8"/>
      <c r="I106" s="8" t="s">
        <v>17147</v>
      </c>
      <c r="J106" s="8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8" t="s">
        <v>4</v>
      </c>
      <c r="E107" s="8" t="s">
        <v>468</v>
      </c>
      <c r="F107" s="8"/>
      <c r="H107" s="8"/>
      <c r="I107" s="8" t="s">
        <v>17150</v>
      </c>
      <c r="J107" s="8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8" t="s">
        <v>4</v>
      </c>
      <c r="E108" s="8" t="s">
        <v>468</v>
      </c>
      <c r="F108" s="8"/>
      <c r="H108" s="8"/>
      <c r="I108" s="8" t="s">
        <v>17153</v>
      </c>
      <c r="J108" s="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8" t="s">
        <v>4</v>
      </c>
      <c r="E109" s="8" t="s">
        <v>468</v>
      </c>
      <c r="F109" s="8"/>
      <c r="H109" s="8"/>
      <c r="I109" s="8" t="s">
        <v>17156</v>
      </c>
      <c r="J109" s="8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8" t="s">
        <v>16689</v>
      </c>
      <c r="E110" s="8" t="s">
        <v>17486</v>
      </c>
      <c r="F110" s="8"/>
      <c r="H110" s="8"/>
      <c r="I110" s="8" t="s">
        <v>17159</v>
      </c>
      <c r="J110" s="8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8" t="s">
        <v>16689</v>
      </c>
      <c r="E111" s="8" t="s">
        <v>17486</v>
      </c>
      <c r="F111" s="8"/>
      <c r="H111" s="8"/>
      <c r="I111" s="8" t="s">
        <v>17162</v>
      </c>
      <c r="J111" s="8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8" t="s">
        <v>16689</v>
      </c>
      <c r="E112" s="8" t="s">
        <v>17486</v>
      </c>
      <c r="F112" s="8"/>
      <c r="H112" s="8"/>
      <c r="I112" s="8" t="s">
        <v>17165</v>
      </c>
      <c r="J112" s="8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8" t="s">
        <v>16689</v>
      </c>
      <c r="E113" s="8" t="s">
        <v>17486</v>
      </c>
      <c r="F113" s="8"/>
      <c r="H113" s="8"/>
      <c r="I113" s="8" t="s">
        <v>17168</v>
      </c>
      <c r="J113" s="8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8" t="s">
        <v>16689</v>
      </c>
      <c r="E114" s="8" t="s">
        <v>17486</v>
      </c>
      <c r="F114" s="8"/>
      <c r="H114" s="8"/>
      <c r="I114" s="8" t="s">
        <v>17171</v>
      </c>
      <c r="J114" s="8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8" t="s">
        <v>16689</v>
      </c>
      <c r="E115" s="8" t="s">
        <v>17486</v>
      </c>
      <c r="F115" s="8"/>
      <c r="H115" s="8"/>
      <c r="I115" s="8" t="s">
        <v>17174</v>
      </c>
      <c r="J115" s="8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8" t="s">
        <v>4</v>
      </c>
      <c r="E116" s="8" t="s">
        <v>1274</v>
      </c>
      <c r="F116" s="8"/>
      <c r="H116" s="8"/>
      <c r="I116" s="8" t="s">
        <v>17177</v>
      </c>
      <c r="J116" s="8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8" t="s">
        <v>4</v>
      </c>
      <c r="E117" s="8" t="s">
        <v>1274</v>
      </c>
      <c r="F117" s="8"/>
      <c r="H117" s="8"/>
      <c r="I117" s="8" t="s">
        <v>17180</v>
      </c>
      <c r="J117" s="8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8" t="s">
        <v>4</v>
      </c>
      <c r="E118" s="8" t="s">
        <v>1274</v>
      </c>
      <c r="F118" s="8"/>
      <c r="H118" s="8"/>
      <c r="I118" s="8" t="s">
        <v>17183</v>
      </c>
      <c r="J118" s="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8" t="s">
        <v>4</v>
      </c>
      <c r="E119" s="8" t="s">
        <v>1274</v>
      </c>
      <c r="F119" s="8"/>
      <c r="H119" s="8"/>
      <c r="I119" s="8" t="s">
        <v>17186</v>
      </c>
      <c r="J119" s="8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8" t="s">
        <v>4</v>
      </c>
      <c r="E120" s="8" t="s">
        <v>468</v>
      </c>
      <c r="F120" s="8"/>
      <c r="H120" s="8"/>
      <c r="I120" s="8" t="s">
        <v>17189</v>
      </c>
      <c r="J120" s="8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8" t="s">
        <v>4</v>
      </c>
      <c r="E121" s="8" t="s">
        <v>468</v>
      </c>
      <c r="F121" s="8"/>
      <c r="H121" s="8"/>
      <c r="I121" s="8" t="s">
        <v>17192</v>
      </c>
      <c r="J121" s="8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8" t="s">
        <v>4</v>
      </c>
      <c r="E122" s="8" t="s">
        <v>468</v>
      </c>
      <c r="F122" s="8"/>
      <c r="H122" s="8"/>
      <c r="I122" s="8" t="s">
        <v>17195</v>
      </c>
      <c r="J122" s="8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8" t="s">
        <v>4</v>
      </c>
      <c r="E123" s="8" t="s">
        <v>468</v>
      </c>
      <c r="F123" s="8"/>
      <c r="H123" s="8"/>
      <c r="I123" s="8" t="s">
        <v>17198</v>
      </c>
      <c r="J123" s="8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8" t="s">
        <v>4</v>
      </c>
      <c r="E124" s="8" t="s">
        <v>468</v>
      </c>
      <c r="F124" s="8"/>
      <c r="H124" s="8"/>
      <c r="I124" s="8" t="s">
        <v>17201</v>
      </c>
      <c r="J124" s="8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8" t="s">
        <v>4</v>
      </c>
      <c r="E125" s="8" t="s">
        <v>468</v>
      </c>
      <c r="F125" s="8"/>
      <c r="H125" s="8"/>
      <c r="I125" s="8" t="s">
        <v>17204</v>
      </c>
      <c r="J125" s="8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8" t="s">
        <v>4</v>
      </c>
      <c r="E126" s="8" t="s">
        <v>468</v>
      </c>
      <c r="F126" s="8"/>
      <c r="H126" s="8"/>
      <c r="I126" s="8" t="s">
        <v>17207</v>
      </c>
      <c r="J126" s="8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8" t="s">
        <v>4</v>
      </c>
      <c r="E127" s="8" t="s">
        <v>468</v>
      </c>
      <c r="F127" s="8"/>
      <c r="H127" s="8"/>
      <c r="I127" s="8" t="s">
        <v>17210</v>
      </c>
      <c r="J127" s="8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8" t="s">
        <v>16689</v>
      </c>
      <c r="E128" s="8" t="s">
        <v>468</v>
      </c>
      <c r="F128" s="8"/>
      <c r="H128" s="8"/>
      <c r="I128" s="8" t="s">
        <v>17213</v>
      </c>
      <c r="J128" s="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8" t="s">
        <v>16689</v>
      </c>
      <c r="E129" s="8" t="s">
        <v>468</v>
      </c>
      <c r="F129" s="8"/>
      <c r="H129" s="8"/>
      <c r="I129" s="8" t="s">
        <v>17216</v>
      </c>
      <c r="J129" s="8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8" t="s">
        <v>17487</v>
      </c>
      <c r="E130" s="8" t="s">
        <v>1274</v>
      </c>
      <c r="F130" s="8"/>
      <c r="H130" s="8"/>
      <c r="I130" s="8" t="s">
        <v>17219</v>
      </c>
      <c r="J130" s="8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8" t="s">
        <v>4</v>
      </c>
      <c r="E131" s="8" t="s">
        <v>1274</v>
      </c>
      <c r="F131" s="8"/>
      <c r="H131" s="8"/>
      <c r="I131" s="8" t="s">
        <v>17222</v>
      </c>
      <c r="J131" s="8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8" t="s">
        <v>4</v>
      </c>
      <c r="E132" s="8" t="s">
        <v>1274</v>
      </c>
      <c r="F132" s="8"/>
      <c r="H132" s="8"/>
      <c r="I132" s="8" t="s">
        <v>17225</v>
      </c>
      <c r="J132" s="8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8" t="s">
        <v>4</v>
      </c>
      <c r="E133" s="8" t="s">
        <v>1274</v>
      </c>
      <c r="F133" s="8"/>
      <c r="H133" s="8"/>
      <c r="I133" s="8" t="s">
        <v>17228</v>
      </c>
      <c r="J133" s="8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8" t="s">
        <v>4</v>
      </c>
      <c r="E134" s="8" t="s">
        <v>1274</v>
      </c>
      <c r="F134" s="8"/>
      <c r="H134" s="8"/>
      <c r="I134" s="8" t="s">
        <v>17231</v>
      </c>
      <c r="J134" s="8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8" t="s">
        <v>4</v>
      </c>
      <c r="E135" s="8" t="s">
        <v>1274</v>
      </c>
      <c r="F135" s="8"/>
      <c r="H135" s="8"/>
      <c r="I135" s="8" t="s">
        <v>17234</v>
      </c>
      <c r="J135" s="8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8" t="s">
        <v>4</v>
      </c>
      <c r="E136" s="8" t="s">
        <v>1274</v>
      </c>
      <c r="F136" s="8"/>
      <c r="H136" s="8"/>
      <c r="I136" s="8" t="s">
        <v>17237</v>
      </c>
      <c r="J136" s="8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8" t="s">
        <v>4</v>
      </c>
      <c r="E137" s="8" t="s">
        <v>1274</v>
      </c>
      <c r="F137" s="8"/>
      <c r="H137" s="8"/>
      <c r="I137" s="8" t="s">
        <v>17240</v>
      </c>
      <c r="J137" s="8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8" t="s">
        <v>4</v>
      </c>
      <c r="E138" s="8" t="s">
        <v>1274</v>
      </c>
      <c r="F138" s="8"/>
      <c r="H138" s="8"/>
      <c r="I138" s="8" t="s">
        <v>17243</v>
      </c>
      <c r="J138" s="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8" t="s">
        <v>4</v>
      </c>
      <c r="E139" s="8" t="s">
        <v>11080</v>
      </c>
      <c r="F139" s="8"/>
      <c r="H139" s="8"/>
      <c r="I139" s="8" t="s">
        <v>17246</v>
      </c>
      <c r="J139" s="8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8" t="s">
        <v>4</v>
      </c>
      <c r="E140" s="8" t="s">
        <v>11080</v>
      </c>
      <c r="F140" s="8"/>
      <c r="H140" s="8"/>
      <c r="I140" s="8" t="s">
        <v>17249</v>
      </c>
      <c r="J140" s="8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8" t="s">
        <v>4</v>
      </c>
      <c r="E141" s="8" t="s">
        <v>1274</v>
      </c>
      <c r="F141" s="8"/>
      <c r="H141" s="8"/>
      <c r="I141" s="8" t="s">
        <v>17252</v>
      </c>
      <c r="J141" s="8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8" t="s">
        <v>4</v>
      </c>
      <c r="E142" s="8" t="s">
        <v>11080</v>
      </c>
      <c r="F142" s="8"/>
      <c r="H142" s="8"/>
      <c r="I142" s="8" t="s">
        <v>17255</v>
      </c>
      <c r="J142" s="8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8" t="s">
        <v>4</v>
      </c>
      <c r="E143" s="8" t="s">
        <v>11080</v>
      </c>
      <c r="F143" s="8"/>
      <c r="H143" s="8"/>
      <c r="I143" s="8" t="s">
        <v>17258</v>
      </c>
      <c r="J143" s="8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8" t="s">
        <v>1607</v>
      </c>
      <c r="E144" s="8" t="s">
        <v>11080</v>
      </c>
      <c r="F144" s="8"/>
      <c r="H144" s="8"/>
      <c r="I144" s="8" t="s">
        <v>17261</v>
      </c>
      <c r="J144" s="8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8" t="s">
        <v>4</v>
      </c>
      <c r="E145" s="8" t="s">
        <v>11080</v>
      </c>
      <c r="F145" s="8"/>
      <c r="H145" s="8"/>
      <c r="I145" s="8" t="s">
        <v>17264</v>
      </c>
      <c r="J145" s="8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8" t="s">
        <v>4</v>
      </c>
      <c r="E146" s="8" t="s">
        <v>1274</v>
      </c>
      <c r="F146" s="8"/>
      <c r="H146" s="8"/>
      <c r="I146" s="8" t="s">
        <v>17267</v>
      </c>
      <c r="J146" s="8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8" t="s">
        <v>16689</v>
      </c>
      <c r="E147" s="8" t="s">
        <v>1274</v>
      </c>
      <c r="F147" s="8"/>
      <c r="H147" s="8"/>
      <c r="I147" s="8" t="s">
        <v>17270</v>
      </c>
      <c r="J147" s="8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8" t="s">
        <v>16689</v>
      </c>
      <c r="E148" s="8" t="s">
        <v>1274</v>
      </c>
      <c r="F148" s="8"/>
      <c r="H148" s="8"/>
      <c r="I148" s="8" t="s">
        <v>17273</v>
      </c>
      <c r="J148" s="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8" t="s">
        <v>16689</v>
      </c>
      <c r="E149" s="8" t="s">
        <v>1274</v>
      </c>
      <c r="F149" s="8"/>
      <c r="H149" s="8"/>
      <c r="I149" s="8" t="s">
        <v>17276</v>
      </c>
      <c r="J149" s="8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8" t="s">
        <v>16689</v>
      </c>
      <c r="E150" s="8" t="s">
        <v>1274</v>
      </c>
      <c r="F150" s="8"/>
      <c r="H150" s="8"/>
      <c r="I150" s="8" t="s">
        <v>17279</v>
      </c>
      <c r="J150" s="8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8" t="s">
        <v>16689</v>
      </c>
      <c r="E151" s="8" t="s">
        <v>1274</v>
      </c>
      <c r="F151" s="8"/>
      <c r="H151" s="8"/>
      <c r="I151" s="8" t="s">
        <v>17282</v>
      </c>
      <c r="J151" s="8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8" t="s">
        <v>16689</v>
      </c>
      <c r="E152" s="8" t="s">
        <v>1274</v>
      </c>
      <c r="F152" s="8"/>
      <c r="H152" s="8"/>
      <c r="I152" s="8" t="s">
        <v>17285</v>
      </c>
      <c r="J152" s="8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8" t="s">
        <v>16689</v>
      </c>
      <c r="E153" s="8" t="s">
        <v>1274</v>
      </c>
      <c r="F153" s="8"/>
      <c r="H153" s="8"/>
      <c r="I153" s="8" t="s">
        <v>17288</v>
      </c>
      <c r="J153" s="8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8" t="s">
        <v>16689</v>
      </c>
      <c r="E154" s="8" t="s">
        <v>1274</v>
      </c>
      <c r="F154" s="8"/>
      <c r="H154" s="8"/>
      <c r="I154" s="8" t="s">
        <v>17291</v>
      </c>
      <c r="J154" s="8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8" t="s">
        <v>16689</v>
      </c>
      <c r="E155" s="8" t="s">
        <v>1274</v>
      </c>
      <c r="F155" s="8"/>
      <c r="H155" s="8"/>
      <c r="I155" s="8" t="s">
        <v>17294</v>
      </c>
      <c r="J155" s="8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8" t="s">
        <v>16689</v>
      </c>
      <c r="E156" s="8" t="s">
        <v>1274</v>
      </c>
      <c r="F156" s="8"/>
      <c r="H156" s="8"/>
      <c r="I156" s="8" t="s">
        <v>17297</v>
      </c>
      <c r="J156" s="8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8" t="s">
        <v>16689</v>
      </c>
      <c r="E157" s="8" t="s">
        <v>1274</v>
      </c>
      <c r="F157" s="8"/>
      <c r="H157" s="8"/>
      <c r="I157" s="8" t="s">
        <v>17300</v>
      </c>
      <c r="J157" s="8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8" t="s">
        <v>16689</v>
      </c>
      <c r="E158" s="8" t="s">
        <v>1274</v>
      </c>
      <c r="F158" s="8"/>
      <c r="H158" s="8"/>
      <c r="I158" s="8" t="s">
        <v>17303</v>
      </c>
      <c r="J158" s="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8" t="s">
        <v>16689</v>
      </c>
      <c r="E159" s="8" t="s">
        <v>1274</v>
      </c>
      <c r="F159" s="8"/>
      <c r="H159" s="8"/>
      <c r="I159" s="8" t="s">
        <v>17306</v>
      </c>
      <c r="J159" s="8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8" t="s">
        <v>4</v>
      </c>
      <c r="E160" s="8" t="s">
        <v>11080</v>
      </c>
      <c r="F160" s="8"/>
      <c r="H160" s="8"/>
      <c r="I160" s="8" t="s">
        <v>17309</v>
      </c>
      <c r="J160" s="8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8" t="s">
        <v>1607</v>
      </c>
      <c r="E161" s="8" t="s">
        <v>11080</v>
      </c>
      <c r="F161" s="8"/>
      <c r="H161" s="8"/>
      <c r="I161" s="8" t="s">
        <v>17312</v>
      </c>
      <c r="J161" s="8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</sheetData>
  <conditionalFormatting sqref="D162:D172 E162:E175 D2:E161 G2:H161">
    <cfRule type="containsText" dxfId="678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677" priority="13" operator="notContains" text="порожний">
      <formula>ISERROR(SEARCH("порожний",F2))</formula>
    </cfRule>
  </conditionalFormatting>
  <conditionalFormatting sqref="E2:E175">
    <cfRule type="containsText" dxfId="676" priority="11" operator="containsText" text="Газель базы">
      <formula>NOT(ISERROR(SEARCH("Газель базы",E2)))</formula>
    </cfRule>
    <cfRule type="containsText" dxfId="675" priority="12" operator="containsText" text="Погрузчик базы">
      <formula>NOT(ISERROR(SEARCH("Погрузчик базы",E2)))</formula>
    </cfRule>
  </conditionalFormatting>
  <conditionalFormatting sqref="E2:E175">
    <cfRule type="containsText" dxfId="674" priority="10" operator="containsText" text="Трактор базы">
      <formula>NOT(ISERROR(SEARCH("Трактор базы",E2)))</formula>
    </cfRule>
  </conditionalFormatting>
  <conditionalFormatting sqref="A2:C161">
    <cfRule type="expression" dxfId="673" priority="9">
      <formula>$A2="пн"</formula>
    </cfRule>
  </conditionalFormatting>
  <conditionalFormatting sqref="A2:C163">
    <cfRule type="expression" dxfId="672" priority="3">
      <formula>$A2="вс"</formula>
    </cfRule>
    <cfRule type="expression" dxfId="671" priority="4">
      <formula>$A2="сб"</formula>
    </cfRule>
    <cfRule type="expression" dxfId="670" priority="5">
      <formula>$A2="пт"</formula>
    </cfRule>
    <cfRule type="expression" dxfId="669" priority="6">
      <formula>$A2="чт"</formula>
    </cfRule>
    <cfRule type="expression" dxfId="668" priority="7">
      <formula>$A2="ср"</formula>
    </cfRule>
    <cfRule type="expression" dxfId="667" priority="8">
      <formula>$A2="вт"</formula>
    </cfRule>
  </conditionalFormatting>
  <conditionalFormatting sqref="D2:D172">
    <cfRule type="containsText" dxfId="6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6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76"/>
  <sheetViews>
    <sheetView zoomScale="90" zoomScaleNormal="90" workbookViewId="0">
      <pane ySplit="1" topLeftCell="A53" activePane="bottomLeft" state="frozen"/>
      <selection pane="bottomLeft" activeCell="I44" sqref="I44:I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36.710937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11083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13900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11084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13653</v>
      </c>
      <c r="J9" s="8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</v>
      </c>
      <c r="F10" s="8"/>
      <c r="H10" s="8"/>
      <c r="I10" s="8" t="s">
        <v>13656</v>
      </c>
      <c r="J10" s="8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</v>
      </c>
      <c r="F11" s="8"/>
      <c r="H11" s="8"/>
      <c r="I11" s="8" t="s">
        <v>13659</v>
      </c>
      <c r="J11" s="8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</v>
      </c>
      <c r="F12" s="8"/>
      <c r="H12" s="8"/>
      <c r="I12" s="8" t="s">
        <v>13662</v>
      </c>
      <c r="J12" s="8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</v>
      </c>
      <c r="F13" s="8"/>
      <c r="H13" s="8"/>
      <c r="I13" s="8" t="s">
        <v>13665</v>
      </c>
      <c r="J13" s="8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</v>
      </c>
      <c r="F14" s="8"/>
      <c r="H14" s="8"/>
      <c r="I14" s="8" t="s">
        <v>13668</v>
      </c>
      <c r="J14" s="8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</v>
      </c>
      <c r="F15" s="8"/>
      <c r="H15" s="8"/>
      <c r="I15" s="8" t="s">
        <v>13671</v>
      </c>
      <c r="J15" s="8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13900</v>
      </c>
      <c r="E16" s="8" t="s">
        <v>8</v>
      </c>
      <c r="F16" s="8"/>
      <c r="H16" s="8"/>
      <c r="I16" s="8" t="s">
        <v>13674</v>
      </c>
      <c r="J16" s="8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11084</v>
      </c>
      <c r="E17" s="8" t="s">
        <v>8</v>
      </c>
      <c r="F17" s="8"/>
      <c r="H17" s="8"/>
      <c r="I17" s="8" t="s">
        <v>13677</v>
      </c>
      <c r="J17" s="8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</v>
      </c>
      <c r="F18" s="8"/>
      <c r="H18" s="8"/>
      <c r="I18" s="8" t="s">
        <v>13680</v>
      </c>
      <c r="J18" s="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</v>
      </c>
      <c r="F19" s="8"/>
      <c r="H19" s="8"/>
      <c r="I19" s="8" t="s">
        <v>13683</v>
      </c>
      <c r="J19" s="8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8</v>
      </c>
      <c r="F20" s="8"/>
      <c r="H20" s="8"/>
      <c r="I20" s="8" t="s">
        <v>13686</v>
      </c>
      <c r="J20" s="8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8</v>
      </c>
      <c r="F21" s="8"/>
      <c r="H21" s="8" t="s">
        <v>2352</v>
      </c>
      <c r="I21" s="8" t="s">
        <v>13689</v>
      </c>
      <c r="J21" s="8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13901</v>
      </c>
      <c r="E22" s="8" t="s">
        <v>8</v>
      </c>
      <c r="F22" s="8"/>
      <c r="H22" s="8"/>
      <c r="I22" s="8" t="s">
        <v>13692</v>
      </c>
      <c r="J22" s="8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</v>
      </c>
      <c r="F23" s="8"/>
      <c r="H23" s="8"/>
      <c r="I23" s="8" t="s">
        <v>13695</v>
      </c>
      <c r="J23" s="8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</v>
      </c>
      <c r="F24" s="8"/>
      <c r="H24" s="8"/>
      <c r="I24" s="8" t="s">
        <v>13698</v>
      </c>
      <c r="J24" s="8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13902</v>
      </c>
      <c r="E25" s="8" t="s">
        <v>8</v>
      </c>
      <c r="F25" s="8"/>
      <c r="H25" s="8"/>
      <c r="I25" s="8" t="s">
        <v>13701</v>
      </c>
      <c r="J25" s="8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13704</v>
      </c>
      <c r="J26" s="8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8</v>
      </c>
      <c r="F27" s="8"/>
      <c r="H27" s="8"/>
      <c r="I27" s="8" t="s">
        <v>13707</v>
      </c>
      <c r="J27" s="8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13903</v>
      </c>
      <c r="E28" s="8" t="s">
        <v>8</v>
      </c>
      <c r="F28" s="8" t="s">
        <v>1288</v>
      </c>
      <c r="H28" s="8"/>
      <c r="I28" s="8" t="s">
        <v>13710</v>
      </c>
      <c r="J28" s="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13903</v>
      </c>
      <c r="E29" s="8" t="s">
        <v>8</v>
      </c>
      <c r="F29" s="8" t="s">
        <v>1288</v>
      </c>
      <c r="G29" s="7">
        <v>1</v>
      </c>
      <c r="H29" s="8" t="s">
        <v>2352</v>
      </c>
      <c r="I29" s="8" t="s">
        <v>13713</v>
      </c>
      <c r="J29" s="8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8</v>
      </c>
      <c r="F30" s="8"/>
      <c r="H30" s="8"/>
      <c r="I30" s="8" t="s">
        <v>13716</v>
      </c>
      <c r="J30" s="8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13903</v>
      </c>
      <c r="E31" s="8" t="s">
        <v>8</v>
      </c>
      <c r="F31" s="8" t="s">
        <v>10243</v>
      </c>
      <c r="G31" s="7">
        <v>1</v>
      </c>
      <c r="H31" s="8"/>
      <c r="I31" s="8" t="s">
        <v>13719</v>
      </c>
      <c r="J31" s="8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13903</v>
      </c>
      <c r="E32" s="8" t="s">
        <v>8</v>
      </c>
      <c r="F32" s="8" t="s">
        <v>10243</v>
      </c>
      <c r="G32" s="7">
        <v>1</v>
      </c>
      <c r="H32" s="8"/>
      <c r="I32" s="8" t="s">
        <v>13723</v>
      </c>
      <c r="J32" s="8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13903</v>
      </c>
      <c r="E33" s="8" t="s">
        <v>8</v>
      </c>
      <c r="F33" s="8" t="s">
        <v>10243</v>
      </c>
      <c r="G33" s="7">
        <v>1</v>
      </c>
      <c r="H33" s="8"/>
      <c r="I33" s="8" t="s">
        <v>13726</v>
      </c>
      <c r="J33" s="8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13903</v>
      </c>
      <c r="E34" s="8" t="s">
        <v>8</v>
      </c>
      <c r="F34" s="8" t="s">
        <v>10243</v>
      </c>
      <c r="G34" s="7">
        <v>1</v>
      </c>
      <c r="H34" s="8"/>
      <c r="I34" s="8" t="s">
        <v>13729</v>
      </c>
      <c r="J34" s="8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8</v>
      </c>
      <c r="F35" s="8"/>
      <c r="H35" s="8"/>
      <c r="I35" s="8" t="s">
        <v>13732</v>
      </c>
      <c r="J35" s="8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13903</v>
      </c>
      <c r="E36" s="8" t="s">
        <v>8</v>
      </c>
      <c r="F36" s="8" t="s">
        <v>13904</v>
      </c>
      <c r="H36" s="8"/>
      <c r="I36" s="8" t="s">
        <v>13735</v>
      </c>
      <c r="J36" s="8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13903</v>
      </c>
      <c r="E37" s="8" t="s">
        <v>8</v>
      </c>
      <c r="F37" s="8" t="s">
        <v>13904</v>
      </c>
      <c r="H37" s="8"/>
      <c r="I37" s="8" t="s">
        <v>13738</v>
      </c>
      <c r="J37" s="8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8</v>
      </c>
      <c r="F38" s="8"/>
      <c r="H38" s="8" t="s">
        <v>13905</v>
      </c>
      <c r="I38" s="8" t="s">
        <v>13741</v>
      </c>
      <c r="J38" s="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13744</v>
      </c>
      <c r="J39" s="8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</v>
      </c>
      <c r="F40" s="8"/>
      <c r="H40" s="8"/>
      <c r="I40" s="8" t="s">
        <v>13747</v>
      </c>
      <c r="J40" s="8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13750</v>
      </c>
      <c r="J41" s="8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14038</v>
      </c>
      <c r="J42" s="8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14041</v>
      </c>
      <c r="J43" s="8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8" t="s">
        <v>4</v>
      </c>
      <c r="E44" s="8" t="s">
        <v>8</v>
      </c>
      <c r="F44" s="8"/>
      <c r="H44" s="8"/>
      <c r="I44" s="8" t="s">
        <v>14912</v>
      </c>
      <c r="J44" s="8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8" t="s">
        <v>4</v>
      </c>
      <c r="E45" s="8" t="s">
        <v>11066</v>
      </c>
      <c r="F45" s="8"/>
      <c r="H45" s="8"/>
      <c r="I45" s="8" t="s">
        <v>14915</v>
      </c>
      <c r="J45" s="8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8" t="s">
        <v>4</v>
      </c>
      <c r="E46" s="8" t="s">
        <v>8</v>
      </c>
      <c r="F46" s="8"/>
      <c r="H46" s="8"/>
      <c r="I46" s="8" t="s">
        <v>14918</v>
      </c>
      <c r="J46" s="8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8" t="s">
        <v>12</v>
      </c>
      <c r="E47" s="8"/>
      <c r="F47" s="8"/>
      <c r="H47" s="8"/>
      <c r="I47" s="8" t="s">
        <v>14921</v>
      </c>
      <c r="J47" s="8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8" t="s">
        <v>12</v>
      </c>
      <c r="E48" s="8"/>
      <c r="F48" s="8"/>
      <c r="H48" s="8"/>
      <c r="I48" s="8" t="s">
        <v>14924</v>
      </c>
      <c r="J48" s="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8" t="s">
        <v>137</v>
      </c>
      <c r="E49" s="8" t="s">
        <v>11070</v>
      </c>
      <c r="F49" s="8"/>
      <c r="H49" s="8"/>
      <c r="I49" s="8" t="s">
        <v>14927</v>
      </c>
      <c r="J49" s="8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8" t="s">
        <v>12</v>
      </c>
      <c r="E50" s="8"/>
      <c r="F50" s="8"/>
      <c r="H50" s="8"/>
      <c r="I50" s="8" t="s">
        <v>14930</v>
      </c>
      <c r="J50" s="8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8" t="s">
        <v>4</v>
      </c>
      <c r="E51" s="8" t="s">
        <v>8</v>
      </c>
      <c r="F51" s="8"/>
      <c r="H51" s="8"/>
      <c r="I51" s="8" t="s">
        <v>14933</v>
      </c>
      <c r="J51" s="8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8" t="s">
        <v>166</v>
      </c>
      <c r="E52" s="8" t="s">
        <v>9597</v>
      </c>
      <c r="F52" s="8"/>
      <c r="H52" s="8"/>
      <c r="I52" s="8" t="s">
        <v>14936</v>
      </c>
      <c r="J52" s="8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8" t="s">
        <v>12</v>
      </c>
      <c r="E53" s="8"/>
      <c r="F53" s="8"/>
      <c r="H53" s="8"/>
      <c r="I53" s="8" t="s">
        <v>16630</v>
      </c>
      <c r="J53" s="8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8" t="s">
        <v>12</v>
      </c>
      <c r="E54" s="8"/>
      <c r="F54" s="8"/>
      <c r="H54" s="8"/>
      <c r="I54" s="8" t="s">
        <v>14939</v>
      </c>
      <c r="J54" s="8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8" t="s">
        <v>4</v>
      </c>
      <c r="E55" s="8" t="s">
        <v>8</v>
      </c>
      <c r="F55" s="8"/>
      <c r="H55" s="8"/>
      <c r="I55" s="8" t="s">
        <v>14942</v>
      </c>
      <c r="J55" s="8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8" t="s">
        <v>4</v>
      </c>
      <c r="E56" s="8" t="s">
        <v>8</v>
      </c>
      <c r="F56" s="8"/>
      <c r="H56" s="8"/>
      <c r="I56" s="8" t="s">
        <v>16633</v>
      </c>
      <c r="J56" s="8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8" t="s">
        <v>12</v>
      </c>
      <c r="E57" s="8"/>
      <c r="F57" s="8"/>
      <c r="H57" s="8"/>
      <c r="I57" s="8" t="s">
        <v>16636</v>
      </c>
      <c r="J57" s="8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8" t="s">
        <v>588</v>
      </c>
      <c r="E58" s="8" t="s">
        <v>86</v>
      </c>
      <c r="F58" s="8"/>
      <c r="H58" s="8"/>
      <c r="I58" s="8" t="s">
        <v>16639</v>
      </c>
      <c r="J58" s="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8" t="s">
        <v>588</v>
      </c>
      <c r="E59" s="8" t="s">
        <v>86</v>
      </c>
      <c r="F59" s="8"/>
      <c r="H59" s="8"/>
      <c r="I59" s="8" t="s">
        <v>16642</v>
      </c>
      <c r="J59" s="8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8" t="s">
        <v>4</v>
      </c>
      <c r="E60" s="8" t="s">
        <v>8</v>
      </c>
      <c r="F60" s="8"/>
      <c r="H60" s="8"/>
      <c r="I60" s="8" t="s">
        <v>16645</v>
      </c>
      <c r="J60" s="8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8" t="s">
        <v>4</v>
      </c>
      <c r="E61" s="8" t="s">
        <v>8</v>
      </c>
      <c r="F61" s="8"/>
      <c r="H61" s="8"/>
      <c r="I61" s="8" t="s">
        <v>16648</v>
      </c>
      <c r="J61" s="8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8" t="s">
        <v>4</v>
      </c>
      <c r="E62" s="8" t="s">
        <v>8</v>
      </c>
      <c r="F62" s="8"/>
      <c r="H62" s="8"/>
      <c r="I62" s="8" t="s">
        <v>17315</v>
      </c>
      <c r="J62" s="8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8" t="s">
        <v>16677</v>
      </c>
      <c r="E63" s="8" t="s">
        <v>86</v>
      </c>
      <c r="F63" s="8"/>
      <c r="H63" s="8"/>
      <c r="I63" s="8" t="s">
        <v>17318</v>
      </c>
      <c r="J63" s="8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8" t="s">
        <v>1273</v>
      </c>
      <c r="E64" s="8" t="s">
        <v>11066</v>
      </c>
      <c r="F64" s="8"/>
      <c r="H64" s="8"/>
      <c r="I64" s="8" t="s">
        <v>17321</v>
      </c>
      <c r="J64" s="8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8" t="s">
        <v>17489</v>
      </c>
      <c r="E65" s="8" t="s">
        <v>11066</v>
      </c>
      <c r="F65" s="8"/>
      <c r="H65" s="8"/>
      <c r="I65" s="8" t="s">
        <v>17324</v>
      </c>
      <c r="J65" s="8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8" t="s">
        <v>587</v>
      </c>
      <c r="E66" s="8" t="s">
        <v>11066</v>
      </c>
      <c r="F66" s="8" t="s">
        <v>17488</v>
      </c>
      <c r="H66" s="8"/>
      <c r="I66" s="8" t="s">
        <v>17327</v>
      </c>
      <c r="J66" s="8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8" t="s">
        <v>166</v>
      </c>
      <c r="E67" s="8" t="s">
        <v>16661</v>
      </c>
      <c r="F67" s="8" t="s">
        <v>16657</v>
      </c>
      <c r="H67" s="8"/>
      <c r="I67" s="8" t="s">
        <v>17330</v>
      </c>
      <c r="J67" s="8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8" t="s">
        <v>4</v>
      </c>
      <c r="E68" s="8" t="s">
        <v>8</v>
      </c>
      <c r="F68" s="8"/>
      <c r="H68" s="8"/>
      <c r="I68" s="8" t="s">
        <v>17332</v>
      </c>
      <c r="J68" s="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8" t="s">
        <v>17490</v>
      </c>
      <c r="E69" s="8" t="s">
        <v>1274</v>
      </c>
      <c r="F69" s="8"/>
      <c r="H69" s="8"/>
      <c r="I69" s="8" t="s">
        <v>17335</v>
      </c>
      <c r="J69" s="8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8" t="s">
        <v>17490</v>
      </c>
      <c r="E70" s="8" t="s">
        <v>468</v>
      </c>
      <c r="F70" s="8"/>
      <c r="H70" s="8"/>
      <c r="I70" s="8" t="s">
        <v>17338</v>
      </c>
      <c r="J70" s="8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8" t="s">
        <v>4</v>
      </c>
      <c r="E71" s="8" t="s">
        <v>8</v>
      </c>
      <c r="F71" s="8"/>
      <c r="H71" s="8"/>
      <c r="I71" s="8" t="s">
        <v>17341</v>
      </c>
      <c r="J71" s="8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8" t="s">
        <v>1607</v>
      </c>
      <c r="E72" s="8" t="s">
        <v>8</v>
      </c>
      <c r="F72" s="8"/>
      <c r="H72" s="8"/>
      <c r="I72" s="8" t="s">
        <v>17344</v>
      </c>
      <c r="J72" s="8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8" t="s">
        <v>4</v>
      </c>
      <c r="E73" s="8" t="s">
        <v>8</v>
      </c>
      <c r="F73" s="8"/>
      <c r="H73" s="8"/>
      <c r="I73" s="8" t="s">
        <v>17347</v>
      </c>
      <c r="J73" s="8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8" t="s">
        <v>1607</v>
      </c>
      <c r="E74" s="8" t="s">
        <v>8</v>
      </c>
      <c r="F74" s="8"/>
      <c r="H74" s="8"/>
      <c r="I74" s="8" t="s">
        <v>17350</v>
      </c>
      <c r="J74" s="8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8" t="s">
        <v>4</v>
      </c>
      <c r="E75" s="8" t="s">
        <v>8</v>
      </c>
      <c r="F75" s="8"/>
      <c r="H75" s="8"/>
      <c r="I75" s="8" t="s">
        <v>17353</v>
      </c>
      <c r="J75" s="8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8" t="s">
        <v>1607</v>
      </c>
      <c r="E76" s="8" t="s">
        <v>8</v>
      </c>
      <c r="F76" s="8"/>
      <c r="H76" s="8"/>
      <c r="I76" s="8" t="s">
        <v>17356</v>
      </c>
      <c r="J76" s="8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</sheetData>
  <conditionalFormatting sqref="D77:D87 E77:E90 D2:E76 G2:H76">
    <cfRule type="containsText" dxfId="664" priority="14" operator="containsText" text="Выезд с территории">
      <formula>NOT(ISERROR(SEARCH("Выезд с территории",D2)))</formula>
    </cfRule>
  </conditionalFormatting>
  <conditionalFormatting sqref="F2:F76">
    <cfRule type="notContainsText" dxfId="663" priority="13" operator="notContains" text="порожний">
      <formula>ISERROR(SEARCH("порожний",F2))</formula>
    </cfRule>
  </conditionalFormatting>
  <conditionalFormatting sqref="E2:E90">
    <cfRule type="containsText" dxfId="662" priority="11" operator="containsText" text="Газель базы">
      <formula>NOT(ISERROR(SEARCH("Газель базы",E2)))</formula>
    </cfRule>
    <cfRule type="containsText" dxfId="661" priority="12" operator="containsText" text="Погрузчик базы">
      <formula>NOT(ISERROR(SEARCH("Погрузчик базы",E2)))</formula>
    </cfRule>
  </conditionalFormatting>
  <conditionalFormatting sqref="E2:E90">
    <cfRule type="containsText" dxfId="660" priority="10" operator="containsText" text="Трактор базы">
      <formula>NOT(ISERROR(SEARCH("Трактор базы",E2)))</formula>
    </cfRule>
  </conditionalFormatting>
  <conditionalFormatting sqref="A2:C76">
    <cfRule type="expression" dxfId="659" priority="9">
      <formula>$A2="пн"</formula>
    </cfRule>
  </conditionalFormatting>
  <conditionalFormatting sqref="A2:C78">
    <cfRule type="expression" dxfId="658" priority="3">
      <formula>$A2="вс"</formula>
    </cfRule>
    <cfRule type="expression" dxfId="657" priority="4">
      <formula>$A2="сб"</formula>
    </cfRule>
    <cfRule type="expression" dxfId="656" priority="5">
      <formula>$A2="пт"</formula>
    </cfRule>
    <cfRule type="expression" dxfId="655" priority="6">
      <formula>$A2="чт"</formula>
    </cfRule>
    <cfRule type="expression" dxfId="654" priority="7">
      <formula>$A2="ср"</formula>
    </cfRule>
    <cfRule type="expression" dxfId="653" priority="8">
      <formula>$A2="вт"</formula>
    </cfRule>
  </conditionalFormatting>
  <conditionalFormatting sqref="D2:D87">
    <cfRule type="containsText" dxfId="6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7">
    <cfRule type="containsText" dxfId="6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5180"/>
  <sheetViews>
    <sheetView topLeftCell="A5160" zoomScale="90" zoomScaleNormal="90" workbookViewId="0">
      <selection activeCell="B5183" sqref="B518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8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s="8" t="s">
        <v>16710</v>
      </c>
      <c r="G4901" t="s">
        <v>91</v>
      </c>
    </row>
    <row r="4902" spans="1:7" hidden="1" x14ac:dyDescent="0.25">
      <c r="A4902" t="s">
        <v>16184</v>
      </c>
      <c r="F4902" s="8" t="s">
        <v>16713</v>
      </c>
      <c r="G4902" t="s">
        <v>91</v>
      </c>
    </row>
    <row r="4903" spans="1:7" hidden="1" x14ac:dyDescent="0.25">
      <c r="A4903" t="s">
        <v>16184</v>
      </c>
      <c r="F4903" s="8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s="8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s="8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s="8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s="8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s="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s="8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s="8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s="8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s="8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s="8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s="8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s="8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s="8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s="8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s="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s="8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s="8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s="8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s="8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s="8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s="8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s="8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s="8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s="8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s="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s="8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s="8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s="8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s="8" t="s">
        <v>16782</v>
      </c>
      <c r="G4932" t="s">
        <v>896</v>
      </c>
    </row>
    <row r="4933" spans="1:7" hidden="1" x14ac:dyDescent="0.25">
      <c r="A4933" t="s">
        <v>7</v>
      </c>
      <c r="F4933" s="8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s="8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s="8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s="8" t="s">
        <v>16794</v>
      </c>
      <c r="G4936" t="s">
        <v>896</v>
      </c>
    </row>
    <row r="4937" spans="1:7" hidden="1" x14ac:dyDescent="0.25">
      <c r="A4937" t="s">
        <v>7</v>
      </c>
      <c r="F4937" s="8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s="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s="8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s="8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s="8" t="s">
        <v>17359</v>
      </c>
      <c r="G4941" t="s">
        <v>897</v>
      </c>
    </row>
    <row r="4942" spans="1:7" hidden="1" x14ac:dyDescent="0.25">
      <c r="A4942" t="s">
        <v>11</v>
      </c>
      <c r="F4942" s="8" t="s">
        <v>17362</v>
      </c>
      <c r="G4942" t="s">
        <v>897</v>
      </c>
    </row>
    <row r="4943" spans="1:7" hidden="1" x14ac:dyDescent="0.25">
      <c r="A4943" t="s">
        <v>11</v>
      </c>
      <c r="F4943" s="8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s="8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s="8" t="s">
        <v>17371</v>
      </c>
      <c r="G4945" t="s">
        <v>897</v>
      </c>
    </row>
    <row r="4946" spans="1:7" hidden="1" x14ac:dyDescent="0.25">
      <c r="A4946" t="s">
        <v>11</v>
      </c>
      <c r="F4946" s="8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s="8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s="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s="8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s="8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s="8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s="8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s="8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s="8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s="8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s="8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s="8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s="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s="8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s="8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s="8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s="8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s="8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s="8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s="8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s="8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s="8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s="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s="8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s="8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s="8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s="8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s="8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s="8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s="8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s="8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s="8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s="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s="8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s="8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s="8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s="8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s="8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s="8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s="8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s="8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s="8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s="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s="8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s="8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s="8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s="8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s="8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s="8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s="8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s="8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s="8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s="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s="8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s="8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s="8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s="8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s="8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s="8" t="s">
        <v>17449</v>
      </c>
      <c r="G5004" t="s">
        <v>1537</v>
      </c>
    </row>
    <row r="5005" spans="1:7" hidden="1" x14ac:dyDescent="0.25">
      <c r="A5005" t="s">
        <v>10020</v>
      </c>
      <c r="F5005" s="8" t="s">
        <v>17452</v>
      </c>
      <c r="G5005" t="s">
        <v>1537</v>
      </c>
    </row>
    <row r="5006" spans="1:7" hidden="1" x14ac:dyDescent="0.25">
      <c r="A5006" t="s">
        <v>10020</v>
      </c>
      <c r="F5006" s="8" t="s">
        <v>17455</v>
      </c>
      <c r="G5006" t="s">
        <v>1537</v>
      </c>
    </row>
    <row r="5007" spans="1:7" hidden="1" x14ac:dyDescent="0.25">
      <c r="A5007" t="s">
        <v>10020</v>
      </c>
      <c r="F5007" s="8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s="8" t="s">
        <v>17461</v>
      </c>
      <c r="G5008" t="s">
        <v>1537</v>
      </c>
    </row>
    <row r="5009" spans="1:7" hidden="1" x14ac:dyDescent="0.25">
      <c r="A5009" t="s">
        <v>7</v>
      </c>
      <c r="F5009" s="8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s="8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s="8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s="8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s="8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s="8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s="8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s="8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s="8" t="s">
        <v>16890</v>
      </c>
      <c r="G5017" t="s">
        <v>1600</v>
      </c>
    </row>
    <row r="5018" spans="1:7" hidden="1" x14ac:dyDescent="0.25">
      <c r="A5018" t="s">
        <v>10020</v>
      </c>
      <c r="F5018" s="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s="8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s="8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s="8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s="8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s="8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s="8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s="8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s="8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s="8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s="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s="8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s="8" t="s">
        <v>16971</v>
      </c>
      <c r="G5030" t="s">
        <v>10022</v>
      </c>
    </row>
    <row r="5031" spans="1:7" hidden="1" x14ac:dyDescent="0.25">
      <c r="A5031" t="s">
        <v>10020</v>
      </c>
      <c r="F5031" s="8" t="s">
        <v>16974</v>
      </c>
      <c r="G5031" t="s">
        <v>10022</v>
      </c>
    </row>
    <row r="5032" spans="1:7" hidden="1" x14ac:dyDescent="0.25">
      <c r="A5032" t="s">
        <v>10020</v>
      </c>
      <c r="F5032" s="8" t="s">
        <v>16977</v>
      </c>
      <c r="G5032" t="s">
        <v>10022</v>
      </c>
    </row>
    <row r="5033" spans="1:7" hidden="1" x14ac:dyDescent="0.25">
      <c r="A5033" t="s">
        <v>10020</v>
      </c>
      <c r="F5033" s="8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s="8" t="s">
        <v>16983</v>
      </c>
      <c r="G5034" t="s">
        <v>10022</v>
      </c>
    </row>
    <row r="5035" spans="1:7" hidden="1" x14ac:dyDescent="0.25">
      <c r="A5035" t="s">
        <v>10020</v>
      </c>
      <c r="F5035" s="8" t="s">
        <v>16986</v>
      </c>
      <c r="G5035" t="s">
        <v>10022</v>
      </c>
    </row>
    <row r="5036" spans="1:7" hidden="1" x14ac:dyDescent="0.25">
      <c r="A5036" t="s">
        <v>10020</v>
      </c>
      <c r="F5036" s="8" t="s">
        <v>16989</v>
      </c>
      <c r="G5036" t="s">
        <v>10022</v>
      </c>
    </row>
    <row r="5037" spans="1:7" hidden="1" x14ac:dyDescent="0.25">
      <c r="A5037" t="s">
        <v>10020</v>
      </c>
      <c r="F5037" s="8" t="s">
        <v>16992</v>
      </c>
      <c r="G5037" t="s">
        <v>10022</v>
      </c>
    </row>
    <row r="5038" spans="1:7" hidden="1" x14ac:dyDescent="0.25">
      <c r="A5038" t="s">
        <v>10020</v>
      </c>
      <c r="F5038" s="8" t="s">
        <v>16995</v>
      </c>
      <c r="G5038" t="s">
        <v>10022</v>
      </c>
    </row>
    <row r="5039" spans="1:7" hidden="1" x14ac:dyDescent="0.25">
      <c r="A5039" t="s">
        <v>10020</v>
      </c>
      <c r="F5039" s="8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s="8" t="s">
        <v>17001</v>
      </c>
      <c r="G5040" t="s">
        <v>10022</v>
      </c>
    </row>
    <row r="5041" spans="1:7" hidden="1" x14ac:dyDescent="0.25">
      <c r="A5041" t="s">
        <v>10020</v>
      </c>
      <c r="F5041" s="8" t="s">
        <v>17004</v>
      </c>
      <c r="G5041" t="s">
        <v>10022</v>
      </c>
    </row>
    <row r="5042" spans="1:7" hidden="1" x14ac:dyDescent="0.25">
      <c r="A5042" t="s">
        <v>10020</v>
      </c>
      <c r="F5042" s="8" t="s">
        <v>17007</v>
      </c>
      <c r="G5042" t="s">
        <v>10022</v>
      </c>
    </row>
    <row r="5043" spans="1:7" hidden="1" x14ac:dyDescent="0.25">
      <c r="A5043" t="s">
        <v>10020</v>
      </c>
      <c r="F5043" s="8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s="8" t="s">
        <v>17013</v>
      </c>
      <c r="G5044" t="s">
        <v>10022</v>
      </c>
    </row>
    <row r="5045" spans="1:7" hidden="1" x14ac:dyDescent="0.25">
      <c r="A5045" t="s">
        <v>10020</v>
      </c>
      <c r="F5045" s="8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s="8" t="s">
        <v>17019</v>
      </c>
      <c r="G5046" t="s">
        <v>10022</v>
      </c>
    </row>
    <row r="5047" spans="1:7" hidden="1" x14ac:dyDescent="0.25">
      <c r="A5047" t="s">
        <v>10020</v>
      </c>
      <c r="F5047" s="8" t="s">
        <v>17022</v>
      </c>
      <c r="G5047" t="s">
        <v>10022</v>
      </c>
    </row>
    <row r="5048" spans="1:7" hidden="1" x14ac:dyDescent="0.25">
      <c r="A5048" t="s">
        <v>10020</v>
      </c>
      <c r="F5048" s="8" t="s">
        <v>17025</v>
      </c>
      <c r="G5048" t="s">
        <v>10022</v>
      </c>
    </row>
    <row r="5049" spans="1:7" hidden="1" x14ac:dyDescent="0.25">
      <c r="A5049" t="s">
        <v>10020</v>
      </c>
      <c r="F5049" s="8" t="s">
        <v>17028</v>
      </c>
      <c r="G5049" t="s">
        <v>10022</v>
      </c>
    </row>
    <row r="5050" spans="1:7" hidden="1" x14ac:dyDescent="0.25">
      <c r="A5050" t="s">
        <v>10020</v>
      </c>
      <c r="F5050" s="8" t="s">
        <v>17031</v>
      </c>
      <c r="G5050" t="s">
        <v>10022</v>
      </c>
    </row>
    <row r="5051" spans="1:7" hidden="1" x14ac:dyDescent="0.25">
      <c r="A5051" t="s">
        <v>10020</v>
      </c>
      <c r="F5051" s="8" t="s">
        <v>17034</v>
      </c>
      <c r="G5051" t="s">
        <v>10022</v>
      </c>
    </row>
    <row r="5052" spans="1:7" hidden="1" x14ac:dyDescent="0.25">
      <c r="A5052" t="s">
        <v>10020</v>
      </c>
      <c r="F5052" s="8" t="s">
        <v>17037</v>
      </c>
      <c r="G5052" t="s">
        <v>10022</v>
      </c>
    </row>
    <row r="5053" spans="1:7" hidden="1" x14ac:dyDescent="0.25">
      <c r="A5053" t="s">
        <v>10020</v>
      </c>
      <c r="F5053" s="8" t="s">
        <v>17040</v>
      </c>
      <c r="G5053" t="s">
        <v>10022</v>
      </c>
    </row>
    <row r="5054" spans="1:7" hidden="1" x14ac:dyDescent="0.25">
      <c r="A5054" t="s">
        <v>10020</v>
      </c>
      <c r="F5054" s="8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s="8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s="8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s="8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s="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s="8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s="8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s="8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s="8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s="8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s="8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s="8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s="8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s="8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s="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s="8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s="8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s="8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s="8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s="8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s="8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s="8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s="8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s="8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s="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s="8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s="8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s="8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s="8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s="8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s="8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s="8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s="8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s="8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s="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s="8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s="8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s="8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s="8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s="8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s="8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s="8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s="8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s="8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s="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s="8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s="8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s="8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s="8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s="8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s="8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s="8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s="8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s="8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s="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s="8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s="8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s="8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s="8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s="8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s="8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s="8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s="8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s="8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s="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s="8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s="8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s="8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s="8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s="8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s="8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s="8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s="8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s="8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s="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s="8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s="8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s="8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s="8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s="8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s="8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s="8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s="8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s="8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s="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s="8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s="8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s="8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s="8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s="8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s="8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s="8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s="8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s="8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s="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s="8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s="8" t="s">
        <v>14918</v>
      </c>
      <c r="G5150" t="s">
        <v>11082</v>
      </c>
    </row>
    <row r="5151" spans="1:7" x14ac:dyDescent="0.25">
      <c r="A5151" t="s">
        <v>12</v>
      </c>
      <c r="F5151" s="8" t="s">
        <v>14921</v>
      </c>
      <c r="G5151" t="s">
        <v>11082</v>
      </c>
    </row>
    <row r="5152" spans="1:7" x14ac:dyDescent="0.25">
      <c r="A5152" t="s">
        <v>12</v>
      </c>
      <c r="F5152" s="8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s="8" t="s">
        <v>14927</v>
      </c>
      <c r="G5153" t="s">
        <v>11082</v>
      </c>
    </row>
    <row r="5154" spans="1:7" x14ac:dyDescent="0.25">
      <c r="A5154" t="s">
        <v>12</v>
      </c>
      <c r="F5154" s="8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s="8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s="8" t="s">
        <v>14936</v>
      </c>
      <c r="G5156" t="s">
        <v>11082</v>
      </c>
    </row>
    <row r="5157" spans="1:7" x14ac:dyDescent="0.25">
      <c r="A5157" t="s">
        <v>12</v>
      </c>
      <c r="F5157" s="8" t="s">
        <v>16630</v>
      </c>
      <c r="G5157" t="s">
        <v>11082</v>
      </c>
    </row>
    <row r="5158" spans="1:7" x14ac:dyDescent="0.25">
      <c r="A5158" t="s">
        <v>12</v>
      </c>
      <c r="F5158" s="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s="8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s="8" t="s">
        <v>16633</v>
      </c>
      <c r="G5160" t="s">
        <v>11082</v>
      </c>
    </row>
    <row r="5161" spans="1:7" x14ac:dyDescent="0.25">
      <c r="A5161" t="s">
        <v>12</v>
      </c>
      <c r="F5161" s="8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s="8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s="8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s="8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s="8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s="8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s="8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s="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s="8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s="8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s="8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s="8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s="8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s="8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s="8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s="8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s="8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s="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s="8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s="8" t="s">
        <v>17356</v>
      </c>
      <c r="G5180" t="s">
        <v>11082</v>
      </c>
    </row>
  </sheetData>
  <phoneticPr fontId="2" type="noConversion"/>
  <conditionalFormatting sqref="C2:C11 C14 C16:C18 C23:C24">
    <cfRule type="notContainsText" dxfId="650" priority="631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49" priority="63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48" priority="629" operator="notContains" text="порожний">
      <formula>ISERROR(SEARCH("порожний",C12))</formula>
    </cfRule>
  </conditionalFormatting>
  <conditionalFormatting sqref="B12:B14">
    <cfRule type="containsText" dxfId="647" priority="628" operator="containsText" text="Выезд с территории">
      <formula>NOT(ISERROR(SEARCH("Выезд с территории",B12)))</formula>
    </cfRule>
  </conditionalFormatting>
  <conditionalFormatting sqref="C15">
    <cfRule type="notContainsText" dxfId="646" priority="627" operator="notContains" text="порожний">
      <formula>ISERROR(SEARCH("порожний",C15))</formula>
    </cfRule>
  </conditionalFormatting>
  <conditionalFormatting sqref="C19:C22">
    <cfRule type="notContainsText" dxfId="645" priority="626" operator="notContains" text="порожний">
      <formula>ISERROR(SEARCH("порожний",C19))</formula>
    </cfRule>
  </conditionalFormatting>
  <conditionalFormatting sqref="C25">
    <cfRule type="notContainsText" dxfId="644" priority="625" operator="notContains" text="порожний">
      <formula>ISERROR(SEARCH("порожний",C25))</formula>
    </cfRule>
  </conditionalFormatting>
  <conditionalFormatting sqref="C26:C27">
    <cfRule type="notContainsText" dxfId="643" priority="624" operator="notContains" text="порожний">
      <formula>ISERROR(SEARCH("порожний",C26))</formula>
    </cfRule>
  </conditionalFormatting>
  <conditionalFormatting sqref="C29">
    <cfRule type="notContainsText" dxfId="642" priority="623" operator="notContains" text="порожний">
      <formula>ISERROR(SEARCH("порожний",C29))</formula>
    </cfRule>
  </conditionalFormatting>
  <conditionalFormatting sqref="C39">
    <cfRule type="notContainsText" dxfId="641" priority="618" operator="notContains" text="порожний">
      <formula>ISERROR(SEARCH("порожний",C39))</formula>
    </cfRule>
  </conditionalFormatting>
  <conditionalFormatting sqref="C32">
    <cfRule type="notContainsText" dxfId="640" priority="622" operator="notContains" text="порожний">
      <formula>ISERROR(SEARCH("порожний",C32))</formula>
    </cfRule>
  </conditionalFormatting>
  <conditionalFormatting sqref="C34">
    <cfRule type="notContainsText" dxfId="639" priority="621" operator="notContains" text="порожний">
      <formula>ISERROR(SEARCH("порожний",C34))</formula>
    </cfRule>
  </conditionalFormatting>
  <conditionalFormatting sqref="C36">
    <cfRule type="notContainsText" dxfId="638" priority="620" operator="notContains" text="порожний">
      <formula>ISERROR(SEARCH("порожний",C36))</formula>
    </cfRule>
  </conditionalFormatting>
  <conditionalFormatting sqref="C38">
    <cfRule type="notContainsText" dxfId="637" priority="619" operator="notContains" text="порожний">
      <formula>ISERROR(SEARCH("порожний",C38))</formula>
    </cfRule>
  </conditionalFormatting>
  <conditionalFormatting sqref="E147">
    <cfRule type="containsText" dxfId="636" priority="61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35" priority="616" operator="notContains" text="порожний">
      <formula>ISERROR(SEARCH("порожний",C581))</formula>
    </cfRule>
  </conditionalFormatting>
  <conditionalFormatting sqref="C586">
    <cfRule type="notContainsText" dxfId="634" priority="615" operator="notContains" text="порожний">
      <formula>ISERROR(SEARCH("порожний",C586))</formula>
    </cfRule>
  </conditionalFormatting>
  <conditionalFormatting sqref="B609">
    <cfRule type="containsText" dxfId="633" priority="614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32" priority="612" operator="containsText" text="Газель базы">
      <formula>NOT(ISERROR(SEARCH("Газель базы",B609)))</formula>
    </cfRule>
    <cfRule type="containsText" dxfId="631" priority="613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30" priority="611" operator="containsText" text="Трактор базы">
      <formula>NOT(ISERROR(SEARCH("Трактор базы",B609)))</formula>
    </cfRule>
  </conditionalFormatting>
  <conditionalFormatting sqref="B614">
    <cfRule type="containsText" dxfId="629" priority="607" operator="containsText" text="Трактор базы">
      <formula>NOT(ISERROR(SEARCH("Трактор базы",B614)))</formula>
    </cfRule>
  </conditionalFormatting>
  <conditionalFormatting sqref="B614">
    <cfRule type="containsText" dxfId="628" priority="610" operator="containsText" text="Выезд с территории">
      <formula>NOT(ISERROR(SEARCH("Выезд с территории",B614)))</formula>
    </cfRule>
  </conditionalFormatting>
  <conditionalFormatting sqref="B614">
    <cfRule type="containsText" dxfId="627" priority="608" operator="containsText" text="Газель базы">
      <formula>NOT(ISERROR(SEARCH("Газель базы",B614)))</formula>
    </cfRule>
    <cfRule type="containsText" dxfId="626" priority="609" operator="containsText" text="Погрузчик базы">
      <formula>NOT(ISERROR(SEARCH("Погрузчик базы",B614)))</formula>
    </cfRule>
  </conditionalFormatting>
  <conditionalFormatting sqref="C649">
    <cfRule type="notContainsText" dxfId="625" priority="606" operator="notContains" text="порожний">
      <formula>ISERROR(SEARCH("порожний",C649))</formula>
    </cfRule>
  </conditionalFormatting>
  <conditionalFormatting sqref="C655">
    <cfRule type="notContainsText" dxfId="624" priority="603" operator="notContains" text="порожний">
      <formula>ISERROR(SEARCH("порожний",C655))</formula>
    </cfRule>
  </conditionalFormatting>
  <conditionalFormatting sqref="C650">
    <cfRule type="notContainsText" dxfId="623" priority="605" operator="notContains" text="порожний">
      <formula>ISERROR(SEARCH("порожний",C650))</formula>
    </cfRule>
  </conditionalFormatting>
  <conditionalFormatting sqref="C654">
    <cfRule type="notContainsText" dxfId="622" priority="604" operator="notContains" text="порожний">
      <formula>ISERROR(SEARCH("порожний",C654))</formula>
    </cfRule>
  </conditionalFormatting>
  <conditionalFormatting sqref="A663:A666 A668:A670 A695 A697:A701 A825 A3437">
    <cfRule type="containsText" dxfId="621" priority="60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20" priority="60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19" priority="60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18" priority="59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17" priority="59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16" priority="59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15" priority="58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14" priority="596" operator="containsText" text="Выезд с территории">
      <formula>NOT(ISERROR(SEARCH("Выезд с территории",A681)))</formula>
    </cfRule>
  </conditionalFormatting>
  <conditionalFormatting sqref="A681">
    <cfRule type="containsText" dxfId="613" priority="59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12" priority="59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11" priority="590" operator="containsText" text="Трактор базы">
      <formula>NOT(ISERROR(SEARCH("Трактор базы",B682)))</formula>
    </cfRule>
  </conditionalFormatting>
  <conditionalFormatting sqref="B682">
    <cfRule type="containsText" dxfId="610" priority="593" operator="containsText" text="Выезд с территории">
      <formula>NOT(ISERROR(SEARCH("Выезд с территории",B682)))</formula>
    </cfRule>
  </conditionalFormatting>
  <conditionalFormatting sqref="B682">
    <cfRule type="containsText" dxfId="609" priority="591" operator="containsText" text="Газель базы">
      <formula>NOT(ISERROR(SEARCH("Газель базы",B682)))</formula>
    </cfRule>
    <cfRule type="containsText" dxfId="608" priority="592" operator="containsText" text="Погрузчик базы">
      <formula>NOT(ISERROR(SEARCH("Погрузчик базы",B682)))</formula>
    </cfRule>
  </conditionalFormatting>
  <conditionalFormatting sqref="A684:A687">
    <cfRule type="containsText" dxfId="607" priority="58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06" priority="58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05" priority="57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04" priority="58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03" priority="57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02" priority="57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01" priority="577" operator="containsText" text="Выезд с территории">
      <formula>NOT(ISERROR(SEARCH("Выезд с территории",A824)))</formula>
    </cfRule>
  </conditionalFormatting>
  <conditionalFormatting sqref="A824">
    <cfRule type="containsText" dxfId="600" priority="57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99" priority="57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98" priority="569" operator="containsText" text="Газель базы">
      <formula>NOT(ISERROR(SEARCH("Газель базы",B846)))</formula>
    </cfRule>
    <cfRule type="containsText" dxfId="597" priority="570" operator="containsText" text="Погрузчик базы">
      <formula>NOT(ISERROR(SEARCH("Погрузчик базы",B846)))</formula>
    </cfRule>
  </conditionalFormatting>
  <conditionalFormatting sqref="B846:B850">
    <cfRule type="containsText" dxfId="596" priority="568" operator="containsText" text="Трактор базы">
      <formula>NOT(ISERROR(SEARCH("Трактор базы",B846)))</formula>
    </cfRule>
  </conditionalFormatting>
  <conditionalFormatting sqref="A916:A917">
    <cfRule type="containsText" dxfId="595" priority="56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94" priority="56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93" priority="565" operator="containsText" text="Газель базы">
      <formula>NOT(ISERROR(SEARCH("Газель базы",B916)))</formula>
    </cfRule>
    <cfRule type="containsText" dxfId="592" priority="566" operator="containsText" text="Погрузчик базы">
      <formula>NOT(ISERROR(SEARCH("Погрузчик базы",B916)))</formula>
    </cfRule>
  </conditionalFormatting>
  <conditionalFormatting sqref="B916:B917">
    <cfRule type="containsText" dxfId="591" priority="564" operator="containsText" text="Трактор базы">
      <formula>NOT(ISERROR(SEARCH("Трактор базы",B916)))</formula>
    </cfRule>
  </conditionalFormatting>
  <conditionalFormatting sqref="A916:A917">
    <cfRule type="containsText" dxfId="590" priority="56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89" priority="561" operator="containsText" text="Выезд с территории">
      <formula>NOT(ISERROR(SEARCH("Выезд с территории",E916)))</formula>
    </cfRule>
  </conditionalFormatting>
  <conditionalFormatting sqref="A932">
    <cfRule type="containsText" dxfId="588" priority="53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87" priority="56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86" priority="558" operator="containsText" text="Газель базы">
      <formula>NOT(ISERROR(SEARCH("Газель базы",B918)))</formula>
    </cfRule>
    <cfRule type="containsText" dxfId="585" priority="559" operator="containsText" text="Погрузчик базы">
      <formula>NOT(ISERROR(SEARCH("Погрузчик базы",B918)))</formula>
    </cfRule>
  </conditionalFormatting>
  <conditionalFormatting sqref="B918:B924">
    <cfRule type="containsText" dxfId="584" priority="557" operator="containsText" text="Трактор базы">
      <formula>NOT(ISERROR(SEARCH("Трактор базы",B918)))</formula>
    </cfRule>
  </conditionalFormatting>
  <conditionalFormatting sqref="A918">
    <cfRule type="containsText" dxfId="583" priority="55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82" priority="55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81" priority="54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80" priority="55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79" priority="552" operator="containsText" text="Газель базы">
      <formula>NOT(ISERROR(SEARCH("Газель базы",B926)))</formula>
    </cfRule>
    <cfRule type="containsText" dxfId="578" priority="553" operator="containsText" text="Погрузчик базы">
      <formula>NOT(ISERROR(SEARCH("Погрузчик базы",B926)))</formula>
    </cfRule>
  </conditionalFormatting>
  <conditionalFormatting sqref="B926:B928">
    <cfRule type="containsText" dxfId="577" priority="551" operator="containsText" text="Трактор базы">
      <formula>NOT(ISERROR(SEARCH("Трактор базы",B926)))</formula>
    </cfRule>
  </conditionalFormatting>
  <conditionalFormatting sqref="A926:A928">
    <cfRule type="containsText" dxfId="576" priority="55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75" priority="548" operator="containsText" text="Выезд с территории">
      <formula>NOT(ISERROR(SEARCH("Выезд с территории",E926)))</formula>
    </cfRule>
  </conditionalFormatting>
  <conditionalFormatting sqref="A930">
    <cfRule type="containsText" dxfId="574" priority="54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73" priority="547" operator="containsText" text="Выезд с территории">
      <formula>NOT(ISERROR(SEARCH("Выезд с территории",A930)))</formula>
    </cfRule>
  </conditionalFormatting>
  <conditionalFormatting sqref="B930">
    <cfRule type="containsText" dxfId="572" priority="545" operator="containsText" text="Газель базы">
      <formula>NOT(ISERROR(SEARCH("Газель базы",B930)))</formula>
    </cfRule>
    <cfRule type="containsText" dxfId="571" priority="546" operator="containsText" text="Погрузчик базы">
      <formula>NOT(ISERROR(SEARCH("Погрузчик базы",B930)))</formula>
    </cfRule>
  </conditionalFormatting>
  <conditionalFormatting sqref="B930">
    <cfRule type="containsText" dxfId="570" priority="544" operator="containsText" text="Трактор базы">
      <formula>NOT(ISERROR(SEARCH("Трактор базы",B930)))</formula>
    </cfRule>
  </conditionalFormatting>
  <conditionalFormatting sqref="A930">
    <cfRule type="containsText" dxfId="569" priority="54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68" priority="541" operator="containsText" text="Выезд с территории">
      <formula>NOT(ISERROR(SEARCH("Выезд с территории",E930)))</formula>
    </cfRule>
  </conditionalFormatting>
  <conditionalFormatting sqref="A932">
    <cfRule type="containsText" dxfId="567" priority="540" operator="containsText" text="Выезд с территории">
      <formula>NOT(ISERROR(SEARCH("Выезд с территории",A932)))</formula>
    </cfRule>
  </conditionalFormatting>
  <conditionalFormatting sqref="A932">
    <cfRule type="containsText" dxfId="566" priority="53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65" priority="53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64" priority="53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63" priority="53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62" priority="53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61" priority="533" operator="notContains" text="порожний">
      <formula>ISERROR(SEARCH("порожний",C954))</formula>
    </cfRule>
  </conditionalFormatting>
  <conditionalFormatting sqref="B954:B956">
    <cfRule type="containsText" dxfId="560" priority="531" operator="containsText" text="Газель базы">
      <formula>NOT(ISERROR(SEARCH("Газель базы",B954)))</formula>
    </cfRule>
    <cfRule type="containsText" dxfId="559" priority="532" operator="containsText" text="Погрузчик базы">
      <formula>NOT(ISERROR(SEARCH("Погрузчик базы",B954)))</formula>
    </cfRule>
  </conditionalFormatting>
  <conditionalFormatting sqref="B954:B956">
    <cfRule type="containsText" dxfId="558" priority="530" operator="containsText" text="Трактор базы">
      <formula>NOT(ISERROR(SEARCH("Трактор базы",B954)))</formula>
    </cfRule>
  </conditionalFormatting>
  <conditionalFormatting sqref="A954:A956">
    <cfRule type="containsText" dxfId="557" priority="52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56" priority="52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55" priority="526" operator="notContains" text="порожний">
      <formula>ISERROR(SEARCH("порожний",C995))</formula>
    </cfRule>
  </conditionalFormatting>
  <conditionalFormatting sqref="C987">
    <cfRule type="notContainsText" dxfId="554" priority="527" operator="notContains" text="порожний">
      <formula>ISERROR(SEARCH("порожний",C987))</formula>
    </cfRule>
  </conditionalFormatting>
  <conditionalFormatting sqref="B999">
    <cfRule type="containsText" dxfId="553" priority="525" operator="containsText" text="Выезд с территории">
      <formula>NOT(ISERROR(SEARCH("Выезд с территории",B999)))</formula>
    </cfRule>
  </conditionalFormatting>
  <conditionalFormatting sqref="B999">
    <cfRule type="containsText" dxfId="552" priority="523" operator="containsText" text="Газель базы">
      <formula>NOT(ISERROR(SEARCH("Газель базы",B999)))</formula>
    </cfRule>
    <cfRule type="containsText" dxfId="551" priority="524" operator="containsText" text="Погрузчик базы">
      <formula>NOT(ISERROR(SEARCH("Погрузчик базы",B999)))</formula>
    </cfRule>
  </conditionalFormatting>
  <conditionalFormatting sqref="B999">
    <cfRule type="containsText" dxfId="550" priority="522" operator="containsText" text="Трактор базы">
      <formula>NOT(ISERROR(SEARCH("Трактор базы",B999)))</formula>
    </cfRule>
  </conditionalFormatting>
  <conditionalFormatting sqref="B1019:B1022">
    <cfRule type="containsText" dxfId="549" priority="518" operator="containsText" text="Трактор базы">
      <formula>NOT(ISERROR(SEARCH("Трактор базы",B1019)))</formula>
    </cfRule>
  </conditionalFormatting>
  <conditionalFormatting sqref="B1019:B1022">
    <cfRule type="containsText" dxfId="548" priority="52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47" priority="519" operator="containsText" text="Газель базы">
      <formula>NOT(ISERROR(SEARCH("Газель базы",B1019)))</formula>
    </cfRule>
    <cfRule type="containsText" dxfId="546" priority="520" operator="containsText" text="Погрузчик базы">
      <formula>NOT(ISERROR(SEARCH("Погрузчик базы",B1019)))</formula>
    </cfRule>
  </conditionalFormatting>
  <conditionalFormatting sqref="C966">
    <cfRule type="notContainsText" dxfId="545" priority="517" operator="notContains" text="порожний">
      <formula>ISERROR(SEARCH("порожний",C966))</formula>
    </cfRule>
  </conditionalFormatting>
  <conditionalFormatting sqref="A1029">
    <cfRule type="containsText" dxfId="544" priority="51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43" priority="51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42" priority="51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41" priority="51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40" priority="511" operator="containsText" text="Газель базы">
      <formula>NOT(ISERROR(SEARCH("Газель базы",B1030)))</formula>
    </cfRule>
    <cfRule type="containsText" dxfId="539" priority="512" operator="containsText" text="Погрузчик базы">
      <formula>NOT(ISERROR(SEARCH("Погрузчик базы",B1030)))</formula>
    </cfRule>
  </conditionalFormatting>
  <conditionalFormatting sqref="B1030">
    <cfRule type="containsText" dxfId="538" priority="510" operator="containsText" text="Трактор базы">
      <formula>NOT(ISERROR(SEARCH("Трактор базы",B1030)))</formula>
    </cfRule>
  </conditionalFormatting>
  <conditionalFormatting sqref="A1035">
    <cfRule type="containsText" dxfId="537" priority="50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36" priority="50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35" priority="50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34" priority="50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3" priority="50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32" priority="50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31" priority="50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30" priority="501" operator="containsText" text="Газель базы">
      <formula>NOT(ISERROR(SEARCH("Газель базы",B1138)))</formula>
    </cfRule>
    <cfRule type="containsText" dxfId="529" priority="502" operator="containsText" text="Погрузчик базы">
      <formula>NOT(ISERROR(SEARCH("Погрузчик базы",B1138)))</formula>
    </cfRule>
  </conditionalFormatting>
  <conditionalFormatting sqref="B1138:B1161">
    <cfRule type="containsText" dxfId="528" priority="500" operator="containsText" text="Трактор базы">
      <formula>NOT(ISERROR(SEARCH("Трактор базы",B1138)))</formula>
    </cfRule>
  </conditionalFormatting>
  <conditionalFormatting sqref="B1258:B1262">
    <cfRule type="containsText" dxfId="527" priority="484" operator="containsText" text="Трактор базы">
      <formula>NOT(ISERROR(SEARCH("Трактор базы",B1258)))</formula>
    </cfRule>
  </conditionalFormatting>
  <conditionalFormatting sqref="B1244:B1252">
    <cfRule type="containsText" dxfId="526" priority="49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25" priority="497" operator="containsText" text="Газель базы">
      <formula>NOT(ISERROR(SEARCH("Газель базы",B1244)))</formula>
    </cfRule>
    <cfRule type="containsText" dxfId="524" priority="498" operator="containsText" text="Погрузчик базы">
      <formula>NOT(ISERROR(SEARCH("Погрузчик базы",B1244)))</formula>
    </cfRule>
  </conditionalFormatting>
  <conditionalFormatting sqref="B1244:B1252">
    <cfRule type="containsText" dxfId="523" priority="496" operator="containsText" text="Трактор базы">
      <formula>NOT(ISERROR(SEARCH("Трактор базы",B1244)))</formula>
    </cfRule>
  </conditionalFormatting>
  <conditionalFormatting sqref="B1253:B1256">
    <cfRule type="containsText" dxfId="522" priority="49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21" priority="493" operator="containsText" text="Газель базы">
      <formula>NOT(ISERROR(SEARCH("Газель базы",B1253)))</formula>
    </cfRule>
    <cfRule type="containsText" dxfId="520" priority="494" operator="containsText" text="Погрузчик базы">
      <formula>NOT(ISERROR(SEARCH("Погрузчик базы",B1253)))</formula>
    </cfRule>
  </conditionalFormatting>
  <conditionalFormatting sqref="B1253:B1256">
    <cfRule type="containsText" dxfId="519" priority="492" operator="containsText" text="Трактор базы">
      <formula>NOT(ISERROR(SEARCH("Трактор базы",B1253)))</formula>
    </cfRule>
  </conditionalFormatting>
  <conditionalFormatting sqref="B1257">
    <cfRule type="containsText" dxfId="518" priority="49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17" priority="489" operator="containsText" text="Газель базы">
      <formula>NOT(ISERROR(SEARCH("Газель базы",B1257)))</formula>
    </cfRule>
    <cfRule type="containsText" dxfId="516" priority="490" operator="containsText" text="Погрузчик базы">
      <formula>NOT(ISERROR(SEARCH("Погрузчик базы",B1257)))</formula>
    </cfRule>
  </conditionalFormatting>
  <conditionalFormatting sqref="B1257">
    <cfRule type="containsText" dxfId="515" priority="488" operator="containsText" text="Трактор базы">
      <formula>NOT(ISERROR(SEARCH("Трактор базы",B1257)))</formula>
    </cfRule>
  </conditionalFormatting>
  <conditionalFormatting sqref="B1258:B1262">
    <cfRule type="containsText" dxfId="514" priority="48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13" priority="485" operator="containsText" text="Газель базы">
      <formula>NOT(ISERROR(SEARCH("Газель базы",B1258)))</formula>
    </cfRule>
    <cfRule type="containsText" dxfId="512" priority="486" operator="containsText" text="Погрузчик базы">
      <formula>NOT(ISERROR(SEARCH("Погрузчик базы",B1258)))</formula>
    </cfRule>
  </conditionalFormatting>
  <conditionalFormatting sqref="B1281:B1287">
    <cfRule type="containsText" dxfId="511" priority="48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10" priority="481" operator="containsText" text="Газель базы">
      <formula>NOT(ISERROR(SEARCH("Газель базы",B1281)))</formula>
    </cfRule>
    <cfRule type="containsText" dxfId="509" priority="482" operator="containsText" text="Погрузчик базы">
      <formula>NOT(ISERROR(SEARCH("Погрузчик базы",B1281)))</formula>
    </cfRule>
  </conditionalFormatting>
  <conditionalFormatting sqref="B1281:B1287">
    <cfRule type="containsText" dxfId="508" priority="480" operator="containsText" text="Трактор базы">
      <formula>NOT(ISERROR(SEARCH("Трактор базы",B1281)))</formula>
    </cfRule>
  </conditionalFormatting>
  <conditionalFormatting sqref="B1296">
    <cfRule type="containsText" dxfId="507" priority="476" operator="containsText" text="Трактор базы">
      <formula>NOT(ISERROR(SEARCH("Трактор базы",B1296)))</formula>
    </cfRule>
  </conditionalFormatting>
  <conditionalFormatting sqref="B1296">
    <cfRule type="containsText" dxfId="506" priority="47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05" priority="477" operator="containsText" text="Газель базы">
      <formula>NOT(ISERROR(SEARCH("Газель базы",B1296)))</formula>
    </cfRule>
    <cfRule type="containsText" dxfId="504" priority="478" operator="containsText" text="Погрузчик базы">
      <formula>NOT(ISERROR(SEARCH("Погрузчик базы",B1296)))</formula>
    </cfRule>
  </conditionalFormatting>
  <conditionalFormatting sqref="C1320:C1321">
    <cfRule type="notContainsText" dxfId="503" priority="474" operator="notContains" text="порожний">
      <formula>ISERROR(SEARCH("порожний",C1320))</formula>
    </cfRule>
  </conditionalFormatting>
  <conditionalFormatting sqref="A1323">
    <cfRule type="containsText" dxfId="502" priority="46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01" priority="47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00" priority="47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99" priority="47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98" priority="47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97" priority="46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96" priority="467" operator="notContains" text="порожний">
      <formula>ISERROR(SEARCH("порожний",C1336))</formula>
    </cfRule>
  </conditionalFormatting>
  <conditionalFormatting sqref="C1346">
    <cfRule type="notContainsText" dxfId="495" priority="466" operator="notContains" text="порожний">
      <formula>ISERROR(SEARCH("порожний",C1346))</formula>
    </cfRule>
  </conditionalFormatting>
  <conditionalFormatting sqref="A1391">
    <cfRule type="containsText" dxfId="494" priority="46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93" priority="46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92" priority="46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91" priority="45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90" priority="45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89" priority="45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88" priority="456" operator="notContains" text="порожний">
      <formula>ISERROR(SEARCH("порожний",C1606))</formula>
    </cfRule>
  </conditionalFormatting>
  <conditionalFormatting sqref="B1633:B1636">
    <cfRule type="containsText" dxfId="487" priority="45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86" priority="453" operator="containsText" text="Газель базы">
      <formula>NOT(ISERROR(SEARCH("Газель базы",B1633)))</formula>
    </cfRule>
    <cfRule type="containsText" dxfId="485" priority="454" operator="containsText" text="Погрузчик базы">
      <formula>NOT(ISERROR(SEARCH("Погрузчик базы",B1633)))</formula>
    </cfRule>
  </conditionalFormatting>
  <conditionalFormatting sqref="B1633:B1636">
    <cfRule type="containsText" dxfId="484" priority="452" operator="containsText" text="Трактор базы">
      <formula>NOT(ISERROR(SEARCH("Трактор базы",B1633)))</formula>
    </cfRule>
  </conditionalFormatting>
  <conditionalFormatting sqref="B1637:B1642">
    <cfRule type="containsText" dxfId="483" priority="45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82" priority="449" operator="containsText" text="Газель базы">
      <formula>NOT(ISERROR(SEARCH("Газель базы",B1637)))</formula>
    </cfRule>
    <cfRule type="containsText" dxfId="481" priority="450" operator="containsText" text="Погрузчик базы">
      <formula>NOT(ISERROR(SEARCH("Погрузчик базы",B1637)))</formula>
    </cfRule>
  </conditionalFormatting>
  <conditionalFormatting sqref="B1637:B1642">
    <cfRule type="containsText" dxfId="480" priority="448" operator="containsText" text="Трактор базы">
      <formula>NOT(ISERROR(SEARCH("Трактор базы",B1637)))</formula>
    </cfRule>
  </conditionalFormatting>
  <conditionalFormatting sqref="B1671:B1672">
    <cfRule type="containsText" dxfId="479" priority="444" operator="containsText" text="Трактор базы">
      <formula>NOT(ISERROR(SEARCH("Трактор базы",B1671)))</formula>
    </cfRule>
  </conditionalFormatting>
  <conditionalFormatting sqref="B1671:B1672">
    <cfRule type="containsText" dxfId="478" priority="44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77" priority="445" operator="containsText" text="Газель базы">
      <formula>NOT(ISERROR(SEARCH("Газель базы",B1671)))</formula>
    </cfRule>
    <cfRule type="containsText" dxfId="476" priority="446" operator="containsText" text="Погрузчик базы">
      <formula>NOT(ISERROR(SEARCH("Погрузчик базы",B1671)))</formula>
    </cfRule>
  </conditionalFormatting>
  <conditionalFormatting sqref="B1675">
    <cfRule type="containsText" dxfId="475" priority="440" operator="containsText" text="Трактор базы">
      <formula>NOT(ISERROR(SEARCH("Трактор базы",B1675)))</formula>
    </cfRule>
  </conditionalFormatting>
  <conditionalFormatting sqref="B1675">
    <cfRule type="containsText" dxfId="474" priority="44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73" priority="441" operator="containsText" text="Газель базы">
      <formula>NOT(ISERROR(SEARCH("Газель базы",B1675)))</formula>
    </cfRule>
    <cfRule type="containsText" dxfId="472" priority="442" operator="containsText" text="Погрузчик базы">
      <formula>NOT(ISERROR(SEARCH("Погрузчик базы",B1675)))</formula>
    </cfRule>
  </conditionalFormatting>
  <conditionalFormatting sqref="A1678">
    <cfRule type="containsText" dxfId="471" priority="43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70" priority="43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69" priority="43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68" priority="436" operator="notContains" text="порожний">
      <formula>ISERROR(SEARCH("порожний",C1723))</formula>
    </cfRule>
  </conditionalFormatting>
  <conditionalFormatting sqref="C1725:C1726">
    <cfRule type="notContainsText" dxfId="467" priority="435" operator="notContains" text="порожний">
      <formula>ISERROR(SEARCH("порожний",C1725))</formula>
    </cfRule>
  </conditionalFormatting>
  <conditionalFormatting sqref="C1727">
    <cfRule type="notContainsText" dxfId="466" priority="434" operator="notContains" text="порожний">
      <formula>ISERROR(SEARCH("порожний",C1727))</formula>
    </cfRule>
  </conditionalFormatting>
  <conditionalFormatting sqref="C1728">
    <cfRule type="notContainsText" dxfId="465" priority="433" operator="notContains" text="порожний">
      <formula>ISERROR(SEARCH("порожний",C1728))</formula>
    </cfRule>
  </conditionalFormatting>
  <conditionalFormatting sqref="B1732:B1733">
    <cfRule type="containsText" dxfId="464" priority="43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63" priority="430" operator="containsText" text="Газель базы">
      <formula>NOT(ISERROR(SEARCH("Газель базы",B1732)))</formula>
    </cfRule>
    <cfRule type="containsText" dxfId="462" priority="431" operator="containsText" text="Погрузчик базы">
      <formula>NOT(ISERROR(SEARCH("Погрузчик базы",B1732)))</formula>
    </cfRule>
  </conditionalFormatting>
  <conditionalFormatting sqref="B1732:B1733">
    <cfRule type="containsText" dxfId="461" priority="429" operator="containsText" text="Трактор базы">
      <formula>NOT(ISERROR(SEARCH("Трактор базы",B1732)))</formula>
    </cfRule>
  </conditionalFormatting>
  <conditionalFormatting sqref="B1734:B1735">
    <cfRule type="containsText" dxfId="460" priority="42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59" priority="426" operator="containsText" text="Газель базы">
      <formula>NOT(ISERROR(SEARCH("Газель базы",B1734)))</formula>
    </cfRule>
    <cfRule type="containsText" dxfId="458" priority="427" operator="containsText" text="Погрузчик базы">
      <formula>NOT(ISERROR(SEARCH("Погрузчик базы",B1734)))</formula>
    </cfRule>
  </conditionalFormatting>
  <conditionalFormatting sqref="B1734:B1735">
    <cfRule type="containsText" dxfId="457" priority="425" operator="containsText" text="Трактор базы">
      <formula>NOT(ISERROR(SEARCH("Трактор базы",B1734)))</formula>
    </cfRule>
  </conditionalFormatting>
  <conditionalFormatting sqref="B1762:B1764">
    <cfRule type="containsText" dxfId="456" priority="411" operator="containsText" text="Трактор базы">
      <formula>NOT(ISERROR(SEARCH("Трактор базы",B1762)))</formula>
    </cfRule>
  </conditionalFormatting>
  <conditionalFormatting sqref="B1740:B1741">
    <cfRule type="containsText" dxfId="455" priority="42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54" priority="422" operator="containsText" text="Газель базы">
      <formula>NOT(ISERROR(SEARCH("Газель базы",B1740)))</formula>
    </cfRule>
    <cfRule type="containsText" dxfId="453" priority="423" operator="containsText" text="Погрузчик базы">
      <formula>NOT(ISERROR(SEARCH("Погрузчик базы",B1740)))</formula>
    </cfRule>
  </conditionalFormatting>
  <conditionalFormatting sqref="B1740:B1741">
    <cfRule type="containsText" dxfId="452" priority="421" operator="containsText" text="Трактор базы">
      <formula>NOT(ISERROR(SEARCH("Трактор базы",B1740)))</formula>
    </cfRule>
  </conditionalFormatting>
  <conditionalFormatting sqref="A1755">
    <cfRule type="containsText" dxfId="451" priority="41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50" priority="42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49" priority="41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48" priority="41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47" priority="41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46" priority="41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45" priority="402" operator="containsText" text="Трактор базы">
      <formula>NOT(ISERROR(SEARCH("Трактор базы",B1773)))</formula>
    </cfRule>
  </conditionalFormatting>
  <conditionalFormatting sqref="B1762:B1764">
    <cfRule type="containsText" dxfId="444" priority="41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43" priority="412" operator="containsText" text="Газель базы">
      <formula>NOT(ISERROR(SEARCH("Газель базы",B1762)))</formula>
    </cfRule>
    <cfRule type="containsText" dxfId="442" priority="413" operator="containsText" text="Погрузчик базы">
      <formula>NOT(ISERROR(SEARCH("Погрузчик базы",B1762)))</formula>
    </cfRule>
  </conditionalFormatting>
  <conditionalFormatting sqref="B1776:B1777">
    <cfRule type="containsText" dxfId="441" priority="393" operator="containsText" text="Трактор базы">
      <formula>NOT(ISERROR(SEARCH("Трактор базы",B1776)))</formula>
    </cfRule>
  </conditionalFormatting>
  <conditionalFormatting sqref="B1770:B1771">
    <cfRule type="containsText" dxfId="440" priority="41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39" priority="408" operator="containsText" text="Газель базы">
      <formula>NOT(ISERROR(SEARCH("Газель базы",B1770)))</formula>
    </cfRule>
    <cfRule type="containsText" dxfId="438" priority="409" operator="containsText" text="Погрузчик базы">
      <formula>NOT(ISERROR(SEARCH("Погрузчик базы",B1770)))</formula>
    </cfRule>
  </conditionalFormatting>
  <conditionalFormatting sqref="B1770:B1771">
    <cfRule type="containsText" dxfId="437" priority="407" operator="containsText" text="Трактор базы">
      <formula>NOT(ISERROR(SEARCH("Трактор базы",B1770)))</formula>
    </cfRule>
  </conditionalFormatting>
  <conditionalFormatting sqref="B1773">
    <cfRule type="containsText" dxfId="436" priority="40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35" priority="405" operator="notContains" text="порожний">
      <formula>ISERROR(SEARCH("порожний",C1773))</formula>
    </cfRule>
  </conditionalFormatting>
  <conditionalFormatting sqref="B1773">
    <cfRule type="containsText" dxfId="434" priority="403" operator="containsText" text="Газель базы">
      <formula>NOT(ISERROR(SEARCH("Газель базы",B1773)))</formula>
    </cfRule>
    <cfRule type="containsText" dxfId="433" priority="404" operator="containsText" text="Погрузчик базы">
      <formula>NOT(ISERROR(SEARCH("Погрузчик базы",B1773)))</formula>
    </cfRule>
  </conditionalFormatting>
  <conditionalFormatting sqref="B1775">
    <cfRule type="containsText" dxfId="432" priority="397" operator="containsText" text="Трактор базы">
      <formula>NOT(ISERROR(SEARCH("Трактор базы",B1775)))</formula>
    </cfRule>
  </conditionalFormatting>
  <conditionalFormatting sqref="B1775">
    <cfRule type="containsText" dxfId="431" priority="40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30" priority="400" operator="notContains" text="порожний">
      <formula>ISERROR(SEARCH("порожний",C1775))</formula>
    </cfRule>
  </conditionalFormatting>
  <conditionalFormatting sqref="B1775">
    <cfRule type="containsText" dxfId="429" priority="398" operator="containsText" text="Газель базы">
      <formula>NOT(ISERROR(SEARCH("Газель базы",B1775)))</formula>
    </cfRule>
    <cfRule type="containsText" dxfId="428" priority="399" operator="containsText" text="Погрузчик базы">
      <formula>NOT(ISERROR(SEARCH("Погрузчик базы",B1775)))</formula>
    </cfRule>
  </conditionalFormatting>
  <conditionalFormatting sqref="B1776:B1777">
    <cfRule type="containsText" dxfId="427" priority="39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26" priority="394" operator="containsText" text="Газель базы">
      <formula>NOT(ISERROR(SEARCH("Газель базы",B1776)))</formula>
    </cfRule>
    <cfRule type="containsText" dxfId="425" priority="395" operator="containsText" text="Погрузчик базы">
      <formula>NOT(ISERROR(SEARCH("Погрузчик базы",B1776)))</formula>
    </cfRule>
  </conditionalFormatting>
  <conditionalFormatting sqref="B1891">
    <cfRule type="containsText" dxfId="424" priority="385" operator="containsText" text="Трактор базы">
      <formula>NOT(ISERROR(SEARCH("Трактор базы",B1891)))</formula>
    </cfRule>
  </conditionalFormatting>
  <conditionalFormatting sqref="B1889">
    <cfRule type="containsText" dxfId="423" priority="39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22" priority="390" operator="containsText" text="Газель базы">
      <formula>NOT(ISERROR(SEARCH("Газель базы",B1889)))</formula>
    </cfRule>
    <cfRule type="containsText" dxfId="421" priority="391" operator="containsText" text="Погрузчик базы">
      <formula>NOT(ISERROR(SEARCH("Погрузчик базы",B1889)))</formula>
    </cfRule>
  </conditionalFormatting>
  <conditionalFormatting sqref="B1889">
    <cfRule type="containsText" dxfId="420" priority="389" operator="containsText" text="Трактор базы">
      <formula>NOT(ISERROR(SEARCH("Трактор базы",B1889)))</formula>
    </cfRule>
  </conditionalFormatting>
  <conditionalFormatting sqref="B1891">
    <cfRule type="containsText" dxfId="419" priority="38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18" priority="386" operator="containsText" text="Газель базы">
      <formula>NOT(ISERROR(SEARCH("Газель базы",B1891)))</formula>
    </cfRule>
    <cfRule type="containsText" dxfId="417" priority="387" operator="containsText" text="Погрузчик базы">
      <formula>NOT(ISERROR(SEARCH("Погрузчик базы",B1891)))</formula>
    </cfRule>
  </conditionalFormatting>
  <conditionalFormatting sqref="B1920">
    <cfRule type="containsText" dxfId="416" priority="373" operator="containsText" text="Трактор базы">
      <formula>NOT(ISERROR(SEARCH("Трактор базы",B1920)))</formula>
    </cfRule>
  </conditionalFormatting>
  <conditionalFormatting sqref="B1904:B1914">
    <cfRule type="containsText" dxfId="415" priority="38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14" priority="382" operator="containsText" text="Газель базы">
      <formula>NOT(ISERROR(SEARCH("Газель базы",B1904)))</formula>
    </cfRule>
    <cfRule type="containsText" dxfId="413" priority="383" operator="containsText" text="Погрузчик базы">
      <formula>NOT(ISERROR(SEARCH("Погрузчик базы",B1904)))</formula>
    </cfRule>
  </conditionalFormatting>
  <conditionalFormatting sqref="B1904:B1914">
    <cfRule type="containsText" dxfId="412" priority="381" operator="containsText" text="Трактор базы">
      <formula>NOT(ISERROR(SEARCH("Трактор базы",B1904)))</formula>
    </cfRule>
  </conditionalFormatting>
  <conditionalFormatting sqref="B1915:B1919">
    <cfRule type="containsText" dxfId="411" priority="38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10" priority="378" operator="containsText" text="Газель базы">
      <formula>NOT(ISERROR(SEARCH("Газель базы",B1915)))</formula>
    </cfRule>
    <cfRule type="containsText" dxfId="409" priority="379" operator="containsText" text="Погрузчик базы">
      <formula>NOT(ISERROR(SEARCH("Погрузчик базы",B1915)))</formula>
    </cfRule>
  </conditionalFormatting>
  <conditionalFormatting sqref="B1915:B1919">
    <cfRule type="containsText" dxfId="408" priority="377" operator="containsText" text="Трактор базы">
      <formula>NOT(ISERROR(SEARCH("Трактор базы",B1915)))</formula>
    </cfRule>
  </conditionalFormatting>
  <conditionalFormatting sqref="B1920">
    <cfRule type="containsText" dxfId="407" priority="37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06" priority="374" operator="containsText" text="Газель базы">
      <formula>NOT(ISERROR(SEARCH("Газель базы",B1920)))</formula>
    </cfRule>
    <cfRule type="containsText" dxfId="405" priority="375" operator="containsText" text="Погрузчик базы">
      <formula>NOT(ISERROR(SEARCH("Погрузчик базы",B1920)))</formula>
    </cfRule>
  </conditionalFormatting>
  <conditionalFormatting sqref="B1939">
    <cfRule type="containsText" dxfId="404" priority="369" operator="containsText" text="Трактор базы">
      <formula>NOT(ISERROR(SEARCH("Трактор базы",B1939)))</formula>
    </cfRule>
  </conditionalFormatting>
  <conditionalFormatting sqref="B1939">
    <cfRule type="containsText" dxfId="403" priority="37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02" priority="370" operator="containsText" text="Газель базы">
      <formula>NOT(ISERROR(SEARCH("Газель базы",B1939)))</formula>
    </cfRule>
    <cfRule type="containsText" dxfId="401" priority="371" operator="containsText" text="Погрузчик базы">
      <formula>NOT(ISERROR(SEARCH("Погрузчик базы",B1939)))</formula>
    </cfRule>
  </conditionalFormatting>
  <conditionalFormatting sqref="A1943">
    <cfRule type="containsText" dxfId="400" priority="36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99" priority="36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98" priority="36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97" priority="350" operator="containsText" text="Трактор базы">
      <formula>NOT(ISERROR(SEARCH("Трактор базы",B1977)))</formula>
    </cfRule>
  </conditionalFormatting>
  <conditionalFormatting sqref="B1974">
    <cfRule type="containsText" dxfId="396" priority="36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95" priority="363" operator="containsText" text="Газель базы">
      <formula>NOT(ISERROR(SEARCH("Газель базы",B1974)))</formula>
    </cfRule>
    <cfRule type="containsText" dxfId="394" priority="364" operator="containsText" text="Погрузчик базы">
      <formula>NOT(ISERROR(SEARCH("Погрузчик базы",B1974)))</formula>
    </cfRule>
  </conditionalFormatting>
  <conditionalFormatting sqref="B1974">
    <cfRule type="containsText" dxfId="393" priority="362" operator="containsText" text="Трактор базы">
      <formula>NOT(ISERROR(SEARCH("Трактор базы",B1974)))</formula>
    </cfRule>
  </conditionalFormatting>
  <conditionalFormatting sqref="B1975">
    <cfRule type="containsText" dxfId="392" priority="36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91" priority="359" operator="containsText" text="Газель базы">
      <formula>NOT(ISERROR(SEARCH("Газель базы",B1975)))</formula>
    </cfRule>
    <cfRule type="containsText" dxfId="390" priority="360" operator="containsText" text="Погрузчик базы">
      <formula>NOT(ISERROR(SEARCH("Погрузчик базы",B1975)))</formula>
    </cfRule>
  </conditionalFormatting>
  <conditionalFormatting sqref="B1975">
    <cfRule type="containsText" dxfId="389" priority="358" operator="containsText" text="Трактор базы">
      <formula>NOT(ISERROR(SEARCH("Трактор базы",B1975)))</formula>
    </cfRule>
  </conditionalFormatting>
  <conditionalFormatting sqref="B1976">
    <cfRule type="containsText" dxfId="388" priority="35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87" priority="355" operator="containsText" text="Газель базы">
      <formula>NOT(ISERROR(SEARCH("Газель базы",B1976)))</formula>
    </cfRule>
    <cfRule type="containsText" dxfId="386" priority="356" operator="containsText" text="Погрузчик базы">
      <formula>NOT(ISERROR(SEARCH("Погрузчик базы",B1976)))</formula>
    </cfRule>
  </conditionalFormatting>
  <conditionalFormatting sqref="B1976">
    <cfRule type="containsText" dxfId="385" priority="354" operator="containsText" text="Трактор базы">
      <formula>NOT(ISERROR(SEARCH("Трактор базы",B1976)))</formula>
    </cfRule>
  </conditionalFormatting>
  <conditionalFormatting sqref="B1977">
    <cfRule type="containsText" dxfId="384" priority="35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83" priority="351" operator="containsText" text="Газель базы">
      <formula>NOT(ISERROR(SEARCH("Газель базы",B1977)))</formula>
    </cfRule>
    <cfRule type="containsText" dxfId="382" priority="352" operator="containsText" text="Погрузчик базы">
      <formula>NOT(ISERROR(SEARCH("Погрузчик базы",B1977)))</formula>
    </cfRule>
  </conditionalFormatting>
  <conditionalFormatting sqref="C1965">
    <cfRule type="notContainsText" dxfId="381" priority="349" operator="notContains" text="порожний">
      <formula>ISERROR(SEARCH("порожний",C1965))</formula>
    </cfRule>
  </conditionalFormatting>
  <conditionalFormatting sqref="B2042">
    <cfRule type="containsText" dxfId="380" priority="345" operator="containsText" text="Трактор базы">
      <formula>NOT(ISERROR(SEARCH("Трактор базы",B2042)))</formula>
    </cfRule>
  </conditionalFormatting>
  <conditionalFormatting sqref="B2042">
    <cfRule type="containsText" dxfId="379" priority="34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78" priority="346" operator="containsText" text="Газель базы">
      <formula>NOT(ISERROR(SEARCH("Газель базы",B2042)))</formula>
    </cfRule>
    <cfRule type="containsText" dxfId="377" priority="347" operator="containsText" text="Погрузчик базы">
      <formula>NOT(ISERROR(SEARCH("Погрузчик базы",B2042)))</formula>
    </cfRule>
  </conditionalFormatting>
  <conditionalFormatting sqref="C2050">
    <cfRule type="notContainsText" dxfId="376" priority="344" operator="notContains" text="порожний">
      <formula>ISERROR(SEARCH("порожний",C2050))</formula>
    </cfRule>
  </conditionalFormatting>
  <conditionalFormatting sqref="B2054">
    <cfRule type="containsText" dxfId="375" priority="34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74" priority="341" operator="containsText" text="Газель базы">
      <formula>NOT(ISERROR(SEARCH("Газель базы",B2054)))</formula>
    </cfRule>
    <cfRule type="containsText" dxfId="373" priority="342" operator="containsText" text="Погрузчик базы">
      <formula>NOT(ISERROR(SEARCH("Погрузчик базы",B2054)))</formula>
    </cfRule>
  </conditionalFormatting>
  <conditionalFormatting sqref="B2054">
    <cfRule type="containsText" dxfId="372" priority="340" operator="containsText" text="Трактор базы">
      <formula>NOT(ISERROR(SEARCH("Трактор базы",B2054)))</formula>
    </cfRule>
  </conditionalFormatting>
  <conditionalFormatting sqref="B2055">
    <cfRule type="containsText" dxfId="371" priority="336" operator="containsText" text="Трактор базы">
      <formula>NOT(ISERROR(SEARCH("Трактор базы",B2055)))</formula>
    </cfRule>
  </conditionalFormatting>
  <conditionalFormatting sqref="B2055">
    <cfRule type="containsText" dxfId="370" priority="33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69" priority="337" operator="containsText" text="Газель базы">
      <formula>NOT(ISERROR(SEARCH("Газель базы",B2055)))</formula>
    </cfRule>
    <cfRule type="containsText" dxfId="368" priority="338" operator="containsText" text="Погрузчик базы">
      <formula>NOT(ISERROR(SEARCH("Погрузчик базы",B2055)))</formula>
    </cfRule>
  </conditionalFormatting>
  <conditionalFormatting sqref="A2087:A2089">
    <cfRule type="containsText" dxfId="367" priority="32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66" priority="33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65" priority="334" operator="notContains" text="порожний">
      <formula>ISERROR(SEARCH("порожний",C2087))</formula>
    </cfRule>
  </conditionalFormatting>
  <conditionalFormatting sqref="B2087:B2089">
    <cfRule type="containsText" dxfId="364" priority="332" operator="containsText" text="Газель базы">
      <formula>NOT(ISERROR(SEARCH("Газель базы",B2087)))</formula>
    </cfRule>
    <cfRule type="containsText" dxfId="363" priority="333" operator="containsText" text="Погрузчик базы">
      <formula>NOT(ISERROR(SEARCH("Погрузчик базы",B2087)))</formula>
    </cfRule>
  </conditionalFormatting>
  <conditionalFormatting sqref="B2087:B2089">
    <cfRule type="containsText" dxfId="362" priority="331" operator="containsText" text="Трактор базы">
      <formula>NOT(ISERROR(SEARCH("Трактор базы",B2087)))</formula>
    </cfRule>
  </conditionalFormatting>
  <conditionalFormatting sqref="A2087:A2089">
    <cfRule type="containsText" dxfId="361" priority="33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60" priority="32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59" priority="326" operator="containsText" text="Газель базы">
      <formula>NOT(ISERROR(SEARCH("Газель базы",B2101)))</formula>
    </cfRule>
    <cfRule type="containsText" dxfId="358" priority="327" operator="containsText" text="Погрузчик базы">
      <formula>NOT(ISERROR(SEARCH("Погрузчик базы",B2101)))</formula>
    </cfRule>
  </conditionalFormatting>
  <conditionalFormatting sqref="B2101">
    <cfRule type="containsText" dxfId="357" priority="325" operator="containsText" text="Трактор базы">
      <formula>NOT(ISERROR(SEARCH("Трактор базы",B2101)))</formula>
    </cfRule>
  </conditionalFormatting>
  <conditionalFormatting sqref="B2102">
    <cfRule type="containsText" dxfId="356" priority="32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55" priority="322" operator="containsText" text="Газель базы">
      <formula>NOT(ISERROR(SEARCH("Газель базы",B2102)))</formula>
    </cfRule>
    <cfRule type="containsText" dxfId="354" priority="323" operator="containsText" text="Погрузчик базы">
      <formula>NOT(ISERROR(SEARCH("Погрузчик базы",B2102)))</formula>
    </cfRule>
  </conditionalFormatting>
  <conditionalFormatting sqref="B2102">
    <cfRule type="containsText" dxfId="353" priority="321" operator="containsText" text="Трактор базы">
      <formula>NOT(ISERROR(SEARCH("Трактор базы",B2102)))</formula>
    </cfRule>
  </conditionalFormatting>
  <conditionalFormatting sqref="B2103">
    <cfRule type="containsText" dxfId="352" priority="317" operator="containsText" text="Трактор базы">
      <formula>NOT(ISERROR(SEARCH("Трактор базы",B2103)))</formula>
    </cfRule>
  </conditionalFormatting>
  <conditionalFormatting sqref="B2103">
    <cfRule type="containsText" dxfId="351" priority="32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50" priority="318" operator="containsText" text="Газель базы">
      <formula>NOT(ISERROR(SEARCH("Газель базы",B2103)))</formula>
    </cfRule>
    <cfRule type="containsText" dxfId="349" priority="31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48" priority="31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47" priority="31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46" priority="31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45" priority="31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44" priority="311" operator="containsText" text="Газель базы">
      <formula>NOT(ISERROR(SEARCH("Газель базы",B2276)))</formula>
    </cfRule>
    <cfRule type="containsText" dxfId="343" priority="312" operator="containsText" text="Погрузчик базы">
      <formula>NOT(ISERROR(SEARCH("Погрузчик базы",B2276)))</formula>
    </cfRule>
  </conditionalFormatting>
  <conditionalFormatting sqref="B2276">
    <cfRule type="containsText" dxfId="342" priority="310" operator="containsText" text="Трактор базы">
      <formula>NOT(ISERROR(SEARCH("Трактор базы",B2276)))</formula>
    </cfRule>
  </conditionalFormatting>
  <conditionalFormatting sqref="B2277">
    <cfRule type="containsText" dxfId="341" priority="306" operator="containsText" text="Трактор базы">
      <formula>NOT(ISERROR(SEARCH("Трактор базы",B2277)))</formula>
    </cfRule>
  </conditionalFormatting>
  <conditionalFormatting sqref="B2277">
    <cfRule type="containsText" dxfId="340" priority="30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39" priority="307" operator="containsText" text="Газель базы">
      <formula>NOT(ISERROR(SEARCH("Газель базы",B2277)))</formula>
    </cfRule>
    <cfRule type="containsText" dxfId="338" priority="308" operator="containsText" text="Погрузчик базы">
      <formula>NOT(ISERROR(SEARCH("Погрузчик базы",B2277)))</formula>
    </cfRule>
  </conditionalFormatting>
  <conditionalFormatting sqref="A2279">
    <cfRule type="containsText" dxfId="337" priority="30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36" priority="30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35" priority="30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34" priority="30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33" priority="30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32" priority="30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31" priority="281" operator="containsText" text="Трактор базы">
      <formula>NOT(ISERROR(SEARCH("Трактор базы",B2382)))</formula>
    </cfRule>
  </conditionalFormatting>
  <conditionalFormatting sqref="B2348:B2349">
    <cfRule type="containsText" dxfId="330" priority="29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29" priority="297" operator="containsText" text="Газель базы">
      <formula>NOT(ISERROR(SEARCH("Газель базы",B2348)))</formula>
    </cfRule>
    <cfRule type="containsText" dxfId="328" priority="298" operator="containsText" text="Погрузчик базы">
      <formula>NOT(ISERROR(SEARCH("Погрузчик базы",B2348)))</formula>
    </cfRule>
  </conditionalFormatting>
  <conditionalFormatting sqref="B2348:B2349">
    <cfRule type="containsText" dxfId="327" priority="296" operator="containsText" text="Трактор базы">
      <formula>NOT(ISERROR(SEARCH("Трактор базы",B2348)))</formula>
    </cfRule>
  </conditionalFormatting>
  <conditionalFormatting sqref="A2350">
    <cfRule type="containsText" dxfId="326" priority="29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25" priority="29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24" priority="29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23" priority="29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22" priority="290" operator="containsText" text="Газель базы">
      <formula>NOT(ISERROR(SEARCH("Газель базы",B2352)))</formula>
    </cfRule>
    <cfRule type="containsText" dxfId="321" priority="291" operator="containsText" text="Погрузчик базы">
      <formula>NOT(ISERROR(SEARCH("Погрузчик базы",B2352)))</formula>
    </cfRule>
  </conditionalFormatting>
  <conditionalFormatting sqref="B2352:B2354">
    <cfRule type="containsText" dxfId="320" priority="289" operator="containsText" text="Трактор базы">
      <formula>NOT(ISERROR(SEARCH("Трактор базы",B2352)))</formula>
    </cfRule>
  </conditionalFormatting>
  <conditionalFormatting sqref="B2358">
    <cfRule type="containsText" dxfId="319" priority="28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18" priority="286" operator="containsText" text="Газель базы">
      <formula>NOT(ISERROR(SEARCH("Газель базы",B2358)))</formula>
    </cfRule>
    <cfRule type="containsText" dxfId="317" priority="287" operator="containsText" text="Погрузчик базы">
      <formula>NOT(ISERROR(SEARCH("Погрузчик базы",B2358)))</formula>
    </cfRule>
  </conditionalFormatting>
  <conditionalFormatting sqref="B2358">
    <cfRule type="containsText" dxfId="316" priority="285" operator="containsText" text="Трактор базы">
      <formula>NOT(ISERROR(SEARCH("Трактор базы",B2358)))</formula>
    </cfRule>
  </conditionalFormatting>
  <conditionalFormatting sqref="B2382">
    <cfRule type="containsText" dxfId="315" priority="28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14" priority="282" operator="containsText" text="Газель базы">
      <formula>NOT(ISERROR(SEARCH("Газель базы",B2382)))</formula>
    </cfRule>
    <cfRule type="containsText" dxfId="313" priority="283" operator="containsText" text="Погрузчик базы">
      <formula>NOT(ISERROR(SEARCH("Погрузчик базы",B2382)))</formula>
    </cfRule>
  </conditionalFormatting>
  <conditionalFormatting sqref="B2423:B2424">
    <cfRule type="containsText" dxfId="312" priority="28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11" priority="278" operator="containsText" text="Газель базы">
      <formula>NOT(ISERROR(SEARCH("Газель базы",B2423)))</formula>
    </cfRule>
    <cfRule type="containsText" dxfId="310" priority="279" operator="containsText" text="Погрузчик базы">
      <formula>NOT(ISERROR(SEARCH("Погрузчик базы",B2423)))</formula>
    </cfRule>
  </conditionalFormatting>
  <conditionalFormatting sqref="B2423:B2424">
    <cfRule type="containsText" dxfId="309" priority="277" operator="containsText" text="Трактор базы">
      <formula>NOT(ISERROR(SEARCH("Трактор базы",B2423)))</formula>
    </cfRule>
  </conditionalFormatting>
  <conditionalFormatting sqref="B2431">
    <cfRule type="containsText" dxfId="308" priority="27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07" priority="274" operator="containsText" text="Газель базы">
      <formula>NOT(ISERROR(SEARCH("Газель базы",B2431)))</formula>
    </cfRule>
    <cfRule type="containsText" dxfId="306" priority="275" operator="containsText" text="Погрузчик базы">
      <formula>NOT(ISERROR(SEARCH("Погрузчик базы",B2431)))</formula>
    </cfRule>
  </conditionalFormatting>
  <conditionalFormatting sqref="B2431">
    <cfRule type="containsText" dxfId="305" priority="273" operator="containsText" text="Трактор базы">
      <formula>NOT(ISERROR(SEARCH("Трактор базы",B2431)))</formula>
    </cfRule>
  </conditionalFormatting>
  <conditionalFormatting sqref="B2478">
    <cfRule type="containsText" dxfId="304" priority="261" operator="containsText" text="Трактор базы">
      <formula>NOT(ISERROR(SEARCH("Трактор базы",B2478)))</formula>
    </cfRule>
  </conditionalFormatting>
  <conditionalFormatting sqref="B2462:B2463">
    <cfRule type="containsText" dxfId="303" priority="27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02" priority="270" operator="containsText" text="Газель базы">
      <formula>NOT(ISERROR(SEARCH("Газель базы",B2462)))</formula>
    </cfRule>
    <cfRule type="containsText" dxfId="301" priority="271" operator="containsText" text="Погрузчик базы">
      <formula>NOT(ISERROR(SEARCH("Погрузчик базы",B2462)))</formula>
    </cfRule>
  </conditionalFormatting>
  <conditionalFormatting sqref="B2462:B2463">
    <cfRule type="containsText" dxfId="300" priority="269" operator="containsText" text="Трактор базы">
      <formula>NOT(ISERROR(SEARCH("Трактор базы",B2462)))</formula>
    </cfRule>
  </conditionalFormatting>
  <conditionalFormatting sqref="B2467">
    <cfRule type="containsText" dxfId="299" priority="26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98" priority="266" operator="containsText" text="Газель базы">
      <formula>NOT(ISERROR(SEARCH("Газель базы",B2467)))</formula>
    </cfRule>
    <cfRule type="containsText" dxfId="297" priority="267" operator="containsText" text="Погрузчик базы">
      <formula>NOT(ISERROR(SEARCH("Погрузчик базы",B2467)))</formula>
    </cfRule>
  </conditionalFormatting>
  <conditionalFormatting sqref="B2467">
    <cfRule type="containsText" dxfId="296" priority="265" operator="containsText" text="Трактор базы">
      <formula>NOT(ISERROR(SEARCH("Трактор базы",B2467)))</formula>
    </cfRule>
  </conditionalFormatting>
  <conditionalFormatting sqref="B2478">
    <cfRule type="containsText" dxfId="295" priority="26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94" priority="262" operator="containsText" text="Газель базы">
      <formula>NOT(ISERROR(SEARCH("Газель базы",B2478)))</formula>
    </cfRule>
    <cfRule type="containsText" dxfId="293" priority="263" operator="containsText" text="Погрузчик базы">
      <formula>NOT(ISERROR(SEARCH("Погрузчик базы",B2478)))</formula>
    </cfRule>
  </conditionalFormatting>
  <conditionalFormatting sqref="B2499">
    <cfRule type="containsText" dxfId="292" priority="249" operator="containsText" text="Трактор базы">
      <formula>NOT(ISERROR(SEARCH("Трактор базы",B2499)))</formula>
    </cfRule>
  </conditionalFormatting>
  <conditionalFormatting sqref="B2497">
    <cfRule type="containsText" dxfId="291" priority="26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90" priority="258" operator="containsText" text="Газель базы">
      <formula>NOT(ISERROR(SEARCH("Газель базы",B2497)))</formula>
    </cfRule>
    <cfRule type="containsText" dxfId="289" priority="259" operator="containsText" text="Погрузчик базы">
      <formula>NOT(ISERROR(SEARCH("Погрузчик базы",B2497)))</formula>
    </cfRule>
  </conditionalFormatting>
  <conditionalFormatting sqref="B2497">
    <cfRule type="containsText" dxfId="288" priority="257" operator="containsText" text="Трактор базы">
      <formula>NOT(ISERROR(SEARCH("Трактор базы",B2497)))</formula>
    </cfRule>
  </conditionalFormatting>
  <conditionalFormatting sqref="B2498">
    <cfRule type="containsText" dxfId="287" priority="25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86" priority="254" operator="containsText" text="Газель базы">
      <formula>NOT(ISERROR(SEARCH("Газель базы",B2498)))</formula>
    </cfRule>
    <cfRule type="containsText" dxfId="285" priority="255" operator="containsText" text="Погрузчик базы">
      <formula>NOT(ISERROR(SEARCH("Погрузчик базы",B2498)))</formula>
    </cfRule>
  </conditionalFormatting>
  <conditionalFormatting sqref="B2498">
    <cfRule type="containsText" dxfId="284" priority="253" operator="containsText" text="Трактор базы">
      <formula>NOT(ISERROR(SEARCH("Трактор базы",B2498)))</formula>
    </cfRule>
  </conditionalFormatting>
  <conditionalFormatting sqref="B2499">
    <cfRule type="containsText" dxfId="283" priority="25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82" priority="250" operator="containsText" text="Газель базы">
      <formula>NOT(ISERROR(SEARCH("Газель базы",B2499)))</formula>
    </cfRule>
    <cfRule type="containsText" dxfId="281" priority="251" operator="containsText" text="Погрузчик базы">
      <formula>NOT(ISERROR(SEARCH("Погрузчик базы",B2499)))</formula>
    </cfRule>
  </conditionalFormatting>
  <conditionalFormatting sqref="B2512:B2513">
    <cfRule type="containsText" dxfId="280" priority="223" operator="containsText" text="Трактор базы">
      <formula>NOT(ISERROR(SEARCH("Трактор базы",B2512)))</formula>
    </cfRule>
  </conditionalFormatting>
  <conditionalFormatting sqref="B2500">
    <cfRule type="containsText" dxfId="279" priority="24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78" priority="246" operator="containsText" text="Газель базы">
      <formula>NOT(ISERROR(SEARCH("Газель базы",B2500)))</formula>
    </cfRule>
    <cfRule type="containsText" dxfId="277" priority="247" operator="containsText" text="Погрузчик базы">
      <formula>NOT(ISERROR(SEARCH("Погрузчик базы",B2500)))</formula>
    </cfRule>
  </conditionalFormatting>
  <conditionalFormatting sqref="B2500">
    <cfRule type="containsText" dxfId="276" priority="245" operator="containsText" text="Трактор базы">
      <formula>NOT(ISERROR(SEARCH("Трактор базы",B2500)))</formula>
    </cfRule>
  </conditionalFormatting>
  <conditionalFormatting sqref="B2501">
    <cfRule type="containsText" dxfId="275" priority="24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74" priority="242" operator="containsText" text="Газель базы">
      <formula>NOT(ISERROR(SEARCH("Газель базы",B2501)))</formula>
    </cfRule>
    <cfRule type="containsText" dxfId="273" priority="243" operator="containsText" text="Погрузчик базы">
      <formula>NOT(ISERROR(SEARCH("Погрузчик базы",B2501)))</formula>
    </cfRule>
  </conditionalFormatting>
  <conditionalFormatting sqref="B2501">
    <cfRule type="containsText" dxfId="272" priority="241" operator="containsText" text="Трактор базы">
      <formula>NOT(ISERROR(SEARCH("Трактор базы",B2501)))</formula>
    </cfRule>
  </conditionalFormatting>
  <conditionalFormatting sqref="B2502">
    <cfRule type="containsText" dxfId="271" priority="237" operator="containsText" text="Трактор базы">
      <formula>NOT(ISERROR(SEARCH("Трактор базы",B2502)))</formula>
    </cfRule>
  </conditionalFormatting>
  <conditionalFormatting sqref="B2502">
    <cfRule type="containsText" dxfId="270" priority="24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69" priority="238" operator="containsText" text="Газель базы">
      <formula>NOT(ISERROR(SEARCH("Газель базы",B2502)))</formula>
    </cfRule>
    <cfRule type="containsText" dxfId="268" priority="239" operator="containsText" text="Погрузчик базы">
      <formula>NOT(ISERROR(SEARCH("Погрузчик базы",B2502)))</formula>
    </cfRule>
  </conditionalFormatting>
  <conditionalFormatting sqref="A2503:A2504">
    <cfRule type="containsText" dxfId="267" priority="23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66" priority="23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65" priority="23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64" priority="23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63" priority="23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62" priority="23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61" priority="23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60" priority="228" operator="containsText" text="Газель базы">
      <formula>NOT(ISERROR(SEARCH("Газель базы",B2509)))</formula>
    </cfRule>
    <cfRule type="containsText" dxfId="259" priority="229" operator="containsText" text="Погрузчик базы">
      <formula>NOT(ISERROR(SEARCH("Погрузчик базы",B2509)))</formula>
    </cfRule>
  </conditionalFormatting>
  <conditionalFormatting sqref="B2509">
    <cfRule type="containsText" dxfId="258" priority="227" operator="containsText" text="Трактор базы">
      <formula>NOT(ISERROR(SEARCH("Трактор базы",B2509)))</formula>
    </cfRule>
  </conditionalFormatting>
  <conditionalFormatting sqref="B2512:B2513">
    <cfRule type="containsText" dxfId="257" priority="22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56" priority="224" operator="containsText" text="Газель базы">
      <formula>NOT(ISERROR(SEARCH("Газель базы",B2512)))</formula>
    </cfRule>
    <cfRule type="containsText" dxfId="255" priority="225" operator="containsText" text="Погрузчик базы">
      <formula>NOT(ISERROR(SEARCH("Погрузчик базы",B2512)))</formula>
    </cfRule>
  </conditionalFormatting>
  <conditionalFormatting sqref="E2586">
    <cfRule type="containsText" dxfId="254" priority="22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53" priority="21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52" priority="22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51" priority="22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50" priority="21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49" priority="216" operator="containsText" text="Газель базы">
      <formula>NOT(ISERROR(SEARCH("Газель базы",B2810)))</formula>
    </cfRule>
    <cfRule type="containsText" dxfId="248" priority="217" operator="containsText" text="Погрузчик базы">
      <formula>NOT(ISERROR(SEARCH("Погрузчик базы",B2810)))</formula>
    </cfRule>
  </conditionalFormatting>
  <conditionalFormatting sqref="B2810:B2811">
    <cfRule type="containsText" dxfId="247" priority="215" operator="containsText" text="Трактор базы">
      <formula>NOT(ISERROR(SEARCH("Трактор базы",B2810)))</formula>
    </cfRule>
  </conditionalFormatting>
  <conditionalFormatting sqref="B2923:B2927">
    <cfRule type="containsText" dxfId="246" priority="211" operator="containsText" text="Трактор базы">
      <formula>NOT(ISERROR(SEARCH("Трактор базы",B2923)))</formula>
    </cfRule>
  </conditionalFormatting>
  <conditionalFormatting sqref="B2923:B2927">
    <cfRule type="containsText" dxfId="245" priority="21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44" priority="212" operator="containsText" text="Газель базы">
      <formula>NOT(ISERROR(SEARCH("Газель базы",B2923)))</formula>
    </cfRule>
    <cfRule type="containsText" dxfId="243" priority="213" operator="containsText" text="Погрузчик базы">
      <formula>NOT(ISERROR(SEARCH("Погрузчик базы",B2923)))</formula>
    </cfRule>
  </conditionalFormatting>
  <conditionalFormatting sqref="A2991">
    <cfRule type="containsText" dxfId="242" priority="21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41" priority="20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40" priority="20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39" priority="20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38" priority="205" operator="containsText" text="Газель базы">
      <formula>NOT(ISERROR(SEARCH("Газель базы",B2993)))</formula>
    </cfRule>
    <cfRule type="containsText" dxfId="237" priority="206" operator="containsText" text="Погрузчик базы">
      <formula>NOT(ISERROR(SEARCH("Погрузчик базы",B2993)))</formula>
    </cfRule>
  </conditionalFormatting>
  <conditionalFormatting sqref="B2993">
    <cfRule type="containsText" dxfId="236" priority="204" operator="containsText" text="Трактор базы">
      <formula>NOT(ISERROR(SEARCH("Трактор базы",B2993)))</formula>
    </cfRule>
  </conditionalFormatting>
  <conditionalFormatting sqref="B2995">
    <cfRule type="containsText" dxfId="235" priority="200" operator="containsText" text="Трактор базы">
      <formula>NOT(ISERROR(SEARCH("Трактор базы",B2995)))</formula>
    </cfRule>
  </conditionalFormatting>
  <conditionalFormatting sqref="B2995">
    <cfRule type="containsText" dxfId="234" priority="20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33" priority="201" operator="containsText" text="Газель базы">
      <formula>NOT(ISERROR(SEARCH("Газель базы",B2995)))</formula>
    </cfRule>
    <cfRule type="containsText" dxfId="232" priority="202" operator="containsText" text="Погрузчик базы">
      <formula>NOT(ISERROR(SEARCH("Погрузчик базы",B2995)))</formula>
    </cfRule>
  </conditionalFormatting>
  <conditionalFormatting sqref="A3008">
    <cfRule type="containsText" dxfId="231" priority="19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30" priority="19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29" priority="19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28" priority="19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27" priority="19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26" priority="19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25" priority="19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24" priority="19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23" priority="19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22" priority="187" operator="containsText" text="Трактор базы">
      <formula>NOT(ISERROR(SEARCH("Трактор базы",B3150)))</formula>
    </cfRule>
  </conditionalFormatting>
  <conditionalFormatting sqref="B3203">
    <cfRule type="containsText" dxfId="221" priority="179" operator="containsText" text="Трактор базы">
      <formula>NOT(ISERROR(SEARCH("Трактор базы",B3203)))</formula>
    </cfRule>
  </conditionalFormatting>
  <conditionalFormatting sqref="B3150:B3151">
    <cfRule type="containsText" dxfId="220" priority="19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19" priority="188" operator="containsText" text="Газель базы">
      <formula>NOT(ISERROR(SEARCH("Газель базы",B3150)))</formula>
    </cfRule>
    <cfRule type="containsText" dxfId="218" priority="189" operator="containsText" text="Погрузчик базы">
      <formula>NOT(ISERROR(SEARCH("Погрузчик базы",B3150)))</formula>
    </cfRule>
  </conditionalFormatting>
  <conditionalFormatting sqref="B3201">
    <cfRule type="containsText" dxfId="217" priority="183" operator="containsText" text="Трактор базы">
      <formula>NOT(ISERROR(SEARCH("Трактор базы",B3201)))</formula>
    </cfRule>
  </conditionalFormatting>
  <conditionalFormatting sqref="B3201">
    <cfRule type="containsText" dxfId="216" priority="18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15" priority="184" operator="containsText" text="Газель базы">
      <formula>NOT(ISERROR(SEARCH("Газель базы",B3201)))</formula>
    </cfRule>
    <cfRule type="containsText" dxfId="214" priority="185" operator="containsText" text="Погрузчик базы">
      <formula>NOT(ISERROR(SEARCH("Погрузчик базы",B3201)))</formula>
    </cfRule>
  </conditionalFormatting>
  <conditionalFormatting sqref="B3203">
    <cfRule type="containsText" dxfId="213" priority="18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12" priority="180" operator="containsText" text="Газель базы">
      <formula>NOT(ISERROR(SEARCH("Газель базы",B3203)))</formula>
    </cfRule>
    <cfRule type="containsText" dxfId="211" priority="181" operator="containsText" text="Погрузчик базы">
      <formula>NOT(ISERROR(SEARCH("Погрузчик базы",B3203)))</formula>
    </cfRule>
  </conditionalFormatting>
  <conditionalFormatting sqref="B3227:B3229">
    <cfRule type="containsText" dxfId="210" priority="17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09" priority="176" operator="containsText" text="Газель базы">
      <formula>NOT(ISERROR(SEARCH("Газель базы",B3227)))</formula>
    </cfRule>
    <cfRule type="containsText" dxfId="208" priority="177" operator="containsText" text="Погрузчик базы">
      <formula>NOT(ISERROR(SEARCH("Погрузчик базы",B3227)))</formula>
    </cfRule>
  </conditionalFormatting>
  <conditionalFormatting sqref="B3227:B3229">
    <cfRule type="containsText" dxfId="207" priority="175" operator="containsText" text="Трактор базы">
      <formula>NOT(ISERROR(SEARCH("Трактор базы",B3227)))</formula>
    </cfRule>
  </conditionalFormatting>
  <conditionalFormatting sqref="B3259:B3261">
    <cfRule type="containsText" dxfId="206" priority="17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05" priority="172" operator="containsText" text="Газель базы">
      <formula>NOT(ISERROR(SEARCH("Газель базы",B3259)))</formula>
    </cfRule>
    <cfRule type="containsText" dxfId="204" priority="173" operator="containsText" text="Погрузчик базы">
      <formula>NOT(ISERROR(SEARCH("Погрузчик базы",B3259)))</formula>
    </cfRule>
  </conditionalFormatting>
  <conditionalFormatting sqref="B3259:B3261">
    <cfRule type="containsText" dxfId="203" priority="171" operator="containsText" text="Трактор базы">
      <formula>NOT(ISERROR(SEARCH("Трактор базы",B3259)))</formula>
    </cfRule>
  </conditionalFormatting>
  <conditionalFormatting sqref="A3335:A3336 A3373:A3374">
    <cfRule type="containsText" dxfId="202" priority="16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01" priority="16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00" priority="16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99" priority="16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98" priority="16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97" priority="16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96" priority="16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95" priority="159" operator="containsText" text="Газель базы">
      <formula>NOT(ISERROR(SEARCH("Газель базы",B3364)))</formula>
    </cfRule>
    <cfRule type="containsText" dxfId="194" priority="160" operator="containsText" text="Погрузчик базы">
      <formula>NOT(ISERROR(SEARCH("Погрузчик базы",B3364)))</formula>
    </cfRule>
  </conditionalFormatting>
  <conditionalFormatting sqref="B3364:B3365">
    <cfRule type="containsText" dxfId="193" priority="158" operator="containsText" text="Трактор базы">
      <formula>NOT(ISERROR(SEARCH("Трактор базы",B3364)))</formula>
    </cfRule>
  </conditionalFormatting>
  <conditionalFormatting sqref="A3364">
    <cfRule type="containsText" dxfId="192" priority="15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91" priority="15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90" priority="15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89" priority="153" operator="containsText" text="Газель базы">
      <formula>NOT(ISERROR(SEARCH("Газель базы",B3366)))</formula>
    </cfRule>
    <cfRule type="containsText" dxfId="188" priority="154" operator="containsText" text="Погрузчик базы">
      <formula>NOT(ISERROR(SEARCH("Погрузчик базы",B3366)))</formula>
    </cfRule>
  </conditionalFormatting>
  <conditionalFormatting sqref="B3366">
    <cfRule type="containsText" dxfId="187" priority="152" operator="containsText" text="Трактор базы">
      <formula>NOT(ISERROR(SEARCH("Трактор базы",B3366)))</formula>
    </cfRule>
  </conditionalFormatting>
  <conditionalFormatting sqref="A3366">
    <cfRule type="containsText" dxfId="186" priority="15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85" priority="15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84" priority="14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83" priority="147" operator="containsText" text="Газель базы">
      <formula>NOT(ISERROR(SEARCH("Газель базы",B3367)))</formula>
    </cfRule>
    <cfRule type="containsText" dxfId="182" priority="148" operator="containsText" text="Погрузчик базы">
      <formula>NOT(ISERROR(SEARCH("Погрузчик базы",B3367)))</formula>
    </cfRule>
  </conditionalFormatting>
  <conditionalFormatting sqref="B3367">
    <cfRule type="containsText" dxfId="181" priority="146" operator="containsText" text="Трактор базы">
      <formula>NOT(ISERROR(SEARCH("Трактор базы",B3367)))</formula>
    </cfRule>
  </conditionalFormatting>
  <conditionalFormatting sqref="A3430:B3430">
    <cfRule type="containsText" dxfId="180" priority="14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79" priority="143" operator="containsText" text="Газель базы">
      <formula>NOT(ISERROR(SEARCH("Газель базы",B3430)))</formula>
    </cfRule>
    <cfRule type="containsText" dxfId="178" priority="144" operator="containsText" text="Погрузчик базы">
      <formula>NOT(ISERROR(SEARCH("Погрузчик базы",B3430)))</formula>
    </cfRule>
  </conditionalFormatting>
  <conditionalFormatting sqref="B3430">
    <cfRule type="containsText" dxfId="177" priority="142" operator="containsText" text="Трактор базы">
      <formula>NOT(ISERROR(SEARCH("Трактор базы",B3430)))</formula>
    </cfRule>
  </conditionalFormatting>
  <conditionalFormatting sqref="A3430">
    <cfRule type="containsText" dxfId="176" priority="14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75" priority="14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74" priority="13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73" priority="133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72" priority="132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71" priority="130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70" priority="128" operator="containsText" text="Газель базы">
      <formula>NOT(ISERROR(SEARCH("Газель базы",B3480)))</formula>
    </cfRule>
    <cfRule type="containsText" dxfId="169" priority="129" operator="containsText" text="Погрузчик базы">
      <formula>NOT(ISERROR(SEARCH("Погрузчик базы",B3480)))</formula>
    </cfRule>
  </conditionalFormatting>
  <conditionalFormatting sqref="B3480">
    <cfRule type="containsText" dxfId="168" priority="127" operator="containsText" text="Трактор базы">
      <formula>NOT(ISERROR(SEARCH("Трактор базы",B3480)))</formula>
    </cfRule>
  </conditionalFormatting>
  <conditionalFormatting sqref="A3480">
    <cfRule type="containsText" dxfId="167" priority="125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66" priority="126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65" priority="122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64" priority="124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63" priority="123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62" priority="119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61" priority="121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60" priority="120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59" priority="111" operator="containsText" text="Трактор базы">
      <formula>NOT(ISERROR(SEARCH("Трактор базы",B3601)))</formula>
    </cfRule>
  </conditionalFormatting>
  <conditionalFormatting sqref="B3601:B3612">
    <cfRule type="containsText" dxfId="158" priority="114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57" priority="112" operator="containsText" text="Газель базы">
      <formula>NOT(ISERROR(SEARCH("Газель базы",B3601)))</formula>
    </cfRule>
    <cfRule type="containsText" dxfId="156" priority="113" operator="containsText" text="Погрузчик базы">
      <formula>NOT(ISERROR(SEARCH("Погрузчик базы",B3601)))</formula>
    </cfRule>
  </conditionalFormatting>
  <conditionalFormatting sqref="A3696">
    <cfRule type="containsText" dxfId="155" priority="108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54" priority="110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53" priority="109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52" priority="105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51" priority="102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50" priority="107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49" priority="106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48" priority="104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47" priority="103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46" priority="101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45" priority="99" operator="containsText" text="Газель базы">
      <formula>NOT(ISERROR(SEARCH("Газель базы",B3750)))</formula>
    </cfRule>
    <cfRule type="containsText" dxfId="144" priority="100" operator="containsText" text="Погрузчик базы">
      <formula>NOT(ISERROR(SEARCH("Погрузчик базы",B3750)))</formula>
    </cfRule>
  </conditionalFormatting>
  <conditionalFormatting sqref="B3750:B3751">
    <cfRule type="containsText" dxfId="143" priority="98" operator="containsText" text="Трактор базы">
      <formula>NOT(ISERROR(SEARCH("Трактор базы",B3750)))</formula>
    </cfRule>
  </conditionalFormatting>
  <conditionalFormatting sqref="B3761:B3762">
    <cfRule type="containsText" dxfId="142" priority="97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41" priority="95" operator="containsText" text="Газель базы">
      <formula>NOT(ISERROR(SEARCH("Газель базы",B3761)))</formula>
    </cfRule>
    <cfRule type="containsText" dxfId="140" priority="96" operator="containsText" text="Погрузчик базы">
      <formula>NOT(ISERROR(SEARCH("Погрузчик базы",B3761)))</formula>
    </cfRule>
  </conditionalFormatting>
  <conditionalFormatting sqref="B3761:B3762">
    <cfRule type="containsText" dxfId="139" priority="94" operator="containsText" text="Трактор базы">
      <formula>NOT(ISERROR(SEARCH("Трактор базы",B3761)))</formula>
    </cfRule>
  </conditionalFormatting>
  <conditionalFormatting sqref="A3778">
    <cfRule type="containsText" dxfId="138" priority="93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37" priority="92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36" priority="91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35" priority="87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34" priority="90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33" priority="89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32" priority="88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31" priority="86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30" priority="84" operator="containsText" text="Газель базы">
      <formula>NOT(ISERROR(SEARCH("Газель базы",B3797)))</formula>
    </cfRule>
    <cfRule type="containsText" dxfId="129" priority="85" operator="containsText" text="Погрузчик базы">
      <formula>NOT(ISERROR(SEARCH("Погрузчик базы",B3797)))</formula>
    </cfRule>
  </conditionalFormatting>
  <conditionalFormatting sqref="B3797">
    <cfRule type="containsText" dxfId="128" priority="83" operator="containsText" text="Трактор базы">
      <formula>NOT(ISERROR(SEARCH("Трактор базы",B3797)))</formula>
    </cfRule>
  </conditionalFormatting>
  <conditionalFormatting sqref="B3799:B3800">
    <cfRule type="containsText" dxfId="127" priority="82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26" priority="80" operator="containsText" text="Газель базы">
      <formula>NOT(ISERROR(SEARCH("Газель базы",B3799)))</formula>
    </cfRule>
    <cfRule type="containsText" dxfId="125" priority="81" operator="containsText" text="Погрузчик базы">
      <formula>NOT(ISERROR(SEARCH("Погрузчик базы",B3799)))</formula>
    </cfRule>
  </conditionalFormatting>
  <conditionalFormatting sqref="B3799:B3800">
    <cfRule type="containsText" dxfId="124" priority="79" operator="containsText" text="Трактор базы">
      <formula>NOT(ISERROR(SEARCH("Трактор базы",B3799)))</formula>
    </cfRule>
  </conditionalFormatting>
  <conditionalFormatting sqref="B3881">
    <cfRule type="containsText" dxfId="123" priority="78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22" priority="76" operator="containsText" text="Газель базы">
      <formula>NOT(ISERROR(SEARCH("Газель базы",B3881)))</formula>
    </cfRule>
    <cfRule type="containsText" dxfId="121" priority="77" operator="containsText" text="Погрузчик базы">
      <formula>NOT(ISERROR(SEARCH("Погрузчик базы",B3881)))</formula>
    </cfRule>
  </conditionalFormatting>
  <conditionalFormatting sqref="B3881">
    <cfRule type="containsText" dxfId="120" priority="75" operator="containsText" text="Трактор базы">
      <formula>NOT(ISERROR(SEARCH("Трактор базы",B3881)))</formula>
    </cfRule>
  </conditionalFormatting>
  <conditionalFormatting sqref="B3884">
    <cfRule type="containsText" dxfId="119" priority="71" operator="containsText" text="Трактор базы">
      <formula>NOT(ISERROR(SEARCH("Трактор базы",B3884)))</formula>
    </cfRule>
  </conditionalFormatting>
  <conditionalFormatting sqref="B3884">
    <cfRule type="containsText" dxfId="118" priority="74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17" priority="72" operator="containsText" text="Газель базы">
      <formula>NOT(ISERROR(SEARCH("Газель базы",B3884)))</formula>
    </cfRule>
    <cfRule type="containsText" dxfId="116" priority="73" operator="containsText" text="Погрузчик базы">
      <formula>NOT(ISERROR(SEARCH("Погрузчик базы",B3884)))</formula>
    </cfRule>
  </conditionalFormatting>
  <conditionalFormatting sqref="B3913">
    <cfRule type="containsText" dxfId="115" priority="67" operator="containsText" text="Трактор базы">
      <formula>NOT(ISERROR(SEARCH("Трактор базы",B3913)))</formula>
    </cfRule>
  </conditionalFormatting>
  <conditionalFormatting sqref="B3913">
    <cfRule type="containsText" dxfId="114" priority="70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13" priority="68" operator="containsText" text="Газель базы">
      <formula>NOT(ISERROR(SEARCH("Газель базы",B3913)))</formula>
    </cfRule>
    <cfRule type="containsText" dxfId="112" priority="69" operator="containsText" text="Погрузчик базы">
      <formula>NOT(ISERROR(SEARCH("Погрузчик базы",B3913)))</formula>
    </cfRule>
  </conditionalFormatting>
  <conditionalFormatting sqref="A3935">
    <cfRule type="containsText" dxfId="111" priority="61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10" priority="66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09" priority="64" operator="containsText" text="Газель базы">
      <formula>NOT(ISERROR(SEARCH("Газель базы",B3935)))</formula>
    </cfRule>
    <cfRule type="containsText" dxfId="108" priority="65" operator="containsText" text="Погрузчик базы">
      <formula>NOT(ISERROR(SEARCH("Погрузчик базы",B3935)))</formula>
    </cfRule>
  </conditionalFormatting>
  <conditionalFormatting sqref="B3935">
    <cfRule type="containsText" dxfId="107" priority="63" operator="containsText" text="Трактор базы">
      <formula>NOT(ISERROR(SEARCH("Трактор базы",B3935)))</formula>
    </cfRule>
  </conditionalFormatting>
  <conditionalFormatting sqref="A3935">
    <cfRule type="containsText" dxfId="106" priority="62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05" priority="57" operator="containsText" text="Трактор базы">
      <formula>NOT(ISERROR(SEARCH("Трактор базы",B3937)))</formula>
    </cfRule>
  </conditionalFormatting>
  <conditionalFormatting sqref="B3937">
    <cfRule type="containsText" dxfId="104" priority="60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03" priority="58" operator="containsText" text="Газель базы">
      <formula>NOT(ISERROR(SEARCH("Газель базы",B3937)))</formula>
    </cfRule>
    <cfRule type="containsText" dxfId="102" priority="59" operator="containsText" text="Погрузчик базы">
      <formula>NOT(ISERROR(SEARCH("Погрузчик базы",B3937)))</formula>
    </cfRule>
  </conditionalFormatting>
  <conditionalFormatting sqref="B3946">
    <cfRule type="containsText" dxfId="101" priority="48" operator="containsText" text="Трактор базы">
      <formula>NOT(ISERROR(SEARCH("Трактор базы",B3946)))</formula>
    </cfRule>
  </conditionalFormatting>
  <conditionalFormatting sqref="B3945">
    <cfRule type="containsText" dxfId="100" priority="56" operator="containsText" text="Выезд с территории">
      <formula>NOT(ISERROR(SEARCH("Выезд с территории",B3945)))</formula>
    </cfRule>
  </conditionalFormatting>
  <conditionalFormatting sqref="B3945">
    <cfRule type="containsText" dxfId="99" priority="54" operator="containsText" text="Газель базы">
      <formula>NOT(ISERROR(SEARCH("Газель базы",B3945)))</formula>
    </cfRule>
    <cfRule type="containsText" dxfId="98" priority="55" operator="containsText" text="Погрузчик базы">
      <formula>NOT(ISERROR(SEARCH("Погрузчик базы",B3945)))</formula>
    </cfRule>
  </conditionalFormatting>
  <conditionalFormatting sqref="B3945">
    <cfRule type="containsText" dxfId="97" priority="53" operator="containsText" text="Трактор базы">
      <formula>NOT(ISERROR(SEARCH("Трактор базы",B3945)))</formula>
    </cfRule>
  </conditionalFormatting>
  <conditionalFormatting sqref="D3946:E3946 B3946">
    <cfRule type="containsText" dxfId="96" priority="52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95" priority="51" operator="notContains" text="порожний">
      <formula>ISERROR(SEARCH("порожний",C3946))</formula>
    </cfRule>
  </conditionalFormatting>
  <conditionalFormatting sqref="B3946">
    <cfRule type="containsText" dxfId="94" priority="49" operator="containsText" text="Газель базы">
      <formula>NOT(ISERROR(SEARCH("Газель базы",B3946)))</formula>
    </cfRule>
    <cfRule type="containsText" dxfId="93" priority="50" operator="containsText" text="Погрузчик базы">
      <formula>NOT(ISERROR(SEARCH("Погрузчик базы",B3946)))</formula>
    </cfRule>
  </conditionalFormatting>
  <conditionalFormatting sqref="B3966:B3967">
    <cfRule type="containsText" dxfId="92" priority="44" operator="containsText" text="Трактор базы">
      <formula>NOT(ISERROR(SEARCH("Трактор базы",B3966)))</formula>
    </cfRule>
  </conditionalFormatting>
  <conditionalFormatting sqref="B3966:B3967">
    <cfRule type="containsText" dxfId="91" priority="47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90" priority="45" operator="containsText" text="Газель базы">
      <formula>NOT(ISERROR(SEARCH("Газель базы",B3966)))</formula>
    </cfRule>
    <cfRule type="containsText" dxfId="89" priority="46" operator="containsText" text="Погрузчик базы">
      <formula>NOT(ISERROR(SEARCH("Погрузчик базы",B3966)))</formula>
    </cfRule>
  </conditionalFormatting>
  <conditionalFormatting sqref="B3976">
    <cfRule type="containsText" dxfId="88" priority="43" operator="containsText" text="Выезд с территории">
      <formula>NOT(ISERROR(SEARCH("Выезд с территории",B3976)))</formula>
    </cfRule>
  </conditionalFormatting>
  <conditionalFormatting sqref="B3976">
    <cfRule type="containsText" dxfId="87" priority="41" operator="containsText" text="Газель базы">
      <formula>NOT(ISERROR(SEARCH("Газель базы",B3976)))</formula>
    </cfRule>
    <cfRule type="containsText" dxfId="86" priority="42" operator="containsText" text="Погрузчик базы">
      <formula>NOT(ISERROR(SEARCH("Погрузчик базы",B3976)))</formula>
    </cfRule>
  </conditionalFormatting>
  <conditionalFormatting sqref="B3976">
    <cfRule type="containsText" dxfId="85" priority="40" operator="containsText" text="Трактор базы">
      <formula>NOT(ISERROR(SEARCH("Трактор базы",B3976)))</formula>
    </cfRule>
  </conditionalFormatting>
  <conditionalFormatting sqref="B3984">
    <cfRule type="containsText" dxfId="84" priority="39" operator="containsText" text="Выезд с территории">
      <formula>NOT(ISERROR(SEARCH("Выезд с территории",B3984)))</formula>
    </cfRule>
  </conditionalFormatting>
  <conditionalFormatting sqref="B3984">
    <cfRule type="containsText" dxfId="83" priority="37" operator="containsText" text="Газель базы">
      <formula>NOT(ISERROR(SEARCH("Газель базы",B3984)))</formula>
    </cfRule>
    <cfRule type="containsText" dxfId="82" priority="38" operator="containsText" text="Погрузчик базы">
      <formula>NOT(ISERROR(SEARCH("Погрузчик базы",B3984)))</formula>
    </cfRule>
  </conditionalFormatting>
  <conditionalFormatting sqref="B3984">
    <cfRule type="containsText" dxfId="81" priority="36" operator="containsText" text="Трактор базы">
      <formula>NOT(ISERROR(SEARCH("Трактор базы",B3984)))</formula>
    </cfRule>
  </conditionalFormatting>
  <conditionalFormatting sqref="B4007:B4008">
    <cfRule type="containsText" dxfId="80" priority="32" operator="containsText" text="Трактор базы">
      <formula>NOT(ISERROR(SEARCH("Трактор базы",B4007)))</formula>
    </cfRule>
  </conditionalFormatting>
  <conditionalFormatting sqref="B4007:B4008">
    <cfRule type="containsText" dxfId="79" priority="35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78" priority="33" operator="containsText" text="Газель базы">
      <formula>NOT(ISERROR(SEARCH("Газель базы",B4007)))</formula>
    </cfRule>
    <cfRule type="containsText" dxfId="77" priority="34" operator="containsText" text="Погрузчик базы">
      <formula>NOT(ISERROR(SEARCH("Погрузчик базы",B4007)))</formula>
    </cfRule>
  </conditionalFormatting>
  <conditionalFormatting sqref="B4096">
    <cfRule type="containsText" dxfId="76" priority="20" operator="containsText" text="Трактор базы">
      <formula>NOT(ISERROR(SEARCH("Трактор базы",B4096)))</formula>
    </cfRule>
  </conditionalFormatting>
  <conditionalFormatting sqref="B4080:B4082">
    <cfRule type="containsText" dxfId="75" priority="31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74" priority="29" operator="containsText" text="Газель базы">
      <formula>NOT(ISERROR(SEARCH("Газель базы",B4080)))</formula>
    </cfRule>
    <cfRule type="containsText" dxfId="73" priority="30" operator="containsText" text="Погрузчик базы">
      <formula>NOT(ISERROR(SEARCH("Погрузчик базы",B4080)))</formula>
    </cfRule>
  </conditionalFormatting>
  <conditionalFormatting sqref="B4080:B4082">
    <cfRule type="containsText" dxfId="72" priority="28" operator="containsText" text="Трактор базы">
      <formula>NOT(ISERROR(SEARCH("Трактор базы",B4080)))</formula>
    </cfRule>
  </conditionalFormatting>
  <conditionalFormatting sqref="B4088:B4094">
    <cfRule type="containsText" dxfId="71" priority="27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70" priority="25" operator="containsText" text="Газель базы">
      <formula>NOT(ISERROR(SEARCH("Газель базы",B4088)))</formula>
    </cfRule>
    <cfRule type="containsText" dxfId="69" priority="26" operator="containsText" text="Погрузчик базы">
      <formula>NOT(ISERROR(SEARCH("Погрузчик базы",B4088)))</formula>
    </cfRule>
  </conditionalFormatting>
  <conditionalFormatting sqref="B4088:B4094">
    <cfRule type="containsText" dxfId="68" priority="24" operator="containsText" text="Трактор базы">
      <formula>NOT(ISERROR(SEARCH("Трактор базы",B4088)))</formula>
    </cfRule>
  </conditionalFormatting>
  <conditionalFormatting sqref="B4096">
    <cfRule type="containsText" dxfId="67" priority="23" operator="containsText" text="Выезд с территории">
      <formula>NOT(ISERROR(SEARCH("Выезд с территории",B4096)))</formula>
    </cfRule>
  </conditionalFormatting>
  <conditionalFormatting sqref="B4096">
    <cfRule type="containsText" dxfId="66" priority="21" operator="containsText" text="Газель базы">
      <formula>NOT(ISERROR(SEARCH("Газель базы",B4096)))</formula>
    </cfRule>
    <cfRule type="containsText" dxfId="65" priority="22" operator="containsText" text="Погрузчик базы">
      <formula>NOT(ISERROR(SEARCH("Погрузчик базы",B4096)))</formula>
    </cfRule>
  </conditionalFormatting>
  <conditionalFormatting sqref="A4374:A4375">
    <cfRule type="containsText" dxfId="64" priority="13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63" priority="15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62" priority="14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61" priority="12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60" priority="10" operator="containsText" text="Газель базы">
      <formula>NOT(ISERROR(SEARCH("Газель базы",B4453)))</formula>
    </cfRule>
    <cfRule type="containsText" dxfId="59" priority="11" operator="containsText" text="Погрузчик базы">
      <formula>NOT(ISERROR(SEARCH("Погрузчик базы",B4453)))</formula>
    </cfRule>
  </conditionalFormatting>
  <conditionalFormatting sqref="B4453:B4456">
    <cfRule type="containsText" dxfId="58" priority="9" operator="containsText" text="Трактор базы">
      <formula>NOT(ISERROR(SEARCH("Трактор базы",B4453)))</formula>
    </cfRule>
  </conditionalFormatting>
  <conditionalFormatting sqref="B4465:B4467">
    <cfRule type="containsText" dxfId="57" priority="5" operator="containsText" text="Трактор базы">
      <formula>NOT(ISERROR(SEARCH("Трактор базы",B4465)))</formula>
    </cfRule>
  </conditionalFormatting>
  <conditionalFormatting sqref="B4465:B4467">
    <cfRule type="containsText" dxfId="56" priority="8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55" priority="6" operator="containsText" text="Газель базы">
      <formula>NOT(ISERROR(SEARCH("Газель базы",B4465)))</formula>
    </cfRule>
    <cfRule type="containsText" dxfId="54" priority="7" operator="containsText" text="Погрузчик базы">
      <formula>NOT(ISERROR(SEARCH("Погрузчик базы",B4465)))</formula>
    </cfRule>
  </conditionalFormatting>
  <conditionalFormatting sqref="B4488">
    <cfRule type="containsText" dxfId="53" priority="1" operator="containsText" text="Трактор базы">
      <formula>NOT(ISERROR(SEARCH("Трактор базы",B4488)))</formula>
    </cfRule>
  </conditionalFormatting>
  <conditionalFormatting sqref="B4488">
    <cfRule type="containsText" dxfId="52" priority="4" operator="containsText" text="Выезд с территории">
      <formula>NOT(ISERROR(SEARCH("Выезд с территории",B4488)))</formula>
    </cfRule>
  </conditionalFormatting>
  <conditionalFormatting sqref="B4488">
    <cfRule type="containsText" dxfId="51" priority="2" operator="containsText" text="Газель базы">
      <formula>NOT(ISERROR(SEARCH("Газель базы",B4488)))</formula>
    </cfRule>
    <cfRule type="containsText" dxfId="50" priority="3" operator="containsText" text="Погрузчик базы">
      <formula>NOT(ISERROR(SEARCH("Погрузчик базы",B4488)))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49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48" priority="13" operator="notContains" text="порожний">
      <formula>ISERROR(SEARCH("порожний",F2))</formula>
    </cfRule>
  </conditionalFormatting>
  <conditionalFormatting sqref="E2:E418">
    <cfRule type="containsText" dxfId="47" priority="11" operator="containsText" text="Газель базы">
      <formula>NOT(ISERROR(SEARCH("Газель базы",E2)))</formula>
    </cfRule>
    <cfRule type="containsText" dxfId="46" priority="12" operator="containsText" text="Погрузчик базы">
      <formula>NOT(ISERROR(SEARCH("Погрузчик базы",E2)))</formula>
    </cfRule>
  </conditionalFormatting>
  <conditionalFormatting sqref="E2:E418">
    <cfRule type="containsText" dxfId="45" priority="10" operator="containsText" text="Трактор базы">
      <formula>NOT(ISERROR(SEARCH("Трактор базы",E2)))</formula>
    </cfRule>
  </conditionalFormatting>
  <conditionalFormatting sqref="A2:C404">
    <cfRule type="expression" dxfId="44" priority="9">
      <formula>$A2="пн"</formula>
    </cfRule>
  </conditionalFormatting>
  <conditionalFormatting sqref="A2:C406">
    <cfRule type="expression" dxfId="43" priority="3">
      <formula>$A2="вс"</formula>
    </cfRule>
    <cfRule type="expression" dxfId="42" priority="4">
      <formula>$A2="сб"</formula>
    </cfRule>
    <cfRule type="expression" dxfId="41" priority="5">
      <formula>$A2="пт"</formula>
    </cfRule>
    <cfRule type="expression" dxfId="40" priority="6">
      <formula>$A2="чт"</formula>
    </cfRule>
    <cfRule type="expression" dxfId="39" priority="7">
      <formula>$A2="ср"</formula>
    </cfRule>
    <cfRule type="expression" dxfId="38" priority="8">
      <formula>$A2="вт"</formula>
    </cfRule>
  </conditionalFormatting>
  <conditionalFormatting sqref="D2:D415">
    <cfRule type="containsText" dxfId="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63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t="s">
        <v>10804</v>
      </c>
      <c r="J257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t="s">
        <v>10807</v>
      </c>
      <c r="J25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t="s">
        <v>16537</v>
      </c>
      <c r="J25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t="s">
        <v>16549</v>
      </c>
      <c r="J260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t="s">
        <v>16624</v>
      </c>
      <c r="J262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t="s">
        <v>16627</v>
      </c>
      <c r="J263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</sheetData>
  <phoneticPr fontId="2" type="noConversion"/>
  <conditionalFormatting sqref="E264:E285 D2:E263">
    <cfRule type="containsText" dxfId="35" priority="7" operator="containsText" text="Выезд с территории">
      <formula>NOT(ISERROR(SEARCH("Выезд с территории",D2)))</formula>
    </cfRule>
  </conditionalFormatting>
  <conditionalFormatting sqref="D2:D263">
    <cfRule type="containsText" dxfId="3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3">
    <cfRule type="containsText" dxfId="3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5">
    <cfRule type="containsText" dxfId="32" priority="2" operator="containsText" text="Газель базы">
      <formula>NOT(ISERROR(SEARCH("Газель базы",E2)))</formula>
    </cfRule>
    <cfRule type="containsText" dxfId="31" priority="3" operator="containsText" text="Погрузчик базы">
      <formula>NOT(ISERROR(SEARCH("Погрузчик базы",E2)))</formula>
    </cfRule>
  </conditionalFormatting>
  <conditionalFormatting sqref="E2:E285">
    <cfRule type="containsText" dxfId="3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71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</sheetData>
  <conditionalFormatting sqref="E172:E193 D2:E171">
    <cfRule type="containsText" dxfId="29" priority="6" operator="containsText" text="Выезд с территории">
      <formula>NOT(ISERROR(SEARCH("Выезд с территории",D2)))</formula>
    </cfRule>
  </conditionalFormatting>
  <conditionalFormatting sqref="D2:D171">
    <cfRule type="containsText" dxfId="2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1">
    <cfRule type="containsText" dxfId="2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3">
    <cfRule type="containsText" dxfId="26" priority="2" operator="containsText" text="Газель базы">
      <formula>NOT(ISERROR(SEARCH("Газель базы",E2)))</formula>
    </cfRule>
    <cfRule type="containsText" dxfId="25" priority="3" operator="containsText" text="Погрузчик базы">
      <formula>NOT(ISERROR(SEARCH("Погрузчик базы",E2)))</formula>
    </cfRule>
  </conditionalFormatting>
  <conditionalFormatting sqref="E2:E193">
    <cfRule type="containsText" dxfId="2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2026-03-10T01:50:21Z</dcterms:modified>
</cp:coreProperties>
</file>