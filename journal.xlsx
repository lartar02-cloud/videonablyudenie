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A86F04E-301D-40D0-90F2-0C8C93A1068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въезд'!$A$1:$L$200</definedName>
    <definedName name="ExternalData_1" localSheetId="9" hidden="1">'10 Сушилка навес'!$A$1:$L$521</definedName>
    <definedName name="ExternalData_1" localSheetId="10" hidden="1">'11 С ангара на базу'!$A$1:$L$228</definedName>
    <definedName name="ExternalData_1" localSheetId="11" hidden="1">'12 Площадка 3 кран'!$A$1:$L$146</definedName>
    <definedName name="ExternalData_1" localSheetId="12" hidden="1">'13 Склад хол'!$A$1:$L$122</definedName>
    <definedName name="ExternalData_1" localSheetId="1" hidden="1">'2 Пилорама поката'!$A$1:$L$214</definedName>
    <definedName name="ExternalData_1" localSheetId="2" hidden="1">'3 Въезд на базу'!$A$1:$L$124</definedName>
    <definedName name="ExternalData_1" localSheetId="3" hidden="1">'4 Крыльцо офиса'!$A$1:$L$138</definedName>
    <definedName name="ExternalData_1" localSheetId="4" hidden="1">'5 Крыльцо общага'!$A$1:$L$218</definedName>
    <definedName name="ExternalData_1" localSheetId="5" hidden="1">'6 Площадка 1 общага'!$A$1:$L$104</definedName>
    <definedName name="ExternalData_1" localSheetId="6" hidden="1">'7 Площадка 2 бетонщики'!$A$1:$L$228</definedName>
    <definedName name="ExternalData_1" localSheetId="7" hidden="1">'8 Рейсмус'!$A$1:$L$175</definedName>
    <definedName name="ExternalData_1" localSheetId="8" hidden="1">'9 Ангар пилорама'!$A$1:$L$508</definedName>
    <definedName name="ExternalData_1" localSheetId="14" hidden="1">Загрузка!$A$1:$L$212</definedName>
    <definedName name="ExternalData_1" localSheetId="15" hidden="1">'Стороний грузовой транспорт'!$A$1:$L$371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<sst xmlns="http://schemas.openxmlformats.org/spreadsheetml/2006/main" count="41423" uniqueCount="9213">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</sst>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42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00" tableType="queryTable" totalsRowShown="0">
  <autoFilter ref="A1:N200" xr:uid="{B468AF39-21AE-47BD-BA18-EADB2FC1D520}"/>
  <tableColumns count="14">
    <tableColumn id="11" xr3:uid="{6F8E650D-029B-40AD-86B4-92C160128A4F}" uniqueName="11" name="День нед" queryTableFieldId="39" dataDxfId="739"/>
    <tableColumn id="8" xr3:uid="{7C2AA400-8F21-45B7-B47D-9CF2CFB5DD00}" uniqueName="8" name="Дата" queryTableFieldId="19" dataDxfId="738"/>
    <tableColumn id="9" xr3:uid="{7CB7ABF0-C98D-49E4-A494-985A43D5F40F}" uniqueName="9" name="Время" queryTableFieldId="20" dataDxfId="737"/>
    <tableColumn id="5" xr3:uid="{613A944B-9245-4C6D-9CCE-5037AD552DED}" uniqueName="5" name="Событие" queryTableFieldId="27" dataDxfId="736"/>
    <tableColumn id="7" xr3:uid="{FFEA85A5-3527-4483-91CE-57F760AB9F33}" uniqueName="7" name="Объект" queryTableFieldId="29" dataDxfId="735"/>
    <tableColumn id="10" xr3:uid="{A2E2C27E-C1B2-4B74-A427-E1854B0E2C76}" uniqueName="10" name="Груз" queryTableFieldId="30" dataDxfId="73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733"/>
    <tableColumn id="4" xr3:uid="{B2B57637-8A7D-4C5F-A6F8-E38F3EA43620}" uniqueName="4" name="Name" queryTableFieldId="14" dataDxfId="732"/>
    <tableColumn id="1" xr3:uid="{79275791-6385-434B-9F1B-8BDC003824A7}" uniqueName="1" name="Folder Path" queryTableFieldId="11" dataDxfId="73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73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72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14" tableType="queryTable" totalsRowShown="0">
  <autoFilter ref="A1:M214" xr:uid="{B468AF39-21AE-47BD-BA18-EADB2FC1D520}"/>
  <tableColumns count="13">
    <tableColumn id="11" xr3:uid="{6804E693-7D64-41A5-9B58-B7D348C4DC92}" uniqueName="11" name="День нед" queryTableFieldId="39" dataDxfId="728"/>
    <tableColumn id="8" xr3:uid="{40827FD9-94EC-4CF6-B212-59CF3E913897}" uniqueName="8" name="Дата" queryTableFieldId="19" dataDxfId="727"/>
    <tableColumn id="9" xr3:uid="{1F8E8ADE-5BFB-4171-9A0A-859E22042D3B}" uniqueName="9" name="Время" queryTableFieldId="20" dataDxfId="726"/>
    <tableColumn id="5" xr3:uid="{9D19F2E1-3C70-4F2F-8ED7-6D41C17A9366}" uniqueName="5" name="Событие" queryTableFieldId="27" dataDxfId="725"/>
    <tableColumn id="7" xr3:uid="{8C8CC69A-BA0A-4417-AE7D-B89E26F69F9B}" uniqueName="7" name="Объект" queryTableFieldId="29" dataDxfId="724"/>
    <tableColumn id="10" xr3:uid="{375C36FB-077D-4AA3-B6F7-74ACE46C2638}" uniqueName="10" name="Груз" queryTableFieldId="30" dataDxfId="72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722"/>
    <tableColumn id="4" xr3:uid="{4A5BB282-D54C-4C68-A1D9-B3A819F9FCF6}" uniqueName="4" name="Name" queryTableFieldId="14" dataDxfId="721"/>
    <tableColumn id="1" xr3:uid="{7BD19058-41FF-4EFE-8283-68501A5B1623}" uniqueName="1" name="Folder Path" queryTableFieldId="11" dataDxfId="72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1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24" tableType="queryTable" totalsRowShown="0">
  <autoFilter ref="A1:M124" xr:uid="{B468AF39-21AE-47BD-BA18-EADB2FC1D520}"/>
  <tableColumns count="13">
    <tableColumn id="11" xr3:uid="{8C7989A8-AE95-4BFB-859E-9F3F94DCD873}" uniqueName="11" name="День нед" queryTableFieldId="39" dataDxfId="688"/>
    <tableColumn id="8" xr3:uid="{B651DAE5-1AB7-4761-9820-CB58DA0D9C46}" uniqueName="8" name="Дата" queryTableFieldId="19" dataDxfId="687"/>
    <tableColumn id="9" xr3:uid="{22B6AE73-6E8B-4F81-B85C-3D141AD4D773}" uniqueName="9" name="Время" queryTableFieldId="20" dataDxfId="686"/>
    <tableColumn id="5" xr3:uid="{CB5AF0FF-A861-4F29-BFD9-751A47066C68}" uniqueName="5" name="Событие" queryTableFieldId="27" dataDxfId="685"/>
    <tableColumn id="7" xr3:uid="{63916370-0910-4B95-ABB4-D88865AA9E43}" uniqueName="7" name="Объект" queryTableFieldId="29" dataDxfId="684"/>
    <tableColumn id="10" xr3:uid="{DDC7656E-7390-4778-A2CE-EEC7AC518263}" uniqueName="10" name="Груз" queryTableFieldId="30" dataDxfId="68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682"/>
    <tableColumn id="4" xr3:uid="{96665EED-E1B8-437C-869A-35CB5BA419D3}" uniqueName="4" name="Name" queryTableFieldId="14" dataDxfId="681"/>
    <tableColumn id="1" xr3:uid="{1F225BD8-B59D-4058-9D99-17124C1F38FB}" uniqueName="1" name="Folder Path" queryTableFieldId="11" dataDxfId="68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7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38" tableType="queryTable" totalsRowShown="0">
  <tableColumns count="13">
    <tableColumn id="11" xr3:uid="{F25D1388-C4DF-49FB-9BF5-0132CEDCCAEA}" uniqueName="11" name="День нед" queryTableFieldId="39" dataDxfId="698"/>
    <tableColumn id="8" xr3:uid="{9EDCCA26-9FD6-4F66-9134-186F89CA663B}" uniqueName="8" name="Дата" queryTableFieldId="19" dataDxfId="697"/>
    <tableColumn id="9" xr3:uid="{FB005DB9-8D3C-48A5-94F1-246606C665DD}" uniqueName="9" name="Время" queryTableFieldId="20" dataDxfId="696"/>
    <tableColumn id="5" xr3:uid="{6D19407C-64CF-4FC5-95E7-163AA12EB226}" uniqueName="5" name="Событие" queryTableFieldId="27" dataDxfId="695"/>
    <tableColumn id="7" xr3:uid="{007BF834-0BCB-4416-8941-11DA4EDFCE5B}" uniqueName="7" name="Объект" queryTableFieldId="29" dataDxfId="694"/>
    <tableColumn id="10" xr3:uid="{E896F002-4451-441D-B0CB-52AD69A6E5C3}" uniqueName="10" name="Груз" queryTableFieldId="30" dataDxfId="69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692"/>
    <tableColumn id="4" xr3:uid="{9F6560FA-27F8-4BE9-BA58-3B0E40F582E5}" uniqueName="4" name="Name" queryTableFieldId="14" dataDxfId="691"/>
    <tableColumn id="1" xr3:uid="{44892CD0-9118-4535-9434-E49462140346}" uniqueName="1" name="Folder Path" queryTableFieldId="11" dataDxfId="69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68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18" tableType="queryTable" totalsRowShown="0">
  <tableColumns count="13">
    <tableColumn id="11" xr3:uid="{390CB009-E9E0-4C0F-93C3-AF6B408B816B}" uniqueName="11" name="День нед" queryTableFieldId="39" dataDxfId="718"/>
    <tableColumn id="8" xr3:uid="{E0A1C296-A368-479C-9A74-85306B3C03D4}" uniqueName="8" name="Дата" queryTableFieldId="19" dataDxfId="717"/>
    <tableColumn id="9" xr3:uid="{86401298-83EB-49D3-ACBA-E743586F5CCB}" uniqueName="9" name="Время" queryTableFieldId="20" dataDxfId="716"/>
    <tableColumn id="5" xr3:uid="{FFB4F03A-A400-4544-A729-2375A1F7D5E8}" uniqueName="5" name="Событие" queryTableFieldId="27" dataDxfId="715"/>
    <tableColumn id="7" xr3:uid="{D96DCF3C-D325-4D0C-94A1-DBE97CC5C9DC}" uniqueName="7" name="Объект" queryTableFieldId="29" dataDxfId="714"/>
    <tableColumn id="10" xr3:uid="{76D99262-42F5-447E-95AC-9C2A84BF344C}" uniqueName="10" name="Груз" queryTableFieldId="30" dataDxfId="71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12"/>
    <tableColumn id="4" xr3:uid="{D16AEB37-7A8A-406F-8ED7-B8D53BAA9BD9}" uniqueName="4" name="Name" queryTableFieldId="14" dataDxfId="711"/>
    <tableColumn id="1" xr3:uid="{1746BE5F-089A-476F-AE8D-5F2B27E9AEEA}" uniqueName="1" name="Folder Path" queryTableFieldId="11" dataDxfId="71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0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04" tableType="queryTable" totalsRowShown="0">
  <tableColumns count="13">
    <tableColumn id="11" xr3:uid="{45D23538-AB74-404E-8577-E2B7A36436AF}" uniqueName="11" name="День нед" queryTableFieldId="39" dataDxfId="678"/>
    <tableColumn id="8" xr3:uid="{40B01B94-168F-4547-A2BC-AA7F91350AB3}" uniqueName="8" name="Дата" queryTableFieldId="19" dataDxfId="677"/>
    <tableColumn id="9" xr3:uid="{A2C94EFB-3081-4BA9-85C2-DFF0455AFA43}" uniqueName="9" name="Время" queryTableFieldId="20" dataDxfId="676"/>
    <tableColumn id="5" xr3:uid="{244D3D34-C9EC-4B9C-BE81-12A0C0BB4342}" uniqueName="5" name="Событие" queryTableFieldId="27" dataDxfId="675"/>
    <tableColumn id="7" xr3:uid="{C449A112-E8A8-4956-B85C-2BA12316F170}" uniqueName="7" name="Объект" queryTableFieldId="29" dataDxfId="674"/>
    <tableColumn id="10" xr3:uid="{C8411557-C312-4542-93DA-DF5949399E11}" uniqueName="10" name="Груз" queryTableFieldId="30" dataDxfId="67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72"/>
    <tableColumn id="4" xr3:uid="{6A396D44-0898-4737-A4C1-8D6D40981793}" uniqueName="4" name="Name" queryTableFieldId="14" dataDxfId="671"/>
    <tableColumn id="1" xr3:uid="{328F21C9-48B9-4081-9B8C-BBD168BD38D1}" uniqueName="1" name="Folder Path" queryTableFieldId="11" dataDxfId="67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6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28" tableType="queryTable" totalsRowShown="0">
  <tableColumns count="13">
    <tableColumn id="11" xr3:uid="{2311EAC9-4673-4BE2-ADB0-E8CEB0BD9945}" uniqueName="11" name="День нед" queryTableFieldId="39" dataDxfId="708"/>
    <tableColumn id="8" xr3:uid="{F1C9804A-F8E7-4755-B717-859265C587A2}" uniqueName="8" name="Дата" queryTableFieldId="19" dataDxfId="707"/>
    <tableColumn id="9" xr3:uid="{1C2BA522-8D4F-4713-849C-1F60357B476E}" uniqueName="9" name="Время" queryTableFieldId="20" dataDxfId="706"/>
    <tableColumn id="5" xr3:uid="{6E084A00-DC62-4E93-8ABC-4651FD4D2408}" uniqueName="5" name="Событие" queryTableFieldId="27" dataDxfId="705"/>
    <tableColumn id="7" xr3:uid="{C9F6EF14-DBE7-4655-9D20-5B253923C11E}" uniqueName="7" name="Объект" queryTableFieldId="29" dataDxfId="704"/>
    <tableColumn id="10" xr3:uid="{0ADEC0F9-9FE9-4E92-BD38-0B8CDDE1BDBD}" uniqueName="10" name="Груз" queryTableFieldId="30" dataDxfId="70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02"/>
    <tableColumn id="4" xr3:uid="{FE606B6B-0A78-44A2-B44F-54FBA553BAD6}" uniqueName="4" name="Name" queryTableFieldId="14" dataDxfId="701"/>
    <tableColumn id="1" xr3:uid="{34274AB2-665A-4EF1-8C79-4944C9C122A7}" uniqueName="1" name="Folder Path" queryTableFieldId="11" dataDxfId="70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9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75" tableType="queryTable" totalsRowShown="0">
  <tableColumns count="13">
    <tableColumn id="11" xr3:uid="{72CE202A-C56C-4D63-9F9F-0DFF72BB5190}" uniqueName="11" name="День нед" queryTableFieldId="39" dataDxfId="668"/>
    <tableColumn id="8" xr3:uid="{0D9F5C4C-70B0-46E2-9E29-649E206B6616}" uniqueName="8" name="Дата" queryTableFieldId="19" dataDxfId="667"/>
    <tableColumn id="9" xr3:uid="{7C8561D4-BD7D-493F-BC95-213F2D55F3FD}" uniqueName="9" name="Время" queryTableFieldId="20" dataDxfId="666"/>
    <tableColumn id="5" xr3:uid="{E48795B2-2732-4E4A-81E8-B1585581420B}" uniqueName="5" name="Событие" queryTableFieldId="27" dataDxfId="665"/>
    <tableColumn id="7" xr3:uid="{F684EE24-0636-4EC2-AB94-A65EA5355534}" uniqueName="7" name="Объект" queryTableFieldId="29" dataDxfId="664"/>
    <tableColumn id="10" xr3:uid="{0C1B5273-277F-4438-B52D-9F868AD13DEE}" uniqueName="10" name="Груз" queryTableFieldId="30" dataDxfId="66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62"/>
    <tableColumn id="4" xr3:uid="{729433F6-F4FD-435B-851D-D34CC9060068}" uniqueName="4" name="Name" queryTableFieldId="14" dataDxfId="661"/>
    <tableColumn id="1" xr3:uid="{7A9B9B80-B872-4A82-9D9D-98A75E20F89B}" uniqueName="1" name="Folder Path" queryTableFieldId="11" dataDxfId="66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5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08" tableType="queryTable" totalsRowShown="0">
  <tableColumns count="13">
    <tableColumn id="11" xr3:uid="{2CE691F0-1D02-41BD-8E81-7716875609CD}" uniqueName="11" name="День нед" queryTableFieldId="39" dataDxfId="638"/>
    <tableColumn id="8" xr3:uid="{1A2A3B97-F602-468E-8AD3-5DD492638A71}" uniqueName="8" name="Дата" queryTableFieldId="19" dataDxfId="637"/>
    <tableColumn id="9" xr3:uid="{E8725BDD-FF6C-47C3-9100-825160B93721}" uniqueName="9" name="Время" queryTableFieldId="20" dataDxfId="636"/>
    <tableColumn id="5" xr3:uid="{F68EB906-7F6F-4765-A5C8-9B40064179BE}" uniqueName="5" name="Событие" queryTableFieldId="27" dataDxfId="635"/>
    <tableColumn id="7" xr3:uid="{812FE0F9-0D7E-497C-893A-B104BA069155}" uniqueName="7" name="Объект" queryTableFieldId="29" dataDxfId="634"/>
    <tableColumn id="10" xr3:uid="{1679E688-A047-4936-9EBC-9BDCFEA4CD95}" uniqueName="10" name="Груз" queryTableFieldId="30" dataDxfId="63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32"/>
    <tableColumn id="4" xr3:uid="{F9F7F55E-2CCF-4A6B-892F-1C76C0668832}" uniqueName="4" name="Name" queryTableFieldId="14" dataDxfId="631"/>
    <tableColumn id="1" xr3:uid="{0AF9B05B-8D0E-4B8A-81D0-358A18429CE8}" uniqueName="1" name="Folder Path" queryTableFieldId="11" dataDxfId="63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2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21" tableType="queryTable" totalsRowShown="0">
  <tableColumns count="13">
    <tableColumn id="11" xr3:uid="{96A6BDDB-7ED5-4607-80F3-3FD842EAEE0A}" uniqueName="11" name="День нед" queryTableFieldId="39" dataDxfId="658"/>
    <tableColumn id="8" xr3:uid="{FBEC9ECA-BD5C-442E-BB86-7CCAEF9464D2}" uniqueName="8" name="Дата" queryTableFieldId="19" dataDxfId="657"/>
    <tableColumn id="9" xr3:uid="{68242AF7-BC60-4380-843B-35A6CC4A66E6}" uniqueName="9" name="Время" queryTableFieldId="20" dataDxfId="656"/>
    <tableColumn id="5" xr3:uid="{C98BCFD6-9DE9-4A28-B769-F5737933429D}" uniqueName="5" name="Событие" queryTableFieldId="27" dataDxfId="655"/>
    <tableColumn id="7" xr3:uid="{4D44F8D4-93A4-4851-894E-AC8CDD93BD71}" uniqueName="7" name="Объект" queryTableFieldId="29" dataDxfId="654"/>
    <tableColumn id="10" xr3:uid="{0A838B00-A88A-40EE-A542-7E8E08968D89}" uniqueName="10" name="Груз" queryTableFieldId="30" dataDxfId="65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52"/>
    <tableColumn id="4" xr3:uid="{4FA2E248-D5A3-4824-875F-C328FA9AC2F9}" uniqueName="4" name="Name" queryTableFieldId="14" dataDxfId="651"/>
    <tableColumn id="1" xr3:uid="{B01A6B83-82C4-4172-AD5B-D2AF410DBE1B}" uniqueName="1" name="Folder Path" queryTableFieldId="11" dataDxfId="65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4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28" tableType="queryTable" totalsRowShown="0">
  <tableColumns count="13">
    <tableColumn id="11" xr3:uid="{2AD64508-44AB-4871-8C82-4C5A1E5A5DD2}" uniqueName="11" name="День нед" queryTableFieldId="39" dataDxfId="648"/>
    <tableColumn id="8" xr3:uid="{C788117B-4896-492B-97B3-B2502F0537D8}" uniqueName="8" name="Дата" queryTableFieldId="19" dataDxfId="647"/>
    <tableColumn id="9" xr3:uid="{E3EF5757-6705-492A-BD76-A47D414757C0}" uniqueName="9" name="Время" queryTableFieldId="20" dataDxfId="646"/>
    <tableColumn id="5" xr3:uid="{EF049B28-F832-4F3D-AB4F-3C396920BF5B}" uniqueName="5" name="Событие" queryTableFieldId="27" dataDxfId="645"/>
    <tableColumn id="7" xr3:uid="{DDB63E42-2809-4377-A568-A326109989E9}" uniqueName="7" name="Объект" queryTableFieldId="29" dataDxfId="644"/>
    <tableColumn id="10" xr3:uid="{A4FCF3D3-582A-4DEF-8FB8-9D050C82517D}" uniqueName="10" name="Груз" queryTableFieldId="30" dataDxfId="64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42"/>
    <tableColumn id="4" xr3:uid="{DA63B8EC-3587-40B4-A86A-92B91C78723D}" uniqueName="4" name="Name" queryTableFieldId="14" dataDxfId="641"/>
    <tableColumn id="1" xr3:uid="{360C7476-DEC6-4377-8E95-D472C6673B12}" uniqueName="1" name="Folder Path" queryTableFieldId="11" dataDxfId="64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3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46" tableType="queryTable" totalsRowShown="0">
  <tableColumns count="13">
    <tableColumn id="11" xr3:uid="{C40005DE-8CA6-428A-9DF2-E715CC943F02}" uniqueName="11" name="День нед" queryTableFieldId="39" dataDxfId="628"/>
    <tableColumn id="8" xr3:uid="{55C75F47-F14F-483C-9C7A-95288D9463D6}" uniqueName="8" name="Дата" queryTableFieldId="19" dataDxfId="627"/>
    <tableColumn id="9" xr3:uid="{79D3981C-638A-4D64-BACB-D64D85DAC855}" uniqueName="9" name="Время" queryTableFieldId="20" dataDxfId="626"/>
    <tableColumn id="5" xr3:uid="{B0B848B5-29B2-4292-89A5-7DE5A2F72D15}" uniqueName="5" name="Событие" queryTableFieldId="27" dataDxfId="625"/>
    <tableColumn id="7" xr3:uid="{A9E0C8AC-2336-4969-BC3E-110E6C33529C}" uniqueName="7" name="Объект" queryTableFieldId="29" dataDxfId="624"/>
    <tableColumn id="10" xr3:uid="{F8691CA5-2689-452F-9550-C52E06B35BD6}" uniqueName="10" name="Груз" queryTableFieldId="30" dataDxfId="62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622"/>
    <tableColumn id="4" xr3:uid="{E9716AC2-8439-4E67-8698-BA6CD84F7B9C}" uniqueName="4" name="Name" queryTableFieldId="14" dataDxfId="621"/>
    <tableColumn id="1" xr3:uid="{9AB30DEC-91E3-4633-A156-B937B586CECB}" uniqueName="1" name="Folder Path" queryTableFieldId="11" dataDxfId="62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1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22" tableType="queryTable" totalsRowShown="0">
  <tableColumns count="13">
    <tableColumn id="11" xr3:uid="{B21CFC33-55C8-4073-BBD2-E0A5154A10D6}" uniqueName="11" name="День нед" queryTableFieldId="39" dataDxfId="19"/>
    <tableColumn id="8" xr3:uid="{004370C0-0D3C-4162-A392-32C741C3A58B}" uniqueName="8" name="Дата" queryTableFieldId="19" dataDxfId="18"/>
    <tableColumn id="9" xr3:uid="{6537DA5E-247D-44FB-ACE3-933B3C9B9408}" uniqueName="9" name="Время" queryTableFieldId="20" dataDxfId="17"/>
    <tableColumn id="5" xr3:uid="{4FA9309D-407E-48C1-B1F9-C33DEA7645B1}" uniqueName="5" name="Событие" queryTableFieldId="27" dataDxfId="16"/>
    <tableColumn id="7" xr3:uid="{76E54E9E-D730-4C99-9BF5-96E9384FF63C}" uniqueName="7" name="Объект" queryTableFieldId="29" dataDxfId="15"/>
    <tableColumn id="10" xr3:uid="{B9F78DE2-7938-486B-9BE2-F824D0E7A6C4}" uniqueName="10" name="Груз" queryTableFieldId="30" dataDxfId="1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3"/>
    <tableColumn id="4" xr3:uid="{921D28C1-5761-48A7-B447-6A4446F87545}" uniqueName="4" name="Name" queryTableFieldId="14" dataDxfId="12"/>
    <tableColumn id="1" xr3:uid="{F1A648C1-8DB5-4DEF-B011-BD85E17FCAA3}" uniqueName="1" name="Folder Path" queryTableFieldId="11" dataDxfId="1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918" totalsRowShown="0">
  <autoFilter ref="A1:G2918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2" tableType="queryTable" totalsRowShown="0">
  <autoFilter ref="A1:M21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41"/>
    <tableColumn id="10" xr3:uid="{2646CF32-E994-4A14-AEA5-9E938118AF27}" uniqueName="10" name="Folder Path" queryTableFieldId="10" dataDxfId="74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00"/>
  <sheetViews>
    <sheetView tabSelected="1" zoomScale="90" zoomScaleNormal="90" workbookViewId="0">
      <pane ySplit="1" topLeftCell="A179" activePane="bottomLeft" state="frozen"/>
      <selection pane="bottomLeft" activeCell="E199" sqref="E19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01:E214 D201:D211 G2:H200 D2:E200">
    <cfRule type="containsText" dxfId="618" priority="23" operator="containsText" text="Выезд с территории">
      <formula>NOT(ISERROR(SEARCH("Выезд с территории",D2)))</formula>
    </cfRule>
  </conditionalFormatting>
  <conditionalFormatting sqref="F2:F688">
    <cfRule type="notContainsText" dxfId="617" priority="21" operator="notContains" text="порожний">
      <formula>ISERROR(SEARCH("порожний",F2))</formula>
    </cfRule>
  </conditionalFormatting>
  <conditionalFormatting sqref="E2:E214">
    <cfRule type="containsText" dxfId="616" priority="12" operator="containsText" text="Газель базы">
      <formula>NOT(ISERROR(SEARCH("Газель базы",E2)))</formula>
    </cfRule>
    <cfRule type="containsText" dxfId="615" priority="13" operator="containsText" text="Погрузчик базы">
      <formula>NOT(ISERROR(SEARCH("Погрузчик базы",E2)))</formula>
    </cfRule>
  </conditionalFormatting>
  <conditionalFormatting sqref="E2:E214">
    <cfRule type="containsText" dxfId="614" priority="11" operator="containsText" text="Трактор базы">
      <formula>NOT(ISERROR(SEARCH("Трактор базы",E2)))</formula>
    </cfRule>
  </conditionalFormatting>
  <conditionalFormatting sqref="A2:C200">
    <cfRule type="expression" dxfId="613" priority="9">
      <formula>$A2="пн"</formula>
    </cfRule>
  </conditionalFormatting>
  <conditionalFormatting sqref="A2:C202">
    <cfRule type="expression" dxfId="612" priority="3">
      <formula>$A2="вс"</formula>
    </cfRule>
    <cfRule type="expression" dxfId="611" priority="4">
      <formula>$A2="сб"</formula>
    </cfRule>
    <cfRule type="expression" dxfId="610" priority="5">
      <formula>$A2="пт"</formula>
    </cfRule>
    <cfRule type="expression" dxfId="609" priority="6">
      <formula>$A2="чт"</formula>
    </cfRule>
    <cfRule type="expression" dxfId="608" priority="7">
      <formula>$A2="ср"</formula>
    </cfRule>
    <cfRule type="expression" dxfId="607" priority="8">
      <formula>$A2="вт"</formula>
    </cfRule>
  </conditionalFormatting>
  <conditionalFormatting sqref="D2:D211">
    <cfRule type="containsText" dxfId="6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1">
    <cfRule type="containsText" dxfId="6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14"/>
  <sheetViews>
    <sheetView zoomScale="90" zoomScaleNormal="90" workbookViewId="0">
      <pane ySplit="1" topLeftCell="A195" activePane="bottomLeft" state="frozen"/>
      <selection pane="bottomLeft" activeCell="I207" sqref="I207:I21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</sheetData>
  <conditionalFormatting sqref="D215:D225 E215:E228 G2:H214 D2:E214">
    <cfRule type="containsText" dxfId="604" priority="14" operator="containsText" text="Выезд с территории">
      <formula>NOT(ISERROR(SEARCH("Выезд с территории",D2)))</formula>
    </cfRule>
  </conditionalFormatting>
  <conditionalFormatting sqref="F2:F214">
    <cfRule type="notContainsText" dxfId="603" priority="13" operator="notContains" text="порожний">
      <formula>ISERROR(SEARCH("порожний",F2))</formula>
    </cfRule>
  </conditionalFormatting>
  <conditionalFormatting sqref="E2:E228">
    <cfRule type="containsText" dxfId="602" priority="11" operator="containsText" text="Газель базы">
      <formula>NOT(ISERROR(SEARCH("Газель базы",E2)))</formula>
    </cfRule>
    <cfRule type="containsText" dxfId="601" priority="12" operator="containsText" text="Погрузчик базы">
      <formula>NOT(ISERROR(SEARCH("Погрузчик базы",E2)))</formula>
    </cfRule>
  </conditionalFormatting>
  <conditionalFormatting sqref="E2:E228">
    <cfRule type="containsText" dxfId="600" priority="10" operator="containsText" text="Трактор базы">
      <formula>NOT(ISERROR(SEARCH("Трактор базы",E2)))</formula>
    </cfRule>
  </conditionalFormatting>
  <conditionalFormatting sqref="A2:C214">
    <cfRule type="expression" dxfId="599" priority="9">
      <formula>$A2="пн"</formula>
    </cfRule>
  </conditionalFormatting>
  <conditionalFormatting sqref="A2:C216">
    <cfRule type="expression" dxfId="598" priority="3">
      <formula>$A2="вс"</formula>
    </cfRule>
    <cfRule type="expression" dxfId="597" priority="4">
      <formula>$A2="сб"</formula>
    </cfRule>
    <cfRule type="expression" dxfId="596" priority="5">
      <formula>$A2="пт"</formula>
    </cfRule>
    <cfRule type="expression" dxfId="595" priority="6">
      <formula>$A2="чт"</formula>
    </cfRule>
    <cfRule type="expression" dxfId="594" priority="7">
      <formula>$A2="ср"</formula>
    </cfRule>
    <cfRule type="expression" dxfId="593" priority="8">
      <formula>$A2="вт"</formula>
    </cfRule>
  </conditionalFormatting>
  <conditionalFormatting sqref="D2:D225">
    <cfRule type="containsText" dxfId="5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5">
    <cfRule type="containsText" dxfId="5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24"/>
  <sheetViews>
    <sheetView zoomScale="90" zoomScaleNormal="90" workbookViewId="0">
      <pane ySplit="1" topLeftCell="A110" activePane="bottomLeft" state="frozen"/>
      <selection pane="bottomLeft" activeCell="I121" sqref="I121:I12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</sheetData>
  <conditionalFormatting sqref="D125:D135 E125:E138 G2:H124 D2:E124">
    <cfRule type="containsText" dxfId="590" priority="14" operator="containsText" text="Выезд с территории">
      <formula>NOT(ISERROR(SEARCH("Выезд с территории",D2)))</formula>
    </cfRule>
  </conditionalFormatting>
  <conditionalFormatting sqref="F2:F124">
    <cfRule type="notContainsText" dxfId="589" priority="13" operator="notContains" text="порожний">
      <formula>ISERROR(SEARCH("порожний",F2))</formula>
    </cfRule>
  </conditionalFormatting>
  <conditionalFormatting sqref="E2:E138">
    <cfRule type="containsText" dxfId="588" priority="11" operator="containsText" text="Газель базы">
      <formula>NOT(ISERROR(SEARCH("Газель базы",E2)))</formula>
    </cfRule>
    <cfRule type="containsText" dxfId="587" priority="12" operator="containsText" text="Погрузчик базы">
      <formula>NOT(ISERROR(SEARCH("Погрузчик базы",E2)))</formula>
    </cfRule>
  </conditionalFormatting>
  <conditionalFormatting sqref="E2:E138">
    <cfRule type="containsText" dxfId="586" priority="10" operator="containsText" text="Трактор базы">
      <formula>NOT(ISERROR(SEARCH("Трактор базы",E2)))</formula>
    </cfRule>
  </conditionalFormatting>
  <conditionalFormatting sqref="A2:C124">
    <cfRule type="expression" dxfId="585" priority="9">
      <formula>$A2="пн"</formula>
    </cfRule>
  </conditionalFormatting>
  <conditionalFormatting sqref="A2:C126">
    <cfRule type="expression" dxfId="584" priority="3">
      <formula>$A2="вс"</formula>
    </cfRule>
    <cfRule type="expression" dxfId="583" priority="4">
      <formula>$A2="сб"</formula>
    </cfRule>
    <cfRule type="expression" dxfId="582" priority="5">
      <formula>$A2="пт"</formula>
    </cfRule>
    <cfRule type="expression" dxfId="581" priority="6">
      <formula>$A2="чт"</formula>
    </cfRule>
    <cfRule type="expression" dxfId="580" priority="7">
      <formula>$A2="ср"</formula>
    </cfRule>
    <cfRule type="expression" dxfId="579" priority="8">
      <formula>$A2="вт"</formula>
    </cfRule>
  </conditionalFormatting>
  <conditionalFormatting sqref="D2:D135">
    <cfRule type="containsText" dxfId="5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5">
    <cfRule type="containsText" dxfId="5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38"/>
  <sheetViews>
    <sheetView zoomScale="90" zoomScaleNormal="90" workbookViewId="0">
      <pane ySplit="1" topLeftCell="A113" activePane="bottomLeft" state="frozen"/>
      <selection pane="bottomLeft" activeCell="I137" sqref="I137:I1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</sheetData>
  <conditionalFormatting sqref="D139:D149 E139:E152 G2:H138 D2:E138">
    <cfRule type="containsText" dxfId="576" priority="14" operator="containsText" text="Выезд с территории">
      <formula>NOT(ISERROR(SEARCH("Выезд с территории",D2)))</formula>
    </cfRule>
  </conditionalFormatting>
  <conditionalFormatting sqref="F2:F138">
    <cfRule type="notContainsText" dxfId="575" priority="13" operator="notContains" text="порожний">
      <formula>ISERROR(SEARCH("порожний",F2))</formula>
    </cfRule>
  </conditionalFormatting>
  <conditionalFormatting sqref="E2:E152">
    <cfRule type="containsText" dxfId="574" priority="11" operator="containsText" text="Газель базы">
      <formula>NOT(ISERROR(SEARCH("Газель базы",E2)))</formula>
    </cfRule>
    <cfRule type="containsText" dxfId="573" priority="12" operator="containsText" text="Погрузчик базы">
      <formula>NOT(ISERROR(SEARCH("Погрузчик базы",E2)))</formula>
    </cfRule>
  </conditionalFormatting>
  <conditionalFormatting sqref="E2:E152">
    <cfRule type="containsText" dxfId="572" priority="10" operator="containsText" text="Трактор базы">
      <formula>NOT(ISERROR(SEARCH("Трактор базы",E2)))</formula>
    </cfRule>
  </conditionalFormatting>
  <conditionalFormatting sqref="A2:C138">
    <cfRule type="expression" dxfId="571" priority="9">
      <formula>$A2="пн"</formula>
    </cfRule>
  </conditionalFormatting>
  <conditionalFormatting sqref="A2:C140">
    <cfRule type="expression" dxfId="570" priority="3">
      <formula>$A2="вс"</formula>
    </cfRule>
    <cfRule type="expression" dxfId="569" priority="4">
      <formula>$A2="сб"</formula>
    </cfRule>
    <cfRule type="expression" dxfId="568" priority="5">
      <formula>$A2="пт"</formula>
    </cfRule>
    <cfRule type="expression" dxfId="567" priority="6">
      <formula>$A2="чт"</formula>
    </cfRule>
    <cfRule type="expression" dxfId="566" priority="7">
      <formula>$A2="ср"</formula>
    </cfRule>
    <cfRule type="expression" dxfId="565" priority="8">
      <formula>$A2="вт"</formula>
    </cfRule>
  </conditionalFormatting>
  <conditionalFormatting sqref="D2:D149">
    <cfRule type="containsText" dxfId="5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9">
    <cfRule type="containsText" dxfId="5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18"/>
  <sheetViews>
    <sheetView zoomScale="90" zoomScaleNormal="90" workbookViewId="0">
      <pane ySplit="1" topLeftCell="A199" activePane="bottomLeft" state="frozen"/>
      <selection pane="bottomLeft" activeCell="I207" sqref="I207:I21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</sheetData>
  <conditionalFormatting sqref="E219:E232 D219:D229 G2:H218 D2:E218">
    <cfRule type="containsText" dxfId="562" priority="17" operator="containsText" text="Выезд с территории">
      <formula>NOT(ISERROR(SEARCH("Выезд с территории",D2)))</formula>
    </cfRule>
  </conditionalFormatting>
  <conditionalFormatting sqref="F2:F218">
    <cfRule type="notContainsText" dxfId="561" priority="16" operator="notContains" text="порожний">
      <formula>ISERROR(SEARCH("порожний",F2))</formula>
    </cfRule>
  </conditionalFormatting>
  <conditionalFormatting sqref="E2:E232">
    <cfRule type="containsText" dxfId="560" priority="14" operator="containsText" text="Газель базы">
      <formula>NOT(ISERROR(SEARCH("Газель базы",E2)))</formula>
    </cfRule>
    <cfRule type="containsText" dxfId="559" priority="15" operator="containsText" text="Погрузчик базы">
      <formula>NOT(ISERROR(SEARCH("Погрузчик базы",E2)))</formula>
    </cfRule>
  </conditionalFormatting>
  <conditionalFormatting sqref="E2:E232">
    <cfRule type="containsText" dxfId="558" priority="13" operator="containsText" text="Трактор базы">
      <formula>NOT(ISERROR(SEARCH("Трактор базы",E2)))</formula>
    </cfRule>
  </conditionalFormatting>
  <conditionalFormatting sqref="A2:C218">
    <cfRule type="expression" dxfId="557" priority="12">
      <formula>$A2="пн"</formula>
    </cfRule>
  </conditionalFormatting>
  <conditionalFormatting sqref="A2:C220">
    <cfRule type="expression" dxfId="556" priority="6">
      <formula>$A2="вс"</formula>
    </cfRule>
    <cfRule type="expression" dxfId="555" priority="7">
      <formula>$A2="сб"</formula>
    </cfRule>
    <cfRule type="expression" dxfId="554" priority="8">
      <formula>$A2="пт"</formula>
    </cfRule>
    <cfRule type="expression" dxfId="553" priority="9">
      <formula>$A2="чт"</formula>
    </cfRule>
    <cfRule type="expression" dxfId="552" priority="10">
      <formula>$A2="ср"</formula>
    </cfRule>
    <cfRule type="expression" dxfId="551" priority="11">
      <formula>$A2="вт"</formula>
    </cfRule>
  </conditionalFormatting>
  <conditionalFormatting sqref="D2:D229">
    <cfRule type="containsText" dxfId="55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9">
    <cfRule type="containsText" dxfId="54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04"/>
  <sheetViews>
    <sheetView zoomScale="90" zoomScaleNormal="90" workbookViewId="0">
      <pane ySplit="1" topLeftCell="A94" activePane="bottomLeft" state="frozen"/>
      <selection pane="bottomLeft" activeCell="I103" sqref="I103:I1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</sheetData>
  <conditionalFormatting sqref="D105:D115 E105:E118 G2:H104 D2:E104">
    <cfRule type="containsText" dxfId="548" priority="14" operator="containsText" text="Выезд с территории">
      <formula>NOT(ISERROR(SEARCH("Выезд с территории",D2)))</formula>
    </cfRule>
  </conditionalFormatting>
  <conditionalFormatting sqref="F2:F104">
    <cfRule type="notContainsText" dxfId="547" priority="13" operator="notContains" text="порожний">
      <formula>ISERROR(SEARCH("порожний",F2))</formula>
    </cfRule>
  </conditionalFormatting>
  <conditionalFormatting sqref="E2:E118">
    <cfRule type="containsText" dxfId="546" priority="11" operator="containsText" text="Газель базы">
      <formula>NOT(ISERROR(SEARCH("Газель базы",E2)))</formula>
    </cfRule>
    <cfRule type="containsText" dxfId="545" priority="12" operator="containsText" text="Погрузчик базы">
      <formula>NOT(ISERROR(SEARCH("Погрузчик базы",E2)))</formula>
    </cfRule>
  </conditionalFormatting>
  <conditionalFormatting sqref="E2:E118">
    <cfRule type="containsText" dxfId="544" priority="10" operator="containsText" text="Трактор базы">
      <formula>NOT(ISERROR(SEARCH("Трактор базы",E2)))</formula>
    </cfRule>
  </conditionalFormatting>
  <conditionalFormatting sqref="A2:C104">
    <cfRule type="expression" dxfId="543" priority="9">
      <formula>$A2="пн"</formula>
    </cfRule>
  </conditionalFormatting>
  <conditionalFormatting sqref="A2:C106">
    <cfRule type="expression" dxfId="542" priority="3">
      <formula>$A2="вс"</formula>
    </cfRule>
    <cfRule type="expression" dxfId="541" priority="4">
      <formula>$A2="сб"</formula>
    </cfRule>
    <cfRule type="expression" dxfId="540" priority="5">
      <formula>$A2="пт"</formula>
    </cfRule>
    <cfRule type="expression" dxfId="539" priority="6">
      <formula>$A2="чт"</formula>
    </cfRule>
    <cfRule type="expression" dxfId="538" priority="7">
      <formula>$A2="ср"</formula>
    </cfRule>
    <cfRule type="expression" dxfId="537" priority="8">
      <formula>$A2="вт"</formula>
    </cfRule>
  </conditionalFormatting>
  <conditionalFormatting sqref="D2:D115">
    <cfRule type="containsText" dxfId="5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5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28"/>
  <sheetViews>
    <sheetView zoomScale="90" zoomScaleNormal="90" workbookViewId="0">
      <pane ySplit="1" topLeftCell="A209" activePane="bottomLeft" state="frozen"/>
      <selection pane="bottomLeft" activeCell="I227" sqref="I227:I22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</sheetData>
  <conditionalFormatting sqref="E229:E242 D1:D197 D229:D1048576 G2:H228 D2:E228">
    <cfRule type="containsText" dxfId="534" priority="18" operator="containsText" text="Выезд с территории">
      <formula>NOT(ISERROR(SEARCH("Выезд с территории",D1)))</formula>
    </cfRule>
  </conditionalFormatting>
  <conditionalFormatting sqref="F2:F228">
    <cfRule type="notContainsText" dxfId="533" priority="17" operator="notContains" text="порожний">
      <formula>ISERROR(SEARCH("порожний",F2))</formula>
    </cfRule>
  </conditionalFormatting>
  <conditionalFormatting sqref="E2:E242">
    <cfRule type="containsText" dxfId="532" priority="15" operator="containsText" text="Газель базы">
      <formula>NOT(ISERROR(SEARCH("Газель базы",E2)))</formula>
    </cfRule>
    <cfRule type="containsText" dxfId="531" priority="16" operator="containsText" text="Погрузчик базы">
      <formula>NOT(ISERROR(SEARCH("Погрузчик базы",E2)))</formula>
    </cfRule>
  </conditionalFormatting>
  <conditionalFormatting sqref="E2:E242">
    <cfRule type="containsText" dxfId="530" priority="14" operator="containsText" text="Трактор базы">
      <formula>NOT(ISERROR(SEARCH("Трактор базы",E2)))</formula>
    </cfRule>
  </conditionalFormatting>
  <conditionalFormatting sqref="A2:C228">
    <cfRule type="expression" dxfId="529" priority="13">
      <formula>$A2="пн"</formula>
    </cfRule>
  </conditionalFormatting>
  <conditionalFormatting sqref="A2:C230">
    <cfRule type="expression" dxfId="528" priority="7">
      <formula>$A2="вс"</formula>
    </cfRule>
    <cfRule type="expression" dxfId="527" priority="8">
      <formula>$A2="сб"</formula>
    </cfRule>
    <cfRule type="expression" dxfId="526" priority="9">
      <formula>$A2="пт"</formula>
    </cfRule>
    <cfRule type="expression" dxfId="525" priority="10">
      <formula>$A2="чт"</formula>
    </cfRule>
    <cfRule type="expression" dxfId="524" priority="11">
      <formula>$A2="ср"</formula>
    </cfRule>
    <cfRule type="expression" dxfId="523" priority="12">
      <formula>$A2="вт"</formula>
    </cfRule>
  </conditionalFormatting>
  <conditionalFormatting sqref="D1:D1048576">
    <cfRule type="containsText" dxfId="52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2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2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75"/>
  <sheetViews>
    <sheetView zoomScale="90" zoomScaleNormal="90" workbookViewId="0">
      <pane ySplit="1" topLeftCell="A158" activePane="bottomLeft" state="frozen"/>
      <selection pane="bottomLeft" activeCell="I167" sqref="I167:I17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</sheetData>
  <conditionalFormatting sqref="D176:D186 E176:E189 G2:H175 D2:E175">
    <cfRule type="containsText" dxfId="519" priority="14" operator="containsText" text="Выезд с территории">
      <formula>NOT(ISERROR(SEARCH("Выезд с территории",D2)))</formula>
    </cfRule>
  </conditionalFormatting>
  <conditionalFormatting sqref="F2:F175">
    <cfRule type="notContainsText" dxfId="518" priority="13" operator="notContains" text="порожний">
      <formula>ISERROR(SEARCH("порожний",F2))</formula>
    </cfRule>
  </conditionalFormatting>
  <conditionalFormatting sqref="E2:E189">
    <cfRule type="containsText" dxfId="517" priority="11" operator="containsText" text="Газель базы">
      <formula>NOT(ISERROR(SEARCH("Газель базы",E2)))</formula>
    </cfRule>
    <cfRule type="containsText" dxfId="516" priority="12" operator="containsText" text="Погрузчик базы">
      <formula>NOT(ISERROR(SEARCH("Погрузчик базы",E2)))</formula>
    </cfRule>
  </conditionalFormatting>
  <conditionalFormatting sqref="E2:E189">
    <cfRule type="containsText" dxfId="515" priority="10" operator="containsText" text="Трактор базы">
      <formula>NOT(ISERROR(SEARCH("Трактор базы",E2)))</formula>
    </cfRule>
  </conditionalFormatting>
  <conditionalFormatting sqref="A2:C175">
    <cfRule type="expression" dxfId="514" priority="9">
      <formula>$A2="пн"</formula>
    </cfRule>
  </conditionalFormatting>
  <conditionalFormatting sqref="A2:C177">
    <cfRule type="expression" dxfId="513" priority="3">
      <formula>$A2="вс"</formula>
    </cfRule>
    <cfRule type="expression" dxfId="512" priority="4">
      <formula>$A2="сб"</formula>
    </cfRule>
    <cfRule type="expression" dxfId="511" priority="5">
      <formula>$A2="пт"</formula>
    </cfRule>
    <cfRule type="expression" dxfId="510" priority="6">
      <formula>$A2="чт"</formula>
    </cfRule>
    <cfRule type="expression" dxfId="509" priority="7">
      <formula>$A2="ср"</formula>
    </cfRule>
    <cfRule type="expression" dxfId="508" priority="8">
      <formula>$A2="вт"</formula>
    </cfRule>
  </conditionalFormatting>
  <conditionalFormatting sqref="D2:D186">
    <cfRule type="containsText" dxfId="5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6">
    <cfRule type="containsText" dxfId="5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08"/>
  <sheetViews>
    <sheetView zoomScale="90" zoomScaleNormal="90" workbookViewId="0">
      <pane ySplit="1" topLeftCell="A484" activePane="bottomLeft" state="frozen"/>
      <selection pane="bottomLeft" activeCell="F495" sqref="F49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/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/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</sheetData>
  <conditionalFormatting sqref="D509:D519 E509:E522 G2:H508 D2:E508">
    <cfRule type="containsText" dxfId="505" priority="14" operator="containsText" text="Выезд с территории">
      <formula>NOT(ISERROR(SEARCH("Выезд с территории",D2)))</formula>
    </cfRule>
  </conditionalFormatting>
  <conditionalFormatting sqref="F2:F508">
    <cfRule type="notContainsText" dxfId="504" priority="13" operator="notContains" text="порожний">
      <formula>ISERROR(SEARCH("порожний",F2))</formula>
    </cfRule>
  </conditionalFormatting>
  <conditionalFormatting sqref="E2:E522">
    <cfRule type="containsText" dxfId="503" priority="11" operator="containsText" text="Газель базы">
      <formula>NOT(ISERROR(SEARCH("Газель базы",E2)))</formula>
    </cfRule>
    <cfRule type="containsText" dxfId="502" priority="12" operator="containsText" text="Погрузчик базы">
      <formula>NOT(ISERROR(SEARCH("Погрузчик базы",E2)))</formula>
    </cfRule>
  </conditionalFormatting>
  <conditionalFormatting sqref="E2:E522">
    <cfRule type="containsText" dxfId="501" priority="10" operator="containsText" text="Трактор базы">
      <formula>NOT(ISERROR(SEARCH("Трактор базы",E2)))</formula>
    </cfRule>
  </conditionalFormatting>
  <conditionalFormatting sqref="A2:C508">
    <cfRule type="expression" dxfId="500" priority="9">
      <formula>$A2="пн"</formula>
    </cfRule>
  </conditionalFormatting>
  <conditionalFormatting sqref="A2:C510">
    <cfRule type="expression" dxfId="499" priority="3">
      <formula>$A2="вс"</formula>
    </cfRule>
    <cfRule type="expression" dxfId="498" priority="4">
      <formula>$A2="сб"</formula>
    </cfRule>
    <cfRule type="expression" dxfId="497" priority="5">
      <formula>$A2="пт"</formula>
    </cfRule>
    <cfRule type="expression" dxfId="496" priority="6">
      <formula>$A2="чт"</formula>
    </cfRule>
    <cfRule type="expression" dxfId="495" priority="7">
      <formula>$A2="ср"</formula>
    </cfRule>
    <cfRule type="expression" dxfId="494" priority="8">
      <formula>$A2="вт"</formula>
    </cfRule>
  </conditionalFormatting>
  <conditionalFormatting sqref="D2:D519">
    <cfRule type="containsText" dxfId="4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9">
    <cfRule type="containsText" dxfId="4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21"/>
  <sheetViews>
    <sheetView zoomScale="90" zoomScaleNormal="90" workbookViewId="0">
      <pane ySplit="1" topLeftCell="A497" activePane="bottomLeft" state="frozen"/>
      <selection pane="bottomLeft" activeCell="I493" sqref="I493:I52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</sheetData>
  <conditionalFormatting sqref="D522:D532 E522:E535 G2:H521 D2:E521">
    <cfRule type="containsText" dxfId="491" priority="14" operator="containsText" text="Выезд с территории">
      <formula>NOT(ISERROR(SEARCH("Выезд с территории",D2)))</formula>
    </cfRule>
  </conditionalFormatting>
  <conditionalFormatting sqref="F2:F521">
    <cfRule type="notContainsText" dxfId="490" priority="13" operator="notContains" text="порожний">
      <formula>ISERROR(SEARCH("порожний",F2))</formula>
    </cfRule>
  </conditionalFormatting>
  <conditionalFormatting sqref="E2:E535">
    <cfRule type="containsText" dxfId="489" priority="11" operator="containsText" text="Газель базы">
      <formula>NOT(ISERROR(SEARCH("Газель базы",E2)))</formula>
    </cfRule>
    <cfRule type="containsText" dxfId="488" priority="12" operator="containsText" text="Погрузчик базы">
      <formula>NOT(ISERROR(SEARCH("Погрузчик базы",E2)))</formula>
    </cfRule>
  </conditionalFormatting>
  <conditionalFormatting sqref="E2:E535">
    <cfRule type="containsText" dxfId="487" priority="10" operator="containsText" text="Трактор базы">
      <formula>NOT(ISERROR(SEARCH("Трактор базы",E2)))</formula>
    </cfRule>
  </conditionalFormatting>
  <conditionalFormatting sqref="A2:C521">
    <cfRule type="expression" dxfId="486" priority="9">
      <formula>$A2="пн"</formula>
    </cfRule>
  </conditionalFormatting>
  <conditionalFormatting sqref="A2:C523">
    <cfRule type="expression" dxfId="485" priority="3">
      <formula>$A2="вс"</formula>
    </cfRule>
    <cfRule type="expression" dxfId="484" priority="4">
      <formula>$A2="сб"</formula>
    </cfRule>
    <cfRule type="expression" dxfId="483" priority="5">
      <formula>$A2="пт"</formula>
    </cfRule>
    <cfRule type="expression" dxfId="482" priority="6">
      <formula>$A2="чт"</formula>
    </cfRule>
    <cfRule type="expression" dxfId="481" priority="7">
      <formula>$A2="ср"</formula>
    </cfRule>
    <cfRule type="expression" dxfId="480" priority="8">
      <formula>$A2="вт"</formula>
    </cfRule>
  </conditionalFormatting>
  <conditionalFormatting sqref="D2:D532">
    <cfRule type="containsText" dxfId="4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2">
    <cfRule type="containsText" dxfId="4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28"/>
  <sheetViews>
    <sheetView zoomScale="90" zoomScaleNormal="90" workbookViewId="0">
      <pane ySplit="1" topLeftCell="A207" activePane="bottomLeft" state="frozen"/>
      <selection pane="bottomLeft" activeCell="I218" sqref="I218:I22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</sheetData>
  <conditionalFormatting sqref="D229:D239 E229:E242 G2:H228 D2:E228">
    <cfRule type="containsText" dxfId="477" priority="14" operator="containsText" text="Выезд с территории">
      <formula>NOT(ISERROR(SEARCH("Выезд с территории",D2)))</formula>
    </cfRule>
  </conditionalFormatting>
  <conditionalFormatting sqref="F2:F228">
    <cfRule type="notContainsText" dxfId="476" priority="13" operator="notContains" text="порожний">
      <formula>ISERROR(SEARCH("порожний",F2))</formula>
    </cfRule>
  </conditionalFormatting>
  <conditionalFormatting sqref="E2:E242">
    <cfRule type="containsText" dxfId="475" priority="11" operator="containsText" text="Газель базы">
      <formula>NOT(ISERROR(SEARCH("Газель базы",E2)))</formula>
    </cfRule>
    <cfRule type="containsText" dxfId="474" priority="12" operator="containsText" text="Погрузчик базы">
      <formula>NOT(ISERROR(SEARCH("Погрузчик базы",E2)))</formula>
    </cfRule>
  </conditionalFormatting>
  <conditionalFormatting sqref="E2:E242">
    <cfRule type="containsText" dxfId="473" priority="10" operator="containsText" text="Трактор базы">
      <formula>NOT(ISERROR(SEARCH("Трактор базы",E2)))</formula>
    </cfRule>
  </conditionalFormatting>
  <conditionalFormatting sqref="A2:C228">
    <cfRule type="expression" dxfId="472" priority="9">
      <formula>$A2="пн"</formula>
    </cfRule>
  </conditionalFormatting>
  <conditionalFormatting sqref="A2:C230">
    <cfRule type="expression" dxfId="471" priority="3">
      <formula>$A2="вс"</formula>
    </cfRule>
    <cfRule type="expression" dxfId="470" priority="4">
      <formula>$A2="сб"</formula>
    </cfRule>
    <cfRule type="expression" dxfId="469" priority="5">
      <formula>$A2="пт"</formula>
    </cfRule>
    <cfRule type="expression" dxfId="468" priority="6">
      <formula>$A2="чт"</formula>
    </cfRule>
    <cfRule type="expression" dxfId="467" priority="7">
      <formula>$A2="ср"</formula>
    </cfRule>
    <cfRule type="expression" dxfId="466" priority="8">
      <formula>$A2="вт"</formula>
    </cfRule>
  </conditionalFormatting>
  <conditionalFormatting sqref="D2:D239">
    <cfRule type="containsText" dxfId="4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9">
    <cfRule type="containsText" dxfId="4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46"/>
  <sheetViews>
    <sheetView zoomScale="90" zoomScaleNormal="90" workbookViewId="0">
      <pane ySplit="1" topLeftCell="A128" activePane="bottomLeft" state="frozen"/>
      <selection pane="bottomLeft" activeCell="I140" sqref="I140:I14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</sheetData>
  <conditionalFormatting sqref="D147:D157 E147:E160 G2:H146 D2:E146">
    <cfRule type="containsText" dxfId="463" priority="14" operator="containsText" text="Выезд с территории">
      <formula>NOT(ISERROR(SEARCH("Выезд с территории",D2)))</formula>
    </cfRule>
  </conditionalFormatting>
  <conditionalFormatting sqref="F2:F146">
    <cfRule type="notContainsText" dxfId="462" priority="13" operator="notContains" text="порожний">
      <formula>ISERROR(SEARCH("порожний",F2))</formula>
    </cfRule>
  </conditionalFormatting>
  <conditionalFormatting sqref="E2:E160">
    <cfRule type="containsText" dxfId="461" priority="11" operator="containsText" text="Газель базы">
      <formula>NOT(ISERROR(SEARCH("Газель базы",E2)))</formula>
    </cfRule>
    <cfRule type="containsText" dxfId="460" priority="12" operator="containsText" text="Погрузчик базы">
      <formula>NOT(ISERROR(SEARCH("Погрузчик базы",E2)))</formula>
    </cfRule>
  </conditionalFormatting>
  <conditionalFormatting sqref="E2:E160">
    <cfRule type="containsText" dxfId="459" priority="10" operator="containsText" text="Трактор базы">
      <formula>NOT(ISERROR(SEARCH("Трактор базы",E2)))</formula>
    </cfRule>
  </conditionalFormatting>
  <conditionalFormatting sqref="A2:C146">
    <cfRule type="expression" dxfId="458" priority="9">
      <formula>$A2="пн"</formula>
    </cfRule>
  </conditionalFormatting>
  <conditionalFormatting sqref="A2:C148">
    <cfRule type="expression" dxfId="457" priority="3">
      <formula>$A2="вс"</formula>
    </cfRule>
    <cfRule type="expression" dxfId="456" priority="4">
      <formula>$A2="сб"</formula>
    </cfRule>
    <cfRule type="expression" dxfId="455" priority="5">
      <formula>$A2="пт"</formula>
    </cfRule>
    <cfRule type="expression" dxfId="454" priority="6">
      <formula>$A2="чт"</formula>
    </cfRule>
    <cfRule type="expression" dxfId="453" priority="7">
      <formula>$A2="ср"</formula>
    </cfRule>
    <cfRule type="expression" dxfId="452" priority="8">
      <formula>$A2="вт"</formula>
    </cfRule>
  </conditionalFormatting>
  <conditionalFormatting sqref="D2:D157">
    <cfRule type="containsText" dxfId="4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4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22"/>
  <sheetViews>
    <sheetView zoomScale="90" zoomScaleNormal="90" workbookViewId="0">
      <pane ySplit="1" topLeftCell="A101" activePane="bottomLeft" state="frozen"/>
      <selection pane="bottomLeft" activeCell="I117" sqref="I117:I12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</sheetData>
  <conditionalFormatting sqref="D123:D133 E123:E136 G2:H122 D2:E122">
    <cfRule type="containsText" dxfId="449" priority="14" operator="containsText" text="Выезд с территории">
      <formula>NOT(ISERROR(SEARCH("Выезд с территории",D2)))</formula>
    </cfRule>
  </conditionalFormatting>
  <conditionalFormatting sqref="F2:F122">
    <cfRule type="notContainsText" dxfId="448" priority="13" operator="notContains" text="порожний">
      <formula>ISERROR(SEARCH("порожний",F2))</formula>
    </cfRule>
  </conditionalFormatting>
  <conditionalFormatting sqref="E2:E136">
    <cfRule type="containsText" dxfId="447" priority="11" operator="containsText" text="Газель базы">
      <formula>NOT(ISERROR(SEARCH("Газель базы",E2)))</formula>
    </cfRule>
    <cfRule type="containsText" dxfId="446" priority="12" operator="containsText" text="Погрузчик базы">
      <formula>NOT(ISERROR(SEARCH("Погрузчик базы",E2)))</formula>
    </cfRule>
  </conditionalFormatting>
  <conditionalFormatting sqref="E2:E136">
    <cfRule type="containsText" dxfId="445" priority="10" operator="containsText" text="Трактор базы">
      <formula>NOT(ISERROR(SEARCH("Трактор базы",E2)))</formula>
    </cfRule>
  </conditionalFormatting>
  <conditionalFormatting sqref="A2:C122">
    <cfRule type="expression" dxfId="444" priority="9">
      <formula>$A2="пн"</formula>
    </cfRule>
  </conditionalFormatting>
  <conditionalFormatting sqref="A2:C124">
    <cfRule type="expression" dxfId="443" priority="3">
      <formula>$A2="вс"</formula>
    </cfRule>
    <cfRule type="expression" dxfId="442" priority="4">
      <formula>$A2="сб"</formula>
    </cfRule>
    <cfRule type="expression" dxfId="441" priority="5">
      <formula>$A2="пт"</formula>
    </cfRule>
    <cfRule type="expression" dxfId="440" priority="6">
      <formula>$A2="чт"</formula>
    </cfRule>
    <cfRule type="expression" dxfId="439" priority="7">
      <formula>$A2="ср"</formula>
    </cfRule>
    <cfRule type="expression" dxfId="438" priority="8">
      <formula>$A2="вт"</formula>
    </cfRule>
  </conditionalFormatting>
  <conditionalFormatting sqref="D2:D133">
    <cfRule type="containsText" dxfId="4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4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918"/>
  <sheetViews>
    <sheetView topLeftCell="A2784" zoomScale="90" zoomScaleNormal="90" workbookViewId="0">
      <selection activeCell="B2922" sqref="B292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s="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s="8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s="8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s="8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s="8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s="8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s="8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s="8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s="8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s="8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s="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s="8" t="s">
        <v>8975</v>
      </c>
      <c r="G2809" t="s">
        <v>91</v>
      </c>
    </row>
    <row r="2810" spans="1:7" hidden="1" x14ac:dyDescent="0.25">
      <c r="A2810" t="s">
        <v>289</v>
      </c>
      <c r="B2810" s="8" t="s">
        <v>9187</v>
      </c>
      <c r="C2810" t="s">
        <v>9188</v>
      </c>
      <c r="F2810" s="8" t="s">
        <v>8979</v>
      </c>
      <c r="G2810" t="s">
        <v>91</v>
      </c>
    </row>
    <row r="2811" spans="1:7" hidden="1" x14ac:dyDescent="0.25">
      <c r="A2811" t="s">
        <v>289</v>
      </c>
      <c r="B2811" s="8" t="s">
        <v>9187</v>
      </c>
      <c r="C2811" t="s">
        <v>9188</v>
      </c>
      <c r="E2811" t="s">
        <v>2936</v>
      </c>
      <c r="F2811" s="8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s="8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s="8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s="8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s="8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s="8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s="8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s="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s="8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s="8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s="8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s="8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s="8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s="8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s="8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s="8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s="8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s="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s="8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s="8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s="8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s="8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s="8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s="8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s="8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s="8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s="8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s="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s="8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s="8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s="8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s="8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s="8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s="8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s="8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s="8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s="8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s="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s="8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s="8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s="8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s="8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s="8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s="8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s="8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s="8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s="8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s="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s="8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s="8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s="8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s="8" t="s">
        <v>8963</v>
      </c>
      <c r="G2862" t="s">
        <v>1100</v>
      </c>
    </row>
    <row r="2863" spans="1:7" hidden="1" x14ac:dyDescent="0.25">
      <c r="A2863" t="s">
        <v>9206</v>
      </c>
      <c r="F2863" s="8" t="s">
        <v>8966</v>
      </c>
      <c r="G2863" t="s">
        <v>1100</v>
      </c>
    </row>
    <row r="2864" spans="1:7" hidden="1" x14ac:dyDescent="0.25">
      <c r="A2864" t="s">
        <v>9206</v>
      </c>
      <c r="F2864" s="8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s="8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s="8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s="8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s="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s="8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s="8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s="8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s="8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s="8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s="8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s="8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s="8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s="8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s="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s="8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s="8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s="8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s="8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s="8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s="8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s="8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s="8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s="8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s="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s="8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s="8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s="8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s="8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s="8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s="8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s="8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s="8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s="8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s="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s="8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s="8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s="8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s="8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s="8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s="8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s="8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s="8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s="8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s="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s="8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s="8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s="8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s="8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s="8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s="8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s="8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s="8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s="8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s="8" t="s">
        <v>9183</v>
      </c>
      <c r="G2918" t="s">
        <v>1997</v>
      </c>
    </row>
  </sheetData>
  <phoneticPr fontId="2" type="noConversion"/>
  <conditionalFormatting sqref="C2:C11 C14 C16:C18 C23:C24">
    <cfRule type="notContainsText" dxfId="435" priority="417" operator="notContains" text="порожний">
      <formula>ISERROR(SEARCH("порожний",C2))</formula>
    </cfRule>
  </conditionalFormatting>
  <conditionalFormatting sqref="B11 A695 A697:A701 A825 B932">
    <cfRule type="containsText" dxfId="434" priority="41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433" priority="415" operator="notContains" text="порожний">
      <formula>ISERROR(SEARCH("порожний",C12))</formula>
    </cfRule>
  </conditionalFormatting>
  <conditionalFormatting sqref="B12:B14">
    <cfRule type="containsText" dxfId="432" priority="414" operator="containsText" text="Выезд с территории">
      <formula>NOT(ISERROR(SEARCH("Выезд с территории",B12)))</formula>
    </cfRule>
  </conditionalFormatting>
  <conditionalFormatting sqref="C15">
    <cfRule type="notContainsText" dxfId="431" priority="413" operator="notContains" text="порожний">
      <formula>ISERROR(SEARCH("порожний",C15))</formula>
    </cfRule>
  </conditionalFormatting>
  <conditionalFormatting sqref="C19:C22">
    <cfRule type="notContainsText" dxfId="430" priority="412" operator="notContains" text="порожний">
      <formula>ISERROR(SEARCH("порожний",C19))</formula>
    </cfRule>
  </conditionalFormatting>
  <conditionalFormatting sqref="C25">
    <cfRule type="notContainsText" dxfId="429" priority="411" operator="notContains" text="порожний">
      <formula>ISERROR(SEARCH("порожний",C25))</formula>
    </cfRule>
  </conditionalFormatting>
  <conditionalFormatting sqref="C26:C27">
    <cfRule type="notContainsText" dxfId="428" priority="410" operator="notContains" text="порожний">
      <formula>ISERROR(SEARCH("порожний",C26))</formula>
    </cfRule>
  </conditionalFormatting>
  <conditionalFormatting sqref="C29">
    <cfRule type="notContainsText" dxfId="427" priority="409" operator="notContains" text="порожний">
      <formula>ISERROR(SEARCH("порожний",C29))</formula>
    </cfRule>
  </conditionalFormatting>
  <conditionalFormatting sqref="C39">
    <cfRule type="notContainsText" dxfId="426" priority="404" operator="notContains" text="порожний">
      <formula>ISERROR(SEARCH("порожний",C39))</formula>
    </cfRule>
  </conditionalFormatting>
  <conditionalFormatting sqref="C32">
    <cfRule type="notContainsText" dxfId="425" priority="408" operator="notContains" text="порожний">
      <formula>ISERROR(SEARCH("порожний",C32))</formula>
    </cfRule>
  </conditionalFormatting>
  <conditionalFormatting sqref="C34">
    <cfRule type="notContainsText" dxfId="424" priority="407" operator="notContains" text="порожний">
      <formula>ISERROR(SEARCH("порожний",C34))</formula>
    </cfRule>
  </conditionalFormatting>
  <conditionalFormatting sqref="C36">
    <cfRule type="notContainsText" dxfId="423" priority="406" operator="notContains" text="порожний">
      <formula>ISERROR(SEARCH("порожний",C36))</formula>
    </cfRule>
  </conditionalFormatting>
  <conditionalFormatting sqref="C38">
    <cfRule type="notContainsText" dxfId="422" priority="405" operator="notContains" text="порожний">
      <formula>ISERROR(SEARCH("порожний",C38))</formula>
    </cfRule>
  </conditionalFormatting>
  <conditionalFormatting sqref="E147">
    <cfRule type="containsText" dxfId="421" priority="40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420" priority="402" operator="notContains" text="порожний">
      <formula>ISERROR(SEARCH("порожний",C581))</formula>
    </cfRule>
  </conditionalFormatting>
  <conditionalFormatting sqref="C586">
    <cfRule type="notContainsText" dxfId="419" priority="401" operator="notContains" text="порожний">
      <formula>ISERROR(SEARCH("порожний",C586))</formula>
    </cfRule>
  </conditionalFormatting>
  <conditionalFormatting sqref="B609">
    <cfRule type="containsText" dxfId="418" priority="400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417" priority="398" operator="containsText" text="Газель базы">
      <formula>NOT(ISERROR(SEARCH("Газель базы",B609)))</formula>
    </cfRule>
    <cfRule type="containsText" dxfId="416" priority="399" operator="containsText" text="Погрузчик базы">
      <formula>NOT(ISERROR(SEARCH("Погрузчик базы",B609)))</formula>
    </cfRule>
  </conditionalFormatting>
  <conditionalFormatting sqref="B609 B932">
    <cfRule type="containsText" dxfId="415" priority="397" operator="containsText" text="Трактор базы">
      <formula>NOT(ISERROR(SEARCH("Трактор базы",B609)))</formula>
    </cfRule>
  </conditionalFormatting>
  <conditionalFormatting sqref="B614">
    <cfRule type="containsText" dxfId="414" priority="393" operator="containsText" text="Трактор базы">
      <formula>NOT(ISERROR(SEARCH("Трактор базы",B614)))</formula>
    </cfRule>
  </conditionalFormatting>
  <conditionalFormatting sqref="B614">
    <cfRule type="containsText" dxfId="413" priority="396" operator="containsText" text="Выезд с территории">
      <formula>NOT(ISERROR(SEARCH("Выезд с территории",B614)))</formula>
    </cfRule>
  </conditionalFormatting>
  <conditionalFormatting sqref="B614">
    <cfRule type="containsText" dxfId="412" priority="394" operator="containsText" text="Газель базы">
      <formula>NOT(ISERROR(SEARCH("Газель базы",B614)))</formula>
    </cfRule>
    <cfRule type="containsText" dxfId="411" priority="395" operator="containsText" text="Погрузчик базы">
      <formula>NOT(ISERROR(SEARCH("Погрузчик базы",B614)))</formula>
    </cfRule>
  </conditionalFormatting>
  <conditionalFormatting sqref="C649">
    <cfRule type="notContainsText" dxfId="410" priority="392" operator="notContains" text="порожний">
      <formula>ISERROR(SEARCH("порожний",C649))</formula>
    </cfRule>
  </conditionalFormatting>
  <conditionalFormatting sqref="C655">
    <cfRule type="notContainsText" dxfId="409" priority="389" operator="notContains" text="порожний">
      <formula>ISERROR(SEARCH("порожний",C655))</formula>
    </cfRule>
  </conditionalFormatting>
  <conditionalFormatting sqref="C650">
    <cfRule type="notContainsText" dxfId="408" priority="391" operator="notContains" text="порожний">
      <formula>ISERROR(SEARCH("порожний",C650))</formula>
    </cfRule>
  </conditionalFormatting>
  <conditionalFormatting sqref="C654">
    <cfRule type="notContainsText" dxfId="407" priority="390" operator="notContains" text="порожний">
      <formula>ISERROR(SEARCH("порожний",C654))</formula>
    </cfRule>
  </conditionalFormatting>
  <conditionalFormatting sqref="A663:A666 A668:A670 A695 A697:A701 A825">
    <cfRule type="containsText" dxfId="406" priority="38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05" priority="388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404" priority="38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03" priority="38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02" priority="38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01" priority="38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00" priority="37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99" priority="382" operator="containsText" text="Выезд с территории">
      <formula>NOT(ISERROR(SEARCH("Выезд с территории",A681)))</formula>
    </cfRule>
  </conditionalFormatting>
  <conditionalFormatting sqref="A681">
    <cfRule type="containsText" dxfId="398" priority="38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97" priority="38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96" priority="376" operator="containsText" text="Трактор базы">
      <formula>NOT(ISERROR(SEARCH("Трактор базы",B682)))</formula>
    </cfRule>
  </conditionalFormatting>
  <conditionalFormatting sqref="B682">
    <cfRule type="containsText" dxfId="395" priority="379" operator="containsText" text="Выезд с территории">
      <formula>NOT(ISERROR(SEARCH("Выезд с территории",B682)))</formula>
    </cfRule>
  </conditionalFormatting>
  <conditionalFormatting sqref="B682">
    <cfRule type="containsText" dxfId="394" priority="377" operator="containsText" text="Газель базы">
      <formula>NOT(ISERROR(SEARCH("Газель базы",B682)))</formula>
    </cfRule>
    <cfRule type="containsText" dxfId="393" priority="378" operator="containsText" text="Погрузчик базы">
      <formula>NOT(ISERROR(SEARCH("Погрузчик базы",B682)))</formula>
    </cfRule>
  </conditionalFormatting>
  <conditionalFormatting sqref="A684:A687">
    <cfRule type="containsText" dxfId="392" priority="37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91" priority="37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90" priority="36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89" priority="36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88" priority="36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87" priority="36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86" priority="363" operator="containsText" text="Выезд с территории">
      <formula>NOT(ISERROR(SEARCH("Выезд с территории",A824)))</formula>
    </cfRule>
  </conditionalFormatting>
  <conditionalFormatting sqref="A824">
    <cfRule type="containsText" dxfId="385" priority="36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84" priority="35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83" priority="355" operator="containsText" text="Газель базы">
      <formula>NOT(ISERROR(SEARCH("Газель базы",B846)))</formula>
    </cfRule>
    <cfRule type="containsText" dxfId="382" priority="356" operator="containsText" text="Погрузчик базы">
      <formula>NOT(ISERROR(SEARCH("Погрузчик базы",B846)))</formula>
    </cfRule>
  </conditionalFormatting>
  <conditionalFormatting sqref="B846:B850">
    <cfRule type="containsText" dxfId="381" priority="354" operator="containsText" text="Трактор базы">
      <formula>NOT(ISERROR(SEARCH("Трактор базы",B846)))</formula>
    </cfRule>
  </conditionalFormatting>
  <conditionalFormatting sqref="A916:A917">
    <cfRule type="containsText" dxfId="380" priority="34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79" priority="35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78" priority="351" operator="containsText" text="Газель базы">
      <formula>NOT(ISERROR(SEARCH("Газель базы",B916)))</formula>
    </cfRule>
    <cfRule type="containsText" dxfId="377" priority="352" operator="containsText" text="Погрузчик базы">
      <formula>NOT(ISERROR(SEARCH("Погрузчик базы",B916)))</formula>
    </cfRule>
  </conditionalFormatting>
  <conditionalFormatting sqref="B916:B917">
    <cfRule type="containsText" dxfId="376" priority="350" operator="containsText" text="Трактор базы">
      <formula>NOT(ISERROR(SEARCH("Трактор базы",B916)))</formula>
    </cfRule>
  </conditionalFormatting>
  <conditionalFormatting sqref="A916:A917">
    <cfRule type="containsText" dxfId="375" priority="34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74" priority="347" operator="containsText" text="Выезд с территории">
      <formula>NOT(ISERROR(SEARCH("Выезд с территории",E916)))</formula>
    </cfRule>
  </conditionalFormatting>
  <conditionalFormatting sqref="A932">
    <cfRule type="containsText" dxfId="373" priority="32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72" priority="34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71" priority="344" operator="containsText" text="Газель базы">
      <formula>NOT(ISERROR(SEARCH("Газель базы",B918)))</formula>
    </cfRule>
    <cfRule type="containsText" dxfId="370" priority="345" operator="containsText" text="Погрузчик базы">
      <formula>NOT(ISERROR(SEARCH("Погрузчик базы",B918)))</formula>
    </cfRule>
  </conditionalFormatting>
  <conditionalFormatting sqref="B918:B924">
    <cfRule type="containsText" dxfId="369" priority="343" operator="containsText" text="Трактор базы">
      <formula>NOT(ISERROR(SEARCH("Трактор базы",B918)))</formula>
    </cfRule>
  </conditionalFormatting>
  <conditionalFormatting sqref="A918">
    <cfRule type="containsText" dxfId="368" priority="34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67" priority="34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66" priority="33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65" priority="34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64" priority="338" operator="containsText" text="Газель базы">
      <formula>NOT(ISERROR(SEARCH("Газель базы",B926)))</formula>
    </cfRule>
    <cfRule type="containsText" dxfId="363" priority="339" operator="containsText" text="Погрузчик базы">
      <formula>NOT(ISERROR(SEARCH("Погрузчик базы",B926)))</formula>
    </cfRule>
  </conditionalFormatting>
  <conditionalFormatting sqref="B926:B928">
    <cfRule type="containsText" dxfId="362" priority="337" operator="containsText" text="Трактор базы">
      <formula>NOT(ISERROR(SEARCH("Трактор базы",B926)))</formula>
    </cfRule>
  </conditionalFormatting>
  <conditionalFormatting sqref="A926:A928">
    <cfRule type="containsText" dxfId="361" priority="33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360" priority="334" operator="containsText" text="Выезд с территории">
      <formula>NOT(ISERROR(SEARCH("Выезд с территории",E926)))</formula>
    </cfRule>
  </conditionalFormatting>
  <conditionalFormatting sqref="A930">
    <cfRule type="containsText" dxfId="359" priority="32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358" priority="333" operator="containsText" text="Выезд с территории">
      <formula>NOT(ISERROR(SEARCH("Выезд с территории",A930)))</formula>
    </cfRule>
  </conditionalFormatting>
  <conditionalFormatting sqref="B930">
    <cfRule type="containsText" dxfId="357" priority="331" operator="containsText" text="Газель базы">
      <formula>NOT(ISERROR(SEARCH("Газель базы",B930)))</formula>
    </cfRule>
    <cfRule type="containsText" dxfId="356" priority="332" operator="containsText" text="Погрузчик базы">
      <formula>NOT(ISERROR(SEARCH("Погрузчик базы",B930)))</formula>
    </cfRule>
  </conditionalFormatting>
  <conditionalFormatting sqref="B930">
    <cfRule type="containsText" dxfId="355" priority="330" operator="containsText" text="Трактор базы">
      <formula>NOT(ISERROR(SEARCH("Трактор базы",B930)))</formula>
    </cfRule>
  </conditionalFormatting>
  <conditionalFormatting sqref="A930">
    <cfRule type="containsText" dxfId="354" priority="32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353" priority="327" operator="containsText" text="Выезд с территории">
      <formula>NOT(ISERROR(SEARCH("Выезд с территории",E930)))</formula>
    </cfRule>
  </conditionalFormatting>
  <conditionalFormatting sqref="A932">
    <cfRule type="containsText" dxfId="352" priority="326" operator="containsText" text="Выезд с территории">
      <formula>NOT(ISERROR(SEARCH("Выезд с территории",A932)))</formula>
    </cfRule>
  </conditionalFormatting>
  <conditionalFormatting sqref="A932">
    <cfRule type="containsText" dxfId="351" priority="32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350" priority="32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349" priority="32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348" priority="32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347" priority="32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346" priority="319" operator="notContains" text="порожний">
      <formula>ISERROR(SEARCH("порожний",C954))</formula>
    </cfRule>
  </conditionalFormatting>
  <conditionalFormatting sqref="B954:B956">
    <cfRule type="containsText" dxfId="345" priority="317" operator="containsText" text="Газель базы">
      <formula>NOT(ISERROR(SEARCH("Газель базы",B954)))</formula>
    </cfRule>
    <cfRule type="containsText" dxfId="344" priority="318" operator="containsText" text="Погрузчик базы">
      <formula>NOT(ISERROR(SEARCH("Погрузчик базы",B954)))</formula>
    </cfRule>
  </conditionalFormatting>
  <conditionalFormatting sqref="B954:B956">
    <cfRule type="containsText" dxfId="343" priority="316" operator="containsText" text="Трактор базы">
      <formula>NOT(ISERROR(SEARCH("Трактор базы",B954)))</formula>
    </cfRule>
  </conditionalFormatting>
  <conditionalFormatting sqref="A954:A956">
    <cfRule type="containsText" dxfId="342" priority="31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341" priority="31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340" priority="312" operator="notContains" text="порожний">
      <formula>ISERROR(SEARCH("порожний",C995))</formula>
    </cfRule>
  </conditionalFormatting>
  <conditionalFormatting sqref="C987">
    <cfRule type="notContainsText" dxfId="339" priority="313" operator="notContains" text="порожний">
      <formula>ISERROR(SEARCH("порожний",C987))</formula>
    </cfRule>
  </conditionalFormatting>
  <conditionalFormatting sqref="B999">
    <cfRule type="containsText" dxfId="338" priority="311" operator="containsText" text="Выезд с территории">
      <formula>NOT(ISERROR(SEARCH("Выезд с территории",B999)))</formula>
    </cfRule>
  </conditionalFormatting>
  <conditionalFormatting sqref="B999">
    <cfRule type="containsText" dxfId="337" priority="309" operator="containsText" text="Газель базы">
      <formula>NOT(ISERROR(SEARCH("Газель базы",B999)))</formula>
    </cfRule>
    <cfRule type="containsText" dxfId="336" priority="310" operator="containsText" text="Погрузчик базы">
      <formula>NOT(ISERROR(SEARCH("Погрузчик базы",B999)))</formula>
    </cfRule>
  </conditionalFormatting>
  <conditionalFormatting sqref="B999">
    <cfRule type="containsText" dxfId="335" priority="308" operator="containsText" text="Трактор базы">
      <formula>NOT(ISERROR(SEARCH("Трактор базы",B999)))</formula>
    </cfRule>
  </conditionalFormatting>
  <conditionalFormatting sqref="B1019:B1022">
    <cfRule type="containsText" dxfId="334" priority="304" operator="containsText" text="Трактор базы">
      <formula>NOT(ISERROR(SEARCH("Трактор базы",B1019)))</formula>
    </cfRule>
  </conditionalFormatting>
  <conditionalFormatting sqref="B1019:B1022">
    <cfRule type="containsText" dxfId="333" priority="30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332" priority="305" operator="containsText" text="Газель базы">
      <formula>NOT(ISERROR(SEARCH("Газель базы",B1019)))</formula>
    </cfRule>
    <cfRule type="containsText" dxfId="331" priority="306" operator="containsText" text="Погрузчик базы">
      <formula>NOT(ISERROR(SEARCH("Погрузчик базы",B1019)))</formula>
    </cfRule>
  </conditionalFormatting>
  <conditionalFormatting sqref="C966">
    <cfRule type="notContainsText" dxfId="330" priority="303" operator="notContains" text="порожний">
      <formula>ISERROR(SEARCH("порожний",C966))</formula>
    </cfRule>
  </conditionalFormatting>
  <conditionalFormatting sqref="A1029">
    <cfRule type="containsText" dxfId="329" priority="30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328" priority="30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327" priority="30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326" priority="29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325" priority="297" operator="containsText" text="Газель базы">
      <formula>NOT(ISERROR(SEARCH("Газель базы",B1030)))</formula>
    </cfRule>
    <cfRule type="containsText" dxfId="324" priority="298" operator="containsText" text="Погрузчик базы">
      <formula>NOT(ISERROR(SEARCH("Погрузчик базы",B1030)))</formula>
    </cfRule>
  </conditionalFormatting>
  <conditionalFormatting sqref="B1030">
    <cfRule type="containsText" dxfId="323" priority="296" operator="containsText" text="Трактор базы">
      <formula>NOT(ISERROR(SEARCH("Трактор базы",B1030)))</formula>
    </cfRule>
  </conditionalFormatting>
  <conditionalFormatting sqref="A1035">
    <cfRule type="containsText" dxfId="322" priority="29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321" priority="29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320" priority="29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319" priority="29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318" priority="29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317" priority="29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316" priority="28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15" priority="287" operator="containsText" text="Газель базы">
      <formula>NOT(ISERROR(SEARCH("Газель базы",B1138)))</formula>
    </cfRule>
    <cfRule type="containsText" dxfId="314" priority="288" operator="containsText" text="Погрузчик базы">
      <formula>NOT(ISERROR(SEARCH("Погрузчик базы",B1138)))</formula>
    </cfRule>
  </conditionalFormatting>
  <conditionalFormatting sqref="B1138:B1161">
    <cfRule type="containsText" dxfId="313" priority="286" operator="containsText" text="Трактор базы">
      <formula>NOT(ISERROR(SEARCH("Трактор базы",B1138)))</formula>
    </cfRule>
  </conditionalFormatting>
  <conditionalFormatting sqref="B1258:B1262">
    <cfRule type="containsText" dxfId="312" priority="270" operator="containsText" text="Трактор базы">
      <formula>NOT(ISERROR(SEARCH("Трактор базы",B1258)))</formula>
    </cfRule>
  </conditionalFormatting>
  <conditionalFormatting sqref="B1244:B1252">
    <cfRule type="containsText" dxfId="311" priority="28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10" priority="283" operator="containsText" text="Газель базы">
      <formula>NOT(ISERROR(SEARCH("Газель базы",B1244)))</formula>
    </cfRule>
    <cfRule type="containsText" dxfId="309" priority="284" operator="containsText" text="Погрузчик базы">
      <formula>NOT(ISERROR(SEARCH("Погрузчик базы",B1244)))</formula>
    </cfRule>
  </conditionalFormatting>
  <conditionalFormatting sqref="B1244:B1252">
    <cfRule type="containsText" dxfId="308" priority="282" operator="containsText" text="Трактор базы">
      <formula>NOT(ISERROR(SEARCH("Трактор базы",B1244)))</formula>
    </cfRule>
  </conditionalFormatting>
  <conditionalFormatting sqref="B1253:B1256">
    <cfRule type="containsText" dxfId="307" priority="28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06" priority="279" operator="containsText" text="Газель базы">
      <formula>NOT(ISERROR(SEARCH("Газель базы",B1253)))</formula>
    </cfRule>
    <cfRule type="containsText" dxfId="305" priority="280" operator="containsText" text="Погрузчик базы">
      <formula>NOT(ISERROR(SEARCH("Погрузчик базы",B1253)))</formula>
    </cfRule>
  </conditionalFormatting>
  <conditionalFormatting sqref="B1253:B1256">
    <cfRule type="containsText" dxfId="304" priority="278" operator="containsText" text="Трактор базы">
      <formula>NOT(ISERROR(SEARCH("Трактор базы",B1253)))</formula>
    </cfRule>
  </conditionalFormatting>
  <conditionalFormatting sqref="B1257">
    <cfRule type="containsText" dxfId="303" priority="27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02" priority="275" operator="containsText" text="Газель базы">
      <formula>NOT(ISERROR(SEARCH("Газель базы",B1257)))</formula>
    </cfRule>
    <cfRule type="containsText" dxfId="301" priority="276" operator="containsText" text="Погрузчик базы">
      <formula>NOT(ISERROR(SEARCH("Погрузчик базы",B1257)))</formula>
    </cfRule>
  </conditionalFormatting>
  <conditionalFormatting sqref="B1257">
    <cfRule type="containsText" dxfId="300" priority="274" operator="containsText" text="Трактор базы">
      <formula>NOT(ISERROR(SEARCH("Трактор базы",B1257)))</formula>
    </cfRule>
  </conditionalFormatting>
  <conditionalFormatting sqref="B1258:B1262">
    <cfRule type="containsText" dxfId="299" priority="27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98" priority="271" operator="containsText" text="Газель базы">
      <formula>NOT(ISERROR(SEARCH("Газель базы",B1258)))</formula>
    </cfRule>
    <cfRule type="containsText" dxfId="297" priority="272" operator="containsText" text="Погрузчик базы">
      <formula>NOT(ISERROR(SEARCH("Погрузчик базы",B1258)))</formula>
    </cfRule>
  </conditionalFormatting>
  <conditionalFormatting sqref="B1281:B1287">
    <cfRule type="containsText" dxfId="296" priority="26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95" priority="267" operator="containsText" text="Газель базы">
      <formula>NOT(ISERROR(SEARCH("Газель базы",B1281)))</formula>
    </cfRule>
    <cfRule type="containsText" dxfId="294" priority="268" operator="containsText" text="Погрузчик базы">
      <formula>NOT(ISERROR(SEARCH("Погрузчик базы",B1281)))</formula>
    </cfRule>
  </conditionalFormatting>
  <conditionalFormatting sqref="B1281:B1287">
    <cfRule type="containsText" dxfId="293" priority="266" operator="containsText" text="Трактор базы">
      <formula>NOT(ISERROR(SEARCH("Трактор базы",B1281)))</formula>
    </cfRule>
  </conditionalFormatting>
  <conditionalFormatting sqref="B1296">
    <cfRule type="containsText" dxfId="292" priority="262" operator="containsText" text="Трактор базы">
      <formula>NOT(ISERROR(SEARCH("Трактор базы",B1296)))</formula>
    </cfRule>
  </conditionalFormatting>
  <conditionalFormatting sqref="B1296">
    <cfRule type="containsText" dxfId="291" priority="26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90" priority="263" operator="containsText" text="Газель базы">
      <formula>NOT(ISERROR(SEARCH("Газель базы",B1296)))</formula>
    </cfRule>
    <cfRule type="containsText" dxfId="289" priority="264" operator="containsText" text="Погрузчик базы">
      <formula>NOT(ISERROR(SEARCH("Погрузчик базы",B1296)))</formula>
    </cfRule>
  </conditionalFormatting>
  <conditionalFormatting sqref="C1320:C1321">
    <cfRule type="notContainsText" dxfId="288" priority="260" operator="notContains" text="порожний">
      <formula>ISERROR(SEARCH("порожний",C1320))</formula>
    </cfRule>
  </conditionalFormatting>
  <conditionalFormatting sqref="A1323">
    <cfRule type="containsText" dxfId="287" priority="25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86" priority="25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85" priority="25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84" priority="25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83" priority="25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82" priority="25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81" priority="253" operator="notContains" text="порожний">
      <formula>ISERROR(SEARCH("порожний",C1336))</formula>
    </cfRule>
  </conditionalFormatting>
  <conditionalFormatting sqref="C1346">
    <cfRule type="notContainsText" dxfId="280" priority="252" operator="notContains" text="порожний">
      <formula>ISERROR(SEARCH("порожний",C1346))</formula>
    </cfRule>
  </conditionalFormatting>
  <conditionalFormatting sqref="A1391">
    <cfRule type="containsText" dxfId="279" priority="24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78" priority="24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77" priority="24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76" priority="24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75" priority="24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74" priority="24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73" priority="242" operator="notContains" text="порожний">
      <formula>ISERROR(SEARCH("порожний",C1606))</formula>
    </cfRule>
  </conditionalFormatting>
  <conditionalFormatting sqref="B1633:B1636">
    <cfRule type="containsText" dxfId="272" priority="24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71" priority="239" operator="containsText" text="Газель базы">
      <formula>NOT(ISERROR(SEARCH("Газель базы",B1633)))</formula>
    </cfRule>
    <cfRule type="containsText" dxfId="270" priority="240" operator="containsText" text="Погрузчик базы">
      <formula>NOT(ISERROR(SEARCH("Погрузчик базы",B1633)))</formula>
    </cfRule>
  </conditionalFormatting>
  <conditionalFormatting sqref="B1633:B1636">
    <cfRule type="containsText" dxfId="269" priority="238" operator="containsText" text="Трактор базы">
      <formula>NOT(ISERROR(SEARCH("Трактор базы",B1633)))</formula>
    </cfRule>
  </conditionalFormatting>
  <conditionalFormatting sqref="B1637:B1642">
    <cfRule type="containsText" dxfId="268" priority="23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67" priority="235" operator="containsText" text="Газель базы">
      <formula>NOT(ISERROR(SEARCH("Газель базы",B1637)))</formula>
    </cfRule>
    <cfRule type="containsText" dxfId="266" priority="236" operator="containsText" text="Погрузчик базы">
      <formula>NOT(ISERROR(SEARCH("Погрузчик базы",B1637)))</formula>
    </cfRule>
  </conditionalFormatting>
  <conditionalFormatting sqref="B1637:B1642">
    <cfRule type="containsText" dxfId="265" priority="234" operator="containsText" text="Трактор базы">
      <formula>NOT(ISERROR(SEARCH("Трактор базы",B1637)))</formula>
    </cfRule>
  </conditionalFormatting>
  <conditionalFormatting sqref="B1671:B1672">
    <cfRule type="containsText" dxfId="264" priority="230" operator="containsText" text="Трактор базы">
      <formula>NOT(ISERROR(SEARCH("Трактор базы",B1671)))</formula>
    </cfRule>
  </conditionalFormatting>
  <conditionalFormatting sqref="B1671:B1672">
    <cfRule type="containsText" dxfId="263" priority="23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62" priority="231" operator="containsText" text="Газель базы">
      <formula>NOT(ISERROR(SEARCH("Газель базы",B1671)))</formula>
    </cfRule>
    <cfRule type="containsText" dxfId="261" priority="232" operator="containsText" text="Погрузчик базы">
      <formula>NOT(ISERROR(SEARCH("Погрузчик базы",B1671)))</formula>
    </cfRule>
  </conditionalFormatting>
  <conditionalFormatting sqref="B1675">
    <cfRule type="containsText" dxfId="260" priority="226" operator="containsText" text="Трактор базы">
      <formula>NOT(ISERROR(SEARCH("Трактор базы",B1675)))</formula>
    </cfRule>
  </conditionalFormatting>
  <conditionalFormatting sqref="B1675">
    <cfRule type="containsText" dxfId="259" priority="22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258" priority="227" operator="containsText" text="Газель базы">
      <formula>NOT(ISERROR(SEARCH("Газель базы",B1675)))</formula>
    </cfRule>
    <cfRule type="containsText" dxfId="257" priority="228" operator="containsText" text="Погрузчик базы">
      <formula>NOT(ISERROR(SEARCH("Погрузчик базы",B1675)))</formula>
    </cfRule>
  </conditionalFormatting>
  <conditionalFormatting sqref="A1678">
    <cfRule type="containsText" dxfId="256" priority="22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255" priority="22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254" priority="22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253" priority="222" operator="notContains" text="порожний">
      <formula>ISERROR(SEARCH("порожний",C1723))</formula>
    </cfRule>
  </conditionalFormatting>
  <conditionalFormatting sqref="C1725:C1726">
    <cfRule type="notContainsText" dxfId="252" priority="221" operator="notContains" text="порожний">
      <formula>ISERROR(SEARCH("порожний",C1725))</formula>
    </cfRule>
  </conditionalFormatting>
  <conditionalFormatting sqref="C1727">
    <cfRule type="notContainsText" dxfId="251" priority="220" operator="notContains" text="порожний">
      <formula>ISERROR(SEARCH("порожний",C1727))</formula>
    </cfRule>
  </conditionalFormatting>
  <conditionalFormatting sqref="C1728">
    <cfRule type="notContainsText" dxfId="250" priority="219" operator="notContains" text="порожний">
      <formula>ISERROR(SEARCH("порожний",C1728))</formula>
    </cfRule>
  </conditionalFormatting>
  <conditionalFormatting sqref="B1732:B1733">
    <cfRule type="containsText" dxfId="249" priority="21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248" priority="216" operator="containsText" text="Газель базы">
      <formula>NOT(ISERROR(SEARCH("Газель базы",B1732)))</formula>
    </cfRule>
    <cfRule type="containsText" dxfId="247" priority="217" operator="containsText" text="Погрузчик базы">
      <formula>NOT(ISERROR(SEARCH("Погрузчик базы",B1732)))</formula>
    </cfRule>
  </conditionalFormatting>
  <conditionalFormatting sqref="B1732:B1733">
    <cfRule type="containsText" dxfId="246" priority="215" operator="containsText" text="Трактор базы">
      <formula>NOT(ISERROR(SEARCH("Трактор базы",B1732)))</formula>
    </cfRule>
  </conditionalFormatting>
  <conditionalFormatting sqref="B1734:B1735">
    <cfRule type="containsText" dxfId="245" priority="21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244" priority="212" operator="containsText" text="Газель базы">
      <formula>NOT(ISERROR(SEARCH("Газель базы",B1734)))</formula>
    </cfRule>
    <cfRule type="containsText" dxfId="243" priority="213" operator="containsText" text="Погрузчик базы">
      <formula>NOT(ISERROR(SEARCH("Погрузчик базы",B1734)))</formula>
    </cfRule>
  </conditionalFormatting>
  <conditionalFormatting sqref="B1734:B1735">
    <cfRule type="containsText" dxfId="242" priority="211" operator="containsText" text="Трактор базы">
      <formula>NOT(ISERROR(SEARCH("Трактор базы",B1734)))</formula>
    </cfRule>
  </conditionalFormatting>
  <conditionalFormatting sqref="B1762:B1764">
    <cfRule type="containsText" dxfId="241" priority="197" operator="containsText" text="Трактор базы">
      <formula>NOT(ISERROR(SEARCH("Трактор базы",B1762)))</formula>
    </cfRule>
  </conditionalFormatting>
  <conditionalFormatting sqref="B1740:B1741">
    <cfRule type="containsText" dxfId="240" priority="21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239" priority="208" operator="containsText" text="Газель базы">
      <formula>NOT(ISERROR(SEARCH("Газель базы",B1740)))</formula>
    </cfRule>
    <cfRule type="containsText" dxfId="238" priority="209" operator="containsText" text="Погрузчик базы">
      <formula>NOT(ISERROR(SEARCH("Погрузчик базы",B1740)))</formula>
    </cfRule>
  </conditionalFormatting>
  <conditionalFormatting sqref="B1740:B1741">
    <cfRule type="containsText" dxfId="237" priority="207" operator="containsText" text="Трактор базы">
      <formula>NOT(ISERROR(SEARCH("Трактор базы",B1740)))</formula>
    </cfRule>
  </conditionalFormatting>
  <conditionalFormatting sqref="A1755">
    <cfRule type="containsText" dxfId="236" priority="20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235" priority="20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234" priority="20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233" priority="20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232" priority="20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231" priority="20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230" priority="188" operator="containsText" text="Трактор базы">
      <formula>NOT(ISERROR(SEARCH("Трактор базы",B1773)))</formula>
    </cfRule>
  </conditionalFormatting>
  <conditionalFormatting sqref="B1762:B1764">
    <cfRule type="containsText" dxfId="229" priority="20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228" priority="198" operator="containsText" text="Газель базы">
      <formula>NOT(ISERROR(SEARCH("Газель базы",B1762)))</formula>
    </cfRule>
    <cfRule type="containsText" dxfId="227" priority="199" operator="containsText" text="Погрузчик базы">
      <formula>NOT(ISERROR(SEARCH("Погрузчик базы",B1762)))</formula>
    </cfRule>
  </conditionalFormatting>
  <conditionalFormatting sqref="B1776:B1777">
    <cfRule type="containsText" dxfId="226" priority="179" operator="containsText" text="Трактор базы">
      <formula>NOT(ISERROR(SEARCH("Трактор базы",B1776)))</formula>
    </cfRule>
  </conditionalFormatting>
  <conditionalFormatting sqref="B1770:B1771">
    <cfRule type="containsText" dxfId="225" priority="19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224" priority="194" operator="containsText" text="Газель базы">
      <formula>NOT(ISERROR(SEARCH("Газель базы",B1770)))</formula>
    </cfRule>
    <cfRule type="containsText" dxfId="223" priority="195" operator="containsText" text="Погрузчик базы">
      <formula>NOT(ISERROR(SEARCH("Погрузчик базы",B1770)))</formula>
    </cfRule>
  </conditionalFormatting>
  <conditionalFormatting sqref="B1770:B1771">
    <cfRule type="containsText" dxfId="222" priority="193" operator="containsText" text="Трактор базы">
      <formula>NOT(ISERROR(SEARCH("Трактор базы",B1770)))</formula>
    </cfRule>
  </conditionalFormatting>
  <conditionalFormatting sqref="B1773">
    <cfRule type="containsText" dxfId="221" priority="19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220" priority="191" operator="notContains" text="порожний">
      <formula>ISERROR(SEARCH("порожний",C1773))</formula>
    </cfRule>
  </conditionalFormatting>
  <conditionalFormatting sqref="B1773">
    <cfRule type="containsText" dxfId="219" priority="189" operator="containsText" text="Газель базы">
      <formula>NOT(ISERROR(SEARCH("Газель базы",B1773)))</formula>
    </cfRule>
    <cfRule type="containsText" dxfId="218" priority="190" operator="containsText" text="Погрузчик базы">
      <formula>NOT(ISERROR(SEARCH("Погрузчик базы",B1773)))</formula>
    </cfRule>
  </conditionalFormatting>
  <conditionalFormatting sqref="B1775">
    <cfRule type="containsText" dxfId="217" priority="183" operator="containsText" text="Трактор базы">
      <formula>NOT(ISERROR(SEARCH("Трактор базы",B1775)))</formula>
    </cfRule>
  </conditionalFormatting>
  <conditionalFormatting sqref="B1775">
    <cfRule type="containsText" dxfId="216" priority="18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15" priority="186" operator="notContains" text="порожний">
      <formula>ISERROR(SEARCH("порожний",C1775))</formula>
    </cfRule>
  </conditionalFormatting>
  <conditionalFormatting sqref="B1775">
    <cfRule type="containsText" dxfId="214" priority="184" operator="containsText" text="Газель базы">
      <formula>NOT(ISERROR(SEARCH("Газель базы",B1775)))</formula>
    </cfRule>
    <cfRule type="containsText" dxfId="213" priority="185" operator="containsText" text="Погрузчик базы">
      <formula>NOT(ISERROR(SEARCH("Погрузчик базы",B1775)))</formula>
    </cfRule>
  </conditionalFormatting>
  <conditionalFormatting sqref="B1776:B1777">
    <cfRule type="containsText" dxfId="212" priority="18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11" priority="180" operator="containsText" text="Газель базы">
      <formula>NOT(ISERROR(SEARCH("Газель базы",B1776)))</formula>
    </cfRule>
    <cfRule type="containsText" dxfId="210" priority="181" operator="containsText" text="Погрузчик базы">
      <formula>NOT(ISERROR(SEARCH("Погрузчик базы",B1776)))</formula>
    </cfRule>
  </conditionalFormatting>
  <conditionalFormatting sqref="B1891">
    <cfRule type="containsText" dxfId="209" priority="171" operator="containsText" text="Трактор базы">
      <formula>NOT(ISERROR(SEARCH("Трактор базы",B1891)))</formula>
    </cfRule>
  </conditionalFormatting>
  <conditionalFormatting sqref="B1889">
    <cfRule type="containsText" dxfId="208" priority="17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07" priority="176" operator="containsText" text="Газель базы">
      <formula>NOT(ISERROR(SEARCH("Газель базы",B1889)))</formula>
    </cfRule>
    <cfRule type="containsText" dxfId="206" priority="177" operator="containsText" text="Погрузчик базы">
      <formula>NOT(ISERROR(SEARCH("Погрузчик базы",B1889)))</formula>
    </cfRule>
  </conditionalFormatting>
  <conditionalFormatting sqref="B1889">
    <cfRule type="containsText" dxfId="205" priority="175" operator="containsText" text="Трактор базы">
      <formula>NOT(ISERROR(SEARCH("Трактор базы",B1889)))</formula>
    </cfRule>
  </conditionalFormatting>
  <conditionalFormatting sqref="B1891">
    <cfRule type="containsText" dxfId="204" priority="17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03" priority="172" operator="containsText" text="Газель базы">
      <formula>NOT(ISERROR(SEARCH("Газель базы",B1891)))</formula>
    </cfRule>
    <cfRule type="containsText" dxfId="202" priority="173" operator="containsText" text="Погрузчик базы">
      <formula>NOT(ISERROR(SEARCH("Погрузчик базы",B1891)))</formula>
    </cfRule>
  </conditionalFormatting>
  <conditionalFormatting sqref="B1920">
    <cfRule type="containsText" dxfId="201" priority="159" operator="containsText" text="Трактор базы">
      <formula>NOT(ISERROR(SEARCH("Трактор базы",B1920)))</formula>
    </cfRule>
  </conditionalFormatting>
  <conditionalFormatting sqref="B1904:B1914">
    <cfRule type="containsText" dxfId="200" priority="17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99" priority="168" operator="containsText" text="Газель базы">
      <formula>NOT(ISERROR(SEARCH("Газель базы",B1904)))</formula>
    </cfRule>
    <cfRule type="containsText" dxfId="198" priority="169" operator="containsText" text="Погрузчик базы">
      <formula>NOT(ISERROR(SEARCH("Погрузчик базы",B1904)))</formula>
    </cfRule>
  </conditionalFormatting>
  <conditionalFormatting sqref="B1904:B1914">
    <cfRule type="containsText" dxfId="197" priority="167" operator="containsText" text="Трактор базы">
      <formula>NOT(ISERROR(SEARCH("Трактор базы",B1904)))</formula>
    </cfRule>
  </conditionalFormatting>
  <conditionalFormatting sqref="B1915:B1919">
    <cfRule type="containsText" dxfId="196" priority="16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95" priority="164" operator="containsText" text="Газель базы">
      <formula>NOT(ISERROR(SEARCH("Газель базы",B1915)))</formula>
    </cfRule>
    <cfRule type="containsText" dxfId="194" priority="165" operator="containsText" text="Погрузчик базы">
      <formula>NOT(ISERROR(SEARCH("Погрузчик базы",B1915)))</formula>
    </cfRule>
  </conditionalFormatting>
  <conditionalFormatting sqref="B1915:B1919">
    <cfRule type="containsText" dxfId="193" priority="163" operator="containsText" text="Трактор базы">
      <formula>NOT(ISERROR(SEARCH("Трактор базы",B1915)))</formula>
    </cfRule>
  </conditionalFormatting>
  <conditionalFormatting sqref="B1920">
    <cfRule type="containsText" dxfId="192" priority="16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91" priority="160" operator="containsText" text="Газель базы">
      <formula>NOT(ISERROR(SEARCH("Газель базы",B1920)))</formula>
    </cfRule>
    <cfRule type="containsText" dxfId="190" priority="161" operator="containsText" text="Погрузчик базы">
      <formula>NOT(ISERROR(SEARCH("Погрузчик базы",B1920)))</formula>
    </cfRule>
  </conditionalFormatting>
  <conditionalFormatting sqref="B1939">
    <cfRule type="containsText" dxfId="189" priority="155" operator="containsText" text="Трактор базы">
      <formula>NOT(ISERROR(SEARCH("Трактор базы",B1939)))</formula>
    </cfRule>
  </conditionalFormatting>
  <conditionalFormatting sqref="B1939">
    <cfRule type="containsText" dxfId="188" priority="15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187" priority="156" operator="containsText" text="Газель базы">
      <formula>NOT(ISERROR(SEARCH("Газель базы",B1939)))</formula>
    </cfRule>
    <cfRule type="containsText" dxfId="186" priority="157" operator="containsText" text="Погрузчик базы">
      <formula>NOT(ISERROR(SEARCH("Погрузчик базы",B1939)))</formula>
    </cfRule>
  </conditionalFormatting>
  <conditionalFormatting sqref="A1943">
    <cfRule type="containsText" dxfId="185" priority="15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84" priority="15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83" priority="15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182" priority="136" operator="containsText" text="Трактор базы">
      <formula>NOT(ISERROR(SEARCH("Трактор базы",B1977)))</formula>
    </cfRule>
  </conditionalFormatting>
  <conditionalFormatting sqref="B1974">
    <cfRule type="containsText" dxfId="181" priority="15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180" priority="149" operator="containsText" text="Газель базы">
      <formula>NOT(ISERROR(SEARCH("Газель базы",B1974)))</formula>
    </cfRule>
    <cfRule type="containsText" dxfId="179" priority="150" operator="containsText" text="Погрузчик базы">
      <formula>NOT(ISERROR(SEARCH("Погрузчик базы",B1974)))</formula>
    </cfRule>
  </conditionalFormatting>
  <conditionalFormatting sqref="B1974">
    <cfRule type="containsText" dxfId="178" priority="148" operator="containsText" text="Трактор базы">
      <formula>NOT(ISERROR(SEARCH("Трактор базы",B1974)))</formula>
    </cfRule>
  </conditionalFormatting>
  <conditionalFormatting sqref="B1975">
    <cfRule type="containsText" dxfId="177" priority="14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76" priority="145" operator="containsText" text="Газель базы">
      <formula>NOT(ISERROR(SEARCH("Газель базы",B1975)))</formula>
    </cfRule>
    <cfRule type="containsText" dxfId="175" priority="146" operator="containsText" text="Погрузчик базы">
      <formula>NOT(ISERROR(SEARCH("Погрузчик базы",B1975)))</formula>
    </cfRule>
  </conditionalFormatting>
  <conditionalFormatting sqref="B1975">
    <cfRule type="containsText" dxfId="174" priority="144" operator="containsText" text="Трактор базы">
      <formula>NOT(ISERROR(SEARCH("Трактор базы",B1975)))</formula>
    </cfRule>
  </conditionalFormatting>
  <conditionalFormatting sqref="B1976">
    <cfRule type="containsText" dxfId="173" priority="14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72" priority="141" operator="containsText" text="Газель базы">
      <formula>NOT(ISERROR(SEARCH("Газель базы",B1976)))</formula>
    </cfRule>
    <cfRule type="containsText" dxfId="171" priority="142" operator="containsText" text="Погрузчик базы">
      <formula>NOT(ISERROR(SEARCH("Погрузчик базы",B1976)))</formula>
    </cfRule>
  </conditionalFormatting>
  <conditionalFormatting sqref="B1976">
    <cfRule type="containsText" dxfId="170" priority="140" operator="containsText" text="Трактор базы">
      <formula>NOT(ISERROR(SEARCH("Трактор базы",B1976)))</formula>
    </cfRule>
  </conditionalFormatting>
  <conditionalFormatting sqref="B1977">
    <cfRule type="containsText" dxfId="169" priority="13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68" priority="137" operator="containsText" text="Газель базы">
      <formula>NOT(ISERROR(SEARCH("Газель базы",B1977)))</formula>
    </cfRule>
    <cfRule type="containsText" dxfId="167" priority="138" operator="containsText" text="Погрузчик базы">
      <formula>NOT(ISERROR(SEARCH("Погрузчик базы",B1977)))</formula>
    </cfRule>
  </conditionalFormatting>
  <conditionalFormatting sqref="C1965">
    <cfRule type="notContainsText" dxfId="166" priority="135" operator="notContains" text="порожний">
      <formula>ISERROR(SEARCH("порожний",C1965))</formula>
    </cfRule>
  </conditionalFormatting>
  <conditionalFormatting sqref="B2042">
    <cfRule type="containsText" dxfId="165" priority="131" operator="containsText" text="Трактор базы">
      <formula>NOT(ISERROR(SEARCH("Трактор базы",B2042)))</formula>
    </cfRule>
  </conditionalFormatting>
  <conditionalFormatting sqref="B2042">
    <cfRule type="containsText" dxfId="164" priority="13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163" priority="132" operator="containsText" text="Газель базы">
      <formula>NOT(ISERROR(SEARCH("Газель базы",B2042)))</formula>
    </cfRule>
    <cfRule type="containsText" dxfId="162" priority="133" operator="containsText" text="Погрузчик базы">
      <formula>NOT(ISERROR(SEARCH("Погрузчик базы",B2042)))</formula>
    </cfRule>
  </conditionalFormatting>
  <conditionalFormatting sqref="C2050">
    <cfRule type="notContainsText" dxfId="161" priority="130" operator="notContains" text="порожний">
      <formula>ISERROR(SEARCH("порожний",C2050))</formula>
    </cfRule>
  </conditionalFormatting>
  <conditionalFormatting sqref="B2054">
    <cfRule type="containsText" dxfId="160" priority="12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159" priority="127" operator="containsText" text="Газель базы">
      <formula>NOT(ISERROR(SEARCH("Газель базы",B2054)))</formula>
    </cfRule>
    <cfRule type="containsText" dxfId="158" priority="128" operator="containsText" text="Погрузчик базы">
      <formula>NOT(ISERROR(SEARCH("Погрузчик базы",B2054)))</formula>
    </cfRule>
  </conditionalFormatting>
  <conditionalFormatting sqref="B2054">
    <cfRule type="containsText" dxfId="157" priority="126" operator="containsText" text="Трактор базы">
      <formula>NOT(ISERROR(SEARCH("Трактор базы",B2054)))</formula>
    </cfRule>
  </conditionalFormatting>
  <conditionalFormatting sqref="B2055">
    <cfRule type="containsText" dxfId="156" priority="122" operator="containsText" text="Трактор базы">
      <formula>NOT(ISERROR(SEARCH("Трактор базы",B2055)))</formula>
    </cfRule>
  </conditionalFormatting>
  <conditionalFormatting sqref="B2055">
    <cfRule type="containsText" dxfId="155" priority="12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154" priority="123" operator="containsText" text="Газель базы">
      <formula>NOT(ISERROR(SEARCH("Газель базы",B2055)))</formula>
    </cfRule>
    <cfRule type="containsText" dxfId="153" priority="124" operator="containsText" text="Погрузчик базы">
      <formula>NOT(ISERROR(SEARCH("Погрузчик базы",B2055)))</formula>
    </cfRule>
  </conditionalFormatting>
  <conditionalFormatting sqref="A2087:A2089">
    <cfRule type="containsText" dxfId="152" priority="11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151" priority="12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150" priority="120" operator="notContains" text="порожний">
      <formula>ISERROR(SEARCH("порожний",C2087))</formula>
    </cfRule>
  </conditionalFormatting>
  <conditionalFormatting sqref="B2087:B2089">
    <cfRule type="containsText" dxfId="149" priority="118" operator="containsText" text="Газель базы">
      <formula>NOT(ISERROR(SEARCH("Газель базы",B2087)))</formula>
    </cfRule>
    <cfRule type="containsText" dxfId="148" priority="119" operator="containsText" text="Погрузчик базы">
      <formula>NOT(ISERROR(SEARCH("Погрузчик базы",B2087)))</formula>
    </cfRule>
  </conditionalFormatting>
  <conditionalFormatting sqref="B2087:B2089">
    <cfRule type="containsText" dxfId="147" priority="117" operator="containsText" text="Трактор базы">
      <formula>NOT(ISERROR(SEARCH("Трактор базы",B2087)))</formula>
    </cfRule>
  </conditionalFormatting>
  <conditionalFormatting sqref="A2087:A2089">
    <cfRule type="containsText" dxfId="146" priority="11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145" priority="11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144" priority="112" operator="containsText" text="Газель базы">
      <formula>NOT(ISERROR(SEARCH("Газель базы",B2101)))</formula>
    </cfRule>
    <cfRule type="containsText" dxfId="143" priority="113" operator="containsText" text="Погрузчик базы">
      <formula>NOT(ISERROR(SEARCH("Погрузчик базы",B2101)))</formula>
    </cfRule>
  </conditionalFormatting>
  <conditionalFormatting sqref="B2101">
    <cfRule type="containsText" dxfId="142" priority="111" operator="containsText" text="Трактор базы">
      <formula>NOT(ISERROR(SEARCH("Трактор базы",B2101)))</formula>
    </cfRule>
  </conditionalFormatting>
  <conditionalFormatting sqref="B2102">
    <cfRule type="containsText" dxfId="141" priority="11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140" priority="108" operator="containsText" text="Газель базы">
      <formula>NOT(ISERROR(SEARCH("Газель базы",B2102)))</formula>
    </cfRule>
    <cfRule type="containsText" dxfId="139" priority="109" operator="containsText" text="Погрузчик базы">
      <formula>NOT(ISERROR(SEARCH("Погрузчик базы",B2102)))</formula>
    </cfRule>
  </conditionalFormatting>
  <conditionalFormatting sqref="B2102">
    <cfRule type="containsText" dxfId="138" priority="107" operator="containsText" text="Трактор базы">
      <formula>NOT(ISERROR(SEARCH("Трактор базы",B2102)))</formula>
    </cfRule>
  </conditionalFormatting>
  <conditionalFormatting sqref="B2103">
    <cfRule type="containsText" dxfId="137" priority="103" operator="containsText" text="Трактор базы">
      <formula>NOT(ISERROR(SEARCH("Трактор базы",B2103)))</formula>
    </cfRule>
  </conditionalFormatting>
  <conditionalFormatting sqref="B2103">
    <cfRule type="containsText" dxfId="136" priority="10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135" priority="104" operator="containsText" text="Газель базы">
      <formula>NOT(ISERROR(SEARCH("Газель базы",B2103)))</formula>
    </cfRule>
    <cfRule type="containsText" dxfId="134" priority="10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133" priority="10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132" priority="10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131" priority="10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130" priority="9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129" priority="97" operator="containsText" text="Газель базы">
      <formula>NOT(ISERROR(SEARCH("Газель базы",B2276)))</formula>
    </cfRule>
    <cfRule type="containsText" dxfId="128" priority="98" operator="containsText" text="Погрузчик базы">
      <formula>NOT(ISERROR(SEARCH("Погрузчик базы",B2276)))</formula>
    </cfRule>
  </conditionalFormatting>
  <conditionalFormatting sqref="B2276">
    <cfRule type="containsText" dxfId="127" priority="96" operator="containsText" text="Трактор базы">
      <formula>NOT(ISERROR(SEARCH("Трактор базы",B2276)))</formula>
    </cfRule>
  </conditionalFormatting>
  <conditionalFormatting sqref="B2277">
    <cfRule type="containsText" dxfId="126" priority="92" operator="containsText" text="Трактор базы">
      <formula>NOT(ISERROR(SEARCH("Трактор базы",B2277)))</formula>
    </cfRule>
  </conditionalFormatting>
  <conditionalFormatting sqref="B2277">
    <cfRule type="containsText" dxfId="125" priority="9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124" priority="93" operator="containsText" text="Газель базы">
      <formula>NOT(ISERROR(SEARCH("Газель базы",B2277)))</formula>
    </cfRule>
    <cfRule type="containsText" dxfId="123" priority="94" operator="containsText" text="Погрузчик базы">
      <formula>NOT(ISERROR(SEARCH("Погрузчик базы",B2277)))</formula>
    </cfRule>
  </conditionalFormatting>
  <conditionalFormatting sqref="A2279">
    <cfRule type="containsText" dxfId="122" priority="8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121" priority="9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120" priority="9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119" priority="8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118" priority="8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117" priority="8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116" priority="67" operator="containsText" text="Трактор базы">
      <formula>NOT(ISERROR(SEARCH("Трактор базы",B2382)))</formula>
    </cfRule>
  </conditionalFormatting>
  <conditionalFormatting sqref="B2348:B2349">
    <cfRule type="containsText" dxfId="115" priority="8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114" priority="83" operator="containsText" text="Газель базы">
      <formula>NOT(ISERROR(SEARCH("Газель базы",B2348)))</formula>
    </cfRule>
    <cfRule type="containsText" dxfId="113" priority="84" operator="containsText" text="Погрузчик базы">
      <formula>NOT(ISERROR(SEARCH("Погрузчик базы",B2348)))</formula>
    </cfRule>
  </conditionalFormatting>
  <conditionalFormatting sqref="B2348:B2349">
    <cfRule type="containsText" dxfId="112" priority="82" operator="containsText" text="Трактор базы">
      <formula>NOT(ISERROR(SEARCH("Трактор базы",B2348)))</formula>
    </cfRule>
  </conditionalFormatting>
  <conditionalFormatting sqref="A2350">
    <cfRule type="containsText" dxfId="111" priority="7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110" priority="8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109" priority="8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108" priority="7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107" priority="76" operator="containsText" text="Газель базы">
      <formula>NOT(ISERROR(SEARCH("Газель базы",B2352)))</formula>
    </cfRule>
    <cfRule type="containsText" dxfId="106" priority="77" operator="containsText" text="Погрузчик базы">
      <formula>NOT(ISERROR(SEARCH("Погрузчик базы",B2352)))</formula>
    </cfRule>
  </conditionalFormatting>
  <conditionalFormatting sqref="B2352:B2354">
    <cfRule type="containsText" dxfId="105" priority="75" operator="containsText" text="Трактор базы">
      <formula>NOT(ISERROR(SEARCH("Трактор базы",B2352)))</formula>
    </cfRule>
  </conditionalFormatting>
  <conditionalFormatting sqref="B2358">
    <cfRule type="containsText" dxfId="104" priority="7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103" priority="72" operator="containsText" text="Газель базы">
      <formula>NOT(ISERROR(SEARCH("Газель базы",B2358)))</formula>
    </cfRule>
    <cfRule type="containsText" dxfId="102" priority="73" operator="containsText" text="Погрузчик базы">
      <formula>NOT(ISERROR(SEARCH("Погрузчик базы",B2358)))</formula>
    </cfRule>
  </conditionalFormatting>
  <conditionalFormatting sqref="B2358">
    <cfRule type="containsText" dxfId="101" priority="71" operator="containsText" text="Трактор базы">
      <formula>NOT(ISERROR(SEARCH("Трактор базы",B2358)))</formula>
    </cfRule>
  </conditionalFormatting>
  <conditionalFormatting sqref="B2382">
    <cfRule type="containsText" dxfId="100" priority="7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99" priority="68" operator="containsText" text="Газель базы">
      <formula>NOT(ISERROR(SEARCH("Газель базы",B2382)))</formula>
    </cfRule>
    <cfRule type="containsText" dxfId="98" priority="69" operator="containsText" text="Погрузчик базы">
      <formula>NOT(ISERROR(SEARCH("Погрузчик базы",B2382)))</formula>
    </cfRule>
  </conditionalFormatting>
  <conditionalFormatting sqref="B2423:B2424">
    <cfRule type="containsText" dxfId="97" priority="6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96" priority="64" operator="containsText" text="Газель базы">
      <formula>NOT(ISERROR(SEARCH("Газель базы",B2423)))</formula>
    </cfRule>
    <cfRule type="containsText" dxfId="95" priority="65" operator="containsText" text="Погрузчик базы">
      <formula>NOT(ISERROR(SEARCH("Погрузчик базы",B2423)))</formula>
    </cfRule>
  </conditionalFormatting>
  <conditionalFormatting sqref="B2423:B2424">
    <cfRule type="containsText" dxfId="94" priority="63" operator="containsText" text="Трактор базы">
      <formula>NOT(ISERROR(SEARCH("Трактор базы",B2423)))</formula>
    </cfRule>
  </conditionalFormatting>
  <conditionalFormatting sqref="B2431">
    <cfRule type="containsText" dxfId="93" priority="6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92" priority="60" operator="containsText" text="Газель базы">
      <formula>NOT(ISERROR(SEARCH("Газель базы",B2431)))</formula>
    </cfRule>
    <cfRule type="containsText" dxfId="91" priority="61" operator="containsText" text="Погрузчик базы">
      <formula>NOT(ISERROR(SEARCH("Погрузчик базы",B2431)))</formula>
    </cfRule>
  </conditionalFormatting>
  <conditionalFormatting sqref="B2431">
    <cfRule type="containsText" dxfId="90" priority="59" operator="containsText" text="Трактор базы">
      <formula>NOT(ISERROR(SEARCH("Трактор базы",B2431)))</formula>
    </cfRule>
  </conditionalFormatting>
  <conditionalFormatting sqref="B2478">
    <cfRule type="containsText" dxfId="89" priority="47" operator="containsText" text="Трактор базы">
      <formula>NOT(ISERROR(SEARCH("Трактор базы",B2478)))</formula>
    </cfRule>
  </conditionalFormatting>
  <conditionalFormatting sqref="B2462:B2463">
    <cfRule type="containsText" dxfId="88" priority="5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87" priority="56" operator="containsText" text="Газель базы">
      <formula>NOT(ISERROR(SEARCH("Газель базы",B2462)))</formula>
    </cfRule>
    <cfRule type="containsText" dxfId="86" priority="57" operator="containsText" text="Погрузчик базы">
      <formula>NOT(ISERROR(SEARCH("Погрузчик базы",B2462)))</formula>
    </cfRule>
  </conditionalFormatting>
  <conditionalFormatting sqref="B2462:B2463">
    <cfRule type="containsText" dxfId="85" priority="55" operator="containsText" text="Трактор базы">
      <formula>NOT(ISERROR(SEARCH("Трактор базы",B2462)))</formula>
    </cfRule>
  </conditionalFormatting>
  <conditionalFormatting sqref="B2467">
    <cfRule type="containsText" dxfId="84" priority="5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83" priority="52" operator="containsText" text="Газель базы">
      <formula>NOT(ISERROR(SEARCH("Газель базы",B2467)))</formula>
    </cfRule>
    <cfRule type="containsText" dxfId="82" priority="53" operator="containsText" text="Погрузчик базы">
      <formula>NOT(ISERROR(SEARCH("Погрузчик базы",B2467)))</formula>
    </cfRule>
  </conditionalFormatting>
  <conditionalFormatting sqref="B2467">
    <cfRule type="containsText" dxfId="81" priority="51" operator="containsText" text="Трактор базы">
      <formula>NOT(ISERROR(SEARCH("Трактор базы",B2467)))</formula>
    </cfRule>
  </conditionalFormatting>
  <conditionalFormatting sqref="B2478">
    <cfRule type="containsText" dxfId="80" priority="5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79" priority="48" operator="containsText" text="Газель базы">
      <formula>NOT(ISERROR(SEARCH("Газель базы",B2478)))</formula>
    </cfRule>
    <cfRule type="containsText" dxfId="78" priority="49" operator="containsText" text="Погрузчик базы">
      <formula>NOT(ISERROR(SEARCH("Погрузчик базы",B2478)))</formula>
    </cfRule>
  </conditionalFormatting>
  <conditionalFormatting sqref="B2499">
    <cfRule type="containsText" dxfId="77" priority="35" operator="containsText" text="Трактор базы">
      <formula>NOT(ISERROR(SEARCH("Трактор базы",B2499)))</formula>
    </cfRule>
  </conditionalFormatting>
  <conditionalFormatting sqref="B2497">
    <cfRule type="containsText" dxfId="76" priority="4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75" priority="44" operator="containsText" text="Газель базы">
      <formula>NOT(ISERROR(SEARCH("Газель базы",B2497)))</formula>
    </cfRule>
    <cfRule type="containsText" dxfId="74" priority="45" operator="containsText" text="Погрузчик базы">
      <formula>NOT(ISERROR(SEARCH("Погрузчик базы",B2497)))</formula>
    </cfRule>
  </conditionalFormatting>
  <conditionalFormatting sqref="B2497">
    <cfRule type="containsText" dxfId="73" priority="43" operator="containsText" text="Трактор базы">
      <formula>NOT(ISERROR(SEARCH("Трактор базы",B2497)))</formula>
    </cfRule>
  </conditionalFormatting>
  <conditionalFormatting sqref="B2498">
    <cfRule type="containsText" dxfId="72" priority="4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71" priority="40" operator="containsText" text="Газель базы">
      <formula>NOT(ISERROR(SEARCH("Газель базы",B2498)))</formula>
    </cfRule>
    <cfRule type="containsText" dxfId="70" priority="41" operator="containsText" text="Погрузчик базы">
      <formula>NOT(ISERROR(SEARCH("Погрузчик базы",B2498)))</formula>
    </cfRule>
  </conditionalFormatting>
  <conditionalFormatting sqref="B2498">
    <cfRule type="containsText" dxfId="69" priority="39" operator="containsText" text="Трактор базы">
      <formula>NOT(ISERROR(SEARCH("Трактор базы",B2498)))</formula>
    </cfRule>
  </conditionalFormatting>
  <conditionalFormatting sqref="B2499">
    <cfRule type="containsText" dxfId="68" priority="3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7" priority="36" operator="containsText" text="Газель базы">
      <formula>NOT(ISERROR(SEARCH("Газель базы",B2499)))</formula>
    </cfRule>
    <cfRule type="containsText" dxfId="66" priority="37" operator="containsText" text="Погрузчик базы">
      <formula>NOT(ISERROR(SEARCH("Погрузчик базы",B2499)))</formula>
    </cfRule>
  </conditionalFormatting>
  <conditionalFormatting sqref="B2512:B2513">
    <cfRule type="containsText" dxfId="65" priority="9" operator="containsText" text="Трактор базы">
      <formula>NOT(ISERROR(SEARCH("Трактор базы",B2512)))</formula>
    </cfRule>
  </conditionalFormatting>
  <conditionalFormatting sqref="B2500">
    <cfRule type="containsText" dxfId="64" priority="3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3" priority="32" operator="containsText" text="Газель базы">
      <formula>NOT(ISERROR(SEARCH("Газель базы",B2500)))</formula>
    </cfRule>
    <cfRule type="containsText" dxfId="62" priority="33" operator="containsText" text="Погрузчик базы">
      <formula>NOT(ISERROR(SEARCH("Погрузчик базы",B2500)))</formula>
    </cfRule>
  </conditionalFormatting>
  <conditionalFormatting sqref="B2500">
    <cfRule type="containsText" dxfId="61" priority="31" operator="containsText" text="Трактор базы">
      <formula>NOT(ISERROR(SEARCH("Трактор базы",B2500)))</formula>
    </cfRule>
  </conditionalFormatting>
  <conditionalFormatting sqref="B2501">
    <cfRule type="containsText" dxfId="60" priority="3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9" priority="28" operator="containsText" text="Газель базы">
      <formula>NOT(ISERROR(SEARCH("Газель базы",B2501)))</formula>
    </cfRule>
    <cfRule type="containsText" dxfId="58" priority="29" operator="containsText" text="Погрузчик базы">
      <formula>NOT(ISERROR(SEARCH("Погрузчик базы",B2501)))</formula>
    </cfRule>
  </conditionalFormatting>
  <conditionalFormatting sqref="B2501">
    <cfRule type="containsText" dxfId="57" priority="27" operator="containsText" text="Трактор базы">
      <formula>NOT(ISERROR(SEARCH("Трактор базы",B2501)))</formula>
    </cfRule>
  </conditionalFormatting>
  <conditionalFormatting sqref="B2502">
    <cfRule type="containsText" dxfId="56" priority="23" operator="containsText" text="Трактор базы">
      <formula>NOT(ISERROR(SEARCH("Трактор базы",B2502)))</formula>
    </cfRule>
  </conditionalFormatting>
  <conditionalFormatting sqref="B2502">
    <cfRule type="containsText" dxfId="55" priority="2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4" priority="24" operator="containsText" text="Газель базы">
      <formula>NOT(ISERROR(SEARCH("Газель базы",B2502)))</formula>
    </cfRule>
    <cfRule type="containsText" dxfId="53" priority="25" operator="containsText" text="Погрузчик базы">
      <formula>NOT(ISERROR(SEARCH("Погрузчик базы",B2502)))</formula>
    </cfRule>
  </conditionalFormatting>
  <conditionalFormatting sqref="A2503:A2504">
    <cfRule type="containsText" dxfId="52" priority="2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1" priority="2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0" priority="2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9" priority="1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8" priority="1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7" priority="1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6" priority="1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5" priority="14" operator="containsText" text="Газель базы">
      <formula>NOT(ISERROR(SEARCH("Газель базы",B2509)))</formula>
    </cfRule>
    <cfRule type="containsText" dxfId="44" priority="15" operator="containsText" text="Погрузчик базы">
      <formula>NOT(ISERROR(SEARCH("Погрузчик базы",B2509)))</formula>
    </cfRule>
  </conditionalFormatting>
  <conditionalFormatting sqref="B2509">
    <cfRule type="containsText" dxfId="43" priority="13" operator="containsText" text="Трактор базы">
      <formula>NOT(ISERROR(SEARCH("Трактор базы",B2509)))</formula>
    </cfRule>
  </conditionalFormatting>
  <conditionalFormatting sqref="B2512:B2513">
    <cfRule type="containsText" dxfId="42" priority="1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" priority="10" operator="containsText" text="Газель базы">
      <formula>NOT(ISERROR(SEARCH("Газель базы",B2512)))</formula>
    </cfRule>
    <cfRule type="containsText" dxfId="40" priority="11" operator="containsText" text="Погрузчик базы">
      <formula>NOT(ISERROR(SEARCH("Погрузчик базы",B2512)))</formula>
    </cfRule>
  </conditionalFormatting>
  <conditionalFormatting sqref="E2586">
    <cfRule type="containsText" dxfId="39" priority="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8" priority="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7" priority="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6" priority="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5" priority="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4" priority="2" operator="containsText" text="Газель базы">
      <formula>NOT(ISERROR(SEARCH("Газель базы",B2810)))</formula>
    </cfRule>
    <cfRule type="containsText" dxfId="33" priority="3" operator="containsText" text="Погрузчик базы">
      <formula>NOT(ISERROR(SEARCH("Погрузчик базы",B2810)))</formula>
    </cfRule>
  </conditionalFormatting>
  <conditionalFormatting sqref="B2810:B2811">
    <cfRule type="containsText" dxfId="32" priority="1" operator="containsText" text="Трактор базы">
      <formula>NOT(ISERROR(SEARCH("Трактор базы",B2810)))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2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0.62061342592592594</v>
      </c>
      <c r="D178" s="2" t="s">
        <v>289</v>
      </c>
      <c r="E178" t="s">
        <v>5480</v>
      </c>
      <c r="F178" t="s">
        <v>528</v>
      </c>
      <c r="I178" s="8" t="s">
        <v>6515</v>
      </c>
      <c r="J178" s="8" t="s">
        <v>2988</v>
      </c>
      <c r="K178" t="s">
        <v>6516</v>
      </c>
      <c r="L178" t="s">
        <v>6517</v>
      </c>
      <c r="M178" s="3" t="str">
        <f>HYPERLINK(Таблица3[[#This Row],[RelativePath]])</f>
        <v>13 Склад хол\K07156189_23_20251215T145341Z.jpg</v>
      </c>
    </row>
    <row r="179" spans="1:13" x14ac:dyDescent="0.25">
      <c r="A179" t="s">
        <v>13</v>
      </c>
      <c r="B179" s="4">
        <v>46006</v>
      </c>
      <c r="C179" s="6">
        <v>0.62665509259259256</v>
      </c>
      <c r="D179" s="2" t="s">
        <v>289</v>
      </c>
      <c r="E179" t="s">
        <v>5480</v>
      </c>
      <c r="F179" t="s">
        <v>528</v>
      </c>
      <c r="I179" s="8" t="s">
        <v>6518</v>
      </c>
      <c r="J179" s="8" t="s">
        <v>2988</v>
      </c>
      <c r="K179" t="s">
        <v>6519</v>
      </c>
      <c r="L179" t="s">
        <v>6520</v>
      </c>
      <c r="M179" s="3" t="str">
        <f>HYPERLINK(Таблица3[[#This Row],[RelativePath]])</f>
        <v>13 Склад хол\K07156189_23_20251215T150223Z.jpg</v>
      </c>
    </row>
    <row r="180" spans="1:13" x14ac:dyDescent="0.25">
      <c r="A180" t="s">
        <v>13</v>
      </c>
      <c r="B180" s="4">
        <v>46006</v>
      </c>
      <c r="C180" s="6">
        <v>0.63099537037037035</v>
      </c>
      <c r="D180" s="2" t="s">
        <v>289</v>
      </c>
      <c r="E180" t="s">
        <v>5480</v>
      </c>
      <c r="F180" t="s">
        <v>1621</v>
      </c>
      <c r="I180" s="8" t="s">
        <v>6521</v>
      </c>
      <c r="J180" s="8" t="s">
        <v>2988</v>
      </c>
      <c r="K180" t="s">
        <v>6522</v>
      </c>
      <c r="L180" t="s">
        <v>6523</v>
      </c>
      <c r="M180" s="3" t="str">
        <f>HYPERLINK(Таблица3[[#This Row],[RelativePath]])</f>
        <v>13 Склад хол\K07156189_23_20251215T150838Z.jpg</v>
      </c>
    </row>
    <row r="181" spans="1:13" x14ac:dyDescent="0.25">
      <c r="A181" t="s">
        <v>13</v>
      </c>
      <c r="B181" s="4">
        <v>46006</v>
      </c>
      <c r="C181" s="6">
        <v>0.4783101851851852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6464</v>
      </c>
      <c r="J181" s="8" t="s">
        <v>6392</v>
      </c>
      <c r="K181" t="s">
        <v>6465</v>
      </c>
      <c r="L181" t="s">
        <v>6466</v>
      </c>
      <c r="M181" s="3" t="str">
        <f>HYPERLINK(Таблица3[[#This Row],[RelativePath]])</f>
        <v>10 Сушилка навес\E33149364_3_20251215T112846Z.jpg</v>
      </c>
    </row>
    <row r="182" spans="1:13" x14ac:dyDescent="0.25">
      <c r="A182" t="s">
        <v>13</v>
      </c>
      <c r="B182" s="4">
        <v>46006</v>
      </c>
      <c r="C182" s="6">
        <v>0.47834490740740743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6467</v>
      </c>
      <c r="J182" s="8" t="s">
        <v>6392</v>
      </c>
      <c r="K182" t="s">
        <v>6468</v>
      </c>
      <c r="L182" t="s">
        <v>6469</v>
      </c>
      <c r="M182" s="3" t="str">
        <f>HYPERLINK(Таблица3[[#This Row],[RelativePath]])</f>
        <v>10 Сушилка навес\E33149364_3_20251215T112849Z.jpg</v>
      </c>
    </row>
    <row r="183" spans="1:13" x14ac:dyDescent="0.25">
      <c r="A183" t="s">
        <v>13</v>
      </c>
      <c r="B183" s="4">
        <v>46006</v>
      </c>
      <c r="C183" s="6">
        <v>0.61089120370370376</v>
      </c>
      <c r="D183" s="2" t="s">
        <v>289</v>
      </c>
      <c r="E183" t="s">
        <v>6527</v>
      </c>
      <c r="F183" t="s">
        <v>1099</v>
      </c>
      <c r="G183">
        <v>2</v>
      </c>
      <c r="I183" s="8" t="s">
        <v>6479</v>
      </c>
      <c r="J183" s="8" t="s">
        <v>6392</v>
      </c>
      <c r="K183" t="s">
        <v>6480</v>
      </c>
      <c r="L183" t="s">
        <v>6481</v>
      </c>
      <c r="M183" s="3" t="str">
        <f>HYPERLINK(Таблица3[[#This Row],[RelativePath]])</f>
        <v>10 Сушилка навес\E33149364_3_20251215T143941Z.jpg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0.46650462962962963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6410</v>
      </c>
      <c r="J185" s="8" t="s">
        <v>6392</v>
      </c>
      <c r="K185" t="s">
        <v>6411</v>
      </c>
      <c r="L185" t="s">
        <v>6412</v>
      </c>
      <c r="M185" s="3" t="str">
        <f>HYPERLINK(Таблица3[[#This Row],[RelativePath]])</f>
        <v>10 Сушилка навес\E33149364_3_20251215T111146Z.jpg</v>
      </c>
    </row>
    <row r="186" spans="1:13" x14ac:dyDescent="0.25">
      <c r="A186" t="s">
        <v>13</v>
      </c>
      <c r="B186" s="4">
        <v>46006</v>
      </c>
      <c r="C186" s="6">
        <v>0.46740740740740738</v>
      </c>
      <c r="D186" s="2" t="s">
        <v>289</v>
      </c>
      <c r="E186" t="s">
        <v>6329</v>
      </c>
      <c r="F186" t="s">
        <v>58</v>
      </c>
      <c r="H186" t="s">
        <v>2936</v>
      </c>
      <c r="I186" s="8" t="s">
        <v>6413</v>
      </c>
      <c r="J186" s="8" t="s">
        <v>6392</v>
      </c>
      <c r="K186" t="s">
        <v>6414</v>
      </c>
      <c r="L186" t="s">
        <v>6415</v>
      </c>
      <c r="M186" s="3" t="str">
        <f>HYPERLINK(Таблица3[[#This Row],[RelativePath]])</f>
        <v>10 Сушилка навес\E33149364_3_20251215T111304Z.jpg</v>
      </c>
    </row>
    <row r="187" spans="1:13" x14ac:dyDescent="0.25">
      <c r="A187" t="s">
        <v>13</v>
      </c>
      <c r="B187" s="4">
        <v>46006</v>
      </c>
      <c r="C187" s="6">
        <v>0.46766203703703701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6416</v>
      </c>
      <c r="J187" s="8" t="s">
        <v>6392</v>
      </c>
      <c r="K187" t="s">
        <v>6417</v>
      </c>
      <c r="L187" t="s">
        <v>6418</v>
      </c>
      <c r="M187" s="3" t="str">
        <f>HYPERLINK(Таблица3[[#This Row],[RelativePath]])</f>
        <v>10 Сушилка навес\E33149364_3_20251215T111326Z.jpg</v>
      </c>
    </row>
    <row r="188" spans="1:13" x14ac:dyDescent="0.25">
      <c r="A188" t="s">
        <v>13</v>
      </c>
      <c r="B188" s="4">
        <v>46006</v>
      </c>
      <c r="C188" s="6">
        <v>0.51274305555555555</v>
      </c>
      <c r="D188" s="2" t="s">
        <v>289</v>
      </c>
      <c r="E188" t="s">
        <v>70</v>
      </c>
      <c r="F188" t="s">
        <v>6340</v>
      </c>
      <c r="I188" s="8" t="s">
        <v>6310</v>
      </c>
      <c r="J188" s="8" t="s">
        <v>6309</v>
      </c>
      <c r="K188" t="s">
        <v>6311</v>
      </c>
      <c r="L188" t="s">
        <v>6312</v>
      </c>
      <c r="M188" s="3" t="str">
        <f>HYPERLINK(Таблица3[[#This Row],[RelativePath]])</f>
        <v>4 Крыльцо офиса\K07156189_21_20251215T121821Z.jpg</v>
      </c>
    </row>
    <row r="189" spans="1:13" x14ac:dyDescent="0.25">
      <c r="A189" t="s">
        <v>13</v>
      </c>
      <c r="B189" s="4">
        <v>46006</v>
      </c>
      <c r="C189" s="6">
        <v>0.46620370370370373</v>
      </c>
      <c r="D189" s="2" t="s">
        <v>289</v>
      </c>
      <c r="E189" t="s">
        <v>6329</v>
      </c>
      <c r="F189" t="s">
        <v>58</v>
      </c>
      <c r="H189" t="s">
        <v>1620</v>
      </c>
      <c r="I189" s="8" t="s">
        <v>6404</v>
      </c>
      <c r="J189" s="8" t="s">
        <v>6392</v>
      </c>
      <c r="K189" t="s">
        <v>6405</v>
      </c>
      <c r="L189" t="s">
        <v>6406</v>
      </c>
      <c r="M189" s="3" t="str">
        <f>HYPERLINK(Таблица3[[#This Row],[RelativePath]])</f>
        <v>10 Сушилка навес\E33149364_3_20251215T111120Z.jpg</v>
      </c>
    </row>
    <row r="190" spans="1:13" x14ac:dyDescent="0.25">
      <c r="A190" t="s">
        <v>13</v>
      </c>
      <c r="B190" s="4">
        <v>46006</v>
      </c>
      <c r="C190" s="6">
        <v>0.46644675925925927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6407</v>
      </c>
      <c r="J190" s="8" t="s">
        <v>6392</v>
      </c>
      <c r="K190" t="s">
        <v>6408</v>
      </c>
      <c r="L190" t="s">
        <v>6409</v>
      </c>
      <c r="M190" s="3" t="str">
        <f>HYPERLINK(Таблица3[[#This Row],[RelativePath]])</f>
        <v>10 Сушилка навес\E33149364_3_20251215T111141Z.jpg</v>
      </c>
    </row>
    <row r="191" spans="1:13" x14ac:dyDescent="0.25">
      <c r="A191" t="s">
        <v>13</v>
      </c>
      <c r="B191" s="4">
        <v>46006</v>
      </c>
      <c r="C191" s="6">
        <v>0.46770833333333334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6419</v>
      </c>
      <c r="J191" s="8" t="s">
        <v>6392</v>
      </c>
      <c r="K191" t="s">
        <v>6420</v>
      </c>
      <c r="L191" t="s">
        <v>6421</v>
      </c>
      <c r="M191" s="3" t="str">
        <f>HYPERLINK(Таблица3[[#This Row],[RelativePath]])</f>
        <v>10 Сушилка навес\E33149364_3_20251215T111330Z.jpg</v>
      </c>
    </row>
    <row r="192" spans="1:13" x14ac:dyDescent="0.25">
      <c r="A192" t="s">
        <v>13</v>
      </c>
      <c r="B192" s="4">
        <v>46006</v>
      </c>
      <c r="C192" s="6">
        <v>0.46927083333333336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6431</v>
      </c>
      <c r="J192" s="8" t="s">
        <v>6392</v>
      </c>
      <c r="K192" t="s">
        <v>6432</v>
      </c>
      <c r="L192" t="s">
        <v>6433</v>
      </c>
      <c r="M192" s="3" t="str">
        <f>HYPERLINK(Таблица3[[#This Row],[RelativePath]])</f>
        <v>10 Сушилка навес\E33149364_3_20251215T111545Z.jpg</v>
      </c>
    </row>
    <row r="193" spans="1:13" x14ac:dyDescent="0.25">
      <c r="A193" t="s">
        <v>13</v>
      </c>
      <c r="B193" s="4">
        <v>46006</v>
      </c>
      <c r="C193" s="6">
        <v>0.47002314814814816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6434</v>
      </c>
      <c r="J193" s="8" t="s">
        <v>6392</v>
      </c>
      <c r="K193" t="s">
        <v>6435</v>
      </c>
      <c r="L193" t="s">
        <v>6436</v>
      </c>
      <c r="M193" s="3" t="str">
        <f>HYPERLINK(Таблица3[[#This Row],[RelativePath]])</f>
        <v>10 Сушилка навес\E33149364_3_20251215T111650Z.jpg</v>
      </c>
    </row>
    <row r="194" spans="1:13" x14ac:dyDescent="0.25">
      <c r="A194" t="s">
        <v>13</v>
      </c>
      <c r="B194" s="4">
        <v>46006</v>
      </c>
      <c r="C194" s="6">
        <v>0.47033564814814816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6437</v>
      </c>
      <c r="J194" s="8" t="s">
        <v>6392</v>
      </c>
      <c r="K194" t="s">
        <v>6438</v>
      </c>
      <c r="L194" t="s">
        <v>6439</v>
      </c>
      <c r="M194" s="3" t="str">
        <f>HYPERLINK(Таблица3[[#This Row],[RelativePath]])</f>
        <v>10 Сушилка навес\E33149364_3_20251215T111717Z.jpg</v>
      </c>
    </row>
    <row r="195" spans="1:13" x14ac:dyDescent="0.25">
      <c r="A195" t="s">
        <v>13</v>
      </c>
      <c r="B195" s="4">
        <v>46006</v>
      </c>
      <c r="C195" s="6">
        <v>0.46807870370370369</v>
      </c>
      <c r="D195" s="2" t="s">
        <v>289</v>
      </c>
      <c r="E195" t="s">
        <v>6329</v>
      </c>
      <c r="F195" t="s">
        <v>58</v>
      </c>
      <c r="H195" t="s">
        <v>2936</v>
      </c>
      <c r="I195" s="8" t="s">
        <v>6422</v>
      </c>
      <c r="J195" s="8" t="s">
        <v>6392</v>
      </c>
      <c r="K195" t="s">
        <v>6423</v>
      </c>
      <c r="L195" t="s">
        <v>6424</v>
      </c>
      <c r="M195" s="3" t="str">
        <f>HYPERLINK(Таблица3[[#This Row],[RelativePath]])</f>
        <v>10 Сушилка навес\E33149364_3_20251215T111402Z.jpg</v>
      </c>
    </row>
    <row r="196" spans="1:13" x14ac:dyDescent="0.25">
      <c r="A196" t="s">
        <v>13</v>
      </c>
      <c r="B196" s="4">
        <v>46006</v>
      </c>
      <c r="C196" s="6">
        <v>0.46834490740740742</v>
      </c>
      <c r="D196" s="2" t="s">
        <v>289</v>
      </c>
      <c r="E196" t="s">
        <v>6329</v>
      </c>
      <c r="F196" t="s">
        <v>58</v>
      </c>
      <c r="H196" t="s">
        <v>2936</v>
      </c>
      <c r="I196" s="8" t="s">
        <v>6425</v>
      </c>
      <c r="J196" s="8" t="s">
        <v>6392</v>
      </c>
      <c r="K196" t="s">
        <v>6426</v>
      </c>
      <c r="L196" t="s">
        <v>6427</v>
      </c>
      <c r="M196" s="3" t="str">
        <f>HYPERLINK(Таблица3[[#This Row],[RelativePath]])</f>
        <v>10 Сушилка навес\E33149364_3_20251215T111425Z.jpg</v>
      </c>
    </row>
    <row r="197" spans="1:13" x14ac:dyDescent="0.25">
      <c r="A197" t="s">
        <v>13</v>
      </c>
      <c r="B197" s="4">
        <v>46006</v>
      </c>
      <c r="C197" s="6">
        <v>0.4692013888888889</v>
      </c>
      <c r="D197" s="2" t="s">
        <v>289</v>
      </c>
      <c r="E197" t="s">
        <v>6329</v>
      </c>
      <c r="F197" t="s">
        <v>58</v>
      </c>
      <c r="H197" t="s">
        <v>2936</v>
      </c>
      <c r="I197" s="8" t="s">
        <v>6428</v>
      </c>
      <c r="J197" s="8" t="s">
        <v>6392</v>
      </c>
      <c r="K197" t="s">
        <v>6429</v>
      </c>
      <c r="L197" t="s">
        <v>6430</v>
      </c>
      <c r="M197" s="3" t="str">
        <f>HYPERLINK(Таблица3[[#This Row],[RelativePath]])</f>
        <v>10 Сушилка навес\E33149364_3_20251215T111539Z.jpg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s="8" t="s">
        <v>6548</v>
      </c>
      <c r="J198" s="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0.68444444444444441</v>
      </c>
      <c r="D199" s="2" t="s">
        <v>289</v>
      </c>
      <c r="E199" t="s">
        <v>5480</v>
      </c>
      <c r="F199" t="s">
        <v>528</v>
      </c>
      <c r="I199" s="8" t="s">
        <v>6838</v>
      </c>
      <c r="J199" s="8" t="s">
        <v>2988</v>
      </c>
      <c r="K199" t="s">
        <v>6839</v>
      </c>
      <c r="L199" t="s">
        <v>6840</v>
      </c>
      <c r="M199" s="3" t="str">
        <f>HYPERLINK(Таблица3[[#This Row],[RelativePath]])</f>
        <v>13 Склад хол\K07156189_23_20251217T162536Z.jpg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s="8" t="s">
        <v>6832</v>
      </c>
      <c r="J200" s="8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0.67952546296296301</v>
      </c>
      <c r="D201" s="2" t="s">
        <v>289</v>
      </c>
      <c r="E201" t="s">
        <v>5480</v>
      </c>
      <c r="F201" t="s">
        <v>528</v>
      </c>
      <c r="I201" s="8" t="s">
        <v>6829</v>
      </c>
      <c r="J201" s="8" t="s">
        <v>2988</v>
      </c>
      <c r="K201" t="s">
        <v>6830</v>
      </c>
      <c r="L201" t="s">
        <v>6831</v>
      </c>
      <c r="M201" s="3" t="str">
        <f>HYPERLINK(Таблица3[[#This Row],[RelativePath]])</f>
        <v>13 Склад хол\K07156189_23_20251217T161831Z.jpg</v>
      </c>
    </row>
    <row r="202" spans="1:13" x14ac:dyDescent="0.25">
      <c r="A202" t="s">
        <v>16</v>
      </c>
      <c r="B202" s="4">
        <v>46016</v>
      </c>
      <c r="C202" s="6">
        <v>0.50045138888888885</v>
      </c>
      <c r="D202" s="2" t="s">
        <v>289</v>
      </c>
      <c r="E202" t="s">
        <v>70</v>
      </c>
      <c r="F202" t="s">
        <v>58</v>
      </c>
      <c r="H202" t="s">
        <v>1618</v>
      </c>
      <c r="I202" s="8" t="s">
        <v>7502</v>
      </c>
      <c r="J202" s="8" t="s">
        <v>6392</v>
      </c>
      <c r="K202" t="s">
        <v>7503</v>
      </c>
      <c r="L202" t="s">
        <v>7504</v>
      </c>
      <c r="M202" s="3" t="str">
        <f>HYPERLINK(Таблица3[[#This Row],[RelativePath]])</f>
        <v>10 Сушилка навес\E33149364_3_20251225T120039Z.jpg</v>
      </c>
    </row>
    <row r="203" spans="1:13" x14ac:dyDescent="0.25">
      <c r="A203" t="s">
        <v>16</v>
      </c>
      <c r="B203" s="4">
        <v>46016</v>
      </c>
      <c r="C203" s="6">
        <v>0.50079861111111112</v>
      </c>
      <c r="D203" s="2" t="s">
        <v>289</v>
      </c>
      <c r="E203" t="s">
        <v>70</v>
      </c>
      <c r="F203" t="s">
        <v>58</v>
      </c>
      <c r="H203" t="s">
        <v>2936</v>
      </c>
      <c r="I203" s="8" t="s">
        <v>7505</v>
      </c>
      <c r="J203" s="8" t="s">
        <v>6392</v>
      </c>
      <c r="K203" t="s">
        <v>7506</v>
      </c>
      <c r="L203" t="s">
        <v>7507</v>
      </c>
      <c r="M203" s="3" t="str">
        <f>HYPERLINK(Таблица3[[#This Row],[RelativePath]])</f>
        <v>10 Сушилка навес\E33149364_3_20251225T120109Z.jpg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s="8" t="s">
        <v>7508</v>
      </c>
      <c r="J204" s="8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0.50189814814814815</v>
      </c>
      <c r="D205" s="2" t="s">
        <v>289</v>
      </c>
      <c r="E205" t="s">
        <v>70</v>
      </c>
      <c r="F205" t="s">
        <v>58</v>
      </c>
      <c r="H205" t="s">
        <v>2936</v>
      </c>
      <c r="I205" s="8" t="s">
        <v>7511</v>
      </c>
      <c r="J205" s="8" t="s">
        <v>6392</v>
      </c>
      <c r="K205" t="s">
        <v>7512</v>
      </c>
      <c r="L205" t="s">
        <v>7513</v>
      </c>
      <c r="M205" s="3" t="str">
        <f>HYPERLINK(Таблица3[[#This Row],[RelativePath]])</f>
        <v>10 Сушилка навес\E33149364_3_20251225T120244Z.jpg</v>
      </c>
    </row>
    <row r="206" spans="1:13" x14ac:dyDescent="0.25">
      <c r="A206" t="s">
        <v>16</v>
      </c>
      <c r="B206" s="4">
        <v>46016</v>
      </c>
      <c r="C206" s="6">
        <v>0.50423611111111111</v>
      </c>
      <c r="D206" s="2" t="s">
        <v>289</v>
      </c>
      <c r="E206" t="s">
        <v>70</v>
      </c>
      <c r="F206" t="s">
        <v>58</v>
      </c>
      <c r="H206" t="s">
        <v>2936</v>
      </c>
      <c r="I206" s="8" t="s">
        <v>7514</v>
      </c>
      <c r="J206" s="8" t="s">
        <v>6392</v>
      </c>
      <c r="K206" t="s">
        <v>7515</v>
      </c>
      <c r="L206" t="s">
        <v>7516</v>
      </c>
      <c r="M206" s="3" t="str">
        <f>HYPERLINK(Таблица3[[#This Row],[RelativePath]])</f>
        <v>10 Сушилка навес\E33149364_3_20251225T120606Z.jpg</v>
      </c>
    </row>
    <row r="207" spans="1:13" x14ac:dyDescent="0.25">
      <c r="A207" t="s">
        <v>17</v>
      </c>
      <c r="B207" s="4">
        <v>46017</v>
      </c>
      <c r="C207" s="6">
        <v>0.40710648148148149</v>
      </c>
      <c r="D207" s="2" t="s">
        <v>289</v>
      </c>
      <c r="E207" t="s">
        <v>2927</v>
      </c>
      <c r="F207" t="s">
        <v>7169</v>
      </c>
      <c r="I207" s="8" t="s">
        <v>7819</v>
      </c>
      <c r="J207" s="8" t="s">
        <v>2990</v>
      </c>
      <c r="K207" t="s">
        <v>7820</v>
      </c>
      <c r="L207" t="s">
        <v>7821</v>
      </c>
      <c r="M207" s="3" t="str">
        <f>HYPERLINK(Таблица3[[#This Row],[RelativePath]])</f>
        <v>3 Въезд на базу\E33149364_8_20251226T094614Z.jpg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s="8" t="s">
        <v>7822</v>
      </c>
      <c r="J208" s="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0.40768518518518521</v>
      </c>
      <c r="D209" s="2" t="s">
        <v>289</v>
      </c>
      <c r="E209" t="s">
        <v>2927</v>
      </c>
      <c r="F209" t="s">
        <v>7169</v>
      </c>
      <c r="H209" t="s">
        <v>2936</v>
      </c>
      <c r="I209" s="8" t="s">
        <v>7825</v>
      </c>
      <c r="J209" s="8" t="s">
        <v>2990</v>
      </c>
      <c r="K209" t="s">
        <v>7826</v>
      </c>
      <c r="L209" t="s">
        <v>7827</v>
      </c>
      <c r="M209" s="3" t="str">
        <f>HYPERLINK(Таблица3[[#This Row],[RelativePath]])</f>
        <v>3 Въезд на базу\E33149364_8_20251226T094704Z.jpg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s="8" t="s">
        <v>8228</v>
      </c>
      <c r="J210" s="8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  <row r="211" spans="1:13" x14ac:dyDescent="0.25">
      <c r="A211" t="s">
        <v>14</v>
      </c>
      <c r="B211" s="4">
        <v>46035</v>
      </c>
      <c r="C211" s="6">
        <v>0.41230324074074076</v>
      </c>
      <c r="D211" s="2" t="s">
        <v>289</v>
      </c>
      <c r="E211" t="s">
        <v>9187</v>
      </c>
      <c r="F211" t="s">
        <v>9188</v>
      </c>
      <c r="H211" t="s">
        <v>2936</v>
      </c>
      <c r="I211" s="8" t="s">
        <v>8982</v>
      </c>
      <c r="J211" s="8" t="s">
        <v>8976</v>
      </c>
      <c r="K211" t="s">
        <v>8983</v>
      </c>
      <c r="L211" t="s">
        <v>8984</v>
      </c>
      <c r="M211" s="3" t="str">
        <f>HYPERLINK(Таблица3[[#This Row],[RelativePath]])</f>
        <v>3 Въезд на базу\E33149364_8_20260113T095343Z.jpg</v>
      </c>
    </row>
    <row r="212" spans="1:13" x14ac:dyDescent="0.25">
      <c r="A212" t="s">
        <v>14</v>
      </c>
      <c r="B212" s="4">
        <v>46035</v>
      </c>
      <c r="C212" s="6">
        <v>0.41223379629629631</v>
      </c>
      <c r="D212" s="2" t="s">
        <v>289</v>
      </c>
      <c r="E212" t="s">
        <v>9187</v>
      </c>
      <c r="F212" t="s">
        <v>9188</v>
      </c>
      <c r="I212" s="8" t="s">
        <v>8979</v>
      </c>
      <c r="J212" s="8" t="s">
        <v>8976</v>
      </c>
      <c r="K212" t="s">
        <v>8980</v>
      </c>
      <c r="L212" t="s">
        <v>8981</v>
      </c>
      <c r="M212" s="3" t="str">
        <f>HYPERLINK(Таблица3[[#This Row],[RelativePath]])</f>
        <v>3 Въезд на базу\E33149364_8_20260113T095337Z.jpg</v>
      </c>
    </row>
  </sheetData>
  <phoneticPr fontId="2" type="noConversion"/>
  <conditionalFormatting sqref="E213:E234 D2:E212">
    <cfRule type="containsText" dxfId="31" priority="7" operator="containsText" text="Выезд с территории">
      <formula>NOT(ISERROR(SEARCH("Выезд с территории",D2)))</formula>
    </cfRule>
  </conditionalFormatting>
  <conditionalFormatting sqref="D2:D212">
    <cfRule type="containsText" dxfId="3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2">
    <cfRule type="containsText" dxfId="2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4">
    <cfRule type="containsText" dxfId="28" priority="2" operator="containsText" text="Газель базы">
      <formula>NOT(ISERROR(SEARCH("Газель базы",E2)))</formula>
    </cfRule>
    <cfRule type="containsText" dxfId="27" priority="3" operator="containsText" text="Погрузчик базы">
      <formula>NOT(ISERROR(SEARCH("Погрузчик базы",E2)))</formula>
    </cfRule>
  </conditionalFormatting>
  <conditionalFormatting sqref="E2:E234">
    <cfRule type="containsText" dxfId="2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71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14</v>
      </c>
      <c r="B168" s="4">
        <v>45972</v>
      </c>
      <c r="C168" s="6">
        <v>0.45701388888888889</v>
      </c>
      <c r="D168" s="7" t="s">
        <v>159</v>
      </c>
      <c r="E168" t="s">
        <v>63</v>
      </c>
      <c r="F168" t="s">
        <v>51</v>
      </c>
      <c r="I168" t="s">
        <v>112</v>
      </c>
      <c r="J168" t="s">
        <v>2989</v>
      </c>
      <c r="K168" t="s">
        <v>146</v>
      </c>
      <c r="L168" t="s">
        <v>113</v>
      </c>
      <c r="M168" s="3" t="str">
        <f>HYPERLINK(СторонТрансп[[#This Row],[RelativePath]])</f>
        <v>2 Пилорама поката\E33149364_7_20251111T105806Z.jpg</v>
      </c>
    </row>
    <row r="169" spans="1:13" x14ac:dyDescent="0.25">
      <c r="A169" t="s">
        <v>15</v>
      </c>
      <c r="B169" s="4">
        <v>45987</v>
      </c>
      <c r="C169" s="6">
        <v>0.43495370370370373</v>
      </c>
      <c r="D169" s="7" t="s">
        <v>4198</v>
      </c>
      <c r="E169" t="s">
        <v>4192</v>
      </c>
      <c r="F169" t="s">
        <v>51</v>
      </c>
      <c r="I169" t="s">
        <v>3261</v>
      </c>
      <c r="J169" t="s">
        <v>2989</v>
      </c>
      <c r="K169" t="s">
        <v>3262</v>
      </c>
      <c r="L169" t="s">
        <v>3263</v>
      </c>
      <c r="M169" s="3" t="str">
        <f>HYPERLINK(СторонТрансп[[#This Row],[RelativePath]])</f>
        <v>2 Пилорама поката\E33149364_7_20251126T102620Z.jpg</v>
      </c>
    </row>
    <row r="170" spans="1:13" x14ac:dyDescent="0.25">
      <c r="A170" t="s">
        <v>17</v>
      </c>
      <c r="B170" s="4">
        <v>45989</v>
      </c>
      <c r="C170" s="6">
        <v>0.45557870370370368</v>
      </c>
      <c r="D170" s="7" t="s">
        <v>4202</v>
      </c>
      <c r="E170" t="s">
        <v>4193</v>
      </c>
      <c r="F170" t="s">
        <v>51</v>
      </c>
      <c r="I170" t="s">
        <v>3321</v>
      </c>
      <c r="J170" t="s">
        <v>2989</v>
      </c>
      <c r="K170" t="s">
        <v>3322</v>
      </c>
      <c r="L170" t="s">
        <v>3323</v>
      </c>
      <c r="M170" s="3" t="str">
        <f>HYPERLINK(СторонТрансп[[#This Row],[RelativePath]])</f>
        <v>2 Пилорама поката\E33149364_7_20251128T105602Z.jpg</v>
      </c>
    </row>
    <row r="171" spans="1:13" x14ac:dyDescent="0.25">
      <c r="A171" t="s">
        <v>17</v>
      </c>
      <c r="B171" s="4">
        <v>45989</v>
      </c>
      <c r="C171" s="6">
        <v>0.45584490740740741</v>
      </c>
      <c r="D171" s="7" t="s">
        <v>4202</v>
      </c>
      <c r="E171" t="s">
        <v>4193</v>
      </c>
      <c r="F171" t="s">
        <v>51</v>
      </c>
      <c r="H171" t="s">
        <v>2936</v>
      </c>
      <c r="I171" t="s">
        <v>3324</v>
      </c>
      <c r="J171" t="s">
        <v>2989</v>
      </c>
      <c r="K171" t="s">
        <v>3325</v>
      </c>
      <c r="L171" t="s">
        <v>3326</v>
      </c>
      <c r="M171" s="3" t="str">
        <f>HYPERLINK(СторонТрансп[[#This Row],[RelativePath]])</f>
        <v>2 Пилорама поката\E33149364_7_20251128T105625Z.jpg</v>
      </c>
    </row>
    <row r="172" spans="1:13" x14ac:dyDescent="0.25">
      <c r="A172" t="s">
        <v>17</v>
      </c>
      <c r="B172" s="4">
        <v>45989</v>
      </c>
      <c r="C172" s="6">
        <v>0.49850694444444443</v>
      </c>
      <c r="D172" s="7" t="s">
        <v>4202</v>
      </c>
      <c r="E172" t="s">
        <v>4193</v>
      </c>
      <c r="F172" t="s">
        <v>51</v>
      </c>
      <c r="H172" t="s">
        <v>2936</v>
      </c>
      <c r="I172" t="s">
        <v>3327</v>
      </c>
      <c r="J172" t="s">
        <v>2989</v>
      </c>
      <c r="K172" t="s">
        <v>3328</v>
      </c>
      <c r="L172" t="s">
        <v>3329</v>
      </c>
      <c r="M172" s="3" t="str">
        <f>HYPERLINK(СторонТрансп[[#This Row],[RelativePath]])</f>
        <v>2 Пилорама поката\E33149364_7_20251128T115751Z.jpg</v>
      </c>
    </row>
    <row r="173" spans="1:13" x14ac:dyDescent="0.25">
      <c r="A173" t="s">
        <v>17</v>
      </c>
      <c r="B173" s="4">
        <v>45989</v>
      </c>
      <c r="C173" s="6">
        <v>0.50651620370370365</v>
      </c>
      <c r="D173" s="7" t="s">
        <v>4201</v>
      </c>
      <c r="E173" t="s">
        <v>4193</v>
      </c>
      <c r="I173" t="s">
        <v>3330</v>
      </c>
      <c r="J173" t="s">
        <v>2989</v>
      </c>
      <c r="K173" t="s">
        <v>3331</v>
      </c>
      <c r="L173" t="s">
        <v>3332</v>
      </c>
      <c r="M173" s="3" t="str">
        <f>HYPERLINK(СторонТрансп[[#This Row],[RelativePath]])</f>
        <v>2 Пилорама поката\E33149364_7_20251128T120923Z.jpg</v>
      </c>
    </row>
    <row r="174" spans="1:13" x14ac:dyDescent="0.25">
      <c r="A174" t="s">
        <v>13</v>
      </c>
      <c r="B174" s="4">
        <v>45999</v>
      </c>
      <c r="C174" s="6">
        <v>0.59916666666666663</v>
      </c>
      <c r="D174" s="7" t="s">
        <v>4</v>
      </c>
      <c r="E174" t="s">
        <v>4193</v>
      </c>
      <c r="F174" t="s">
        <v>5076</v>
      </c>
      <c r="I174" t="s">
        <v>5282</v>
      </c>
      <c r="J174" t="s">
        <v>2989</v>
      </c>
      <c r="K174" t="s">
        <v>5283</v>
      </c>
      <c r="L174" t="s">
        <v>5284</v>
      </c>
      <c r="M174" s="3" t="str">
        <f>HYPERLINK(СторонТрансп[[#This Row],[RelativePath]])</f>
        <v>2 Пилорама поката\E33149364_7_20251208T142248Z.jpg</v>
      </c>
    </row>
    <row r="175" spans="1:13" x14ac:dyDescent="0.25">
      <c r="A175" t="s">
        <v>13</v>
      </c>
      <c r="B175" s="4">
        <v>45999</v>
      </c>
      <c r="C175" s="6">
        <v>0.6244791666666667</v>
      </c>
      <c r="D175" s="7" t="s">
        <v>4</v>
      </c>
      <c r="E175" t="s">
        <v>4193</v>
      </c>
      <c r="F175" t="s">
        <v>5076</v>
      </c>
      <c r="H175" t="s">
        <v>5474</v>
      </c>
      <c r="I175" t="s">
        <v>5269</v>
      </c>
      <c r="J175" t="s">
        <v>2989</v>
      </c>
      <c r="K175" t="s">
        <v>5270</v>
      </c>
      <c r="L175" t="s">
        <v>5271</v>
      </c>
      <c r="M175" s="3" t="str">
        <f>HYPERLINK(СторонТрансп[[#This Row],[RelativePath]])</f>
        <v>2 Пилорама поката\E33149364_7_20251208T145915Z.jpg</v>
      </c>
    </row>
    <row r="176" spans="1:13" x14ac:dyDescent="0.25">
      <c r="A176" t="s">
        <v>13</v>
      </c>
      <c r="B176" s="4">
        <v>45999</v>
      </c>
      <c r="C176" s="6">
        <v>0.66174768518518523</v>
      </c>
      <c r="D176" s="7" t="s">
        <v>4</v>
      </c>
      <c r="E176" t="s">
        <v>5475</v>
      </c>
      <c r="F176" t="s">
        <v>5076</v>
      </c>
      <c r="H176" t="s">
        <v>5474</v>
      </c>
      <c r="I176" t="s">
        <v>5291</v>
      </c>
      <c r="J176" t="s">
        <v>2989</v>
      </c>
      <c r="K176" t="s">
        <v>5292</v>
      </c>
      <c r="L176" t="s">
        <v>5293</v>
      </c>
      <c r="M176" s="3" t="str">
        <f>HYPERLINK(СторонТрансп[[#This Row],[RelativePath]])</f>
        <v>2 Пилорама поката\E33149364_7_20251208T155255Z.jpg</v>
      </c>
    </row>
    <row r="177" spans="1:13" x14ac:dyDescent="0.25">
      <c r="A177" t="s">
        <v>14</v>
      </c>
      <c r="B177" s="4">
        <v>46000</v>
      </c>
      <c r="C177" s="6">
        <v>0.43395833333333333</v>
      </c>
      <c r="D177" s="7" t="s">
        <v>1606</v>
      </c>
      <c r="E177" t="s">
        <v>4193</v>
      </c>
      <c r="F177" t="s">
        <v>5076</v>
      </c>
      <c r="I177" t="s">
        <v>5509</v>
      </c>
      <c r="J177" t="s">
        <v>2989</v>
      </c>
      <c r="K177" t="s">
        <v>5510</v>
      </c>
      <c r="L177" t="s">
        <v>5511</v>
      </c>
      <c r="M177" s="3" t="str">
        <f>HYPERLINK(СторонТрансп[[#This Row],[RelativePath]])</f>
        <v>2 Пилорама поката\E33149364_7_20251209T102454Z.jpg</v>
      </c>
    </row>
    <row r="178" spans="1:13" x14ac:dyDescent="0.25">
      <c r="A178" t="s">
        <v>14</v>
      </c>
      <c r="B178" s="4">
        <v>46000</v>
      </c>
      <c r="C178" s="6">
        <v>0.43410879629629628</v>
      </c>
      <c r="D178" s="7" t="s">
        <v>6171</v>
      </c>
      <c r="E178" t="s">
        <v>4193</v>
      </c>
      <c r="F178" t="s">
        <v>5076</v>
      </c>
      <c r="H178" t="s">
        <v>5474</v>
      </c>
      <c r="I178" t="s">
        <v>5512</v>
      </c>
      <c r="J178" t="s">
        <v>2989</v>
      </c>
      <c r="K178" t="s">
        <v>5513</v>
      </c>
      <c r="L178" t="s">
        <v>5514</v>
      </c>
      <c r="M178" s="3" t="str">
        <f>HYPERLINK(СторонТрансп[[#This Row],[RelativePath]])</f>
        <v>2 Пилорама поката\E33149364_7_20251209T102507Z.jpg</v>
      </c>
    </row>
    <row r="179" spans="1:13" x14ac:dyDescent="0.25">
      <c r="A179" t="s">
        <v>14</v>
      </c>
      <c r="B179" s="4">
        <v>46000</v>
      </c>
      <c r="C179" s="6">
        <v>0.63540509259259259</v>
      </c>
      <c r="D179" s="7" t="s">
        <v>1606</v>
      </c>
      <c r="E179" t="s">
        <v>4193</v>
      </c>
      <c r="F179" t="s">
        <v>5076</v>
      </c>
      <c r="I179" t="s">
        <v>5515</v>
      </c>
      <c r="J179" t="s">
        <v>2989</v>
      </c>
      <c r="K179" t="s">
        <v>5516</v>
      </c>
      <c r="L179" t="s">
        <v>5517</v>
      </c>
      <c r="M179" s="3" t="str">
        <f>HYPERLINK(СторонТрансп[[#This Row],[RelativePath]])</f>
        <v>2 Пилорама поката\E33149364_7_20251209T151459Z.jpg</v>
      </c>
    </row>
    <row r="180" spans="1:13" x14ac:dyDescent="0.25">
      <c r="A180" t="s">
        <v>14</v>
      </c>
      <c r="B180" s="4">
        <v>46000</v>
      </c>
      <c r="C180" s="6">
        <v>0.6868171296296296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5518</v>
      </c>
      <c r="J180" t="s">
        <v>2989</v>
      </c>
      <c r="K180" t="s">
        <v>5519</v>
      </c>
      <c r="L180" t="s">
        <v>5520</v>
      </c>
      <c r="M180" s="3" t="str">
        <f>HYPERLINK(СторонТрансп[[#This Row],[RelativePath]])</f>
        <v>2 Пилорама поката\E33149364_7_20251209T162901Z.jpg</v>
      </c>
    </row>
    <row r="181" spans="1:13" x14ac:dyDescent="0.25">
      <c r="A181" t="s">
        <v>15</v>
      </c>
      <c r="B181" s="4">
        <v>46001</v>
      </c>
      <c r="C181" s="6">
        <v>0.53289351851851852</v>
      </c>
      <c r="D181" s="7" t="s">
        <v>1606</v>
      </c>
      <c r="E181" t="s">
        <v>4193</v>
      </c>
      <c r="F181" t="s">
        <v>5076</v>
      </c>
      <c r="I181" t="s">
        <v>5533</v>
      </c>
      <c r="J181" t="s">
        <v>2989</v>
      </c>
      <c r="K181" t="s">
        <v>5534</v>
      </c>
      <c r="L181" t="s">
        <v>5535</v>
      </c>
      <c r="M181" s="3" t="str">
        <f>HYPERLINK(СторонТрансп[[#This Row],[RelativePath]])</f>
        <v>2 Пилорама поката\E33149364_7_20251210T124722Z.jpg</v>
      </c>
    </row>
    <row r="182" spans="1:13" x14ac:dyDescent="0.25">
      <c r="A182" t="s">
        <v>15</v>
      </c>
      <c r="B182" s="4">
        <v>46001</v>
      </c>
      <c r="C182" s="6">
        <v>0.57746527777777779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5536</v>
      </c>
      <c r="J182" t="s">
        <v>2989</v>
      </c>
      <c r="K182" t="s">
        <v>5537</v>
      </c>
      <c r="L182" t="s">
        <v>5538</v>
      </c>
      <c r="M182" s="3" t="str">
        <f>HYPERLINK(СторонТрансп[[#This Row],[RelativePath]])</f>
        <v>2 Пилорама поката\E33149364_7_20251210T135133Z.jpg</v>
      </c>
    </row>
    <row r="183" spans="1:13" x14ac:dyDescent="0.25">
      <c r="A183" t="s">
        <v>13</v>
      </c>
      <c r="B183" s="4">
        <v>46006</v>
      </c>
      <c r="C183" s="6">
        <v>0.4377199074074074</v>
      </c>
      <c r="D183" s="7" t="s">
        <v>1606</v>
      </c>
      <c r="E183" t="s">
        <v>4193</v>
      </c>
      <c r="F183" t="s">
        <v>5076</v>
      </c>
      <c r="I183" t="s">
        <v>6290</v>
      </c>
      <c r="J183" t="s">
        <v>2989</v>
      </c>
      <c r="K183" t="s">
        <v>6291</v>
      </c>
      <c r="L183" t="s">
        <v>6292</v>
      </c>
      <c r="M183" s="3" t="str">
        <f>HYPERLINK(СторонТрансп[[#This Row],[RelativePath]])</f>
        <v>2 Пилорама поката\E33149364_7_20251215T103019Z.jpg</v>
      </c>
    </row>
    <row r="184" spans="1:13" x14ac:dyDescent="0.25">
      <c r="A184" t="s">
        <v>13</v>
      </c>
      <c r="B184" s="4">
        <v>46006</v>
      </c>
      <c r="C184" s="6">
        <v>0.44763888888888886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6293</v>
      </c>
      <c r="J184" t="s">
        <v>2989</v>
      </c>
      <c r="K184" t="s">
        <v>6294</v>
      </c>
      <c r="L184" t="s">
        <v>6295</v>
      </c>
      <c r="M184" s="3" t="str">
        <f>HYPERLINK(СторонТрансп[[#This Row],[RelativePath]])</f>
        <v>2 Пилорама поката\E33149364_7_20251215T104436Z.jpg</v>
      </c>
    </row>
    <row r="185" spans="1:13" x14ac:dyDescent="0.25">
      <c r="A185" t="s">
        <v>13</v>
      </c>
      <c r="B185" s="4">
        <v>46006</v>
      </c>
      <c r="C185" s="6">
        <v>0.54278935185185184</v>
      </c>
      <c r="D185" s="7" t="s">
        <v>650</v>
      </c>
      <c r="E185" t="s">
        <v>4193</v>
      </c>
      <c r="F185" t="s">
        <v>5076</v>
      </c>
      <c r="I185" t="s">
        <v>6297</v>
      </c>
      <c r="J185" t="s">
        <v>2989</v>
      </c>
      <c r="K185" t="s">
        <v>6298</v>
      </c>
      <c r="L185" t="s">
        <v>6299</v>
      </c>
      <c r="M185" s="3" t="str">
        <f>HYPERLINK(СторонТрансп[[#This Row],[RelativePath]])</f>
        <v>2 Пилорама поката\E33149364_7_20251215T130137Z.jpg</v>
      </c>
    </row>
    <row r="186" spans="1:13" x14ac:dyDescent="0.25">
      <c r="A186" t="s">
        <v>14</v>
      </c>
      <c r="B186" s="4">
        <v>46007</v>
      </c>
      <c r="C186" s="6">
        <v>0.49843749999999998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6551</v>
      </c>
      <c r="J186" t="s">
        <v>2989</v>
      </c>
      <c r="K186" t="s">
        <v>6552</v>
      </c>
      <c r="L186" t="s">
        <v>6553</v>
      </c>
      <c r="M186" s="3" t="str">
        <f>HYPERLINK(СторонТрансп[[#This Row],[RelativePath]])</f>
        <v>2 Пилорама поката\E33149364_7_20251216T115745Z.jpg</v>
      </c>
    </row>
    <row r="187" spans="1:13" x14ac:dyDescent="0.25">
      <c r="A187" t="s">
        <v>14</v>
      </c>
      <c r="B187" s="4">
        <v>46007</v>
      </c>
      <c r="C187" s="6">
        <v>0.58371527777777776</v>
      </c>
      <c r="D187" s="7" t="s">
        <v>650</v>
      </c>
      <c r="E187" t="s">
        <v>4193</v>
      </c>
      <c r="F187" t="s">
        <v>5076</v>
      </c>
      <c r="I187" t="s">
        <v>6554</v>
      </c>
      <c r="J187" t="s">
        <v>2989</v>
      </c>
      <c r="K187" t="s">
        <v>6555</v>
      </c>
      <c r="L187" t="s">
        <v>6556</v>
      </c>
      <c r="M187" s="3" t="str">
        <f>HYPERLINK(СторонТрансп[[#This Row],[RelativePath]])</f>
        <v>2 Пилорама поката\E33149364_7_20251216T140033Z.jpg</v>
      </c>
    </row>
    <row r="188" spans="1:13" x14ac:dyDescent="0.25">
      <c r="A188" t="s">
        <v>16</v>
      </c>
      <c r="B188" s="4">
        <v>46009</v>
      </c>
      <c r="C188" s="6">
        <v>0.51219907407407406</v>
      </c>
      <c r="D188" s="7" t="s">
        <v>1606</v>
      </c>
      <c r="E188" t="s">
        <v>4193</v>
      </c>
      <c r="F188" t="s">
        <v>5076</v>
      </c>
      <c r="I188" t="s">
        <v>6694</v>
      </c>
      <c r="J188" t="s">
        <v>2989</v>
      </c>
      <c r="K188" t="s">
        <v>6695</v>
      </c>
      <c r="L188" t="s">
        <v>6696</v>
      </c>
      <c r="M188" s="3" t="str">
        <f>HYPERLINK(СторонТрансп[[#This Row],[RelativePath]])</f>
        <v>2 Пилорама поката\E33149364_7_20251218T121734Z.jpg</v>
      </c>
    </row>
    <row r="189" spans="1:13" x14ac:dyDescent="0.25">
      <c r="A189" t="s">
        <v>16</v>
      </c>
      <c r="B189" s="4">
        <v>46009</v>
      </c>
      <c r="C189" s="6">
        <v>0.51600694444444439</v>
      </c>
      <c r="D189" s="7" t="s">
        <v>6171</v>
      </c>
      <c r="E189" t="s">
        <v>4193</v>
      </c>
      <c r="F189" t="s">
        <v>5076</v>
      </c>
      <c r="H189" t="s">
        <v>5474</v>
      </c>
      <c r="I189" t="s">
        <v>6697</v>
      </c>
      <c r="J189" t="s">
        <v>2989</v>
      </c>
      <c r="K189" t="s">
        <v>6698</v>
      </c>
      <c r="L189" t="s">
        <v>6699</v>
      </c>
      <c r="M189" s="3" t="str">
        <f>HYPERLINK(СторонТрансп[[#This Row],[RelativePath]])</f>
        <v>2 Пилорама поката\E33149364_7_20251218T122303Z.jpg</v>
      </c>
    </row>
    <row r="190" spans="1:13" x14ac:dyDescent="0.25">
      <c r="A190" t="s">
        <v>16</v>
      </c>
      <c r="B190" s="4">
        <v>46009</v>
      </c>
      <c r="C190" s="6">
        <v>0.61460648148148145</v>
      </c>
      <c r="D190" s="7" t="s">
        <v>650</v>
      </c>
      <c r="E190" t="s">
        <v>4193</v>
      </c>
      <c r="F190" t="s">
        <v>5076</v>
      </c>
      <c r="I190" t="s">
        <v>6700</v>
      </c>
      <c r="J190" t="s">
        <v>2989</v>
      </c>
      <c r="K190" t="s">
        <v>6701</v>
      </c>
      <c r="L190" t="s">
        <v>6702</v>
      </c>
      <c r="M190" s="3" t="str">
        <f>HYPERLINK(СторонТрансп[[#This Row],[RelativePath]])</f>
        <v>2 Пилорама поката\E33149364_7_20251218T144502Z.jpg</v>
      </c>
    </row>
    <row r="191" spans="1:13" x14ac:dyDescent="0.25">
      <c r="A191" t="s">
        <v>13</v>
      </c>
      <c r="B191" s="4">
        <v>46013</v>
      </c>
      <c r="C191" s="6">
        <v>0.46530092592592592</v>
      </c>
      <c r="D191" s="7" t="s">
        <v>1606</v>
      </c>
      <c r="E191" t="s">
        <v>4193</v>
      </c>
      <c r="F191" t="s">
        <v>5076</v>
      </c>
      <c r="I191" t="s">
        <v>7218</v>
      </c>
      <c r="J191" t="s">
        <v>2989</v>
      </c>
      <c r="K191" t="s">
        <v>7219</v>
      </c>
      <c r="L191" t="s">
        <v>7220</v>
      </c>
      <c r="M191" s="3" t="str">
        <f>HYPERLINK(СторонТрансп[[#This Row],[RelativePath]])</f>
        <v>2 Пилорама поката\E33149364_7_20251222T111002Z.jpg</v>
      </c>
    </row>
    <row r="192" spans="1:13" x14ac:dyDescent="0.25">
      <c r="A192" t="s">
        <v>13</v>
      </c>
      <c r="B192" s="4">
        <v>46013</v>
      </c>
      <c r="C192" s="6">
        <v>0.54984953703703698</v>
      </c>
      <c r="D192" s="7" t="s">
        <v>650</v>
      </c>
      <c r="E192" t="s">
        <v>4193</v>
      </c>
      <c r="F192" t="s">
        <v>5076</v>
      </c>
      <c r="I192" t="s">
        <v>7221</v>
      </c>
      <c r="J192" t="s">
        <v>2989</v>
      </c>
      <c r="K192" t="s">
        <v>7222</v>
      </c>
      <c r="L192" t="s">
        <v>7223</v>
      </c>
      <c r="M192" s="3" t="str">
        <f>HYPERLINK(СторонТрансп[[#This Row],[RelativePath]])</f>
        <v>2 Пилорама поката\E33149364_7_20251222T131147Z.jpg</v>
      </c>
    </row>
    <row r="193" spans="1:13" x14ac:dyDescent="0.25">
      <c r="A193" t="s">
        <v>18</v>
      </c>
      <c r="B193" s="4">
        <v>46018</v>
      </c>
      <c r="C193" s="6">
        <v>0.43297453703703703</v>
      </c>
      <c r="D193" s="7" t="s">
        <v>1606</v>
      </c>
      <c r="E193" t="s">
        <v>4193</v>
      </c>
      <c r="F193" t="s">
        <v>5076</v>
      </c>
      <c r="I193" t="s">
        <v>7872</v>
      </c>
      <c r="J193" t="s">
        <v>2989</v>
      </c>
      <c r="K193" t="s">
        <v>7873</v>
      </c>
      <c r="L193" t="s">
        <v>7874</v>
      </c>
      <c r="M193" s="3" t="str">
        <f>HYPERLINK(СторонТрансп[[#This Row],[RelativePath]])</f>
        <v>2 Пилорама поката\E33149364_7_20251227T102329Z.jpg</v>
      </c>
    </row>
    <row r="194" spans="1:13" x14ac:dyDescent="0.25">
      <c r="A194" t="s">
        <v>18</v>
      </c>
      <c r="B194" s="4">
        <v>46018</v>
      </c>
      <c r="C194" s="6">
        <v>0.44199074074074074</v>
      </c>
      <c r="D194" s="7" t="s">
        <v>6171</v>
      </c>
      <c r="E194" t="s">
        <v>4193</v>
      </c>
      <c r="F194" t="s">
        <v>5076</v>
      </c>
      <c r="H194" t="s">
        <v>5474</v>
      </c>
      <c r="I194" t="s">
        <v>7875</v>
      </c>
      <c r="J194" t="s">
        <v>2989</v>
      </c>
      <c r="K194" t="s">
        <v>7876</v>
      </c>
      <c r="L194" t="s">
        <v>7877</v>
      </c>
      <c r="M194" s="3" t="str">
        <f>HYPERLINK(СторонТрансп[[#This Row],[RelativePath]])</f>
        <v>2 Пилорама поката\E33149364_7_20251227T103628Z.jpg</v>
      </c>
    </row>
    <row r="195" spans="1:13" x14ac:dyDescent="0.25">
      <c r="A195" t="s">
        <v>18</v>
      </c>
      <c r="B195" s="4">
        <v>46018</v>
      </c>
      <c r="C195" s="6">
        <v>0.5803356481481482</v>
      </c>
      <c r="D195" s="7" t="s">
        <v>650</v>
      </c>
      <c r="E195" t="s">
        <v>4193</v>
      </c>
      <c r="F195" t="s">
        <v>5076</v>
      </c>
      <c r="I195" t="s">
        <v>7878</v>
      </c>
      <c r="J195" t="s">
        <v>2989</v>
      </c>
      <c r="K195" t="s">
        <v>7879</v>
      </c>
      <c r="L195" t="s">
        <v>7880</v>
      </c>
      <c r="M195" s="3" t="str">
        <f>HYPERLINK(СторонТрансп[[#This Row],[RelativePath]])</f>
        <v>2 Пилорама поката\E33149364_7_20251227T135541Z.jpg</v>
      </c>
    </row>
    <row r="196" spans="1:13" x14ac:dyDescent="0.25">
      <c r="A196" t="s">
        <v>22</v>
      </c>
      <c r="B196" s="4">
        <v>46019</v>
      </c>
      <c r="C196" s="6">
        <v>0.59177083333333336</v>
      </c>
      <c r="D196" s="7" t="s">
        <v>1606</v>
      </c>
      <c r="E196" t="s">
        <v>4193</v>
      </c>
      <c r="F196" t="s">
        <v>5076</v>
      </c>
      <c r="I196" t="s">
        <v>7884</v>
      </c>
      <c r="J196" t="s">
        <v>2989</v>
      </c>
      <c r="K196" t="s">
        <v>7885</v>
      </c>
      <c r="L196" t="s">
        <v>7886</v>
      </c>
      <c r="M196" s="3" t="str">
        <f>HYPERLINK(СторонТрансп[[#This Row],[RelativePath]])</f>
        <v>2 Пилорама поката\E33149364_7_20251228T141209Z.jpg</v>
      </c>
    </row>
    <row r="197" spans="1:13" x14ac:dyDescent="0.25">
      <c r="A197" t="s">
        <v>22</v>
      </c>
      <c r="B197" s="4">
        <v>46019</v>
      </c>
      <c r="C197" s="6">
        <v>0.64005787037037032</v>
      </c>
      <c r="D197" s="7" t="s">
        <v>650</v>
      </c>
      <c r="E197" t="s">
        <v>4193</v>
      </c>
      <c r="F197" t="s">
        <v>5076</v>
      </c>
      <c r="I197" t="s">
        <v>7887</v>
      </c>
      <c r="J197" t="s">
        <v>2989</v>
      </c>
      <c r="K197" t="s">
        <v>7888</v>
      </c>
      <c r="L197" t="s">
        <v>7889</v>
      </c>
      <c r="M197" s="3" t="str">
        <f>HYPERLINK(СторонТрансп[[#This Row],[RelativePath]])</f>
        <v>2 Пилорама поката\E33149364_7_20251228T152141Z.jpg</v>
      </c>
    </row>
    <row r="198" spans="1:13" x14ac:dyDescent="0.25">
      <c r="A198" t="s">
        <v>15</v>
      </c>
      <c r="B198" s="4">
        <v>45973</v>
      </c>
      <c r="C198" s="6">
        <v>0.6857523148148148</v>
      </c>
      <c r="D198" s="7" t="s">
        <v>289</v>
      </c>
      <c r="E198" t="s">
        <v>66</v>
      </c>
      <c r="F198" t="s">
        <v>288</v>
      </c>
      <c r="I198" t="s">
        <v>249</v>
      </c>
      <c r="J198" t="s">
        <v>2990</v>
      </c>
      <c r="K198" t="s">
        <v>250</v>
      </c>
      <c r="L198" t="s">
        <v>251</v>
      </c>
      <c r="M198" s="3" t="str">
        <f>HYPERLINK(СторонТрансп[[#This Row],[RelativePath]])</f>
        <v>3 Въезд на базу\E33149364_8_20251112T162729Z.jpg</v>
      </c>
    </row>
    <row r="199" spans="1:13" x14ac:dyDescent="0.25">
      <c r="A199" t="s">
        <v>17</v>
      </c>
      <c r="B199" s="4">
        <v>45975</v>
      </c>
      <c r="C199" s="6">
        <v>0.5526388888888889</v>
      </c>
      <c r="D199" s="7" t="s">
        <v>290</v>
      </c>
      <c r="E199" t="s">
        <v>66</v>
      </c>
      <c r="F199" t="s">
        <v>88</v>
      </c>
      <c r="I199" t="s">
        <v>279</v>
      </c>
      <c r="J199" t="s">
        <v>2990</v>
      </c>
      <c r="K199" t="s">
        <v>280</v>
      </c>
      <c r="L199" t="s">
        <v>281</v>
      </c>
      <c r="M199" s="3" t="str">
        <f>HYPERLINK(СторонТрансп[[#This Row],[RelativePath]])</f>
        <v>3 Въезд на базу\E33149364_8_20251114T131548Z.jpg</v>
      </c>
    </row>
    <row r="200" spans="1:13" x14ac:dyDescent="0.25">
      <c r="A200" t="s">
        <v>15</v>
      </c>
      <c r="B200" s="4">
        <v>45987</v>
      </c>
      <c r="C200" s="6">
        <v>0.45251157407407405</v>
      </c>
      <c r="D200" s="7" t="s">
        <v>4</v>
      </c>
      <c r="E200" t="s">
        <v>4192</v>
      </c>
      <c r="F200" t="s">
        <v>58</v>
      </c>
      <c r="I200" t="s">
        <v>3354</v>
      </c>
      <c r="J200" t="s">
        <v>2990</v>
      </c>
      <c r="K200" t="s">
        <v>3355</v>
      </c>
      <c r="L200" t="s">
        <v>3356</v>
      </c>
      <c r="M200" s="3" t="str">
        <f>HYPERLINK(СторонТрансп[[#This Row],[RelativePath]])</f>
        <v>3 Въезд на базу\E33149364_8_20251126T105137Z.jpg</v>
      </c>
    </row>
    <row r="201" spans="1:13" x14ac:dyDescent="0.25">
      <c r="A201" t="s">
        <v>18</v>
      </c>
      <c r="B201" s="4">
        <v>45990</v>
      </c>
      <c r="C201" s="6">
        <v>0.71567129629629633</v>
      </c>
      <c r="D201" s="7" t="s">
        <v>4</v>
      </c>
      <c r="E201" t="s">
        <v>4194</v>
      </c>
      <c r="F201" t="s">
        <v>4196</v>
      </c>
      <c r="I201" t="s">
        <v>3378</v>
      </c>
      <c r="J201" t="s">
        <v>2990</v>
      </c>
      <c r="K201" t="s">
        <v>3379</v>
      </c>
      <c r="L201" t="s">
        <v>3380</v>
      </c>
      <c r="M201" s="3" t="str">
        <f>HYPERLINK(СторонТрансп[[#This Row],[RelativePath]])</f>
        <v>3 Въезд на базу\E33149364_8_20251129T171034Z.jpg</v>
      </c>
    </row>
    <row r="202" spans="1:13" x14ac:dyDescent="0.25">
      <c r="A202" t="s">
        <v>13</v>
      </c>
      <c r="B202" s="4">
        <v>45992</v>
      </c>
      <c r="C202" s="6">
        <v>0.86937500000000001</v>
      </c>
      <c r="D202" s="7" t="s">
        <v>4</v>
      </c>
      <c r="E202" t="s">
        <v>4194</v>
      </c>
      <c r="H202" t="s">
        <v>5089</v>
      </c>
      <c r="I202" t="s">
        <v>4561</v>
      </c>
      <c r="J202" t="s">
        <v>2990</v>
      </c>
      <c r="K202" t="s">
        <v>4562</v>
      </c>
      <c r="L202" t="s">
        <v>4563</v>
      </c>
      <c r="M202" s="3" t="str">
        <f>HYPERLINK(СторонТрансп[[#This Row],[RelativePath]])</f>
        <v>3 Въезд на базу\E33149364_8_20251201T205154Z.jpg</v>
      </c>
    </row>
    <row r="203" spans="1:13" x14ac:dyDescent="0.25">
      <c r="A203" t="s">
        <v>22</v>
      </c>
      <c r="B203" s="4">
        <v>45998</v>
      </c>
      <c r="C203" s="6">
        <v>0.6731597222222222</v>
      </c>
      <c r="D203" s="7" t="s">
        <v>4</v>
      </c>
      <c r="E203" t="s">
        <v>5262</v>
      </c>
      <c r="F203" t="s">
        <v>1609</v>
      </c>
      <c r="I203" t="s">
        <v>5141</v>
      </c>
      <c r="J203" t="s">
        <v>2990</v>
      </c>
      <c r="K203" t="s">
        <v>5142</v>
      </c>
      <c r="L203" t="s">
        <v>5143</v>
      </c>
      <c r="M203" s="3" t="str">
        <f>HYPERLINK(СторонТрансп[[#This Row],[RelativePath]])</f>
        <v>3 Въезд на базу\E33149364_8_20251207T160921Z.jpg</v>
      </c>
    </row>
    <row r="204" spans="1:13" x14ac:dyDescent="0.25">
      <c r="A204" t="s">
        <v>18</v>
      </c>
      <c r="B204" s="4">
        <v>45976</v>
      </c>
      <c r="C204" s="6">
        <v>0.46825231481481483</v>
      </c>
      <c r="D204" s="7" t="s">
        <v>1606</v>
      </c>
      <c r="E204" t="s">
        <v>2001</v>
      </c>
      <c r="I204" t="s">
        <v>1253</v>
      </c>
      <c r="J204" t="s">
        <v>2991</v>
      </c>
      <c r="K204" t="s">
        <v>1254</v>
      </c>
      <c r="L204" t="s">
        <v>1255</v>
      </c>
      <c r="M204" s="3" t="str">
        <f>HYPERLINK(СторонТрансп[[#This Row],[RelativePath]])</f>
        <v>4 Крыльцо офиса\K07156189_21_20251115T111417Z.jpg</v>
      </c>
    </row>
    <row r="205" spans="1:13" x14ac:dyDescent="0.25">
      <c r="A205" t="s">
        <v>18</v>
      </c>
      <c r="B205" s="4">
        <v>45976</v>
      </c>
      <c r="C205" s="6">
        <v>0.49733796296296295</v>
      </c>
      <c r="D205" s="7" t="s">
        <v>650</v>
      </c>
      <c r="E205" t="s">
        <v>2001</v>
      </c>
      <c r="I205" t="s">
        <v>1256</v>
      </c>
      <c r="J205" t="s">
        <v>2991</v>
      </c>
      <c r="K205" t="s">
        <v>1257</v>
      </c>
      <c r="L205" t="s">
        <v>1258</v>
      </c>
      <c r="M205" s="3" t="str">
        <f>HYPERLINK(СторонТрансп[[#This Row],[RelativePath]])</f>
        <v>4 Крыльцо офиса\K07156189_21_20251115T115610Z.jpg</v>
      </c>
    </row>
    <row r="206" spans="1:13" x14ac:dyDescent="0.25">
      <c r="A206" t="s">
        <v>18</v>
      </c>
      <c r="B206" s="4">
        <v>45990</v>
      </c>
      <c r="C206" s="6">
        <v>0.71454861111111112</v>
      </c>
      <c r="D206" s="7" t="s">
        <v>4</v>
      </c>
      <c r="E206" t="s">
        <v>4194</v>
      </c>
      <c r="F206" t="s">
        <v>4196</v>
      </c>
      <c r="H206" t="s">
        <v>4205</v>
      </c>
      <c r="I206" t="s">
        <v>3402</v>
      </c>
      <c r="J206" t="s">
        <v>2991</v>
      </c>
      <c r="K206" t="s">
        <v>3403</v>
      </c>
      <c r="L206" t="s">
        <v>3404</v>
      </c>
      <c r="M206" s="3" t="str">
        <f>HYPERLINK(СторонТрансп[[#This Row],[RelativePath]])</f>
        <v>4 Крыльцо офиса\K07156189_21_20251129T170857Z.jpg</v>
      </c>
    </row>
    <row r="207" spans="1:13" x14ac:dyDescent="0.25">
      <c r="A207" t="s">
        <v>13</v>
      </c>
      <c r="B207" s="4">
        <v>45992</v>
      </c>
      <c r="C207" s="6">
        <v>0.86984953703703705</v>
      </c>
      <c r="D207" s="7" t="s">
        <v>290</v>
      </c>
      <c r="E207" t="s">
        <v>4194</v>
      </c>
      <c r="F207" t="s">
        <v>5093</v>
      </c>
      <c r="I207" t="s">
        <v>4450</v>
      </c>
      <c r="J207" t="s">
        <v>2991</v>
      </c>
      <c r="K207" t="s">
        <v>4451</v>
      </c>
      <c r="L207" t="s">
        <v>4452</v>
      </c>
      <c r="M207" s="3" t="str">
        <f>HYPERLINK(СторонТрансп[[#This Row],[RelativePath]])</f>
        <v>4 Крыльцо офиса\K07156189_21_20251201T205235Z.jpg</v>
      </c>
    </row>
    <row r="208" spans="1:13" x14ac:dyDescent="0.25">
      <c r="A208" t="s">
        <v>13</v>
      </c>
      <c r="B208" s="4">
        <v>45992</v>
      </c>
      <c r="C208" s="6">
        <v>0.87006944444444445</v>
      </c>
      <c r="D208" s="7" t="s">
        <v>290</v>
      </c>
      <c r="E208" t="s">
        <v>4194</v>
      </c>
      <c r="F208" t="s">
        <v>5093</v>
      </c>
      <c r="I208" t="s">
        <v>4453</v>
      </c>
      <c r="J208" t="s">
        <v>2991</v>
      </c>
      <c r="K208" t="s">
        <v>4454</v>
      </c>
      <c r="L208" t="s">
        <v>4455</v>
      </c>
      <c r="M208" s="3" t="str">
        <f>HYPERLINK(СторонТрансп[[#This Row],[RelativePath]])</f>
        <v>4 Крыльцо офиса\K07156189_21_20251201T205254Z.jpg</v>
      </c>
    </row>
    <row r="209" spans="1:13" x14ac:dyDescent="0.25">
      <c r="A209" t="s">
        <v>13</v>
      </c>
      <c r="B209" s="4">
        <v>45992</v>
      </c>
      <c r="C209" s="6">
        <v>0.87283564814814818</v>
      </c>
      <c r="D209" s="7" t="s">
        <v>650</v>
      </c>
      <c r="E209" t="s">
        <v>4194</v>
      </c>
      <c r="I209" t="s">
        <v>4456</v>
      </c>
      <c r="J209" t="s">
        <v>2991</v>
      </c>
      <c r="K209" t="s">
        <v>4457</v>
      </c>
      <c r="L209" t="s">
        <v>4458</v>
      </c>
      <c r="M209" s="3" t="str">
        <f>HYPERLINK(СторонТрансп[[#This Row],[RelativePath]])</f>
        <v>4 Крыльцо офиса\K07156189_21_20251201T205653Z.jpg</v>
      </c>
    </row>
    <row r="210" spans="1:13" x14ac:dyDescent="0.25">
      <c r="A210" t="s">
        <v>14</v>
      </c>
      <c r="B210" s="4">
        <v>46000</v>
      </c>
      <c r="C210" s="6">
        <v>0.51223379629629628</v>
      </c>
      <c r="D210" s="7" t="s">
        <v>290</v>
      </c>
      <c r="E210" t="s">
        <v>5505</v>
      </c>
      <c r="F210" t="s">
        <v>6173</v>
      </c>
      <c r="I210" t="s">
        <v>5696</v>
      </c>
      <c r="J210" t="s">
        <v>2991</v>
      </c>
      <c r="K210" t="s">
        <v>5697</v>
      </c>
      <c r="L210" t="s">
        <v>5698</v>
      </c>
      <c r="M210" s="3" t="str">
        <f>HYPERLINK(СторонТрансп[[#This Row],[RelativePath]])</f>
        <v>4 Крыльцо офиса\K07156189_21_20251209T121737Z.jpg</v>
      </c>
    </row>
    <row r="211" spans="1:13" x14ac:dyDescent="0.25">
      <c r="A211" t="s">
        <v>14</v>
      </c>
      <c r="B211" s="4">
        <v>46000</v>
      </c>
      <c r="C211" s="6">
        <v>0.51232638888888893</v>
      </c>
      <c r="D211" s="7" t="s">
        <v>290</v>
      </c>
      <c r="E211" t="s">
        <v>5505</v>
      </c>
      <c r="F211" t="s">
        <v>6173</v>
      </c>
      <c r="H211" t="s">
        <v>2936</v>
      </c>
      <c r="I211" t="s">
        <v>5699</v>
      </c>
      <c r="J211" t="s">
        <v>2991</v>
      </c>
      <c r="K211" t="s">
        <v>5700</v>
      </c>
      <c r="L211" t="s">
        <v>5701</v>
      </c>
      <c r="M211" s="3" t="str">
        <f>HYPERLINK(СторонТрансп[[#This Row],[RelativePath]])</f>
        <v>4 Крыльцо офиса\K07156189_21_20251209T121745Z.jpg</v>
      </c>
    </row>
    <row r="212" spans="1:13" x14ac:dyDescent="0.25">
      <c r="A212" t="s">
        <v>14</v>
      </c>
      <c r="B212" s="4">
        <v>46000</v>
      </c>
      <c r="C212" s="6">
        <v>0.51336805555555554</v>
      </c>
      <c r="D212" s="7" t="s">
        <v>290</v>
      </c>
      <c r="E212" t="s">
        <v>5505</v>
      </c>
      <c r="F212" t="s">
        <v>6173</v>
      </c>
      <c r="H212" t="s">
        <v>2936</v>
      </c>
      <c r="I212" t="s">
        <v>5702</v>
      </c>
      <c r="J212" t="s">
        <v>2991</v>
      </c>
      <c r="K212" t="s">
        <v>5703</v>
      </c>
      <c r="L212" t="s">
        <v>5704</v>
      </c>
      <c r="M212" s="3" t="str">
        <f>HYPERLINK(СторонТрансп[[#This Row],[RelativePath]])</f>
        <v>4 Крыльцо офиса\K07156189_21_20251209T121915Z.jpg</v>
      </c>
    </row>
    <row r="213" spans="1:13" x14ac:dyDescent="0.25">
      <c r="A213" t="s">
        <v>18</v>
      </c>
      <c r="B213" s="4">
        <v>46004</v>
      </c>
      <c r="C213" s="6">
        <v>0.40708333333333335</v>
      </c>
      <c r="D213" s="7" t="s">
        <v>4</v>
      </c>
      <c r="E213" t="s">
        <v>6167</v>
      </c>
      <c r="F213" t="s">
        <v>58</v>
      </c>
      <c r="I213" t="s">
        <v>6044</v>
      </c>
      <c r="J213" t="s">
        <v>2991</v>
      </c>
      <c r="K213" t="s">
        <v>6045</v>
      </c>
      <c r="L213" t="s">
        <v>6046</v>
      </c>
      <c r="M213" s="3" t="str">
        <f>HYPERLINK(СторонТрансп[[#This Row],[RelativePath]])</f>
        <v>4 Крыльцо офиса\K07156189_21_20251213T094612Z.jpg</v>
      </c>
    </row>
    <row r="214" spans="1:13" x14ac:dyDescent="0.25">
      <c r="A214" t="s">
        <v>18</v>
      </c>
      <c r="B214" s="4">
        <v>46004</v>
      </c>
      <c r="C214" s="6">
        <v>0.40886574074074072</v>
      </c>
      <c r="D214" s="7" t="s">
        <v>4</v>
      </c>
      <c r="E214" t="s">
        <v>6167</v>
      </c>
      <c r="F214" t="s">
        <v>58</v>
      </c>
      <c r="H214" t="s">
        <v>4205</v>
      </c>
      <c r="I214" t="s">
        <v>6047</v>
      </c>
      <c r="J214" t="s">
        <v>2991</v>
      </c>
      <c r="K214" t="s">
        <v>6048</v>
      </c>
      <c r="L214" t="s">
        <v>6049</v>
      </c>
      <c r="M214" s="3" t="str">
        <f>HYPERLINK(СторонТрансп[[#This Row],[RelativePath]])</f>
        <v>4 Крыльцо офиса\K07156189_21_20251213T094846Z.jpg</v>
      </c>
    </row>
    <row r="215" spans="1:13" x14ac:dyDescent="0.25">
      <c r="A215" t="s">
        <v>18</v>
      </c>
      <c r="B215" s="4">
        <v>46004</v>
      </c>
      <c r="C215" s="6">
        <v>0.52965277777777775</v>
      </c>
      <c r="D215" s="7" t="s">
        <v>1606</v>
      </c>
      <c r="E215" t="s">
        <v>6166</v>
      </c>
      <c r="F215" t="s">
        <v>51</v>
      </c>
      <c r="I215" t="s">
        <v>6050</v>
      </c>
      <c r="J215" t="s">
        <v>2991</v>
      </c>
      <c r="K215" t="s">
        <v>6051</v>
      </c>
      <c r="L215" t="s">
        <v>6052</v>
      </c>
      <c r="M215" s="3" t="str">
        <f>HYPERLINK(СторонТрансп[[#This Row],[RelativePath]])</f>
        <v>4 Крыльцо офиса\K07156189_21_20251213T124242Z.jpg</v>
      </c>
    </row>
    <row r="216" spans="1:13" x14ac:dyDescent="0.25">
      <c r="A216" t="s">
        <v>18</v>
      </c>
      <c r="B216" s="4">
        <v>46004</v>
      </c>
      <c r="C216" s="6">
        <v>0.52991898148148153</v>
      </c>
      <c r="D216" s="7" t="s">
        <v>1606</v>
      </c>
      <c r="E216" t="s">
        <v>6165</v>
      </c>
      <c r="F216" t="s">
        <v>51</v>
      </c>
      <c r="I216" t="s">
        <v>6053</v>
      </c>
      <c r="J216" t="s">
        <v>2991</v>
      </c>
      <c r="K216" t="s">
        <v>6054</v>
      </c>
      <c r="L216" t="s">
        <v>6055</v>
      </c>
      <c r="M216" s="3" t="str">
        <f>HYPERLINK(СторонТрансп[[#This Row],[RelativePath]])</f>
        <v>4 Крыльцо офиса\K07156189_21_20251213T124305Z.jpg</v>
      </c>
    </row>
    <row r="217" spans="1:13" x14ac:dyDescent="0.25">
      <c r="A217" t="s">
        <v>18</v>
      </c>
      <c r="B217" s="4">
        <v>46004</v>
      </c>
      <c r="C217" s="6">
        <v>0.53687499999999999</v>
      </c>
      <c r="D217" s="7" t="s">
        <v>650</v>
      </c>
      <c r="E217" t="s">
        <v>6166</v>
      </c>
      <c r="F217" t="s">
        <v>51</v>
      </c>
      <c r="I217" t="s">
        <v>6056</v>
      </c>
      <c r="J217" t="s">
        <v>2991</v>
      </c>
      <c r="K217" t="s">
        <v>6057</v>
      </c>
      <c r="L217" t="s">
        <v>6058</v>
      </c>
      <c r="M217" s="3" t="str">
        <f>HYPERLINK(СторонТрансп[[#This Row],[RelativePath]])</f>
        <v>4 Крыльцо офиса\K07156189_21_20251213T125306Z.jpg</v>
      </c>
    </row>
    <row r="218" spans="1:13" x14ac:dyDescent="0.25">
      <c r="A218" t="s">
        <v>18</v>
      </c>
      <c r="B218" s="4">
        <v>46004</v>
      </c>
      <c r="C218" s="6">
        <v>0.5370949074074074</v>
      </c>
      <c r="D218" s="7" t="s">
        <v>650</v>
      </c>
      <c r="E218" t="s">
        <v>6165</v>
      </c>
      <c r="F218" t="s">
        <v>51</v>
      </c>
      <c r="I218" t="s">
        <v>6059</v>
      </c>
      <c r="J218" t="s">
        <v>2991</v>
      </c>
      <c r="K218" t="s">
        <v>6060</v>
      </c>
      <c r="L218" t="s">
        <v>6061</v>
      </c>
      <c r="M218" s="3" t="str">
        <f>HYPERLINK(СторонТрансп[[#This Row],[RelativePath]])</f>
        <v>4 Крыльцо офиса\K07156189_21_20251213T125325Z.jpg</v>
      </c>
    </row>
    <row r="219" spans="1:13" x14ac:dyDescent="0.25">
      <c r="A219" t="s">
        <v>18</v>
      </c>
      <c r="B219" s="4">
        <v>46004</v>
      </c>
      <c r="C219" s="6">
        <v>0.5397453703703704</v>
      </c>
      <c r="D219" s="7" t="s">
        <v>1606</v>
      </c>
      <c r="E219" t="s">
        <v>6167</v>
      </c>
      <c r="F219" t="s">
        <v>58</v>
      </c>
      <c r="I219" t="s">
        <v>6062</v>
      </c>
      <c r="J219" t="s">
        <v>2991</v>
      </c>
      <c r="K219" t="s">
        <v>6063</v>
      </c>
      <c r="L219" t="s">
        <v>6064</v>
      </c>
      <c r="M219" s="3" t="str">
        <f>HYPERLINK(СторонТрансп[[#This Row],[RelativePath]])</f>
        <v>4 Крыльцо офиса\K07156189_21_20251213T125714Z.jpg</v>
      </c>
    </row>
    <row r="220" spans="1:13" x14ac:dyDescent="0.25">
      <c r="A220" t="s">
        <v>18</v>
      </c>
      <c r="B220" s="4">
        <v>46004</v>
      </c>
      <c r="C220" s="6">
        <v>0.54593749999999996</v>
      </c>
      <c r="D220" s="7" t="s">
        <v>6174</v>
      </c>
      <c r="E220" t="s">
        <v>6167</v>
      </c>
      <c r="F220" t="s">
        <v>58</v>
      </c>
      <c r="I220" t="s">
        <v>6161</v>
      </c>
      <c r="J220" t="s">
        <v>2991</v>
      </c>
      <c r="K220" t="s">
        <v>6162</v>
      </c>
      <c r="L220" t="s">
        <v>6163</v>
      </c>
      <c r="M220" s="3" t="str">
        <f>HYPERLINK(СторонТрансп[[#This Row],[RelativePath]])</f>
        <v>4 Крыльцо офиса\K07156189_21_20251213T130609Z.jpg</v>
      </c>
    </row>
    <row r="221" spans="1:13" x14ac:dyDescent="0.25">
      <c r="A221" t="s">
        <v>22</v>
      </c>
      <c r="B221" s="4">
        <v>46019</v>
      </c>
      <c r="C221" s="6">
        <v>0.50564814814814818</v>
      </c>
      <c r="D221" s="7" t="s">
        <v>4</v>
      </c>
      <c r="E221" t="s">
        <v>4193</v>
      </c>
      <c r="F221" t="s">
        <v>5076</v>
      </c>
      <c r="I221" t="s">
        <v>7998</v>
      </c>
      <c r="J221" t="s">
        <v>2991</v>
      </c>
      <c r="K221" t="s">
        <v>7999</v>
      </c>
      <c r="L221" t="s">
        <v>8000</v>
      </c>
      <c r="M221" s="3" t="str">
        <f>HYPERLINK(СторонТрансп[[#This Row],[RelativePath]])</f>
        <v>4 Крыльцо офиса\K07156189_21_20251228T120808Z.jpg</v>
      </c>
    </row>
    <row r="222" spans="1:13" x14ac:dyDescent="0.25">
      <c r="A222" t="s">
        <v>14</v>
      </c>
      <c r="B222" s="4">
        <v>45972</v>
      </c>
      <c r="C222" s="6">
        <v>0.39533564814814814</v>
      </c>
      <c r="D222" s="7" t="s">
        <v>467</v>
      </c>
      <c r="E222" t="s">
        <v>67</v>
      </c>
      <c r="I222" t="s">
        <v>364</v>
      </c>
      <c r="J222" t="s">
        <v>2982</v>
      </c>
      <c r="K222" t="s">
        <v>365</v>
      </c>
      <c r="L222" t="s">
        <v>366</v>
      </c>
      <c r="M222" s="3" t="str">
        <f>HYPERLINK(СторонТрансп[[#This Row],[RelativePath]])</f>
        <v>5 Крыльцо общага\K07156189_22_20251111T092917Z.jpg</v>
      </c>
    </row>
    <row r="223" spans="1:13" x14ac:dyDescent="0.25">
      <c r="A223" t="s">
        <v>14</v>
      </c>
      <c r="B223" s="4">
        <v>45972</v>
      </c>
      <c r="C223" s="6">
        <v>0.39787037037037037</v>
      </c>
      <c r="D223" s="7" t="s">
        <v>289</v>
      </c>
      <c r="E223" t="s">
        <v>67</v>
      </c>
      <c r="F223" t="s">
        <v>468</v>
      </c>
      <c r="I223" t="s">
        <v>367</v>
      </c>
      <c r="J223" t="s">
        <v>2982</v>
      </c>
      <c r="K223" t="s">
        <v>368</v>
      </c>
      <c r="L223" t="s">
        <v>369</v>
      </c>
      <c r="M223" s="3" t="str">
        <f>HYPERLINK(СторонТрансп[[#This Row],[RelativePath]])</f>
        <v>5 Крыльцо общага\K07156189_22_20251111T093256Z.jpg</v>
      </c>
    </row>
    <row r="224" spans="1:13" x14ac:dyDescent="0.25">
      <c r="A224" t="s">
        <v>14</v>
      </c>
      <c r="B224" s="4">
        <v>45972</v>
      </c>
      <c r="C224" s="6">
        <v>0.40370370370370373</v>
      </c>
      <c r="D224" s="7" t="s">
        <v>289</v>
      </c>
      <c r="E224" t="s">
        <v>67</v>
      </c>
      <c r="F224" t="s">
        <v>468</v>
      </c>
      <c r="I224" t="s">
        <v>370</v>
      </c>
      <c r="J224" t="s">
        <v>2982</v>
      </c>
      <c r="K224" t="s">
        <v>371</v>
      </c>
      <c r="L224" t="s">
        <v>372</v>
      </c>
      <c r="M224" s="3" t="str">
        <f>HYPERLINK(СторонТрансп[[#This Row],[RelativePath]])</f>
        <v>5 Крыльцо общага\K07156189_22_20251111T094120Z.jpg</v>
      </c>
    </row>
    <row r="225" spans="1:13" x14ac:dyDescent="0.25">
      <c r="A225" t="s">
        <v>14</v>
      </c>
      <c r="B225" s="4">
        <v>45972</v>
      </c>
      <c r="C225" s="6">
        <v>0.40377314814814813</v>
      </c>
      <c r="D225" s="7" t="s">
        <v>289</v>
      </c>
      <c r="E225" t="s">
        <v>67</v>
      </c>
      <c r="F225" t="s">
        <v>468</v>
      </c>
      <c r="I225" t="s">
        <v>373</v>
      </c>
      <c r="J225" t="s">
        <v>2982</v>
      </c>
      <c r="K225" t="s">
        <v>374</v>
      </c>
      <c r="L225" t="s">
        <v>375</v>
      </c>
      <c r="M225" s="3" t="str">
        <f>HYPERLINK(СторонТрансп[[#This Row],[RelativePath]])</f>
        <v>5 Крыльцо общага\K07156189_22_20251111T094126Z.jpg</v>
      </c>
    </row>
    <row r="226" spans="1:13" x14ac:dyDescent="0.25">
      <c r="A226" t="s">
        <v>14</v>
      </c>
      <c r="B226" s="4">
        <v>45972</v>
      </c>
      <c r="C226" s="6">
        <v>0.40597222222222223</v>
      </c>
      <c r="D226" s="7" t="s">
        <v>289</v>
      </c>
      <c r="E226" t="s">
        <v>67</v>
      </c>
      <c r="F226" t="s">
        <v>468</v>
      </c>
      <c r="I226" t="s">
        <v>376</v>
      </c>
      <c r="J226" t="s">
        <v>2982</v>
      </c>
      <c r="K226" t="s">
        <v>377</v>
      </c>
      <c r="L226" t="s">
        <v>378</v>
      </c>
      <c r="M226" s="3" t="str">
        <f>HYPERLINK(СторонТрансп[[#This Row],[RelativePath]])</f>
        <v>5 Крыльцо общага\K07156189_22_20251111T094436Z.jpg</v>
      </c>
    </row>
    <row r="227" spans="1:13" x14ac:dyDescent="0.25">
      <c r="A227" t="s">
        <v>14</v>
      </c>
      <c r="B227" s="4">
        <v>45972</v>
      </c>
      <c r="C227" s="6">
        <v>0.40881944444444446</v>
      </c>
      <c r="D227" s="7" t="s">
        <v>289</v>
      </c>
      <c r="E227" t="s">
        <v>67</v>
      </c>
      <c r="F227" t="s">
        <v>468</v>
      </c>
      <c r="I227" t="s">
        <v>379</v>
      </c>
      <c r="J227" t="s">
        <v>2982</v>
      </c>
      <c r="K227" t="s">
        <v>380</v>
      </c>
      <c r="L227" t="s">
        <v>381</v>
      </c>
      <c r="M227" s="3" t="str">
        <f>HYPERLINK(СторонТрансп[[#This Row],[RelativePath]])</f>
        <v>5 Крыльцо общага\K07156189_22_20251111T094842Z.jpg</v>
      </c>
    </row>
    <row r="228" spans="1:13" x14ac:dyDescent="0.25">
      <c r="A228" t="s">
        <v>14</v>
      </c>
      <c r="B228" s="4">
        <v>45972</v>
      </c>
      <c r="C228" s="6">
        <v>0.4105787037037037</v>
      </c>
      <c r="D228" s="7" t="s">
        <v>289</v>
      </c>
      <c r="E228" t="s">
        <v>67</v>
      </c>
      <c r="F228" t="s">
        <v>468</v>
      </c>
      <c r="I228" t="s">
        <v>382</v>
      </c>
      <c r="J228" t="s">
        <v>2982</v>
      </c>
      <c r="K228" t="s">
        <v>383</v>
      </c>
      <c r="L228" t="s">
        <v>384</v>
      </c>
      <c r="M228" s="3" t="str">
        <f>HYPERLINK(СторонТрансп[[#This Row],[RelativePath]])</f>
        <v>5 Крыльцо общага\K07156189_22_20251111T095114Z.jpg</v>
      </c>
    </row>
    <row r="229" spans="1:13" x14ac:dyDescent="0.25">
      <c r="A229" t="s">
        <v>14</v>
      </c>
      <c r="B229" s="4">
        <v>45972</v>
      </c>
      <c r="C229" s="6">
        <v>0.41136574074074073</v>
      </c>
      <c r="D229" s="7" t="s">
        <v>289</v>
      </c>
      <c r="E229" t="s">
        <v>67</v>
      </c>
      <c r="F229" t="s">
        <v>468</v>
      </c>
      <c r="I229" t="s">
        <v>385</v>
      </c>
      <c r="J229" t="s">
        <v>2982</v>
      </c>
      <c r="K229" t="s">
        <v>386</v>
      </c>
      <c r="L229" t="s">
        <v>387</v>
      </c>
      <c r="M229" s="3" t="str">
        <f>HYPERLINK(СторонТрансп[[#This Row],[RelativePath]])</f>
        <v>5 Крыльцо общага\K07156189_22_20251111T095222Z.jpg</v>
      </c>
    </row>
    <row r="230" spans="1:13" x14ac:dyDescent="0.25">
      <c r="A230" t="s">
        <v>14</v>
      </c>
      <c r="B230" s="4">
        <v>45972</v>
      </c>
      <c r="C230" s="6">
        <v>0.41312500000000002</v>
      </c>
      <c r="D230" s="7" t="s">
        <v>289</v>
      </c>
      <c r="E230" t="s">
        <v>67</v>
      </c>
      <c r="F230" t="s">
        <v>468</v>
      </c>
      <c r="I230" t="s">
        <v>388</v>
      </c>
      <c r="J230" t="s">
        <v>2982</v>
      </c>
      <c r="K230" t="s">
        <v>389</v>
      </c>
      <c r="L230" t="s">
        <v>390</v>
      </c>
      <c r="M230" s="3" t="str">
        <f>HYPERLINK(СторонТрансп[[#This Row],[RelativePath]])</f>
        <v>5 Крыльцо общага\K07156189_22_20251111T095454Z.jpg</v>
      </c>
    </row>
    <row r="231" spans="1:13" x14ac:dyDescent="0.25">
      <c r="A231" t="s">
        <v>14</v>
      </c>
      <c r="B231" s="4">
        <v>45972</v>
      </c>
      <c r="C231" s="6">
        <v>0.41627314814814814</v>
      </c>
      <c r="D231" s="7" t="s">
        <v>289</v>
      </c>
      <c r="E231" t="s">
        <v>67</v>
      </c>
      <c r="F231" t="s">
        <v>468</v>
      </c>
      <c r="I231" t="s">
        <v>391</v>
      </c>
      <c r="J231" t="s">
        <v>2982</v>
      </c>
      <c r="K231" t="s">
        <v>392</v>
      </c>
      <c r="L231" t="s">
        <v>393</v>
      </c>
      <c r="M231" s="3" t="str">
        <f>HYPERLINK(СторонТрансп[[#This Row],[RelativePath]])</f>
        <v>5 Крыльцо общага\K07156189_22_20251111T095926Z.jpg</v>
      </c>
    </row>
    <row r="232" spans="1:13" x14ac:dyDescent="0.25">
      <c r="A232" t="s">
        <v>14</v>
      </c>
      <c r="B232" s="4">
        <v>45972</v>
      </c>
      <c r="C232" s="6">
        <v>0.4226273148148148</v>
      </c>
      <c r="D232" s="7" t="s">
        <v>289</v>
      </c>
      <c r="E232" t="s">
        <v>67</v>
      </c>
      <c r="F232" t="s">
        <v>468</v>
      </c>
      <c r="I232" t="s">
        <v>394</v>
      </c>
      <c r="J232" t="s">
        <v>2982</v>
      </c>
      <c r="K232" t="s">
        <v>395</v>
      </c>
      <c r="L232" t="s">
        <v>396</v>
      </c>
      <c r="M232" s="3" t="str">
        <f>HYPERLINK(СторонТрансп[[#This Row],[RelativePath]])</f>
        <v>5 Крыльцо общага\K07156189_22_20251111T100835Z.jpg</v>
      </c>
    </row>
    <row r="233" spans="1:13" x14ac:dyDescent="0.25">
      <c r="A233" t="s">
        <v>14</v>
      </c>
      <c r="B233" s="4">
        <v>45972</v>
      </c>
      <c r="C233" s="6">
        <v>0.42736111111111114</v>
      </c>
      <c r="D233" s="7" t="s">
        <v>289</v>
      </c>
      <c r="E233" t="s">
        <v>67</v>
      </c>
      <c r="F233" t="s">
        <v>468</v>
      </c>
      <c r="I233" t="s">
        <v>397</v>
      </c>
      <c r="J233" t="s">
        <v>2982</v>
      </c>
      <c r="K233" t="s">
        <v>398</v>
      </c>
      <c r="L233" t="s">
        <v>399</v>
      </c>
      <c r="M233" s="3" t="str">
        <f>HYPERLINK(СторонТрансп[[#This Row],[RelativePath]])</f>
        <v>5 Крыльцо общага\K07156189_22_20251111T101524Z.jpg</v>
      </c>
    </row>
    <row r="234" spans="1:13" x14ac:dyDescent="0.25">
      <c r="A234" t="s">
        <v>14</v>
      </c>
      <c r="B234" s="4">
        <v>45972</v>
      </c>
      <c r="C234" s="6">
        <v>0.42944444444444446</v>
      </c>
      <c r="D234" s="7" t="s">
        <v>289</v>
      </c>
      <c r="E234" t="s">
        <v>67</v>
      </c>
      <c r="F234" t="s">
        <v>468</v>
      </c>
      <c r="I234" t="s">
        <v>400</v>
      </c>
      <c r="J234" t="s">
        <v>2982</v>
      </c>
      <c r="K234" t="s">
        <v>401</v>
      </c>
      <c r="L234" t="s">
        <v>402</v>
      </c>
      <c r="M234" s="3" t="str">
        <f>HYPERLINK(СторонТрансп[[#This Row],[RelativePath]])</f>
        <v>5 Крыльцо общага\K07156189_22_20251111T101824Z.jpg</v>
      </c>
    </row>
    <row r="235" spans="1:13" x14ac:dyDescent="0.25">
      <c r="A235" t="s">
        <v>14</v>
      </c>
      <c r="B235" s="4">
        <v>45972</v>
      </c>
      <c r="C235" s="6">
        <v>0.4316550925925926</v>
      </c>
      <c r="D235" s="7" t="s">
        <v>289</v>
      </c>
      <c r="E235" t="s">
        <v>67</v>
      </c>
      <c r="F235" t="s">
        <v>468</v>
      </c>
      <c r="I235" t="s">
        <v>403</v>
      </c>
      <c r="J235" t="s">
        <v>2982</v>
      </c>
      <c r="K235" t="s">
        <v>404</v>
      </c>
      <c r="L235" t="s">
        <v>405</v>
      </c>
      <c r="M235" s="3" t="str">
        <f>HYPERLINK(СторонТрансп[[#This Row],[RelativePath]])</f>
        <v>5 Крыльцо общага\K07156189_22_20251111T102135Z.jpg</v>
      </c>
    </row>
    <row r="236" spans="1:13" x14ac:dyDescent="0.25">
      <c r="A236" t="s">
        <v>14</v>
      </c>
      <c r="B236" s="4">
        <v>45972</v>
      </c>
      <c r="C236" s="6">
        <v>0.43408564814814815</v>
      </c>
      <c r="D236" s="7" t="s">
        <v>289</v>
      </c>
      <c r="E236" t="s">
        <v>67</v>
      </c>
      <c r="F236" t="s">
        <v>468</v>
      </c>
      <c r="I236" t="s">
        <v>406</v>
      </c>
      <c r="J236" t="s">
        <v>2982</v>
      </c>
      <c r="K236" t="s">
        <v>407</v>
      </c>
      <c r="L236" t="s">
        <v>408</v>
      </c>
      <c r="M236" s="3" t="str">
        <f>HYPERLINK(СторонТрансп[[#This Row],[RelativePath]])</f>
        <v>5 Крыльцо общага\K07156189_22_20251111T102505Z.jpg</v>
      </c>
    </row>
    <row r="237" spans="1:13" x14ac:dyDescent="0.25">
      <c r="A237" t="s">
        <v>14</v>
      </c>
      <c r="B237" s="4">
        <v>45972</v>
      </c>
      <c r="C237" s="6">
        <v>0.43606481481481479</v>
      </c>
      <c r="D237" s="7" t="s">
        <v>289</v>
      </c>
      <c r="E237" t="s">
        <v>67</v>
      </c>
      <c r="F237" t="s">
        <v>469</v>
      </c>
      <c r="H237" t="s">
        <v>470</v>
      </c>
      <c r="I237" t="s">
        <v>409</v>
      </c>
      <c r="J237" t="s">
        <v>2982</v>
      </c>
      <c r="K237" t="s">
        <v>410</v>
      </c>
      <c r="L237" t="s">
        <v>411</v>
      </c>
      <c r="M237" s="3" t="str">
        <f>HYPERLINK(СторонТрансп[[#This Row],[RelativePath]])</f>
        <v>5 Крыльцо общага\K07156189_22_20251111T102756Z.jpg</v>
      </c>
    </row>
    <row r="238" spans="1:13" x14ac:dyDescent="0.25">
      <c r="A238" t="s">
        <v>14</v>
      </c>
      <c r="B238" s="4">
        <v>45972</v>
      </c>
      <c r="C238" s="6">
        <v>0.4387847222222222</v>
      </c>
      <c r="D238" s="7" t="s">
        <v>471</v>
      </c>
      <c r="E238" t="s">
        <v>67</v>
      </c>
      <c r="F238" t="s">
        <v>468</v>
      </c>
      <c r="I238" t="s">
        <v>412</v>
      </c>
      <c r="J238" t="s">
        <v>2982</v>
      </c>
      <c r="K238" t="s">
        <v>413</v>
      </c>
      <c r="L238" t="s">
        <v>414</v>
      </c>
      <c r="M238" s="3" t="str">
        <f>HYPERLINK(СторонТрансп[[#This Row],[RelativePath]])</f>
        <v>5 Крыльцо общага\K07156189_22_20251111T103151Z.jpg</v>
      </c>
    </row>
    <row r="239" spans="1:13" x14ac:dyDescent="0.25">
      <c r="A239" t="s">
        <v>14</v>
      </c>
      <c r="B239" s="4">
        <v>45972</v>
      </c>
      <c r="C239" s="6">
        <v>0.44353009259259257</v>
      </c>
      <c r="D239" s="7" t="s">
        <v>472</v>
      </c>
      <c r="E239" t="s">
        <v>67</v>
      </c>
      <c r="F239" t="s">
        <v>468</v>
      </c>
      <c r="I239" t="s">
        <v>415</v>
      </c>
      <c r="J239" t="s">
        <v>2982</v>
      </c>
      <c r="K239" t="s">
        <v>416</v>
      </c>
      <c r="L239" t="s">
        <v>417</v>
      </c>
      <c r="M239" s="3" t="str">
        <f>HYPERLINK(СторонТрансп[[#This Row],[RelativePath]])</f>
        <v>5 Крыльцо общага\K07156189_22_20251111T103841Z.jpg</v>
      </c>
    </row>
    <row r="240" spans="1:13" x14ac:dyDescent="0.25">
      <c r="A240" t="s">
        <v>15</v>
      </c>
      <c r="B240" s="4">
        <v>45973</v>
      </c>
      <c r="C240" s="6">
        <v>0.69714120370370369</v>
      </c>
      <c r="D240" s="7" t="s">
        <v>4</v>
      </c>
      <c r="E240" t="s">
        <v>477</v>
      </c>
      <c r="H240" t="s">
        <v>478</v>
      </c>
      <c r="I240" t="s">
        <v>427</v>
      </c>
      <c r="J240" t="s">
        <v>2982</v>
      </c>
      <c r="K240" t="s">
        <v>428</v>
      </c>
      <c r="L240" t="s">
        <v>429</v>
      </c>
      <c r="M240" s="3" t="str">
        <f>HYPERLINK(СторонТрансп[[#This Row],[RelativePath]])</f>
        <v>5 Крыльцо общага\K07156189_22_20251112T164353Z.jpg</v>
      </c>
    </row>
    <row r="241" spans="1:13" x14ac:dyDescent="0.25">
      <c r="A241" t="s">
        <v>22</v>
      </c>
      <c r="B241" s="4">
        <v>45998</v>
      </c>
      <c r="C241" s="6">
        <v>0.61542824074074076</v>
      </c>
      <c r="D241" s="7" t="s">
        <v>1606</v>
      </c>
      <c r="E241" t="s">
        <v>5263</v>
      </c>
      <c r="F241" t="s">
        <v>4233</v>
      </c>
      <c r="I241" t="s">
        <v>5148</v>
      </c>
      <c r="J241" t="s">
        <v>2982</v>
      </c>
      <c r="K241" t="s">
        <v>5149</v>
      </c>
      <c r="L241" t="s">
        <v>5150</v>
      </c>
      <c r="M241" s="3" t="str">
        <f>HYPERLINK(СторонТрансп[[#This Row],[RelativePath]])</f>
        <v>5 Крыльцо общага\K07156189_22_20251207T144613Z.jpg</v>
      </c>
    </row>
    <row r="242" spans="1:13" x14ac:dyDescent="0.25">
      <c r="A242" t="s">
        <v>22</v>
      </c>
      <c r="B242" s="4">
        <v>45998</v>
      </c>
      <c r="C242" s="6">
        <v>0.61756944444444439</v>
      </c>
      <c r="D242" s="7" t="s">
        <v>289</v>
      </c>
      <c r="E242" t="s">
        <v>5263</v>
      </c>
      <c r="F242" t="s">
        <v>5093</v>
      </c>
      <c r="I242" t="s">
        <v>5151</v>
      </c>
      <c r="J242" t="s">
        <v>2982</v>
      </c>
      <c r="K242" t="s">
        <v>5152</v>
      </c>
      <c r="L242" t="s">
        <v>5153</v>
      </c>
      <c r="M242" s="3" t="str">
        <f>HYPERLINK(СторонТрансп[[#This Row],[RelativePath]])</f>
        <v>5 Крыльцо общага\K07156189_22_20251207T144918Z.jpg</v>
      </c>
    </row>
    <row r="243" spans="1:13" x14ac:dyDescent="0.25">
      <c r="A243" t="s">
        <v>22</v>
      </c>
      <c r="B243" s="4">
        <v>45998</v>
      </c>
      <c r="C243" s="6">
        <v>0.62070601851851848</v>
      </c>
      <c r="D243" s="7" t="s">
        <v>289</v>
      </c>
      <c r="E243" t="s">
        <v>5263</v>
      </c>
      <c r="F243" t="s">
        <v>5093</v>
      </c>
      <c r="H243" t="s">
        <v>2936</v>
      </c>
      <c r="I243" t="s">
        <v>5154</v>
      </c>
      <c r="J243" t="s">
        <v>2982</v>
      </c>
      <c r="K243" t="s">
        <v>5155</v>
      </c>
      <c r="L243" t="s">
        <v>5156</v>
      </c>
      <c r="M243" s="3" t="str">
        <f>HYPERLINK(СторонТрансп[[#This Row],[RelativePath]])</f>
        <v>5 Крыльцо общага\K07156189_22_20251207T145349Z.jpg</v>
      </c>
    </row>
    <row r="244" spans="1:13" x14ac:dyDescent="0.25">
      <c r="A244" t="s">
        <v>22</v>
      </c>
      <c r="B244" s="4">
        <v>45998</v>
      </c>
      <c r="C244" s="6">
        <v>0.62306712962962962</v>
      </c>
      <c r="D244" s="7" t="s">
        <v>289</v>
      </c>
      <c r="E244" t="s">
        <v>5263</v>
      </c>
      <c r="F244" t="s">
        <v>5093</v>
      </c>
      <c r="H244" t="s">
        <v>2936</v>
      </c>
      <c r="I244" t="s">
        <v>5157</v>
      </c>
      <c r="J244" t="s">
        <v>2982</v>
      </c>
      <c r="K244" t="s">
        <v>5158</v>
      </c>
      <c r="L244" t="s">
        <v>5159</v>
      </c>
      <c r="M244" s="3" t="str">
        <f>HYPERLINK(СторонТрансп[[#This Row],[RelativePath]])</f>
        <v>5 Крыльцо общага\K07156189_22_20251207T145713Z.jpg</v>
      </c>
    </row>
    <row r="245" spans="1:13" x14ac:dyDescent="0.25">
      <c r="A245" t="s">
        <v>22</v>
      </c>
      <c r="B245" s="4">
        <v>45998</v>
      </c>
      <c r="C245" s="6">
        <v>0.62668981481481478</v>
      </c>
      <c r="D245" s="7" t="s">
        <v>289</v>
      </c>
      <c r="E245" t="s">
        <v>5263</v>
      </c>
      <c r="F245" t="s">
        <v>5093</v>
      </c>
      <c r="H245" t="s">
        <v>2936</v>
      </c>
      <c r="I245" t="s">
        <v>5160</v>
      </c>
      <c r="J245" t="s">
        <v>2982</v>
      </c>
      <c r="K245" t="s">
        <v>5161</v>
      </c>
      <c r="L245" t="s">
        <v>5162</v>
      </c>
      <c r="M245" s="3" t="str">
        <f>HYPERLINK(СторонТрансп[[#This Row],[RelativePath]])</f>
        <v>5 Крыльцо общага\K07156189_22_20251207T150226Z.jpg</v>
      </c>
    </row>
    <row r="246" spans="1:13" x14ac:dyDescent="0.25">
      <c r="A246" t="s">
        <v>22</v>
      </c>
      <c r="B246" s="4">
        <v>45998</v>
      </c>
      <c r="C246" s="6">
        <v>0.62921296296296292</v>
      </c>
      <c r="D246" s="7" t="s">
        <v>289</v>
      </c>
      <c r="E246" t="s">
        <v>5263</v>
      </c>
      <c r="F246" t="s">
        <v>5093</v>
      </c>
      <c r="H246" t="s">
        <v>2936</v>
      </c>
      <c r="I246" t="s">
        <v>5163</v>
      </c>
      <c r="J246" t="s">
        <v>2982</v>
      </c>
      <c r="K246" t="s">
        <v>5164</v>
      </c>
      <c r="L246" t="s">
        <v>5165</v>
      </c>
      <c r="M246" s="3" t="str">
        <f>HYPERLINK(СторонТрансп[[#This Row],[RelativePath]])</f>
        <v>5 Крыльцо общага\K07156189_22_20251207T150604Z.jpg</v>
      </c>
    </row>
    <row r="247" spans="1:13" x14ac:dyDescent="0.25">
      <c r="A247" t="s">
        <v>22</v>
      </c>
      <c r="B247" s="4">
        <v>45998</v>
      </c>
      <c r="C247" s="6">
        <v>0.63689814814814816</v>
      </c>
      <c r="D247" s="7" t="s">
        <v>289</v>
      </c>
      <c r="E247" t="s">
        <v>5263</v>
      </c>
      <c r="F247" t="s">
        <v>5093</v>
      </c>
      <c r="H247" t="s">
        <v>2936</v>
      </c>
      <c r="I247" t="s">
        <v>5166</v>
      </c>
      <c r="J247" t="s">
        <v>2982</v>
      </c>
      <c r="K247" t="s">
        <v>5167</v>
      </c>
      <c r="L247" t="s">
        <v>5168</v>
      </c>
      <c r="M247" s="3" t="str">
        <f>HYPERLINK(СторонТрансп[[#This Row],[RelativePath]])</f>
        <v>5 Крыльцо общага\K07156189_22_20251207T151708Z.jpg</v>
      </c>
    </row>
    <row r="248" spans="1:13" x14ac:dyDescent="0.25">
      <c r="A248" t="s">
        <v>22</v>
      </c>
      <c r="B248" s="4">
        <v>45998</v>
      </c>
      <c r="C248" s="6">
        <v>0.6521527777777778</v>
      </c>
      <c r="D248" s="7" t="s">
        <v>4232</v>
      </c>
      <c r="E248" t="s">
        <v>5263</v>
      </c>
      <c r="F248" t="s">
        <v>1609</v>
      </c>
      <c r="I248" t="s">
        <v>5169</v>
      </c>
      <c r="J248" t="s">
        <v>2982</v>
      </c>
      <c r="K248" t="s">
        <v>5170</v>
      </c>
      <c r="L248" t="s">
        <v>5171</v>
      </c>
      <c r="M248" s="3" t="str">
        <f>HYPERLINK(СторонТрансп[[#This Row],[RelativePath]])</f>
        <v>5 Крыльцо общага\K07156189_22_20251207T153906Z.jpg</v>
      </c>
    </row>
    <row r="249" spans="1:13" x14ac:dyDescent="0.25">
      <c r="A249" t="s">
        <v>22</v>
      </c>
      <c r="B249" s="4">
        <v>45998</v>
      </c>
      <c r="C249" s="6">
        <v>0.67266203703703709</v>
      </c>
      <c r="D249" s="7" t="s">
        <v>650</v>
      </c>
      <c r="E249" t="s">
        <v>5263</v>
      </c>
      <c r="F249" t="s">
        <v>1609</v>
      </c>
      <c r="I249" t="s">
        <v>5172</v>
      </c>
      <c r="J249" t="s">
        <v>2982</v>
      </c>
      <c r="K249" t="s">
        <v>5173</v>
      </c>
      <c r="L249" t="s">
        <v>5174</v>
      </c>
      <c r="M249" s="3" t="str">
        <f>HYPERLINK(СторонТрансп[[#This Row],[RelativePath]])</f>
        <v>5 Крыльцо общага\K07156189_22_20251207T160838Z.jpg</v>
      </c>
    </row>
    <row r="250" spans="1:13" x14ac:dyDescent="0.25">
      <c r="A250" t="s">
        <v>16</v>
      </c>
      <c r="B250" s="4">
        <v>46016</v>
      </c>
      <c r="C250" s="6">
        <v>0.51192129629629635</v>
      </c>
      <c r="D250" s="7" t="s">
        <v>4</v>
      </c>
      <c r="E250" t="s">
        <v>4193</v>
      </c>
      <c r="I250" t="s">
        <v>7673</v>
      </c>
      <c r="J250" t="s">
        <v>2982</v>
      </c>
      <c r="K250" t="s">
        <v>7674</v>
      </c>
      <c r="L250" t="s">
        <v>7675</v>
      </c>
      <c r="M250" s="3" t="str">
        <f>HYPERLINK(СторонТрансп[[#This Row],[RelativePath]])</f>
        <v>5 Крыльцо общага\K07156189_22_20251225T121710Z.jpg</v>
      </c>
    </row>
    <row r="251" spans="1:13" x14ac:dyDescent="0.25">
      <c r="A251" t="s">
        <v>18</v>
      </c>
      <c r="B251" s="4">
        <v>45990</v>
      </c>
      <c r="C251" s="6">
        <v>0.54023148148148148</v>
      </c>
      <c r="D251" s="7" t="s">
        <v>1606</v>
      </c>
      <c r="E251" t="s">
        <v>4194</v>
      </c>
      <c r="I251" t="s">
        <v>3561</v>
      </c>
      <c r="J251" t="s">
        <v>2984</v>
      </c>
      <c r="K251" t="s">
        <v>3562</v>
      </c>
      <c r="L251" t="s">
        <v>3563</v>
      </c>
      <c r="M251" s="3" t="str">
        <f>HYPERLINK(СторонТрансп[[#This Row],[RelativePath]])</f>
        <v>7 Площадка 2 бетонщики\K07156189_18_20251129T125756Z.jpg</v>
      </c>
    </row>
    <row r="252" spans="1:13" x14ac:dyDescent="0.25">
      <c r="A252" t="s">
        <v>18</v>
      </c>
      <c r="B252" s="4">
        <v>45990</v>
      </c>
      <c r="C252" s="6">
        <v>0.54586805555555551</v>
      </c>
      <c r="D252" s="7" t="s">
        <v>1606</v>
      </c>
      <c r="E252" t="s">
        <v>4217</v>
      </c>
      <c r="I252" t="s">
        <v>3564</v>
      </c>
      <c r="J252" t="s">
        <v>2984</v>
      </c>
      <c r="K252" t="s">
        <v>3565</v>
      </c>
      <c r="L252" t="s">
        <v>3566</v>
      </c>
      <c r="M252" s="3" t="str">
        <f>HYPERLINK(СторонТрансп[[#This Row],[RelativePath]])</f>
        <v>7 Площадка 2 бетонщики\K07156189_18_20251129T130603Z.jpg</v>
      </c>
    </row>
    <row r="253" spans="1:13" x14ac:dyDescent="0.25">
      <c r="A253" t="s">
        <v>18</v>
      </c>
      <c r="B253" s="4">
        <v>45990</v>
      </c>
      <c r="C253" s="6">
        <v>0.55248842592592595</v>
      </c>
      <c r="D253" s="7" t="s">
        <v>289</v>
      </c>
      <c r="E253" t="s">
        <v>4217</v>
      </c>
      <c r="F253" t="s">
        <v>4211</v>
      </c>
      <c r="I253" t="s">
        <v>3567</v>
      </c>
      <c r="J253" t="s">
        <v>2984</v>
      </c>
      <c r="K253" t="s">
        <v>3568</v>
      </c>
      <c r="L253" t="s">
        <v>3569</v>
      </c>
      <c r="M253" s="3" t="str">
        <f>HYPERLINK(СторонТрансп[[#This Row],[RelativePath]])</f>
        <v>7 Площадка 2 бетонщики\K07156189_18_20251129T131535Z.jpg</v>
      </c>
    </row>
    <row r="254" spans="1:13" x14ac:dyDescent="0.25">
      <c r="A254" t="s">
        <v>18</v>
      </c>
      <c r="B254" s="4">
        <v>45990</v>
      </c>
      <c r="C254" s="6">
        <v>0.55314814814814817</v>
      </c>
      <c r="D254" s="7" t="s">
        <v>289</v>
      </c>
      <c r="E254" t="s">
        <v>4217</v>
      </c>
      <c r="F254" t="s">
        <v>4211</v>
      </c>
      <c r="H254" t="s">
        <v>2936</v>
      </c>
      <c r="I254" t="s">
        <v>3570</v>
      </c>
      <c r="J254" t="s">
        <v>2984</v>
      </c>
      <c r="K254" t="s">
        <v>3571</v>
      </c>
      <c r="L254" t="s">
        <v>3572</v>
      </c>
      <c r="M254" s="3" t="str">
        <f>HYPERLINK(СторонТрансп[[#This Row],[RelativePath]])</f>
        <v>7 Площадка 2 бетонщики\K07156189_18_20251129T131632Z.jpg</v>
      </c>
    </row>
    <row r="255" spans="1:13" x14ac:dyDescent="0.25">
      <c r="A255" t="s">
        <v>18</v>
      </c>
      <c r="B255" s="4">
        <v>45990</v>
      </c>
      <c r="C255" s="6">
        <v>0.55888888888888888</v>
      </c>
      <c r="D255" s="7" t="s">
        <v>289</v>
      </c>
      <c r="E255" t="s">
        <v>4217</v>
      </c>
      <c r="F255" t="s">
        <v>4211</v>
      </c>
      <c r="H255" t="s">
        <v>2936</v>
      </c>
      <c r="I255" t="s">
        <v>3573</v>
      </c>
      <c r="J255" t="s">
        <v>2984</v>
      </c>
      <c r="K255" t="s">
        <v>3574</v>
      </c>
      <c r="L255" t="s">
        <v>3575</v>
      </c>
      <c r="M255" s="3" t="str">
        <f>HYPERLINK(СторонТрансп[[#This Row],[RelativePath]])</f>
        <v>7 Площадка 2 бетонщики\K07156189_18_20251129T132448Z.jpg</v>
      </c>
    </row>
    <row r="256" spans="1:13" x14ac:dyDescent="0.25">
      <c r="A256" t="s">
        <v>18</v>
      </c>
      <c r="B256" s="4">
        <v>45990</v>
      </c>
      <c r="C256" s="6">
        <v>0.5607523148148148</v>
      </c>
      <c r="D256" s="7" t="s">
        <v>289</v>
      </c>
      <c r="E256" t="s">
        <v>4217</v>
      </c>
      <c r="F256" t="s">
        <v>4211</v>
      </c>
      <c r="H256" t="s">
        <v>2936</v>
      </c>
      <c r="I256" t="s">
        <v>3576</v>
      </c>
      <c r="J256" t="s">
        <v>2984</v>
      </c>
      <c r="K256" t="s">
        <v>3577</v>
      </c>
      <c r="L256" t="s">
        <v>3578</v>
      </c>
      <c r="M256" s="3" t="str">
        <f>HYPERLINK(СторонТрансп[[#This Row],[RelativePath]])</f>
        <v>7 Площадка 2 бетонщики\K07156189_18_20251129T132729Z.jpg</v>
      </c>
    </row>
    <row r="257" spans="1:13" x14ac:dyDescent="0.25">
      <c r="A257" t="s">
        <v>18</v>
      </c>
      <c r="B257" s="4">
        <v>45990</v>
      </c>
      <c r="C257" s="6">
        <v>0.56593749999999998</v>
      </c>
      <c r="D257" s="7" t="s">
        <v>289</v>
      </c>
      <c r="E257" t="s">
        <v>4217</v>
      </c>
      <c r="F257" t="s">
        <v>4211</v>
      </c>
      <c r="H257" t="s">
        <v>2936</v>
      </c>
      <c r="I257" t="s">
        <v>3579</v>
      </c>
      <c r="J257" t="s">
        <v>2984</v>
      </c>
      <c r="K257" t="s">
        <v>3580</v>
      </c>
      <c r="L257" t="s">
        <v>3581</v>
      </c>
      <c r="M257" s="3" t="str">
        <f>HYPERLINK(СторонТрансп[[#This Row],[RelativePath]])</f>
        <v>7 Площадка 2 бетонщики\K07156189_18_20251129T133457Z.jpg</v>
      </c>
    </row>
    <row r="258" spans="1:13" x14ac:dyDescent="0.25">
      <c r="A258" t="s">
        <v>18</v>
      </c>
      <c r="B258" s="4">
        <v>45990</v>
      </c>
      <c r="C258" s="6">
        <v>0.56846064814814812</v>
      </c>
      <c r="D258" s="7" t="s">
        <v>289</v>
      </c>
      <c r="E258" t="s">
        <v>4217</v>
      </c>
      <c r="F258" t="s">
        <v>4211</v>
      </c>
      <c r="H258" t="s">
        <v>2936</v>
      </c>
      <c r="I258" t="s">
        <v>3582</v>
      </c>
      <c r="J258" t="s">
        <v>2984</v>
      </c>
      <c r="K258" t="s">
        <v>3583</v>
      </c>
      <c r="L258" t="s">
        <v>3584</v>
      </c>
      <c r="M258" s="3" t="str">
        <f>HYPERLINK(СторонТрансп[[#This Row],[RelativePath]])</f>
        <v>7 Площадка 2 бетонщики\K07156189_18_20251129T133835Z.jpg</v>
      </c>
    </row>
    <row r="259" spans="1:13" x14ac:dyDescent="0.25">
      <c r="A259" t="s">
        <v>18</v>
      </c>
      <c r="B259" s="4">
        <v>45990</v>
      </c>
      <c r="C259" s="6">
        <v>0.57168981481481485</v>
      </c>
      <c r="D259" s="7" t="s">
        <v>289</v>
      </c>
      <c r="E259" t="s">
        <v>4217</v>
      </c>
      <c r="F259" t="s">
        <v>4211</v>
      </c>
      <c r="H259" t="s">
        <v>2936</v>
      </c>
      <c r="I259" t="s">
        <v>3585</v>
      </c>
      <c r="J259" t="s">
        <v>2984</v>
      </c>
      <c r="K259" t="s">
        <v>3586</v>
      </c>
      <c r="L259" t="s">
        <v>3587</v>
      </c>
      <c r="M259" s="3" t="str">
        <f>HYPERLINK(СторонТрансп[[#This Row],[RelativePath]])</f>
        <v>7 Площадка 2 бетонщики\K07156189_18_20251129T134314Z.jpg</v>
      </c>
    </row>
    <row r="260" spans="1:13" x14ac:dyDescent="0.25">
      <c r="A260" t="s">
        <v>18</v>
      </c>
      <c r="B260" s="4">
        <v>45990</v>
      </c>
      <c r="C260" s="6">
        <v>0.57275462962962964</v>
      </c>
      <c r="D260" s="7" t="s">
        <v>289</v>
      </c>
      <c r="E260" t="s">
        <v>4217</v>
      </c>
      <c r="F260" t="s">
        <v>4211</v>
      </c>
      <c r="H260" t="s">
        <v>2936</v>
      </c>
      <c r="I260" t="s">
        <v>3588</v>
      </c>
      <c r="J260" t="s">
        <v>2984</v>
      </c>
      <c r="K260" t="s">
        <v>3589</v>
      </c>
      <c r="L260" t="s">
        <v>3590</v>
      </c>
      <c r="M260" s="3" t="str">
        <f>HYPERLINK(СторонТрансп[[#This Row],[RelativePath]])</f>
        <v>7 Площадка 2 бетонщики\K07156189_18_20251129T134446Z.jpg</v>
      </c>
    </row>
    <row r="261" spans="1:13" x14ac:dyDescent="0.25">
      <c r="A261" t="s">
        <v>18</v>
      </c>
      <c r="B261" s="4">
        <v>45990</v>
      </c>
      <c r="C261" s="6">
        <v>0.57449074074074069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3591</v>
      </c>
      <c r="J261" t="s">
        <v>2984</v>
      </c>
      <c r="K261" t="s">
        <v>3592</v>
      </c>
      <c r="L261" t="s">
        <v>3593</v>
      </c>
      <c r="M261" s="3" t="str">
        <f>HYPERLINK(СторонТрансп[[#This Row],[RelativePath]])</f>
        <v>7 Площадка 2 бетонщики\K07156189_18_20251129T134716Z.jpg</v>
      </c>
    </row>
    <row r="262" spans="1:13" x14ac:dyDescent="0.25">
      <c r="A262" t="s">
        <v>18</v>
      </c>
      <c r="B262" s="4">
        <v>45990</v>
      </c>
      <c r="C262" s="6">
        <v>0.57677083333333334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3594</v>
      </c>
      <c r="J262" t="s">
        <v>2984</v>
      </c>
      <c r="K262" t="s">
        <v>3595</v>
      </c>
      <c r="L262" t="s">
        <v>3596</v>
      </c>
      <c r="M262" s="3" t="str">
        <f>HYPERLINK(СторонТрансп[[#This Row],[RelativePath]])</f>
        <v>7 Площадка 2 бетонщики\K07156189_18_20251129T135033Z.jpg</v>
      </c>
    </row>
    <row r="263" spans="1:13" x14ac:dyDescent="0.25">
      <c r="A263" t="s">
        <v>18</v>
      </c>
      <c r="B263" s="4">
        <v>45990</v>
      </c>
      <c r="C263" s="6">
        <v>0.57995370370370369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3597</v>
      </c>
      <c r="J263" t="s">
        <v>2984</v>
      </c>
      <c r="K263" t="s">
        <v>3598</v>
      </c>
      <c r="L263" t="s">
        <v>3599</v>
      </c>
      <c r="M263" s="3" t="str">
        <f>HYPERLINK(СторонТрансп[[#This Row],[RelativePath]])</f>
        <v>7 Площадка 2 бетонщики\K07156189_18_20251129T135508Z.jpg</v>
      </c>
    </row>
    <row r="264" spans="1:13" x14ac:dyDescent="0.25">
      <c r="A264" t="s">
        <v>18</v>
      </c>
      <c r="B264" s="4">
        <v>45990</v>
      </c>
      <c r="C264" s="6">
        <v>0.58212962962962966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3600</v>
      </c>
      <c r="J264" t="s">
        <v>2984</v>
      </c>
      <c r="K264" t="s">
        <v>3601</v>
      </c>
      <c r="L264" t="s">
        <v>3602</v>
      </c>
      <c r="M264" s="3" t="str">
        <f>HYPERLINK(СторонТрансп[[#This Row],[RelativePath]])</f>
        <v>7 Площадка 2 бетонщики\K07156189_18_20251129T135816Z.jpg</v>
      </c>
    </row>
    <row r="265" spans="1:13" x14ac:dyDescent="0.25">
      <c r="A265" t="s">
        <v>18</v>
      </c>
      <c r="B265" s="4">
        <v>45990</v>
      </c>
      <c r="C265" s="6">
        <v>0.58278935185185188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3603</v>
      </c>
      <c r="J265" t="s">
        <v>2984</v>
      </c>
      <c r="K265" t="s">
        <v>3604</v>
      </c>
      <c r="L265" t="s">
        <v>3605</v>
      </c>
      <c r="M265" s="3" t="str">
        <f>HYPERLINK(СторонТрансп[[#This Row],[RelativePath]])</f>
        <v>7 Площадка 2 бетонщики\K07156189_18_20251129T135913Z.jpg</v>
      </c>
    </row>
    <row r="266" spans="1:13" x14ac:dyDescent="0.25">
      <c r="A266" t="s">
        <v>18</v>
      </c>
      <c r="B266" s="4">
        <v>45990</v>
      </c>
      <c r="C266" s="6">
        <v>0.58450231481481485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3606</v>
      </c>
      <c r="J266" t="s">
        <v>2984</v>
      </c>
      <c r="K266" t="s">
        <v>3607</v>
      </c>
      <c r="L266" t="s">
        <v>3608</v>
      </c>
      <c r="M266" s="3" t="str">
        <f>HYPERLINK(СторонТрансп[[#This Row],[RelativePath]])</f>
        <v>7 Площадка 2 бетонщики\K07156189_18_20251129T140141Z.jpg</v>
      </c>
    </row>
    <row r="267" spans="1:13" x14ac:dyDescent="0.25">
      <c r="A267" t="s">
        <v>18</v>
      </c>
      <c r="B267" s="4">
        <v>45990</v>
      </c>
      <c r="C267" s="6">
        <v>0.59234953703703708</v>
      </c>
      <c r="D267" s="7" t="s">
        <v>650</v>
      </c>
      <c r="E267" t="s">
        <v>4217</v>
      </c>
      <c r="F267" t="s">
        <v>4211</v>
      </c>
      <c r="H267" t="s">
        <v>4218</v>
      </c>
      <c r="I267" t="s">
        <v>3609</v>
      </c>
      <c r="J267" t="s">
        <v>2984</v>
      </c>
      <c r="K267" t="s">
        <v>3610</v>
      </c>
      <c r="L267" t="s">
        <v>3611</v>
      </c>
      <c r="M267" s="3" t="str">
        <f>HYPERLINK(СторонТрансп[[#This Row],[RelativePath]])</f>
        <v>7 Площадка 2 бетонщики\K07156189_18_20251129T141259Z.jpg</v>
      </c>
    </row>
    <row r="268" spans="1:13" x14ac:dyDescent="0.25">
      <c r="A268" t="s">
        <v>18</v>
      </c>
      <c r="B268" s="4">
        <v>45990</v>
      </c>
      <c r="C268" s="6">
        <v>0.61375000000000002</v>
      </c>
      <c r="D268" s="7" t="s">
        <v>289</v>
      </c>
      <c r="E268" t="s">
        <v>4194</v>
      </c>
      <c r="F268" t="s">
        <v>4211</v>
      </c>
      <c r="I268" t="s">
        <v>3612</v>
      </c>
      <c r="J268" t="s">
        <v>2984</v>
      </c>
      <c r="K268" t="s">
        <v>3613</v>
      </c>
      <c r="L268" t="s">
        <v>3614</v>
      </c>
      <c r="M268" s="3" t="str">
        <f>HYPERLINK(СторонТрансп[[#This Row],[RelativePath]])</f>
        <v>7 Площадка 2 бетонщики\K07156189_18_20251129T144348Z.jpg</v>
      </c>
    </row>
    <row r="269" spans="1:13" x14ac:dyDescent="0.25">
      <c r="A269" t="s">
        <v>18</v>
      </c>
      <c r="B269" s="4">
        <v>45990</v>
      </c>
      <c r="C269" s="6">
        <v>0.61790509259259263</v>
      </c>
      <c r="D269" s="7" t="s">
        <v>289</v>
      </c>
      <c r="E269" t="s">
        <v>4194</v>
      </c>
      <c r="F269" t="s">
        <v>4211</v>
      </c>
      <c r="H269" t="s">
        <v>2936</v>
      </c>
      <c r="I269" t="s">
        <v>3615</v>
      </c>
      <c r="J269" t="s">
        <v>2984</v>
      </c>
      <c r="K269" t="s">
        <v>3616</v>
      </c>
      <c r="L269" t="s">
        <v>3617</v>
      </c>
      <c r="M269" s="3" t="str">
        <f>HYPERLINK(СторонТрансп[[#This Row],[RelativePath]])</f>
        <v>7 Площадка 2 бетонщики\K07156189_18_20251129T144947Z.jpg</v>
      </c>
    </row>
    <row r="270" spans="1:13" x14ac:dyDescent="0.25">
      <c r="A270" t="s">
        <v>18</v>
      </c>
      <c r="B270" s="4">
        <v>45990</v>
      </c>
      <c r="C270" s="6">
        <v>0.61982638888888886</v>
      </c>
      <c r="D270" s="7" t="s">
        <v>289</v>
      </c>
      <c r="E270" t="s">
        <v>4194</v>
      </c>
      <c r="F270" t="s">
        <v>4211</v>
      </c>
      <c r="H270" t="s">
        <v>2936</v>
      </c>
      <c r="I270" t="s">
        <v>3618</v>
      </c>
      <c r="J270" t="s">
        <v>2984</v>
      </c>
      <c r="K270" t="s">
        <v>3619</v>
      </c>
      <c r="L270" t="s">
        <v>3620</v>
      </c>
      <c r="M270" s="3" t="str">
        <f>HYPERLINK(СторонТрансп[[#This Row],[RelativePath]])</f>
        <v>7 Площадка 2 бетонщики\K07156189_18_20251129T145233Z.jpg</v>
      </c>
    </row>
    <row r="271" spans="1:13" x14ac:dyDescent="0.25">
      <c r="A271" t="s">
        <v>18</v>
      </c>
      <c r="B271" s="4">
        <v>45990</v>
      </c>
      <c r="C271" s="6">
        <v>0.6216666666666667</v>
      </c>
      <c r="D271" s="7" t="s">
        <v>289</v>
      </c>
      <c r="E271" t="s">
        <v>4194</v>
      </c>
      <c r="F271" t="s">
        <v>4211</v>
      </c>
      <c r="H271" t="s">
        <v>2936</v>
      </c>
      <c r="I271" t="s">
        <v>3621</v>
      </c>
      <c r="J271" t="s">
        <v>2984</v>
      </c>
      <c r="K271" t="s">
        <v>3622</v>
      </c>
      <c r="L271" t="s">
        <v>3623</v>
      </c>
      <c r="M271" s="3" t="str">
        <f>HYPERLINK(СторонТрансп[[#This Row],[RelativePath]])</f>
        <v>7 Площадка 2 бетонщики\K07156189_18_20251129T145512Z.jpg</v>
      </c>
    </row>
    <row r="272" spans="1:13" x14ac:dyDescent="0.25">
      <c r="A272" t="s">
        <v>18</v>
      </c>
      <c r="B272" s="4">
        <v>45990</v>
      </c>
      <c r="C272" s="6">
        <v>0.62410879629629634</v>
      </c>
      <c r="D272" s="7" t="s">
        <v>289</v>
      </c>
      <c r="E272" t="s">
        <v>4194</v>
      </c>
      <c r="F272" t="s">
        <v>4211</v>
      </c>
      <c r="H272" t="s">
        <v>2936</v>
      </c>
      <c r="I272" t="s">
        <v>3624</v>
      </c>
      <c r="J272" t="s">
        <v>2984</v>
      </c>
      <c r="K272" t="s">
        <v>3625</v>
      </c>
      <c r="L272" t="s">
        <v>3626</v>
      </c>
      <c r="M272" s="3" t="str">
        <f>HYPERLINK(СторонТрансп[[#This Row],[RelativePath]])</f>
        <v>7 Площадка 2 бетонщики\K07156189_18_20251129T145843Z.jpg</v>
      </c>
    </row>
    <row r="273" spans="1:13" x14ac:dyDescent="0.25">
      <c r="A273" t="s">
        <v>18</v>
      </c>
      <c r="B273" s="4">
        <v>45990</v>
      </c>
      <c r="C273" s="6">
        <v>0.62604166666666672</v>
      </c>
      <c r="D273" s="7" t="s">
        <v>289</v>
      </c>
      <c r="E273" t="s">
        <v>4194</v>
      </c>
      <c r="F273" t="s">
        <v>4211</v>
      </c>
      <c r="H273" t="s">
        <v>2936</v>
      </c>
      <c r="I273" t="s">
        <v>3627</v>
      </c>
      <c r="J273" t="s">
        <v>2984</v>
      </c>
      <c r="K273" t="s">
        <v>3628</v>
      </c>
      <c r="L273" t="s">
        <v>3629</v>
      </c>
      <c r="M273" s="3" t="str">
        <f>HYPERLINK(СторонТрансп[[#This Row],[RelativePath]])</f>
        <v>7 Площадка 2 бетонщики\K07156189_18_20251129T150130Z.jpg</v>
      </c>
    </row>
    <row r="274" spans="1:13" x14ac:dyDescent="0.25">
      <c r="A274" t="s">
        <v>18</v>
      </c>
      <c r="B274" s="4">
        <v>45990</v>
      </c>
      <c r="C274" s="6">
        <v>0.63124999999999998</v>
      </c>
      <c r="D274" s="7" t="s">
        <v>289</v>
      </c>
      <c r="E274" t="s">
        <v>4194</v>
      </c>
      <c r="F274" t="s">
        <v>4211</v>
      </c>
      <c r="H274" t="s">
        <v>2936</v>
      </c>
      <c r="I274" t="s">
        <v>3630</v>
      </c>
      <c r="J274" t="s">
        <v>2984</v>
      </c>
      <c r="K274" t="s">
        <v>3631</v>
      </c>
      <c r="L274" t="s">
        <v>3632</v>
      </c>
      <c r="M274" s="3" t="str">
        <f>HYPERLINK(СторонТрансп[[#This Row],[RelativePath]])</f>
        <v>7 Площадка 2 бетонщики\K07156189_18_20251129T150900Z.jpg</v>
      </c>
    </row>
    <row r="275" spans="1:13" x14ac:dyDescent="0.25">
      <c r="A275" t="s">
        <v>18</v>
      </c>
      <c r="B275" s="4">
        <v>45990</v>
      </c>
      <c r="C275" s="6">
        <v>0.6338773148148148</v>
      </c>
      <c r="D275" s="7" t="s">
        <v>289</v>
      </c>
      <c r="E275" t="s">
        <v>4194</v>
      </c>
      <c r="F275" t="s">
        <v>4211</v>
      </c>
      <c r="H275" t="s">
        <v>2936</v>
      </c>
      <c r="I275" t="s">
        <v>3633</v>
      </c>
      <c r="J275" t="s">
        <v>2984</v>
      </c>
      <c r="K275" t="s">
        <v>3634</v>
      </c>
      <c r="L275" t="s">
        <v>3635</v>
      </c>
      <c r="M275" s="3" t="str">
        <f>HYPERLINK(СторонТрансп[[#This Row],[RelativePath]])</f>
        <v>7 Площадка 2 бетонщики\K07156189_18_20251129T151247Z.jpg</v>
      </c>
    </row>
    <row r="276" spans="1:13" x14ac:dyDescent="0.25">
      <c r="A276" t="s">
        <v>18</v>
      </c>
      <c r="B276" s="4">
        <v>45990</v>
      </c>
      <c r="C276" s="6">
        <v>0.63736111111111116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3636</v>
      </c>
      <c r="J276" t="s">
        <v>2984</v>
      </c>
      <c r="K276" t="s">
        <v>3637</v>
      </c>
      <c r="L276" t="s">
        <v>3638</v>
      </c>
      <c r="M276" s="3" t="str">
        <f>HYPERLINK(СторонТрансп[[#This Row],[RelativePath]])</f>
        <v>7 Площадка 2 бетонщики\K07156189_18_20251129T151748Z.jpg</v>
      </c>
    </row>
    <row r="277" spans="1:13" x14ac:dyDescent="0.25">
      <c r="A277" t="s">
        <v>18</v>
      </c>
      <c r="B277" s="4">
        <v>45990</v>
      </c>
      <c r="C277" s="6">
        <v>0.63914351851851847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3639</v>
      </c>
      <c r="J277" t="s">
        <v>2984</v>
      </c>
      <c r="K277" t="s">
        <v>3640</v>
      </c>
      <c r="L277" t="s">
        <v>3641</v>
      </c>
      <c r="M277" s="3" t="str">
        <f>HYPERLINK(СторонТрансп[[#This Row],[RelativePath]])</f>
        <v>7 Площадка 2 бетонщики\K07156189_18_20251129T152022Z.jpg</v>
      </c>
    </row>
    <row r="278" spans="1:13" x14ac:dyDescent="0.25">
      <c r="A278" t="s">
        <v>18</v>
      </c>
      <c r="B278" s="4">
        <v>45990</v>
      </c>
      <c r="C278" s="6">
        <v>0.64195601851851847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3642</v>
      </c>
      <c r="J278" t="s">
        <v>2984</v>
      </c>
      <c r="K278" t="s">
        <v>3643</v>
      </c>
      <c r="L278" t="s">
        <v>3644</v>
      </c>
      <c r="M278" s="3" t="str">
        <f>HYPERLINK(СторонТрансп[[#This Row],[RelativePath]])</f>
        <v>7 Площадка 2 бетонщики\K07156189_18_20251129T152425Z.jpg</v>
      </c>
    </row>
    <row r="279" spans="1:13" x14ac:dyDescent="0.25">
      <c r="A279" t="s">
        <v>18</v>
      </c>
      <c r="B279" s="4">
        <v>45990</v>
      </c>
      <c r="C279" s="6">
        <v>0.64386574074074077</v>
      </c>
      <c r="D279" s="7" t="s">
        <v>289</v>
      </c>
      <c r="E279" t="s">
        <v>4194</v>
      </c>
      <c r="F279" t="s">
        <v>87</v>
      </c>
      <c r="I279" t="s">
        <v>3645</v>
      </c>
      <c r="J279" t="s">
        <v>2984</v>
      </c>
      <c r="K279" t="s">
        <v>3646</v>
      </c>
      <c r="L279" t="s">
        <v>3647</v>
      </c>
      <c r="M279" s="3" t="str">
        <f>HYPERLINK(СторонТрансп[[#This Row],[RelativePath]])</f>
        <v>7 Площадка 2 бетонщики\K07156189_18_20251129T152710Z.jpg</v>
      </c>
    </row>
    <row r="280" spans="1:13" x14ac:dyDescent="0.25">
      <c r="A280" t="s">
        <v>18</v>
      </c>
      <c r="B280" s="4">
        <v>45990</v>
      </c>
      <c r="C280" s="6">
        <v>0.64961805555555552</v>
      </c>
      <c r="D280" s="7" t="s">
        <v>1606</v>
      </c>
      <c r="E280" t="s">
        <v>4195</v>
      </c>
      <c r="I280" t="s">
        <v>3648</v>
      </c>
      <c r="J280" t="s">
        <v>2984</v>
      </c>
      <c r="K280" t="s">
        <v>3649</v>
      </c>
      <c r="L280" t="s">
        <v>3377</v>
      </c>
      <c r="M280" s="3" t="str">
        <f>HYPERLINK(СторонТрансп[[#This Row],[RelativePath]])</f>
        <v>7 Площадка 2 бетонщики\K07156189_18_20251129T153527Z.jpg</v>
      </c>
    </row>
    <row r="281" spans="1:13" x14ac:dyDescent="0.25">
      <c r="A281" t="s">
        <v>18</v>
      </c>
      <c r="B281" s="4">
        <v>45990</v>
      </c>
      <c r="C281" s="6">
        <v>0.64981481481481485</v>
      </c>
      <c r="D281" s="7" t="s">
        <v>1606</v>
      </c>
      <c r="E281" t="s">
        <v>4195</v>
      </c>
      <c r="H281" t="s">
        <v>2936</v>
      </c>
      <c r="I281" t="s">
        <v>3650</v>
      </c>
      <c r="J281" t="s">
        <v>2984</v>
      </c>
      <c r="K281" t="s">
        <v>3651</v>
      </c>
      <c r="L281" t="s">
        <v>3652</v>
      </c>
      <c r="M281" s="3" t="str">
        <f>HYPERLINK(СторонТрансп[[#This Row],[RelativePath]])</f>
        <v>7 Площадка 2 бетонщики\K07156189_18_20251129T153544Z.jpg</v>
      </c>
    </row>
    <row r="282" spans="1:13" x14ac:dyDescent="0.25">
      <c r="A282" t="s">
        <v>18</v>
      </c>
      <c r="B282" s="4">
        <v>45990</v>
      </c>
      <c r="C282" s="6">
        <v>0.65312499999999996</v>
      </c>
      <c r="D282" s="7" t="s">
        <v>289</v>
      </c>
      <c r="E282" t="s">
        <v>4195</v>
      </c>
      <c r="F282" t="s">
        <v>4211</v>
      </c>
      <c r="I282" t="s">
        <v>3653</v>
      </c>
      <c r="J282" t="s">
        <v>2984</v>
      </c>
      <c r="K282" t="s">
        <v>3654</v>
      </c>
      <c r="L282" t="s">
        <v>3655</v>
      </c>
      <c r="M282" s="3" t="str">
        <f>HYPERLINK(СторонТрансп[[#This Row],[RelativePath]])</f>
        <v>7 Площадка 2 бетонщики\K07156189_18_20251129T154030Z.jpg</v>
      </c>
    </row>
    <row r="283" spans="1:13" x14ac:dyDescent="0.25">
      <c r="A283" t="s">
        <v>18</v>
      </c>
      <c r="B283" s="4">
        <v>45990</v>
      </c>
      <c r="C283" s="6">
        <v>0.65543981481481484</v>
      </c>
      <c r="D283" s="7" t="s">
        <v>289</v>
      </c>
      <c r="E283" t="s">
        <v>4195</v>
      </c>
      <c r="F283" t="s">
        <v>4211</v>
      </c>
      <c r="H283" t="s">
        <v>2936</v>
      </c>
      <c r="I283" t="s">
        <v>3656</v>
      </c>
      <c r="J283" t="s">
        <v>2984</v>
      </c>
      <c r="K283" t="s">
        <v>3657</v>
      </c>
      <c r="L283" t="s">
        <v>3658</v>
      </c>
      <c r="M283" s="3" t="str">
        <f>HYPERLINK(СторонТрансп[[#This Row],[RelativePath]])</f>
        <v>7 Площадка 2 бетонщики\K07156189_18_20251129T154350Z.jpg</v>
      </c>
    </row>
    <row r="284" spans="1:13" x14ac:dyDescent="0.25">
      <c r="A284" t="s">
        <v>18</v>
      </c>
      <c r="B284" s="4">
        <v>45990</v>
      </c>
      <c r="C284" s="6">
        <v>0.65699074074074071</v>
      </c>
      <c r="D284" s="7" t="s">
        <v>289</v>
      </c>
      <c r="E284" t="s">
        <v>4195</v>
      </c>
      <c r="F284" t="s">
        <v>4211</v>
      </c>
      <c r="H284" t="s">
        <v>2936</v>
      </c>
      <c r="I284" t="s">
        <v>3659</v>
      </c>
      <c r="J284" t="s">
        <v>2984</v>
      </c>
      <c r="K284" t="s">
        <v>3660</v>
      </c>
      <c r="L284" t="s">
        <v>3661</v>
      </c>
      <c r="M284" s="3" t="str">
        <f>HYPERLINK(СторонТрансп[[#This Row],[RelativePath]])</f>
        <v>7 Площадка 2 бетонщики\K07156189_18_20251129T154604Z.jpg</v>
      </c>
    </row>
    <row r="285" spans="1:13" x14ac:dyDescent="0.25">
      <c r="A285" t="s">
        <v>18</v>
      </c>
      <c r="B285" s="4">
        <v>45990</v>
      </c>
      <c r="C285" s="6">
        <v>0.65927083333333336</v>
      </c>
      <c r="D285" s="7" t="s">
        <v>289</v>
      </c>
      <c r="E285" t="s">
        <v>4195</v>
      </c>
      <c r="F285" t="s">
        <v>4211</v>
      </c>
      <c r="H285" t="s">
        <v>2936</v>
      </c>
      <c r="I285" t="s">
        <v>3662</v>
      </c>
      <c r="J285" t="s">
        <v>2984</v>
      </c>
      <c r="K285" t="s">
        <v>3663</v>
      </c>
      <c r="L285" t="s">
        <v>3664</v>
      </c>
      <c r="M285" s="3" t="str">
        <f>HYPERLINK(СторонТрансп[[#This Row],[RelativePath]])</f>
        <v>7 Площадка 2 бетонщики\K07156189_18_20251129T154921Z.jpg</v>
      </c>
    </row>
    <row r="286" spans="1:13" x14ac:dyDescent="0.25">
      <c r="A286" t="s">
        <v>18</v>
      </c>
      <c r="B286" s="4">
        <v>45990</v>
      </c>
      <c r="C286" s="6">
        <v>0.66106481481481483</v>
      </c>
      <c r="D286" s="7" t="s">
        <v>289</v>
      </c>
      <c r="E286" t="s">
        <v>4195</v>
      </c>
      <c r="F286" t="s">
        <v>4211</v>
      </c>
      <c r="H286" t="s">
        <v>2936</v>
      </c>
      <c r="I286" t="s">
        <v>3665</v>
      </c>
      <c r="J286" t="s">
        <v>2984</v>
      </c>
      <c r="K286" t="s">
        <v>3666</v>
      </c>
      <c r="L286" t="s">
        <v>3667</v>
      </c>
      <c r="M286" s="3" t="str">
        <f>HYPERLINK(СторонТрансп[[#This Row],[RelativePath]])</f>
        <v>7 Площадка 2 бетонщики\K07156189_18_20251129T155156Z.jpg</v>
      </c>
    </row>
    <row r="287" spans="1:13" x14ac:dyDescent="0.25">
      <c r="A287" t="s">
        <v>18</v>
      </c>
      <c r="B287" s="4">
        <v>45990</v>
      </c>
      <c r="C287" s="6">
        <v>0.66378472222222218</v>
      </c>
      <c r="D287" s="7" t="s">
        <v>289</v>
      </c>
      <c r="E287" t="s">
        <v>4195</v>
      </c>
      <c r="F287" t="s">
        <v>4211</v>
      </c>
      <c r="H287" t="s">
        <v>2936</v>
      </c>
      <c r="I287" t="s">
        <v>3668</v>
      </c>
      <c r="J287" t="s">
        <v>2984</v>
      </c>
      <c r="K287" t="s">
        <v>3669</v>
      </c>
      <c r="L287" t="s">
        <v>3670</v>
      </c>
      <c r="M287" s="3" t="str">
        <f>HYPERLINK(СторонТрансп[[#This Row],[RelativePath]])</f>
        <v>7 Площадка 2 бетонщики\K07156189_18_20251129T155551Z.jpg</v>
      </c>
    </row>
    <row r="288" spans="1:13" x14ac:dyDescent="0.25">
      <c r="A288" t="s">
        <v>18</v>
      </c>
      <c r="B288" s="4">
        <v>45990</v>
      </c>
      <c r="C288" s="6">
        <v>0.66733796296296299</v>
      </c>
      <c r="D288" s="7" t="s">
        <v>289</v>
      </c>
      <c r="E288" t="s">
        <v>4195</v>
      </c>
      <c r="F288" t="s">
        <v>4211</v>
      </c>
      <c r="H288" t="s">
        <v>2936</v>
      </c>
      <c r="I288" t="s">
        <v>3671</v>
      </c>
      <c r="J288" t="s">
        <v>2984</v>
      </c>
      <c r="K288" t="s">
        <v>3672</v>
      </c>
      <c r="L288" t="s">
        <v>3673</v>
      </c>
      <c r="M288" s="3" t="str">
        <f>HYPERLINK(СторонТрансп[[#This Row],[RelativePath]])</f>
        <v>7 Площадка 2 бетонщики\K07156189_18_20251129T160058Z.jpg</v>
      </c>
    </row>
    <row r="289" spans="1:13" x14ac:dyDescent="0.25">
      <c r="A289" t="s">
        <v>18</v>
      </c>
      <c r="B289" s="4">
        <v>45990</v>
      </c>
      <c r="C289" s="6">
        <v>0.66971064814814818</v>
      </c>
      <c r="D289" s="7" t="s">
        <v>289</v>
      </c>
      <c r="E289" t="s">
        <v>4195</v>
      </c>
      <c r="F289" t="s">
        <v>4211</v>
      </c>
      <c r="H289" t="s">
        <v>2936</v>
      </c>
      <c r="I289" t="s">
        <v>3674</v>
      </c>
      <c r="J289" t="s">
        <v>2984</v>
      </c>
      <c r="K289" t="s">
        <v>3675</v>
      </c>
      <c r="L289" t="s">
        <v>3676</v>
      </c>
      <c r="M289" s="3" t="str">
        <f>HYPERLINK(СторонТрансп[[#This Row],[RelativePath]])</f>
        <v>7 Площадка 2 бетонщики\K07156189_18_20251129T160423Z.jpg</v>
      </c>
    </row>
    <row r="290" spans="1:13" x14ac:dyDescent="0.25">
      <c r="A290" t="s">
        <v>18</v>
      </c>
      <c r="B290" s="4">
        <v>45990</v>
      </c>
      <c r="C290" s="6">
        <v>0.67155092592592591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3677</v>
      </c>
      <c r="J290" t="s">
        <v>2984</v>
      </c>
      <c r="K290" t="s">
        <v>3678</v>
      </c>
      <c r="L290" t="s">
        <v>3679</v>
      </c>
      <c r="M290" s="3" t="str">
        <f>HYPERLINK(СторонТрансп[[#This Row],[RelativePath]])</f>
        <v>7 Площадка 2 бетонщики\K07156189_18_20251129T160702Z.jpg</v>
      </c>
    </row>
    <row r="291" spans="1:13" x14ac:dyDescent="0.25">
      <c r="A291" t="s">
        <v>18</v>
      </c>
      <c r="B291" s="4">
        <v>45990</v>
      </c>
      <c r="C291" s="6">
        <v>0.67405092592592597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3680</v>
      </c>
      <c r="J291" t="s">
        <v>2984</v>
      </c>
      <c r="K291" t="s">
        <v>3681</v>
      </c>
      <c r="L291" t="s">
        <v>3682</v>
      </c>
      <c r="M291" s="3" t="str">
        <f>HYPERLINK(СторонТрансп[[#This Row],[RelativePath]])</f>
        <v>7 Площадка 2 бетонщики\K07156189_18_20251129T161038Z.jpg</v>
      </c>
    </row>
    <row r="292" spans="1:13" x14ac:dyDescent="0.25">
      <c r="A292" t="s">
        <v>18</v>
      </c>
      <c r="B292" s="4">
        <v>45990</v>
      </c>
      <c r="C292" s="6">
        <v>0.67570601851851853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3683</v>
      </c>
      <c r="J292" t="s">
        <v>2984</v>
      </c>
      <c r="K292" t="s">
        <v>3684</v>
      </c>
      <c r="L292" t="s">
        <v>3685</v>
      </c>
      <c r="M292" s="3" t="str">
        <f>HYPERLINK(СторонТрансп[[#This Row],[RelativePath]])</f>
        <v>7 Площадка 2 бетонщики\K07156189_18_20251129T161301Z.jpg</v>
      </c>
    </row>
    <row r="293" spans="1:13" x14ac:dyDescent="0.25">
      <c r="A293" t="s">
        <v>18</v>
      </c>
      <c r="B293" s="4">
        <v>45990</v>
      </c>
      <c r="C293" s="6">
        <v>0.67623842592592598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3686</v>
      </c>
      <c r="J293" t="s">
        <v>2984</v>
      </c>
      <c r="K293" t="s">
        <v>3687</v>
      </c>
      <c r="L293" t="s">
        <v>3688</v>
      </c>
      <c r="M293" s="3" t="str">
        <f>HYPERLINK(СторонТрансп[[#This Row],[RelativePath]])</f>
        <v>7 Площадка 2 бетонщики\K07156189_18_20251129T161347Z.jpg</v>
      </c>
    </row>
    <row r="294" spans="1:13" x14ac:dyDescent="0.25">
      <c r="A294" t="s">
        <v>18</v>
      </c>
      <c r="B294" s="4">
        <v>45990</v>
      </c>
      <c r="C294" s="6">
        <v>0.67753472222222222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3689</v>
      </c>
      <c r="J294" t="s">
        <v>2984</v>
      </c>
      <c r="K294" t="s">
        <v>3690</v>
      </c>
      <c r="L294" t="s">
        <v>3691</v>
      </c>
      <c r="M294" s="3" t="str">
        <f>HYPERLINK(СторонТрансп[[#This Row],[RelativePath]])</f>
        <v>7 Площадка 2 бетонщики\K07156189_18_20251129T161539Z.jpg</v>
      </c>
    </row>
    <row r="295" spans="1:13" x14ac:dyDescent="0.25">
      <c r="A295" t="s">
        <v>18</v>
      </c>
      <c r="B295" s="4">
        <v>45990</v>
      </c>
      <c r="C295" s="6">
        <v>0.68038194444444444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3692</v>
      </c>
      <c r="J295" t="s">
        <v>2984</v>
      </c>
      <c r="K295" t="s">
        <v>3693</v>
      </c>
      <c r="L295" t="s">
        <v>3694</v>
      </c>
      <c r="M295" s="3" t="str">
        <f>HYPERLINK(СторонТрансп[[#This Row],[RelativePath]])</f>
        <v>7 Площадка 2 бетонщики\K07156189_18_20251129T161945Z.jpg</v>
      </c>
    </row>
    <row r="296" spans="1:13" x14ac:dyDescent="0.25">
      <c r="A296" t="s">
        <v>18</v>
      </c>
      <c r="B296" s="4">
        <v>45990</v>
      </c>
      <c r="C296" s="6">
        <v>0.68329861111111112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3695</v>
      </c>
      <c r="J296" t="s">
        <v>2984</v>
      </c>
      <c r="K296" t="s">
        <v>3696</v>
      </c>
      <c r="L296" t="s">
        <v>3697</v>
      </c>
      <c r="M296" s="3" t="str">
        <f>HYPERLINK(СторонТрансп[[#This Row],[RelativePath]])</f>
        <v>7 Площадка 2 бетонщики\K07156189_18_20251129T162357Z.jpg</v>
      </c>
    </row>
    <row r="297" spans="1:13" x14ac:dyDescent="0.25">
      <c r="A297" t="s">
        <v>18</v>
      </c>
      <c r="B297" s="4">
        <v>45990</v>
      </c>
      <c r="C297" s="6">
        <v>0.68376157407407412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3698</v>
      </c>
      <c r="J297" t="s">
        <v>2984</v>
      </c>
      <c r="K297" t="s">
        <v>3699</v>
      </c>
      <c r="L297" t="s">
        <v>3700</v>
      </c>
      <c r="M297" s="3" t="str">
        <f>HYPERLINK(СторонТрансп[[#This Row],[RelativePath]])</f>
        <v>7 Площадка 2 бетонщики\K07156189_18_20251129T162437Z.jpg</v>
      </c>
    </row>
    <row r="298" spans="1:13" x14ac:dyDescent="0.25">
      <c r="A298" t="s">
        <v>18</v>
      </c>
      <c r="B298" s="4">
        <v>45990</v>
      </c>
      <c r="C298" s="6">
        <v>0.68625000000000003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3701</v>
      </c>
      <c r="J298" t="s">
        <v>2984</v>
      </c>
      <c r="K298" t="s">
        <v>3702</v>
      </c>
      <c r="L298" t="s">
        <v>3703</v>
      </c>
      <c r="M298" s="3" t="str">
        <f>HYPERLINK(СторонТрансп[[#This Row],[RelativePath]])</f>
        <v>7 Площадка 2 бетонщики\K07156189_18_20251129T162812Z.jpg</v>
      </c>
    </row>
    <row r="299" spans="1:13" x14ac:dyDescent="0.25">
      <c r="A299" t="s">
        <v>18</v>
      </c>
      <c r="B299" s="4">
        <v>45990</v>
      </c>
      <c r="C299" s="6">
        <v>0.68951388888888887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3704</v>
      </c>
      <c r="J299" t="s">
        <v>2984</v>
      </c>
      <c r="K299" t="s">
        <v>3705</v>
      </c>
      <c r="L299" t="s">
        <v>3706</v>
      </c>
      <c r="M299" s="3" t="str">
        <f>HYPERLINK(СторонТрансп[[#This Row],[RelativePath]])</f>
        <v>7 Площадка 2 бетонщики\K07156189_18_20251129T163254Z.jpg</v>
      </c>
    </row>
    <row r="300" spans="1:13" x14ac:dyDescent="0.25">
      <c r="A300" t="s">
        <v>18</v>
      </c>
      <c r="B300" s="4">
        <v>45990</v>
      </c>
      <c r="C300" s="6">
        <v>0.6917592592592593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3707</v>
      </c>
      <c r="J300" t="s">
        <v>2984</v>
      </c>
      <c r="K300" t="s">
        <v>3708</v>
      </c>
      <c r="L300" t="s">
        <v>3709</v>
      </c>
      <c r="M300" s="3" t="str">
        <f>HYPERLINK(СторонТрансп[[#This Row],[RelativePath]])</f>
        <v>7 Площадка 2 бетонщики\K07156189_18_20251129T163608Z.jpg</v>
      </c>
    </row>
    <row r="301" spans="1:13" x14ac:dyDescent="0.25">
      <c r="A301" t="s">
        <v>18</v>
      </c>
      <c r="B301" s="4">
        <v>45990</v>
      </c>
      <c r="C301" s="6">
        <v>0.69224537037037037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3710</v>
      </c>
      <c r="J301" t="s">
        <v>2984</v>
      </c>
      <c r="K301" t="s">
        <v>3711</v>
      </c>
      <c r="L301" t="s">
        <v>3712</v>
      </c>
      <c r="M301" s="3" t="str">
        <f>HYPERLINK(СторонТрансп[[#This Row],[RelativePath]])</f>
        <v>7 Площадка 2 бетонщики\K07156189_18_20251129T163650Z.jpg</v>
      </c>
    </row>
    <row r="302" spans="1:13" x14ac:dyDescent="0.25">
      <c r="A302" t="s">
        <v>18</v>
      </c>
      <c r="B302" s="4">
        <v>45990</v>
      </c>
      <c r="C302" s="6">
        <v>0.703587962962963</v>
      </c>
      <c r="D302" s="7" t="s">
        <v>471</v>
      </c>
      <c r="E302" t="s">
        <v>4195</v>
      </c>
      <c r="I302" t="s">
        <v>3713</v>
      </c>
      <c r="J302" t="s">
        <v>2984</v>
      </c>
      <c r="K302" t="s">
        <v>3714</v>
      </c>
      <c r="L302" t="s">
        <v>3715</v>
      </c>
      <c r="M302" s="3" t="str">
        <f>HYPERLINK(СторонТрансп[[#This Row],[RelativePath]])</f>
        <v>7 Площадка 2 бетонщики\K07156189_18_20251129T165310Z.jpg</v>
      </c>
    </row>
    <row r="303" spans="1:13" x14ac:dyDescent="0.25">
      <c r="A303" t="s">
        <v>18</v>
      </c>
      <c r="B303" s="4">
        <v>45990</v>
      </c>
      <c r="C303" s="6">
        <v>0.71069444444444441</v>
      </c>
      <c r="D303" s="7" t="s">
        <v>650</v>
      </c>
      <c r="E303" t="s">
        <v>4195</v>
      </c>
      <c r="F303" t="s">
        <v>4211</v>
      </c>
      <c r="H303" t="s">
        <v>4219</v>
      </c>
      <c r="I303" t="s">
        <v>3716</v>
      </c>
      <c r="J303" t="s">
        <v>2984</v>
      </c>
      <c r="K303" t="s">
        <v>3717</v>
      </c>
      <c r="L303" t="s">
        <v>3467</v>
      </c>
      <c r="M303" s="3" t="str">
        <f>HYPERLINK(СторонТрансп[[#This Row],[RelativePath]])</f>
        <v>7 Площадка 2 бетонщики\K07156189_18_20251129T170324Z.jpg</v>
      </c>
    </row>
    <row r="304" spans="1:13" x14ac:dyDescent="0.25">
      <c r="A304" t="s">
        <v>14</v>
      </c>
      <c r="B304" s="4">
        <v>45972</v>
      </c>
      <c r="C304" s="6">
        <v>0.46350694444444446</v>
      </c>
      <c r="D304" s="7" t="s">
        <v>1606</v>
      </c>
      <c r="E304" t="s">
        <v>63</v>
      </c>
      <c r="F304" t="s">
        <v>51</v>
      </c>
      <c r="I304" t="s">
        <v>1453</v>
      </c>
      <c r="J304" t="s">
        <v>2985</v>
      </c>
      <c r="K304" t="s">
        <v>1454</v>
      </c>
      <c r="L304" t="s">
        <v>1455</v>
      </c>
      <c r="M304" s="3" t="str">
        <f>HYPERLINK(СторонТрансп[[#This Row],[RelativePath]])</f>
        <v>10 Сушилка навес\E33149364_3_20251111T110727Z.jpg</v>
      </c>
    </row>
    <row r="305" spans="1:13" x14ac:dyDescent="0.25">
      <c r="A305" t="s">
        <v>14</v>
      </c>
      <c r="B305" s="4">
        <v>45972</v>
      </c>
      <c r="C305" s="6">
        <v>0.46743055555555557</v>
      </c>
      <c r="D305" s="7" t="s">
        <v>289</v>
      </c>
      <c r="E305" t="s">
        <v>63</v>
      </c>
      <c r="F305" t="s">
        <v>58</v>
      </c>
      <c r="H305" t="s">
        <v>1620</v>
      </c>
      <c r="I305" t="s">
        <v>1456</v>
      </c>
      <c r="J305" t="s">
        <v>2985</v>
      </c>
      <c r="K305" t="s">
        <v>1457</v>
      </c>
      <c r="L305" t="s">
        <v>1458</v>
      </c>
      <c r="M305" s="3" t="str">
        <f>HYPERLINK(СторонТрансп[[#This Row],[RelativePath]])</f>
        <v>10 Сушилка навес\E33149364_3_20251111T111306Z.jpg</v>
      </c>
    </row>
    <row r="306" spans="1:13" x14ac:dyDescent="0.25">
      <c r="A306" t="s">
        <v>14</v>
      </c>
      <c r="B306" s="4">
        <v>45972</v>
      </c>
      <c r="C306" s="6">
        <v>0.47805555555555557</v>
      </c>
      <c r="D306" s="7" t="s">
        <v>1999</v>
      </c>
      <c r="E306" t="s">
        <v>63</v>
      </c>
      <c r="F306" t="s">
        <v>58</v>
      </c>
      <c r="H306" t="s">
        <v>1620</v>
      </c>
      <c r="I306" t="s">
        <v>1459</v>
      </c>
      <c r="J306" t="s">
        <v>2985</v>
      </c>
      <c r="K306" t="s">
        <v>1460</v>
      </c>
      <c r="L306" t="s">
        <v>1461</v>
      </c>
      <c r="M306" s="3" t="str">
        <f>HYPERLINK(СторонТрансп[[#This Row],[RelativePath]])</f>
        <v>10 Сушилка навес\E33149364_3_20251111T112824Z.jpg</v>
      </c>
    </row>
    <row r="307" spans="1:13" x14ac:dyDescent="0.25">
      <c r="A307" t="s">
        <v>14</v>
      </c>
      <c r="B307" s="4">
        <v>45972</v>
      </c>
      <c r="C307" s="6">
        <v>0.48200231481481481</v>
      </c>
      <c r="D307" s="7" t="s">
        <v>1999</v>
      </c>
      <c r="E307" t="s">
        <v>63</v>
      </c>
      <c r="F307" t="s">
        <v>58</v>
      </c>
      <c r="H307" t="s">
        <v>1620</v>
      </c>
      <c r="I307" t="s">
        <v>1462</v>
      </c>
      <c r="J307" t="s">
        <v>2985</v>
      </c>
      <c r="K307" t="s">
        <v>1463</v>
      </c>
      <c r="L307" t="s">
        <v>1464</v>
      </c>
      <c r="M307" s="3" t="str">
        <f>HYPERLINK(СторонТрансп[[#This Row],[RelativePath]])</f>
        <v>10 Сушилка навес\E33149364_3_20251111T113405Z.jpg</v>
      </c>
    </row>
    <row r="308" spans="1:13" x14ac:dyDescent="0.25">
      <c r="A308" t="s">
        <v>14</v>
      </c>
      <c r="B308" s="4">
        <v>45972</v>
      </c>
      <c r="C308" s="6">
        <v>0.48243055555555553</v>
      </c>
      <c r="D308" s="7" t="s">
        <v>650</v>
      </c>
      <c r="E308" t="s">
        <v>63</v>
      </c>
      <c r="F308" t="s">
        <v>58</v>
      </c>
      <c r="I308" t="s">
        <v>1465</v>
      </c>
      <c r="J308" t="s">
        <v>2985</v>
      </c>
      <c r="K308" t="s">
        <v>1466</v>
      </c>
      <c r="L308" t="s">
        <v>1467</v>
      </c>
      <c r="M308" s="3" t="str">
        <f>HYPERLINK(СторонТрансп[[#This Row],[RelativePath]])</f>
        <v>10 Сушилка навес\E33149364_3_20251111T113442Z.jpg</v>
      </c>
    </row>
    <row r="309" spans="1:13" x14ac:dyDescent="0.25">
      <c r="A309" t="s">
        <v>15</v>
      </c>
      <c r="B309" s="4">
        <v>45987</v>
      </c>
      <c r="C309" s="6">
        <v>0.43567129629629631</v>
      </c>
      <c r="D309" s="7" t="s">
        <v>1606</v>
      </c>
      <c r="E309" t="s">
        <v>4192</v>
      </c>
      <c r="I309" t="s">
        <v>3962</v>
      </c>
      <c r="J309" t="s">
        <v>2985</v>
      </c>
      <c r="K309" t="s">
        <v>3963</v>
      </c>
      <c r="L309" t="s">
        <v>3964</v>
      </c>
      <c r="M309" s="3" t="str">
        <f>HYPERLINK(СторонТрансп[[#This Row],[RelativePath]])</f>
        <v>10 Сушилка навес\E33149364_3_20251126T102722Z.jpg</v>
      </c>
    </row>
    <row r="310" spans="1:13" x14ac:dyDescent="0.25">
      <c r="A310" t="s">
        <v>15</v>
      </c>
      <c r="B310" s="4">
        <v>45987</v>
      </c>
      <c r="C310" s="6">
        <v>0.44207175925925923</v>
      </c>
      <c r="D310" s="7" t="s">
        <v>289</v>
      </c>
      <c r="E310" t="s">
        <v>4192</v>
      </c>
      <c r="F310" t="s">
        <v>58</v>
      </c>
      <c r="H310" t="s">
        <v>1620</v>
      </c>
      <c r="I310" t="s">
        <v>3965</v>
      </c>
      <c r="J310" t="s">
        <v>2985</v>
      </c>
      <c r="K310" t="s">
        <v>3966</v>
      </c>
      <c r="L310" t="s">
        <v>3967</v>
      </c>
      <c r="M310" s="3" t="str">
        <f>HYPERLINK(СторонТрансп[[#This Row],[RelativePath]])</f>
        <v>10 Сушилка навес\E33149364_3_20251126T103635Z.jpg</v>
      </c>
    </row>
    <row r="311" spans="1:13" x14ac:dyDescent="0.25">
      <c r="A311" t="s">
        <v>15</v>
      </c>
      <c r="B311" s="4">
        <v>45987</v>
      </c>
      <c r="C311" s="6">
        <v>0.44216435185185188</v>
      </c>
      <c r="D311" s="7" t="s">
        <v>289</v>
      </c>
      <c r="E311" t="s">
        <v>4192</v>
      </c>
      <c r="F311" t="s">
        <v>58</v>
      </c>
      <c r="H311" t="s">
        <v>2936</v>
      </c>
      <c r="I311" t="s">
        <v>3968</v>
      </c>
      <c r="J311" t="s">
        <v>2985</v>
      </c>
      <c r="K311" t="s">
        <v>3969</v>
      </c>
      <c r="L311" t="s">
        <v>3970</v>
      </c>
      <c r="M311" s="3" t="str">
        <f>HYPERLINK(СторонТрансп[[#This Row],[RelativePath]])</f>
        <v>10 Сушилка навес\E33149364_3_20251126T103643Z.jpg</v>
      </c>
    </row>
    <row r="312" spans="1:13" x14ac:dyDescent="0.25">
      <c r="A312" t="s">
        <v>15</v>
      </c>
      <c r="B312" s="4">
        <v>45987</v>
      </c>
      <c r="C312" s="6">
        <v>0.44226851851851851</v>
      </c>
      <c r="D312" s="7" t="s">
        <v>289</v>
      </c>
      <c r="E312" t="s">
        <v>4192</v>
      </c>
      <c r="F312" t="s">
        <v>58</v>
      </c>
      <c r="H312" t="s">
        <v>2936</v>
      </c>
      <c r="I312" t="s">
        <v>3971</v>
      </c>
      <c r="J312" t="s">
        <v>2985</v>
      </c>
      <c r="K312" t="s">
        <v>3972</v>
      </c>
      <c r="L312" t="s">
        <v>3973</v>
      </c>
      <c r="M312" s="3" t="str">
        <f>HYPERLINK(СторонТрансп[[#This Row],[RelativePath]])</f>
        <v>10 Сушилка навес\E33149364_3_20251126T103652Z.jpg</v>
      </c>
    </row>
    <row r="313" spans="1:13" x14ac:dyDescent="0.25">
      <c r="A313" t="s">
        <v>15</v>
      </c>
      <c r="B313" s="4">
        <v>45987</v>
      </c>
      <c r="C313" s="6">
        <v>0.44241898148148145</v>
      </c>
      <c r="D313" s="7" t="s">
        <v>289</v>
      </c>
      <c r="E313" t="s">
        <v>4192</v>
      </c>
      <c r="F313" t="s">
        <v>58</v>
      </c>
      <c r="H313" t="s">
        <v>2936</v>
      </c>
      <c r="I313" t="s">
        <v>3974</v>
      </c>
      <c r="J313" t="s">
        <v>2985</v>
      </c>
      <c r="K313" t="s">
        <v>3975</v>
      </c>
      <c r="L313" t="s">
        <v>3976</v>
      </c>
      <c r="M313" s="3" t="str">
        <f>HYPERLINK(СторонТрансп[[#This Row],[RelativePath]])</f>
        <v>10 Сушилка навес\E33149364_3_20251126T103705Z.jpg</v>
      </c>
    </row>
    <row r="314" spans="1:13" x14ac:dyDescent="0.25">
      <c r="A314" t="s">
        <v>15</v>
      </c>
      <c r="B314" s="4">
        <v>45987</v>
      </c>
      <c r="C314" s="6">
        <v>0.44255787037037037</v>
      </c>
      <c r="D314" s="7" t="s">
        <v>289</v>
      </c>
      <c r="E314" t="s">
        <v>4192</v>
      </c>
      <c r="F314" t="s">
        <v>58</v>
      </c>
      <c r="H314" t="s">
        <v>2936</v>
      </c>
      <c r="I314" t="s">
        <v>3977</v>
      </c>
      <c r="J314" t="s">
        <v>2985</v>
      </c>
      <c r="K314" t="s">
        <v>3978</v>
      </c>
      <c r="L314" t="s">
        <v>3979</v>
      </c>
      <c r="M314" s="3" t="str">
        <f>HYPERLINK(СторонТрансп[[#This Row],[RelativePath]])</f>
        <v>10 Сушилка навес\E33149364_3_20251126T103717Z.jpg</v>
      </c>
    </row>
    <row r="315" spans="1:13" x14ac:dyDescent="0.25">
      <c r="A315" t="s">
        <v>15</v>
      </c>
      <c r="B315" s="4">
        <v>45987</v>
      </c>
      <c r="C315" s="6">
        <v>0.44269675925925928</v>
      </c>
      <c r="D315" s="7" t="s">
        <v>289</v>
      </c>
      <c r="E315" t="s">
        <v>4192</v>
      </c>
      <c r="F315" t="s">
        <v>58</v>
      </c>
      <c r="H315" t="s">
        <v>2936</v>
      </c>
      <c r="I315" t="s">
        <v>3980</v>
      </c>
      <c r="J315" t="s">
        <v>2985</v>
      </c>
      <c r="K315" t="s">
        <v>3981</v>
      </c>
      <c r="L315" t="s">
        <v>3982</v>
      </c>
      <c r="M315" s="3" t="str">
        <f>HYPERLINK(СторонТрансп[[#This Row],[RelativePath]])</f>
        <v>10 Сушилка навес\E33149364_3_20251126T103729Z.jpg</v>
      </c>
    </row>
    <row r="316" spans="1:13" x14ac:dyDescent="0.25">
      <c r="A316" t="s">
        <v>15</v>
      </c>
      <c r="B316" s="4">
        <v>45987</v>
      </c>
      <c r="C316" s="6">
        <v>0.44284722222222223</v>
      </c>
      <c r="D316" s="7" t="s">
        <v>289</v>
      </c>
      <c r="E316" t="s">
        <v>4192</v>
      </c>
      <c r="F316" t="s">
        <v>58</v>
      </c>
      <c r="H316" t="s">
        <v>2936</v>
      </c>
      <c r="I316" t="s">
        <v>3983</v>
      </c>
      <c r="J316" t="s">
        <v>2985</v>
      </c>
      <c r="K316" t="s">
        <v>3984</v>
      </c>
      <c r="L316" t="s">
        <v>3985</v>
      </c>
      <c r="M316" s="3" t="str">
        <f>HYPERLINK(СторонТрансп[[#This Row],[RelativePath]])</f>
        <v>10 Сушилка навес\E33149364_3_20251126T103742Z.jpg</v>
      </c>
    </row>
    <row r="317" spans="1:13" x14ac:dyDescent="0.25">
      <c r="A317" t="s">
        <v>15</v>
      </c>
      <c r="B317" s="4">
        <v>45987</v>
      </c>
      <c r="C317" s="6">
        <v>0.44359953703703703</v>
      </c>
      <c r="D317" s="7" t="s">
        <v>2013</v>
      </c>
      <c r="E317" t="s">
        <v>4192</v>
      </c>
      <c r="H317" t="s">
        <v>4236</v>
      </c>
      <c r="I317" t="s">
        <v>3986</v>
      </c>
      <c r="J317" t="s">
        <v>2985</v>
      </c>
      <c r="K317" t="s">
        <v>3987</v>
      </c>
      <c r="L317" t="s">
        <v>3988</v>
      </c>
      <c r="M317" s="3" t="str">
        <f>HYPERLINK(СторонТрансп[[#This Row],[RelativePath]])</f>
        <v>10 Сушилка навес\E33149364_3_20251126T103847Z.jpg</v>
      </c>
    </row>
    <row r="318" spans="1:13" x14ac:dyDescent="0.25">
      <c r="A318" t="s">
        <v>15</v>
      </c>
      <c r="B318" s="4">
        <v>45987</v>
      </c>
      <c r="C318" s="6">
        <v>0.44372685185185184</v>
      </c>
      <c r="D318" s="7" t="s">
        <v>289</v>
      </c>
      <c r="E318" t="s">
        <v>4192</v>
      </c>
      <c r="F318" t="s">
        <v>58</v>
      </c>
      <c r="I318" t="s">
        <v>3989</v>
      </c>
      <c r="J318" t="s">
        <v>2985</v>
      </c>
      <c r="K318" t="s">
        <v>3990</v>
      </c>
      <c r="L318" t="s">
        <v>3991</v>
      </c>
      <c r="M318" s="3" t="str">
        <f>HYPERLINK(СторонТрансп[[#This Row],[RelativePath]])</f>
        <v>10 Сушилка навес\E33149364_3_20251126T103858Z.jpg</v>
      </c>
    </row>
    <row r="319" spans="1:13" x14ac:dyDescent="0.25">
      <c r="A319" t="s">
        <v>15</v>
      </c>
      <c r="B319" s="4">
        <v>45987</v>
      </c>
      <c r="C319" s="6">
        <v>0.44473379629629628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3992</v>
      </c>
      <c r="J319" t="s">
        <v>2985</v>
      </c>
      <c r="K319" t="s">
        <v>3993</v>
      </c>
      <c r="L319" t="s">
        <v>3994</v>
      </c>
      <c r="M319" s="3" t="str">
        <f>HYPERLINK(СторонТрансп[[#This Row],[RelativePath]])</f>
        <v>10 Сушилка навес\E33149364_3_20251126T104025Z.jpg</v>
      </c>
    </row>
    <row r="320" spans="1:13" x14ac:dyDescent="0.25">
      <c r="A320" t="s">
        <v>15</v>
      </c>
      <c r="B320" s="4">
        <v>45987</v>
      </c>
      <c r="C320" s="6">
        <v>0.44495370370370368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3995</v>
      </c>
      <c r="J320" t="s">
        <v>2985</v>
      </c>
      <c r="K320" t="s">
        <v>3996</v>
      </c>
      <c r="L320" t="s">
        <v>3997</v>
      </c>
      <c r="M320" s="3" t="str">
        <f>HYPERLINK(СторонТрансп[[#This Row],[RelativePath]])</f>
        <v>10 Сушилка навес\E33149364_3_20251126T104044Z.jpg</v>
      </c>
    </row>
    <row r="321" spans="1:13" x14ac:dyDescent="0.25">
      <c r="A321" t="s">
        <v>15</v>
      </c>
      <c r="B321" s="4">
        <v>45987</v>
      </c>
      <c r="C321" s="6">
        <v>0.44578703703703704</v>
      </c>
      <c r="D321" s="7" t="s">
        <v>4232</v>
      </c>
      <c r="E321" t="s">
        <v>4192</v>
      </c>
      <c r="F321" t="s">
        <v>58</v>
      </c>
      <c r="I321" t="s">
        <v>3998</v>
      </c>
      <c r="J321" t="s">
        <v>2985</v>
      </c>
      <c r="K321" t="s">
        <v>3999</v>
      </c>
      <c r="L321" t="s">
        <v>4000</v>
      </c>
      <c r="M321" s="3" t="str">
        <f>HYPERLINK(СторонТрансп[[#This Row],[RelativePath]])</f>
        <v>10 Сушилка навес\E33149364_3_20251126T104156Z.jpg</v>
      </c>
    </row>
    <row r="322" spans="1:13" x14ac:dyDescent="0.25">
      <c r="A322" t="s">
        <v>15</v>
      </c>
      <c r="B322" s="4">
        <v>45987</v>
      </c>
      <c r="C322" s="6">
        <v>0.44631944444444444</v>
      </c>
      <c r="D322" s="7" t="s">
        <v>2013</v>
      </c>
      <c r="E322" t="s">
        <v>4192</v>
      </c>
      <c r="H322" t="s">
        <v>4237</v>
      </c>
      <c r="I322" t="s">
        <v>4001</v>
      </c>
      <c r="J322" t="s">
        <v>2985</v>
      </c>
      <c r="K322" t="s">
        <v>4002</v>
      </c>
      <c r="L322" t="s">
        <v>4003</v>
      </c>
      <c r="M322" s="3" t="str">
        <f>HYPERLINK(СторонТрансп[[#This Row],[RelativePath]])</f>
        <v>10 Сушилка навес\E33149364_3_20251126T104242Z.jpg</v>
      </c>
    </row>
    <row r="323" spans="1:13" x14ac:dyDescent="0.25">
      <c r="A323" t="s">
        <v>15</v>
      </c>
      <c r="B323" s="4">
        <v>45987</v>
      </c>
      <c r="C323" s="6">
        <v>0.4475925925925926</v>
      </c>
      <c r="D323" s="7" t="s">
        <v>289</v>
      </c>
      <c r="E323" t="s">
        <v>4192</v>
      </c>
      <c r="F323" t="s">
        <v>58</v>
      </c>
      <c r="I323" t="s">
        <v>4004</v>
      </c>
      <c r="J323" t="s">
        <v>2985</v>
      </c>
      <c r="K323" t="s">
        <v>4005</v>
      </c>
      <c r="L323" t="s">
        <v>4006</v>
      </c>
      <c r="M323" s="3" t="str">
        <f>HYPERLINK(СторонТрансп[[#This Row],[RelativePath]])</f>
        <v>10 Сушилка навес\E33149364_3_20251126T104432Z.jpg</v>
      </c>
    </row>
    <row r="324" spans="1:13" x14ac:dyDescent="0.25">
      <c r="A324" t="s">
        <v>15</v>
      </c>
      <c r="B324" s="4">
        <v>45987</v>
      </c>
      <c r="C324" s="6">
        <v>0.44767361111111109</v>
      </c>
      <c r="D324" s="7" t="s">
        <v>289</v>
      </c>
      <c r="E324" t="s">
        <v>4192</v>
      </c>
      <c r="F324" t="s">
        <v>58</v>
      </c>
      <c r="H324" t="s">
        <v>2936</v>
      </c>
      <c r="I324" t="s">
        <v>4007</v>
      </c>
      <c r="J324" t="s">
        <v>2985</v>
      </c>
      <c r="K324" t="s">
        <v>4008</v>
      </c>
      <c r="L324" t="s">
        <v>4009</v>
      </c>
      <c r="M324" s="3" t="str">
        <f>HYPERLINK(СторонТрансп[[#This Row],[RelativePath]])</f>
        <v>10 Сушилка навес\E33149364_3_20251126T104439Z.jpg</v>
      </c>
    </row>
    <row r="325" spans="1:13" x14ac:dyDescent="0.25">
      <c r="A325" t="s">
        <v>15</v>
      </c>
      <c r="B325" s="4">
        <v>45987</v>
      </c>
      <c r="C325" s="6">
        <v>0.4478125</v>
      </c>
      <c r="D325" s="7" t="s">
        <v>289</v>
      </c>
      <c r="E325" t="s">
        <v>4192</v>
      </c>
      <c r="F325" t="s">
        <v>58</v>
      </c>
      <c r="H325" t="s">
        <v>2936</v>
      </c>
      <c r="I325" t="s">
        <v>4010</v>
      </c>
      <c r="J325" t="s">
        <v>2985</v>
      </c>
      <c r="K325" t="s">
        <v>4011</v>
      </c>
      <c r="L325" t="s">
        <v>4012</v>
      </c>
      <c r="M325" s="3" t="str">
        <f>HYPERLINK(СторонТрансп[[#This Row],[RelativePath]])</f>
        <v>10 Сушилка навес\E33149364_3_20251126T104451Z.jpg</v>
      </c>
    </row>
    <row r="326" spans="1:13" x14ac:dyDescent="0.25">
      <c r="A326" t="s">
        <v>15</v>
      </c>
      <c r="B326" s="4">
        <v>45987</v>
      </c>
      <c r="C326" s="6">
        <v>0.45056712962962964</v>
      </c>
      <c r="D326" s="7" t="s">
        <v>289</v>
      </c>
      <c r="E326" t="s">
        <v>4192</v>
      </c>
      <c r="F326" t="s">
        <v>58</v>
      </c>
      <c r="H326" t="s">
        <v>2936</v>
      </c>
      <c r="I326" t="s">
        <v>4013</v>
      </c>
      <c r="J326" t="s">
        <v>2985</v>
      </c>
      <c r="K326" t="s">
        <v>4014</v>
      </c>
      <c r="L326" t="s">
        <v>4015</v>
      </c>
      <c r="M326" s="3" t="str">
        <f>HYPERLINK(СторонТрансп[[#This Row],[RelativePath]])</f>
        <v>10 Сушилка навес\E33149364_3_20251126T104849Z.jpg</v>
      </c>
    </row>
    <row r="327" spans="1:13" x14ac:dyDescent="0.25">
      <c r="A327" t="s">
        <v>15</v>
      </c>
      <c r="B327" s="4">
        <v>45987</v>
      </c>
      <c r="C327" s="6">
        <v>0.45187500000000003</v>
      </c>
      <c r="D327" s="7" t="s">
        <v>4235</v>
      </c>
      <c r="E327" t="s">
        <v>4192</v>
      </c>
      <c r="F327" t="s">
        <v>58</v>
      </c>
      <c r="I327" t="s">
        <v>4016</v>
      </c>
      <c r="J327" t="s">
        <v>2985</v>
      </c>
      <c r="K327" t="s">
        <v>4017</v>
      </c>
      <c r="L327" t="s">
        <v>4018</v>
      </c>
      <c r="M327" s="3" t="str">
        <f>HYPERLINK(СторонТрансп[[#This Row],[RelativePath]])</f>
        <v>10 Сушилка навес\E33149364_3_20251126T105042Z.jpg</v>
      </c>
    </row>
    <row r="328" spans="1:13" x14ac:dyDescent="0.25">
      <c r="A328" t="s">
        <v>22</v>
      </c>
      <c r="B328" s="4">
        <v>45998</v>
      </c>
      <c r="C328" s="6">
        <v>0.59520833333333334</v>
      </c>
      <c r="D328" s="7" t="s">
        <v>1606</v>
      </c>
      <c r="E328" t="s">
        <v>5263</v>
      </c>
      <c r="F328" t="s">
        <v>51</v>
      </c>
      <c r="I328" t="s">
        <v>5184</v>
      </c>
      <c r="J328" t="s">
        <v>2985</v>
      </c>
      <c r="K328" t="s">
        <v>5185</v>
      </c>
      <c r="L328" t="s">
        <v>5186</v>
      </c>
      <c r="M328" s="3" t="str">
        <f>HYPERLINK(СторонТрансп[[#This Row],[RelativePath]])</f>
        <v>10 Сушилка навес\E33149364_3_20251207T141706Z.jpg</v>
      </c>
    </row>
    <row r="329" spans="1:13" x14ac:dyDescent="0.25">
      <c r="A329" t="s">
        <v>22</v>
      </c>
      <c r="B329" s="4">
        <v>45998</v>
      </c>
      <c r="C329" s="6">
        <v>0.60039351851851852</v>
      </c>
      <c r="D329" s="7" t="s">
        <v>289</v>
      </c>
      <c r="E329" t="s">
        <v>5263</v>
      </c>
      <c r="F329" t="s">
        <v>4233</v>
      </c>
      <c r="I329" t="s">
        <v>5187</v>
      </c>
      <c r="J329" t="s">
        <v>2985</v>
      </c>
      <c r="K329" t="s">
        <v>5188</v>
      </c>
      <c r="L329" t="s">
        <v>5189</v>
      </c>
      <c r="M329" s="3" t="str">
        <f>HYPERLINK(СторонТрансп[[#This Row],[RelativePath]])</f>
        <v>10 Сушилка навес\E33149364_3_20251207T142434Z.jpg</v>
      </c>
    </row>
    <row r="330" spans="1:13" x14ac:dyDescent="0.25">
      <c r="A330" t="s">
        <v>22</v>
      </c>
      <c r="B330" s="4">
        <v>45998</v>
      </c>
      <c r="C330" s="6">
        <v>0.60648148148148151</v>
      </c>
      <c r="D330" s="7" t="s">
        <v>289</v>
      </c>
      <c r="E330" t="s">
        <v>5263</v>
      </c>
      <c r="F330" t="s">
        <v>4233</v>
      </c>
      <c r="H330" t="s">
        <v>2936</v>
      </c>
      <c r="I330" t="s">
        <v>5190</v>
      </c>
      <c r="J330" t="s">
        <v>2985</v>
      </c>
      <c r="K330" t="s">
        <v>5191</v>
      </c>
      <c r="L330" t="s">
        <v>5192</v>
      </c>
      <c r="M330" s="3" t="str">
        <f>HYPERLINK(СторонТрансп[[#This Row],[RelativePath]])</f>
        <v>10 Сушилка навес\E33149364_3_20251207T143320Z.jpg</v>
      </c>
    </row>
    <row r="331" spans="1:13" x14ac:dyDescent="0.25">
      <c r="A331" t="s">
        <v>22</v>
      </c>
      <c r="B331" s="4">
        <v>45998</v>
      </c>
      <c r="C331" s="6">
        <v>0.61306712962962961</v>
      </c>
      <c r="D331" s="7" t="s">
        <v>4232</v>
      </c>
      <c r="E331" t="s">
        <v>5263</v>
      </c>
      <c r="F331" t="s">
        <v>4233</v>
      </c>
      <c r="I331" t="s">
        <v>5193</v>
      </c>
      <c r="J331" t="s">
        <v>2985</v>
      </c>
      <c r="K331" t="s">
        <v>5194</v>
      </c>
      <c r="L331" t="s">
        <v>5195</v>
      </c>
      <c r="M331" s="3" t="str">
        <f>HYPERLINK(СторонТрансп[[#This Row],[RelativePath]])</f>
        <v>10 Сушилка навес\E33149364_3_20251207T144249Z.jpg</v>
      </c>
    </row>
    <row r="332" spans="1:13" x14ac:dyDescent="0.25">
      <c r="A332" t="s">
        <v>18</v>
      </c>
      <c r="B332" s="4">
        <v>46004</v>
      </c>
      <c r="C332" s="6">
        <v>0.38762731481481483</v>
      </c>
      <c r="D332" s="7" t="s">
        <v>4</v>
      </c>
      <c r="E332" t="s">
        <v>6167</v>
      </c>
      <c r="I332" t="s">
        <v>6095</v>
      </c>
      <c r="J332" t="s">
        <v>2985</v>
      </c>
      <c r="K332" t="s">
        <v>6096</v>
      </c>
      <c r="L332" t="s">
        <v>6097</v>
      </c>
      <c r="M332" s="3" t="str">
        <f>HYPERLINK(СторонТрансп[[#This Row],[RelativePath]])</f>
        <v>10 Сушилка навес\E33149364_3_20251213T091811Z.jpg</v>
      </c>
    </row>
    <row r="333" spans="1:13" x14ac:dyDescent="0.25">
      <c r="A333" t="s">
        <v>18</v>
      </c>
      <c r="B333" s="4">
        <v>46004</v>
      </c>
      <c r="C333" s="6">
        <v>0.55000000000000004</v>
      </c>
      <c r="D333" s="7" t="s">
        <v>4</v>
      </c>
      <c r="E333" t="s">
        <v>6167</v>
      </c>
      <c r="I333" t="s">
        <v>6101</v>
      </c>
      <c r="J333" t="s">
        <v>2985</v>
      </c>
      <c r="K333" t="s">
        <v>6102</v>
      </c>
      <c r="L333" t="s">
        <v>6103</v>
      </c>
      <c r="M333" s="3" t="str">
        <f>HYPERLINK(СторонТрансп[[#This Row],[RelativePath]])</f>
        <v>10 Сушилка навес\E33149364_3_20251213T131200Z.jpg</v>
      </c>
    </row>
    <row r="334" spans="1:13" x14ac:dyDescent="0.25">
      <c r="A334" t="s">
        <v>15</v>
      </c>
      <c r="B334" s="4">
        <v>45973</v>
      </c>
      <c r="C334" s="6">
        <v>0.69604166666666667</v>
      </c>
      <c r="D334" s="7" t="s">
        <v>1606</v>
      </c>
      <c r="E334" t="s">
        <v>66</v>
      </c>
      <c r="F334" t="s">
        <v>69</v>
      </c>
      <c r="I334" t="s">
        <v>1748</v>
      </c>
      <c r="J334" t="s">
        <v>2986</v>
      </c>
      <c r="K334" t="s">
        <v>1749</v>
      </c>
      <c r="L334" t="s">
        <v>1750</v>
      </c>
      <c r="M334" s="3" t="str">
        <f>HYPERLINK(СторонТрансп[[#This Row],[RelativePath]])</f>
        <v>11 С ангара на базу\E33149364_4_20251112T164218Z.jpg</v>
      </c>
    </row>
    <row r="335" spans="1:13" x14ac:dyDescent="0.25">
      <c r="A335" t="s">
        <v>15</v>
      </c>
      <c r="B335" s="4">
        <v>45973</v>
      </c>
      <c r="C335" s="6">
        <v>0.69677083333333334</v>
      </c>
      <c r="D335" s="7" t="s">
        <v>290</v>
      </c>
      <c r="E335" t="s">
        <v>66</v>
      </c>
      <c r="F335" t="s">
        <v>69</v>
      </c>
      <c r="I335" t="s">
        <v>1751</v>
      </c>
      <c r="J335" t="s">
        <v>2986</v>
      </c>
      <c r="K335" t="s">
        <v>1752</v>
      </c>
      <c r="L335" t="s">
        <v>1753</v>
      </c>
      <c r="M335" s="3" t="str">
        <f>HYPERLINK(СторонТрансп[[#This Row],[RelativePath]])</f>
        <v>11 С ангара на базу\E33149364_4_20251112T164321Z.jpg</v>
      </c>
    </row>
    <row r="336" spans="1:13" x14ac:dyDescent="0.25">
      <c r="A336" t="s">
        <v>15</v>
      </c>
      <c r="B336" s="4">
        <v>45973</v>
      </c>
      <c r="C336" s="6">
        <v>0.70961805555555557</v>
      </c>
      <c r="D336" s="7" t="s">
        <v>650</v>
      </c>
      <c r="E336" t="s">
        <v>66</v>
      </c>
      <c r="F336" t="s">
        <v>51</v>
      </c>
      <c r="I336" t="s">
        <v>1754</v>
      </c>
      <c r="J336" t="s">
        <v>2986</v>
      </c>
      <c r="K336" t="s">
        <v>1755</v>
      </c>
      <c r="L336" t="s">
        <v>1756</v>
      </c>
      <c r="M336" s="3" t="str">
        <f>HYPERLINK(СторонТрансп[[#This Row],[RelativePath]])</f>
        <v>11 С ангара на базу\E33149364_4_20251112T170151Z.jpg</v>
      </c>
    </row>
    <row r="337" spans="1:13" x14ac:dyDescent="0.25">
      <c r="A337" t="s">
        <v>15</v>
      </c>
      <c r="B337" s="4">
        <v>45987</v>
      </c>
      <c r="C337" s="6">
        <v>0.44723379629629628</v>
      </c>
      <c r="D337" s="7" t="s">
        <v>289</v>
      </c>
      <c r="E337" t="s">
        <v>4192</v>
      </c>
      <c r="F337" t="s">
        <v>58</v>
      </c>
      <c r="I337" t="s">
        <v>4094</v>
      </c>
      <c r="J337" t="s">
        <v>2986</v>
      </c>
      <c r="K337" t="s">
        <v>4095</v>
      </c>
      <c r="L337" t="s">
        <v>4096</v>
      </c>
      <c r="M337" s="3" t="str">
        <f>HYPERLINK(СторонТрансп[[#This Row],[RelativePath]])</f>
        <v>11 С ангара на базу\E33149364_4_20251126T104401Z.jpg</v>
      </c>
    </row>
    <row r="338" spans="1:13" x14ac:dyDescent="0.25">
      <c r="A338" t="s">
        <v>15</v>
      </c>
      <c r="B338" s="4">
        <v>45987</v>
      </c>
      <c r="C338" s="6">
        <v>0.44848379629629631</v>
      </c>
      <c r="D338" s="7" t="s">
        <v>289</v>
      </c>
      <c r="E338" t="s">
        <v>4192</v>
      </c>
      <c r="F338" t="s">
        <v>58</v>
      </c>
      <c r="H338" t="s">
        <v>2936</v>
      </c>
      <c r="I338" t="s">
        <v>4097</v>
      </c>
      <c r="J338" t="s">
        <v>2986</v>
      </c>
      <c r="K338" t="s">
        <v>4098</v>
      </c>
      <c r="L338" t="s">
        <v>4099</v>
      </c>
      <c r="M338" s="3" t="str">
        <f>HYPERLINK(СторонТрансп[[#This Row],[RelativePath]])</f>
        <v>11 С ангара на базу\E33149364_4_20251126T104549Z.jpg</v>
      </c>
    </row>
    <row r="339" spans="1:13" x14ac:dyDescent="0.25">
      <c r="A339" t="s">
        <v>15</v>
      </c>
      <c r="B339" s="4">
        <v>45987</v>
      </c>
      <c r="C339" s="6">
        <v>0.44864583333333335</v>
      </c>
      <c r="D339" s="7" t="s">
        <v>289</v>
      </c>
      <c r="E339" t="s">
        <v>4192</v>
      </c>
      <c r="F339" t="s">
        <v>58</v>
      </c>
      <c r="H339" t="s">
        <v>2936</v>
      </c>
      <c r="I339" t="s">
        <v>4100</v>
      </c>
      <c r="J339" t="s">
        <v>2986</v>
      </c>
      <c r="K339" t="s">
        <v>4101</v>
      </c>
      <c r="L339" t="s">
        <v>4102</v>
      </c>
      <c r="M339" s="3" t="str">
        <f>HYPERLINK(СторонТрансп[[#This Row],[RelativePath]])</f>
        <v>11 С ангара на базу\E33149364_4_20251126T104603Z.jpg</v>
      </c>
    </row>
    <row r="340" spans="1:13" x14ac:dyDescent="0.25">
      <c r="A340" t="s">
        <v>15</v>
      </c>
      <c r="B340" s="4">
        <v>45987</v>
      </c>
      <c r="C340" s="6">
        <v>0.44947916666666665</v>
      </c>
      <c r="D340" s="7" t="s">
        <v>289</v>
      </c>
      <c r="E340" t="s">
        <v>4192</v>
      </c>
      <c r="F340" t="s">
        <v>58</v>
      </c>
      <c r="H340" t="s">
        <v>2936</v>
      </c>
      <c r="I340" t="s">
        <v>4103</v>
      </c>
      <c r="J340" t="s">
        <v>2986</v>
      </c>
      <c r="K340" t="s">
        <v>4104</v>
      </c>
      <c r="L340" t="s">
        <v>4105</v>
      </c>
      <c r="M340" s="3" t="str">
        <f>HYPERLINK(СторонТрансп[[#This Row],[RelativePath]])</f>
        <v>11 С ангара на базу\E33149364_4_20251126T104715Z.jpg</v>
      </c>
    </row>
    <row r="341" spans="1:13" x14ac:dyDescent="0.25">
      <c r="A341" t="s">
        <v>22</v>
      </c>
      <c r="B341" s="4">
        <v>45998</v>
      </c>
      <c r="C341" s="6">
        <v>0.59843749999999996</v>
      </c>
      <c r="D341" s="7" t="s">
        <v>5265</v>
      </c>
      <c r="E341" t="s">
        <v>5263</v>
      </c>
      <c r="F341" t="s">
        <v>4233</v>
      </c>
      <c r="I341" t="s">
        <v>5199</v>
      </c>
      <c r="J341" t="s">
        <v>2986</v>
      </c>
      <c r="K341" t="s">
        <v>5200</v>
      </c>
      <c r="L341" t="s">
        <v>5201</v>
      </c>
      <c r="M341" s="3" t="str">
        <f>HYPERLINK(СторонТрансп[[#This Row],[RelativePath]])</f>
        <v>11 С ангара на базу\E33149364_4_20251207T142145Z.jpg</v>
      </c>
    </row>
    <row r="342" spans="1:13" x14ac:dyDescent="0.25">
      <c r="A342" t="s">
        <v>22</v>
      </c>
      <c r="B342" s="4">
        <v>45998</v>
      </c>
      <c r="C342" s="6">
        <v>0.60221064814814818</v>
      </c>
      <c r="D342" s="7" t="s">
        <v>5265</v>
      </c>
      <c r="E342" t="s">
        <v>5263</v>
      </c>
      <c r="F342" t="s">
        <v>4233</v>
      </c>
      <c r="H342" t="s">
        <v>2936</v>
      </c>
      <c r="I342" t="s">
        <v>5202</v>
      </c>
      <c r="J342" t="s">
        <v>2986</v>
      </c>
      <c r="K342" t="s">
        <v>5203</v>
      </c>
      <c r="L342" t="s">
        <v>5204</v>
      </c>
      <c r="M342" s="3" t="str">
        <f>HYPERLINK(СторонТрансп[[#This Row],[RelativePath]])</f>
        <v>11 С ангара на базу\E33149364_4_20251207T142711Z.jpg</v>
      </c>
    </row>
    <row r="343" spans="1:13" x14ac:dyDescent="0.25">
      <c r="A343" t="s">
        <v>22</v>
      </c>
      <c r="B343" s="4">
        <v>45998</v>
      </c>
      <c r="C343" s="6">
        <v>0.60230324074074071</v>
      </c>
      <c r="D343" s="7" t="s">
        <v>5265</v>
      </c>
      <c r="E343" t="s">
        <v>5263</v>
      </c>
      <c r="F343" t="s">
        <v>4233</v>
      </c>
      <c r="H343" t="s">
        <v>2936</v>
      </c>
      <c r="I343" t="s">
        <v>5205</v>
      </c>
      <c r="J343" t="s">
        <v>2986</v>
      </c>
      <c r="K343" t="s">
        <v>5206</v>
      </c>
      <c r="L343" t="s">
        <v>5207</v>
      </c>
      <c r="M343" s="3" t="str">
        <f>HYPERLINK(СторонТрансп[[#This Row],[RelativePath]])</f>
        <v>11 С ангара на базу\E33149364_4_20251207T142719Z.jpg</v>
      </c>
    </row>
    <row r="344" spans="1:13" x14ac:dyDescent="0.25">
      <c r="A344" t="s">
        <v>22</v>
      </c>
      <c r="B344" s="4">
        <v>45998</v>
      </c>
      <c r="C344" s="6">
        <v>0.60530092592592588</v>
      </c>
      <c r="D344" s="7" t="s">
        <v>5265</v>
      </c>
      <c r="E344" t="s">
        <v>5263</v>
      </c>
      <c r="F344" t="s">
        <v>4233</v>
      </c>
      <c r="H344" t="s">
        <v>2936</v>
      </c>
      <c r="I344" t="s">
        <v>5208</v>
      </c>
      <c r="J344" t="s">
        <v>2986</v>
      </c>
      <c r="K344" t="s">
        <v>5209</v>
      </c>
      <c r="L344" t="s">
        <v>5210</v>
      </c>
      <c r="M344" s="3" t="str">
        <f>HYPERLINK(СторонТрансп[[#This Row],[RelativePath]])</f>
        <v>11 С ангара на базу\E33149364_4_20251207T143138Z.jpg</v>
      </c>
    </row>
    <row r="345" spans="1:13" x14ac:dyDescent="0.25">
      <c r="A345" t="s">
        <v>22</v>
      </c>
      <c r="B345" s="4">
        <v>45998</v>
      </c>
      <c r="C345" s="6">
        <v>0.6055787037037037</v>
      </c>
      <c r="D345" s="7" t="s">
        <v>5265</v>
      </c>
      <c r="E345" t="s">
        <v>5263</v>
      </c>
      <c r="F345" t="s">
        <v>4233</v>
      </c>
      <c r="H345" t="s">
        <v>2936</v>
      </c>
      <c r="I345" t="s">
        <v>5211</v>
      </c>
      <c r="J345" t="s">
        <v>2986</v>
      </c>
      <c r="K345" t="s">
        <v>5212</v>
      </c>
      <c r="L345" t="s">
        <v>5213</v>
      </c>
      <c r="M345" s="3" t="str">
        <f>HYPERLINK(СторонТрансп[[#This Row],[RelativePath]])</f>
        <v>11 С ангара на базу\E33149364_4_20251207T143202Z.jpg</v>
      </c>
    </row>
    <row r="346" spans="1:13" x14ac:dyDescent="0.25">
      <c r="A346" t="s">
        <v>22</v>
      </c>
      <c r="B346" s="4">
        <v>45998</v>
      </c>
      <c r="C346" s="6">
        <v>0.6134722222222222</v>
      </c>
      <c r="D346" s="7" t="s">
        <v>4235</v>
      </c>
      <c r="E346" t="s">
        <v>5263</v>
      </c>
      <c r="F346" t="s">
        <v>4233</v>
      </c>
      <c r="I346" t="s">
        <v>5214</v>
      </c>
      <c r="J346" t="s">
        <v>2986</v>
      </c>
      <c r="K346" t="s">
        <v>5215</v>
      </c>
      <c r="L346" t="s">
        <v>5216</v>
      </c>
      <c r="M346" s="3" t="str">
        <f>HYPERLINK(СторонТрансп[[#This Row],[RelativePath]])</f>
        <v>11 С ангара на базу\E33149364_4_20251207T144324Z.jpg</v>
      </c>
    </row>
    <row r="347" spans="1:13" x14ac:dyDescent="0.25">
      <c r="A347" t="s">
        <v>18</v>
      </c>
      <c r="B347" s="4">
        <v>46004</v>
      </c>
      <c r="C347" s="6">
        <v>0.38579861111111113</v>
      </c>
      <c r="D347" s="7" t="s">
        <v>1606</v>
      </c>
      <c r="E347" t="s">
        <v>6167</v>
      </c>
      <c r="F347" t="s">
        <v>6186</v>
      </c>
      <c r="H347" t="s">
        <v>6164</v>
      </c>
      <c r="I347" t="s">
        <v>6107</v>
      </c>
      <c r="J347" t="s">
        <v>2986</v>
      </c>
      <c r="K347" t="s">
        <v>6108</v>
      </c>
      <c r="L347" t="s">
        <v>6109</v>
      </c>
      <c r="M347" s="3" t="str">
        <f>HYPERLINK(СторонТрансп[[#This Row],[RelativePath]])</f>
        <v>11 С ангара на базу\E33149364_4_20251213T091533Z.jpg</v>
      </c>
    </row>
    <row r="348" spans="1:13" x14ac:dyDescent="0.25">
      <c r="A348" t="s">
        <v>18</v>
      </c>
      <c r="B348" s="4">
        <v>46004</v>
      </c>
      <c r="C348" s="6">
        <v>0.38621527777777775</v>
      </c>
      <c r="D348" s="7" t="s">
        <v>6187</v>
      </c>
      <c r="E348" t="s">
        <v>6167</v>
      </c>
      <c r="I348" t="s">
        <v>6110</v>
      </c>
      <c r="J348" t="s">
        <v>2986</v>
      </c>
      <c r="K348" t="s">
        <v>6111</v>
      </c>
      <c r="L348" t="s">
        <v>6112</v>
      </c>
      <c r="M348" s="3" t="str">
        <f>HYPERLINK(СторонТрансп[[#This Row],[RelativePath]])</f>
        <v>11 С ангара на базу\E33149364_4_20251213T091609Z.jpg</v>
      </c>
    </row>
    <row r="349" spans="1:13" x14ac:dyDescent="0.25">
      <c r="A349" t="s">
        <v>18</v>
      </c>
      <c r="B349" s="4">
        <v>46004</v>
      </c>
      <c r="C349" s="6">
        <v>0.39291666666666669</v>
      </c>
      <c r="D349" s="7" t="s">
        <v>289</v>
      </c>
      <c r="E349" t="s">
        <v>6167</v>
      </c>
      <c r="F349" t="s">
        <v>6188</v>
      </c>
      <c r="H349" t="s">
        <v>2936</v>
      </c>
      <c r="I349" t="s">
        <v>6113</v>
      </c>
      <c r="J349" t="s">
        <v>2986</v>
      </c>
      <c r="K349" t="s">
        <v>6114</v>
      </c>
      <c r="L349" t="s">
        <v>6115</v>
      </c>
      <c r="M349" s="3" t="str">
        <f>HYPERLINK(СторонТрансп[[#This Row],[RelativePath]])</f>
        <v>11 С ангара на базу\E33149364_4_20251213T092548Z.jpg</v>
      </c>
    </row>
    <row r="350" spans="1:13" x14ac:dyDescent="0.25">
      <c r="A350" t="s">
        <v>18</v>
      </c>
      <c r="B350" s="4">
        <v>46004</v>
      </c>
      <c r="C350" s="6">
        <v>0.39643518518518517</v>
      </c>
      <c r="D350" s="7" t="s">
        <v>289</v>
      </c>
      <c r="E350" t="s">
        <v>6167</v>
      </c>
      <c r="F350" t="s">
        <v>6188</v>
      </c>
      <c r="H350" t="s">
        <v>2936</v>
      </c>
      <c r="I350" t="s">
        <v>6116</v>
      </c>
      <c r="J350" t="s">
        <v>2986</v>
      </c>
      <c r="K350" t="s">
        <v>6117</v>
      </c>
      <c r="L350" t="s">
        <v>6118</v>
      </c>
      <c r="M350" s="3" t="str">
        <f>HYPERLINK(СторонТрансп[[#This Row],[RelativePath]])</f>
        <v>11 С ангара на базу\E33149364_4_20251213T093052Z.jpg</v>
      </c>
    </row>
    <row r="351" spans="1:13" x14ac:dyDescent="0.25">
      <c r="A351" t="s">
        <v>18</v>
      </c>
      <c r="B351" s="4">
        <v>46004</v>
      </c>
      <c r="C351" s="6">
        <v>0.39685185185185184</v>
      </c>
      <c r="D351" s="7" t="s">
        <v>289</v>
      </c>
      <c r="E351" t="s">
        <v>6167</v>
      </c>
      <c r="F351" t="s">
        <v>6188</v>
      </c>
      <c r="H351" t="s">
        <v>2936</v>
      </c>
      <c r="I351" t="s">
        <v>6119</v>
      </c>
      <c r="J351" t="s">
        <v>2986</v>
      </c>
      <c r="K351" t="s">
        <v>6120</v>
      </c>
      <c r="L351" t="s">
        <v>6121</v>
      </c>
      <c r="M351" s="3" t="str">
        <f>HYPERLINK(СторонТрансп[[#This Row],[RelativePath]])</f>
        <v>11 С ангара на базу\E33149364_4_20251213T093128Z.jpg</v>
      </c>
    </row>
    <row r="352" spans="1:13" x14ac:dyDescent="0.25">
      <c r="A352" t="s">
        <v>18</v>
      </c>
      <c r="B352" s="4">
        <v>46004</v>
      </c>
      <c r="C352" s="6">
        <v>0.3972222222222222</v>
      </c>
      <c r="D352" s="7" t="s">
        <v>289</v>
      </c>
      <c r="E352" t="s">
        <v>6167</v>
      </c>
      <c r="F352" t="s">
        <v>6188</v>
      </c>
      <c r="H352" t="s">
        <v>2936</v>
      </c>
      <c r="I352" t="s">
        <v>6122</v>
      </c>
      <c r="J352" t="s">
        <v>2986</v>
      </c>
      <c r="K352" t="s">
        <v>6123</v>
      </c>
      <c r="L352" t="s">
        <v>6124</v>
      </c>
      <c r="M352" s="3" t="str">
        <f>HYPERLINK(СторонТрансп[[#This Row],[RelativePath]])</f>
        <v>11 С ангара на базу\E33149364_4_20251213T093200Z.jpg</v>
      </c>
    </row>
    <row r="353" spans="1:13" x14ac:dyDescent="0.25">
      <c r="A353" t="s">
        <v>18</v>
      </c>
      <c r="B353" s="4">
        <v>46004</v>
      </c>
      <c r="C353" s="6">
        <v>0.39961805555555557</v>
      </c>
      <c r="D353" s="7" t="s">
        <v>289</v>
      </c>
      <c r="E353" t="s">
        <v>6167</v>
      </c>
      <c r="F353" t="s">
        <v>6188</v>
      </c>
      <c r="H353" t="s">
        <v>2936</v>
      </c>
      <c r="I353" t="s">
        <v>6125</v>
      </c>
      <c r="J353" t="s">
        <v>2986</v>
      </c>
      <c r="K353" t="s">
        <v>6126</v>
      </c>
      <c r="L353" t="s">
        <v>6127</v>
      </c>
      <c r="M353" s="3" t="str">
        <f>HYPERLINK(СторонТрансп[[#This Row],[RelativePath]])</f>
        <v>11 С ангара на базу\E33149364_4_20251213T093527Z.jpg</v>
      </c>
    </row>
    <row r="354" spans="1:13" x14ac:dyDescent="0.25">
      <c r="A354" t="s">
        <v>18</v>
      </c>
      <c r="B354" s="4">
        <v>46004</v>
      </c>
      <c r="C354" s="6">
        <v>0.39997685185185183</v>
      </c>
      <c r="D354" s="7" t="s">
        <v>289</v>
      </c>
      <c r="E354" t="s">
        <v>6167</v>
      </c>
      <c r="F354" t="s">
        <v>6188</v>
      </c>
      <c r="H354" t="s">
        <v>2936</v>
      </c>
      <c r="I354" t="s">
        <v>6128</v>
      </c>
      <c r="J354" t="s">
        <v>2986</v>
      </c>
      <c r="K354" t="s">
        <v>6129</v>
      </c>
      <c r="L354" t="s">
        <v>6130</v>
      </c>
      <c r="M354" s="3" t="str">
        <f>HYPERLINK(СторонТрансп[[#This Row],[RelativePath]])</f>
        <v>11 С ангара на базу\E33149364_4_20251213T093558Z.jpg</v>
      </c>
    </row>
    <row r="355" spans="1:13" x14ac:dyDescent="0.25">
      <c r="A355" t="s">
        <v>18</v>
      </c>
      <c r="B355" s="4">
        <v>46004</v>
      </c>
      <c r="C355" s="6">
        <v>0.40167824074074077</v>
      </c>
      <c r="D355" s="7" t="s">
        <v>289</v>
      </c>
      <c r="E355" t="s">
        <v>6167</v>
      </c>
      <c r="F355" t="s">
        <v>6188</v>
      </c>
      <c r="H355" t="s">
        <v>2936</v>
      </c>
      <c r="I355" t="s">
        <v>6131</v>
      </c>
      <c r="J355" t="s">
        <v>2986</v>
      </c>
      <c r="K355" t="s">
        <v>6132</v>
      </c>
      <c r="L355" t="s">
        <v>6133</v>
      </c>
      <c r="M355" s="3" t="str">
        <f>HYPERLINK(СторонТрансп[[#This Row],[RelativePath]])</f>
        <v>11 С ангара на базу\E33149364_4_20251213T093825Z.jpg</v>
      </c>
    </row>
    <row r="356" spans="1:13" x14ac:dyDescent="0.25">
      <c r="A356" t="s">
        <v>18</v>
      </c>
      <c r="B356" s="4">
        <v>46004</v>
      </c>
      <c r="C356" s="6">
        <v>0.40229166666666666</v>
      </c>
      <c r="D356" s="7" t="s">
        <v>289</v>
      </c>
      <c r="E356" t="s">
        <v>6167</v>
      </c>
      <c r="F356" t="s">
        <v>6188</v>
      </c>
      <c r="H356" t="s">
        <v>2936</v>
      </c>
      <c r="I356" t="s">
        <v>6134</v>
      </c>
      <c r="J356" t="s">
        <v>2986</v>
      </c>
      <c r="K356" t="s">
        <v>6135</v>
      </c>
      <c r="L356" t="s">
        <v>6136</v>
      </c>
      <c r="M356" s="3" t="str">
        <f>HYPERLINK(СторонТрансп[[#This Row],[RelativePath]])</f>
        <v>11 С ангара на базу\E33149364_4_20251213T093918Z.jpg</v>
      </c>
    </row>
    <row r="357" spans="1:13" x14ac:dyDescent="0.25">
      <c r="A357" t="s">
        <v>18</v>
      </c>
      <c r="B357" s="4">
        <v>46004</v>
      </c>
      <c r="C357" s="6">
        <v>0.40465277777777775</v>
      </c>
      <c r="D357" s="7" t="s">
        <v>650</v>
      </c>
      <c r="E357" t="s">
        <v>6167</v>
      </c>
      <c r="F357" t="s">
        <v>6188</v>
      </c>
      <c r="I357" t="s">
        <v>6137</v>
      </c>
      <c r="J357" t="s">
        <v>2986</v>
      </c>
      <c r="K357" t="s">
        <v>6138</v>
      </c>
      <c r="L357" t="s">
        <v>6139</v>
      </c>
      <c r="M357" s="3" t="str">
        <f>HYPERLINK(СторонТрансп[[#This Row],[RelativePath]])</f>
        <v>11 С ангара на базу\E33149364_4_20251213T094242Z.jpg</v>
      </c>
    </row>
    <row r="358" spans="1:13" x14ac:dyDescent="0.25">
      <c r="A358" t="s">
        <v>18</v>
      </c>
      <c r="B358" s="4">
        <v>46004</v>
      </c>
      <c r="C358" s="6">
        <v>0.54765046296296294</v>
      </c>
      <c r="D358" s="7" t="s">
        <v>1606</v>
      </c>
      <c r="E358" t="s">
        <v>6167</v>
      </c>
      <c r="F358" t="s">
        <v>1609</v>
      </c>
      <c r="I358" t="s">
        <v>6140</v>
      </c>
      <c r="J358" t="s">
        <v>2986</v>
      </c>
      <c r="K358" t="s">
        <v>6141</v>
      </c>
      <c r="L358" t="s">
        <v>6142</v>
      </c>
      <c r="M358" s="3" t="str">
        <f>HYPERLINK(СторонТрансп[[#This Row],[RelativePath]])</f>
        <v>11 С ангара на базу\E33149364_4_20251213T130837Z.jpg</v>
      </c>
    </row>
    <row r="359" spans="1:13" x14ac:dyDescent="0.25">
      <c r="A359" t="s">
        <v>18</v>
      </c>
      <c r="B359" s="4">
        <v>46004</v>
      </c>
      <c r="C359" s="6">
        <v>0.54907407407407405</v>
      </c>
      <c r="D359" s="7" t="s">
        <v>290</v>
      </c>
      <c r="E359" t="s">
        <v>6167</v>
      </c>
      <c r="F359" t="s">
        <v>58</v>
      </c>
      <c r="I359" t="s">
        <v>6143</v>
      </c>
      <c r="J359" t="s">
        <v>2986</v>
      </c>
      <c r="K359" t="s">
        <v>6144</v>
      </c>
      <c r="L359" t="s">
        <v>6145</v>
      </c>
      <c r="M359" s="3" t="str">
        <f>HYPERLINK(СторонТрансп[[#This Row],[RelativePath]])</f>
        <v>11 С ангара на базу\E33149364_4_20251213T131040Z.jpg</v>
      </c>
    </row>
    <row r="360" spans="1:13" x14ac:dyDescent="0.25">
      <c r="A360" t="s">
        <v>18</v>
      </c>
      <c r="B360" s="4">
        <v>46004</v>
      </c>
      <c r="C360" s="6">
        <v>0.549224537037037</v>
      </c>
      <c r="D360" s="7" t="s">
        <v>290</v>
      </c>
      <c r="E360" t="s">
        <v>6167</v>
      </c>
      <c r="F360" t="s">
        <v>58</v>
      </c>
      <c r="H360" t="s">
        <v>2936</v>
      </c>
      <c r="I360" t="s">
        <v>6146</v>
      </c>
      <c r="J360" t="s">
        <v>2986</v>
      </c>
      <c r="K360" t="s">
        <v>6147</v>
      </c>
      <c r="L360" t="s">
        <v>6148</v>
      </c>
      <c r="M360" s="3" t="str">
        <f>HYPERLINK(СторонТрансп[[#This Row],[RelativePath]])</f>
        <v>11 С ангара на базу\E33149364_4_20251213T131053Z.jpg</v>
      </c>
    </row>
    <row r="361" spans="1:13" x14ac:dyDescent="0.25">
      <c r="A361" t="s">
        <v>18</v>
      </c>
      <c r="B361" s="4">
        <v>46004</v>
      </c>
      <c r="C361" s="6">
        <v>0.55100694444444442</v>
      </c>
      <c r="D361" s="7" t="s">
        <v>290</v>
      </c>
      <c r="E361" t="s">
        <v>6167</v>
      </c>
      <c r="F361" t="s">
        <v>58</v>
      </c>
      <c r="H361" t="s">
        <v>2936</v>
      </c>
      <c r="I361" t="s">
        <v>6149</v>
      </c>
      <c r="J361" t="s">
        <v>2986</v>
      </c>
      <c r="K361" t="s">
        <v>6150</v>
      </c>
      <c r="L361" t="s">
        <v>6151</v>
      </c>
      <c r="M361" s="3" t="str">
        <f>HYPERLINK(СторонТрансп[[#This Row],[RelativePath]])</f>
        <v>11 С ангара на базу\E33149364_4_20251213T131327Z.jpg</v>
      </c>
    </row>
    <row r="362" spans="1:13" x14ac:dyDescent="0.25">
      <c r="A362" t="s">
        <v>18</v>
      </c>
      <c r="B362" s="4">
        <v>46004</v>
      </c>
      <c r="C362" s="6">
        <v>0.55111111111111111</v>
      </c>
      <c r="D362" s="7" t="s">
        <v>290</v>
      </c>
      <c r="E362" t="s">
        <v>6167</v>
      </c>
      <c r="F362" t="s">
        <v>58</v>
      </c>
      <c r="H362" t="s">
        <v>2936</v>
      </c>
      <c r="I362" t="s">
        <v>6152</v>
      </c>
      <c r="J362" t="s">
        <v>2986</v>
      </c>
      <c r="K362" t="s">
        <v>6153</v>
      </c>
      <c r="L362" t="s">
        <v>6154</v>
      </c>
      <c r="M362" s="3" t="str">
        <f>HYPERLINK(СторонТрансп[[#This Row],[RelativePath]])</f>
        <v>11 С ангара на базу\E33149364_4_20251213T131336Z.jpg</v>
      </c>
    </row>
    <row r="363" spans="1:13" x14ac:dyDescent="0.25">
      <c r="A363" t="s">
        <v>18</v>
      </c>
      <c r="B363" s="4">
        <v>46004</v>
      </c>
      <c r="C363" s="6">
        <v>0.55388888888888888</v>
      </c>
      <c r="D363" s="7" t="s">
        <v>650</v>
      </c>
      <c r="E363" t="s">
        <v>6167</v>
      </c>
      <c r="F363" t="s">
        <v>6189</v>
      </c>
      <c r="I363" t="s">
        <v>6155</v>
      </c>
      <c r="J363" t="s">
        <v>2986</v>
      </c>
      <c r="K363" t="s">
        <v>6156</v>
      </c>
      <c r="L363" t="s">
        <v>6157</v>
      </c>
      <c r="M363" s="3" t="str">
        <f>HYPERLINK(СторонТрансп[[#This Row],[RelativePath]])</f>
        <v>11 С ангара на базу\E33149364_4_20251213T131736Z.jpg</v>
      </c>
    </row>
    <row r="364" spans="1:13" x14ac:dyDescent="0.25">
      <c r="A364" t="s">
        <v>16</v>
      </c>
      <c r="B364" s="4">
        <v>46016</v>
      </c>
      <c r="C364" s="6">
        <v>0.61910879629629634</v>
      </c>
      <c r="D364" s="7" t="s">
        <v>4</v>
      </c>
      <c r="E364" t="s">
        <v>4193</v>
      </c>
      <c r="F364" t="s">
        <v>4240</v>
      </c>
      <c r="I364" t="s">
        <v>7562</v>
      </c>
      <c r="J364" t="s">
        <v>2986</v>
      </c>
      <c r="K364" t="s">
        <v>7563</v>
      </c>
      <c r="L364" t="s">
        <v>7564</v>
      </c>
      <c r="M364" s="3" t="str">
        <f>HYPERLINK(СторонТрансп[[#This Row],[RelativePath]])</f>
        <v>11 С ангара на базу\E33149364_4_20251225T145131Z.jpg</v>
      </c>
    </row>
    <row r="365" spans="1:13" x14ac:dyDescent="0.25">
      <c r="A365" t="s">
        <v>16</v>
      </c>
      <c r="B365" s="4">
        <v>46016</v>
      </c>
      <c r="C365" s="6">
        <v>0.62233796296296295</v>
      </c>
      <c r="D365" s="7" t="s">
        <v>650</v>
      </c>
      <c r="E365" t="s">
        <v>4193</v>
      </c>
      <c r="F365" t="s">
        <v>4240</v>
      </c>
      <c r="I365" t="s">
        <v>7565</v>
      </c>
      <c r="J365" t="s">
        <v>2986</v>
      </c>
      <c r="K365" t="s">
        <v>7566</v>
      </c>
      <c r="L365" t="s">
        <v>7567</v>
      </c>
      <c r="M365" s="3" t="str">
        <f>HYPERLINK(СторонТрансп[[#This Row],[RelativePath]])</f>
        <v>11 С ангара на базу\E33149364_4_20251225T145610Z.jpg</v>
      </c>
    </row>
    <row r="366" spans="1:13" x14ac:dyDescent="0.25">
      <c r="A366" t="s">
        <v>17</v>
      </c>
      <c r="B366" s="4">
        <v>46017</v>
      </c>
      <c r="C366" s="6">
        <v>0.41968749999999999</v>
      </c>
      <c r="D366" s="7" t="s">
        <v>1606</v>
      </c>
      <c r="E366" t="s">
        <v>4193</v>
      </c>
      <c r="F366" t="s">
        <v>5076</v>
      </c>
      <c r="I366" t="s">
        <v>7753</v>
      </c>
      <c r="J366" t="s">
        <v>2986</v>
      </c>
      <c r="K366" t="s">
        <v>7754</v>
      </c>
      <c r="L366" t="s">
        <v>7755</v>
      </c>
      <c r="M366" s="3" t="str">
        <f>HYPERLINK(СторонТрансп[[#This Row],[RelativePath]])</f>
        <v>11 С ангара на базу\E33149364_4_20251226T100421Z.jpg</v>
      </c>
    </row>
    <row r="367" spans="1:13" x14ac:dyDescent="0.25">
      <c r="A367" t="s">
        <v>17</v>
      </c>
      <c r="B367" s="4">
        <v>46017</v>
      </c>
      <c r="C367" s="6">
        <v>0.42020833333333335</v>
      </c>
      <c r="D367" s="7" t="s">
        <v>1606</v>
      </c>
      <c r="E367" t="s">
        <v>4193</v>
      </c>
      <c r="F367" t="s">
        <v>5076</v>
      </c>
      <c r="H367" t="s">
        <v>2936</v>
      </c>
      <c r="I367" t="s">
        <v>7756</v>
      </c>
      <c r="J367" t="s">
        <v>2986</v>
      </c>
      <c r="K367" t="s">
        <v>7757</v>
      </c>
      <c r="L367" t="s">
        <v>7758</v>
      </c>
      <c r="M367" s="3" t="str">
        <f>HYPERLINK(СторонТрансп[[#This Row],[RelativePath]])</f>
        <v>11 С ангара на базу\E33149364_4_20251226T100506Z.jpg</v>
      </c>
    </row>
    <row r="368" spans="1:13" x14ac:dyDescent="0.25">
      <c r="A368" t="s">
        <v>17</v>
      </c>
      <c r="B368" s="4">
        <v>46017</v>
      </c>
      <c r="C368" s="6">
        <v>0.49148148148148146</v>
      </c>
      <c r="D368" s="7" t="s">
        <v>650</v>
      </c>
      <c r="E368" t="s">
        <v>4193</v>
      </c>
      <c r="F368" t="s">
        <v>5076</v>
      </c>
      <c r="I368" t="s">
        <v>7768</v>
      </c>
      <c r="J368" t="s">
        <v>2986</v>
      </c>
      <c r="K368" t="s">
        <v>7769</v>
      </c>
      <c r="L368" t="s">
        <v>7770</v>
      </c>
      <c r="M368" s="3" t="str">
        <f>HYPERLINK(СторонТрансп[[#This Row],[RelativePath]])</f>
        <v>11 С ангара на базу\E33149364_4_20251226T114744Z.jpg</v>
      </c>
    </row>
    <row r="369" spans="1:13" x14ac:dyDescent="0.25">
      <c r="A369" t="s">
        <v>18</v>
      </c>
      <c r="B369" s="4">
        <v>46004</v>
      </c>
      <c r="C369" s="6">
        <v>0.55222222222222217</v>
      </c>
      <c r="D369" s="7" t="s">
        <v>4</v>
      </c>
      <c r="E369" t="s">
        <v>6167</v>
      </c>
      <c r="I369" t="s">
        <v>5999</v>
      </c>
      <c r="J369" t="s">
        <v>2988</v>
      </c>
      <c r="K369" t="s">
        <v>6000</v>
      </c>
      <c r="L369" t="s">
        <v>6001</v>
      </c>
      <c r="M369" s="3" t="str">
        <f>HYPERLINK(СторонТрансп[[#This Row],[RelativePath]])</f>
        <v>13 Склад хол\K07156189_23_20251213T131512Z.jpg</v>
      </c>
    </row>
    <row r="370" spans="1:13" x14ac:dyDescent="0.25">
      <c r="A370" t="s">
        <v>16</v>
      </c>
      <c r="B370" s="4">
        <v>46016</v>
      </c>
      <c r="C370" s="6">
        <v>0.52539351851851857</v>
      </c>
      <c r="D370" s="7" t="s">
        <v>4</v>
      </c>
      <c r="E370" t="s">
        <v>4193</v>
      </c>
      <c r="H370" t="s">
        <v>7718</v>
      </c>
      <c r="I370" t="s">
        <v>7685</v>
      </c>
      <c r="J370" t="s">
        <v>2988</v>
      </c>
      <c r="K370" t="s">
        <v>7686</v>
      </c>
      <c r="L370" t="s">
        <v>7687</v>
      </c>
      <c r="M370" s="3" t="str">
        <f>HYPERLINK(СторонТрансп[[#This Row],[RelativePath]])</f>
        <v>13 Склад хол\K07156189_23_20251225T123634Z.jpg</v>
      </c>
    </row>
    <row r="371" spans="1:13" x14ac:dyDescent="0.25">
      <c r="A371" t="s">
        <v>17</v>
      </c>
      <c r="B371" s="4">
        <v>46017</v>
      </c>
      <c r="C371" s="6">
        <v>0.42027777777777775</v>
      </c>
      <c r="D371" s="7" t="s">
        <v>4</v>
      </c>
      <c r="E371" t="s">
        <v>4193</v>
      </c>
      <c r="H371" t="s">
        <v>7718</v>
      </c>
      <c r="I371" t="s">
        <v>7801</v>
      </c>
      <c r="J371" t="s">
        <v>2988</v>
      </c>
      <c r="K371" t="s">
        <v>7802</v>
      </c>
      <c r="L371" t="s">
        <v>7803</v>
      </c>
      <c r="M371" s="3" t="str">
        <f>HYPERLINK(СторонТрансп[[#This Row],[RelativePath]])</f>
        <v>13 Склад хол\K07156189_23_20251226T100512Z.jpg</v>
      </c>
    </row>
  </sheetData>
  <conditionalFormatting sqref="E372:E393 D2:E371">
    <cfRule type="containsText" dxfId="25" priority="6" operator="containsText" text="Выезд с территории">
      <formula>NOT(ISERROR(SEARCH("Выезд с территории",D2)))</formula>
    </cfRule>
  </conditionalFormatting>
  <conditionalFormatting sqref="D2:D371">
    <cfRule type="containsText" dxfId="2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2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3">
    <cfRule type="containsText" dxfId="22" priority="2" operator="containsText" text="Газель базы">
      <formula>NOT(ISERROR(SEARCH("Газель базы",E2)))</formula>
    </cfRule>
    <cfRule type="containsText" dxfId="21" priority="3" operator="containsText" text="Погрузчик базы">
      <formula>NOT(ISERROR(SEARCH("Погрузчик базы",E2)))</formula>
    </cfRule>
  </conditionalFormatting>
  <conditionalFormatting sqref="E2:E393">
    <cfRule type="containsText" dxfId="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2026-01-15T02:00:14Z</dcterms:modified>
</cp:coreProperties>
</file>