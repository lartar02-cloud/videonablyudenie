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1649CE3F-FE08-4130-8DD7-B111A11A033A}" xr6:coauthVersionLast="47" xr6:coauthVersionMax="47" xr10:uidLastSave="{00000000-0000-0000-0000-000000000000}"/>
  <bookViews>
    <workbookView xWindow="-120" yWindow="-120" windowWidth="20730" windowHeight="11040" firstSheet="11" activeTab="15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Загрузка" sheetId="37" r:id="rId15"/>
    <sheet name="Стороний транспорт" sheetId="38" r:id="rId16"/>
  </sheets>
  <definedNames>
    <definedName name="ExternalData_1" localSheetId="0" hidden="1">'1 Ангар Склад 2 въезд'!$A$1:$L$129</definedName>
    <definedName name="ExternalData_1" localSheetId="9" hidden="1">'10 Сушилка навес'!$A$1:$L$383</definedName>
    <definedName name="ExternalData_1" localSheetId="10" hidden="1">'11 С ангара на базу'!$A$1:$L$155</definedName>
    <definedName name="ExternalData_1" localSheetId="11" hidden="1">'12 Площадка 3 кран'!$A$1:$L$100</definedName>
    <definedName name="ExternalData_1" localSheetId="12" hidden="1">'13 Склад хол'!$A$1:$L$64</definedName>
    <definedName name="ExternalData_1" localSheetId="1" hidden="1">'2 Пилорама поката'!$A$1:$L$163</definedName>
    <definedName name="ExternalData_1" localSheetId="2" hidden="1">'3 Въезд на базу'!$A$1:$L$86</definedName>
    <definedName name="ExternalData_1" localSheetId="3" hidden="1">'4 Крыльцо офиса'!$A$1:$L$85</definedName>
    <definedName name="ExternalData_1" localSheetId="4" hidden="1">'5 Крыльцо общага'!$A$1:$L$109</definedName>
    <definedName name="ExternalData_1" localSheetId="5" hidden="1">'6 Площадка 1 общага'!$A$1:$L$73</definedName>
    <definedName name="ExternalData_1" localSheetId="6" hidden="1">'7 Площадка 2 бетонщики'!$A$1:$L$198</definedName>
    <definedName name="ExternalData_1" localSheetId="7" hidden="1">'8 Рейсмус'!$A$1:$L$130</definedName>
    <definedName name="ExternalData_1" localSheetId="8" hidden="1">'9 Ангар пилорама'!$A$1:$L$382</definedName>
    <definedName name="ExternalData_1" localSheetId="14" hidden="1">Загрузка!$A$1:$L$197</definedName>
    <definedName name="ExternalData_1" localSheetId="15" hidden="1">'Стороний транспорт'!$A$1:$L$333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329" i="38"/>
  <c r="M330" i="38"/>
  <c r="M331" i="38"/>
  <c r="M332" i="38"/>
  <c r="M333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<sst xmlns="http://schemas.openxmlformats.org/spreadsheetml/2006/main" count="30444" uniqueCount="6533">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</sst>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612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29" tableType="queryTable" totalsRowShown="0">
  <autoFilter ref="A1:N129" xr:uid="{B468AF39-21AE-47BD-BA18-EADB2FC1D520}"/>
  <tableColumns count="14">
    <tableColumn id="11" xr3:uid="{6F8E650D-029B-40AD-86B4-92C160128A4F}" uniqueName="11" name="День нед" queryTableFieldId="39" dataDxfId="579"/>
    <tableColumn id="8" xr3:uid="{7C2AA400-8F21-45B7-B47D-9CF2CFB5DD00}" uniqueName="8" name="Дата" queryTableFieldId="19" dataDxfId="578"/>
    <tableColumn id="9" xr3:uid="{7CB7ABF0-C98D-49E4-A494-985A43D5F40F}" uniqueName="9" name="Время" queryTableFieldId="20" dataDxfId="577"/>
    <tableColumn id="5" xr3:uid="{613A944B-9245-4C6D-9CCE-5037AD552DED}" uniqueName="5" name="Событие" queryTableFieldId="27" dataDxfId="576"/>
    <tableColumn id="7" xr3:uid="{FFEA85A5-3527-4483-91CE-57F760AB9F33}" uniqueName="7" name="Объект" queryTableFieldId="29" dataDxfId="575"/>
    <tableColumn id="10" xr3:uid="{A2E2C27E-C1B2-4B74-A427-E1854B0E2C76}" uniqueName="10" name="Груз" queryTableFieldId="30" dataDxfId="574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573"/>
    <tableColumn id="4" xr3:uid="{B2B57637-8A7D-4C5F-A6F8-E38F3EA43620}" uniqueName="4" name="Name" queryTableFieldId="14" dataDxfId="572"/>
    <tableColumn id="1" xr3:uid="{79275791-6385-434B-9F1B-8BDC003824A7}" uniqueName="1" name="Folder Path" queryTableFieldId="11" dataDxfId="571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57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56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63" tableType="queryTable" totalsRowShown="0">
  <autoFilter ref="A1:M163" xr:uid="{B468AF39-21AE-47BD-BA18-EADB2FC1D520}"/>
  <tableColumns count="13">
    <tableColumn id="11" xr3:uid="{6804E693-7D64-41A5-9B58-B7D348C4DC92}" uniqueName="11" name="День нед" queryTableFieldId="39" dataDxfId="568"/>
    <tableColumn id="8" xr3:uid="{40827FD9-94EC-4CF6-B212-59CF3E913897}" uniqueName="8" name="Дата" queryTableFieldId="19" dataDxfId="567"/>
    <tableColumn id="9" xr3:uid="{1F8E8ADE-5BFB-4171-9A0A-859E22042D3B}" uniqueName="9" name="Время" queryTableFieldId="20" dataDxfId="566"/>
    <tableColumn id="5" xr3:uid="{9D19F2E1-3C70-4F2F-8ED7-6D41C17A9366}" uniqueName="5" name="Событие" queryTableFieldId="27" dataDxfId="611"/>
    <tableColumn id="7" xr3:uid="{8C8CC69A-BA0A-4417-AE7D-B89E26F69F9B}" uniqueName="7" name="Объект" queryTableFieldId="29" dataDxfId="610"/>
    <tableColumn id="10" xr3:uid="{375C36FB-077D-4AA3-B6F7-74ACE46C2638}" uniqueName="10" name="Груз" queryTableFieldId="30" dataDxfId="609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608"/>
    <tableColumn id="4" xr3:uid="{4A5BB282-D54C-4C68-A1D9-B3A819F9FCF6}" uniqueName="4" name="Name" queryTableFieldId="14" dataDxfId="607"/>
    <tableColumn id="1" xr3:uid="{7BD19058-41FF-4EFE-8283-68501A5B1623}" uniqueName="1" name="Folder Path" queryTableFieldId="11" dataDxfId="606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565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86" tableType="queryTable" totalsRowShown="0">
  <autoFilter ref="A1:M86" xr:uid="{B468AF39-21AE-47BD-BA18-EADB2FC1D520}"/>
  <tableColumns count="13">
    <tableColumn id="11" xr3:uid="{8C7989A8-AE95-4BFB-859E-9F3F94DCD873}" uniqueName="11" name="День нед" queryTableFieldId="39" dataDxfId="564"/>
    <tableColumn id="8" xr3:uid="{B651DAE5-1AB7-4761-9820-CB58DA0D9C46}" uniqueName="8" name="Дата" queryTableFieldId="19" dataDxfId="563"/>
    <tableColumn id="9" xr3:uid="{22B6AE73-6E8B-4F81-B85C-3D141AD4D773}" uniqueName="9" name="Время" queryTableFieldId="20" dataDxfId="562"/>
    <tableColumn id="5" xr3:uid="{CB5AF0FF-A861-4F29-BFD9-751A47066C68}" uniqueName="5" name="Событие" queryTableFieldId="27" dataDxfId="605"/>
    <tableColumn id="7" xr3:uid="{63916370-0910-4B95-ABB4-D88865AA9E43}" uniqueName="7" name="Объект" queryTableFieldId="29" dataDxfId="604"/>
    <tableColumn id="10" xr3:uid="{DDC7656E-7390-4778-A2CE-EEC7AC518263}" uniqueName="10" name="Груз" queryTableFieldId="30" dataDxfId="603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602"/>
    <tableColumn id="4" xr3:uid="{96665EED-E1B8-437C-869A-35CB5BA419D3}" uniqueName="4" name="Name" queryTableFieldId="14" dataDxfId="601"/>
    <tableColumn id="1" xr3:uid="{1F225BD8-B59D-4058-9D99-17124C1F38FB}" uniqueName="1" name="Folder Path" queryTableFieldId="11" dataDxfId="600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56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85" tableType="queryTable" totalsRowShown="0">
  <tableColumns count="13">
    <tableColumn id="11" xr3:uid="{F25D1388-C4DF-49FB-9BF5-0132CEDCCAEA}" uniqueName="11" name="День нед" queryTableFieldId="39" dataDxfId="560"/>
    <tableColumn id="8" xr3:uid="{9EDCCA26-9FD6-4F66-9134-186F89CA663B}" uniqueName="8" name="Дата" queryTableFieldId="19" dataDxfId="559"/>
    <tableColumn id="9" xr3:uid="{FB005DB9-8D3C-48A5-94F1-246606C665DD}" uniqueName="9" name="Время" queryTableFieldId="20" dataDxfId="558"/>
    <tableColumn id="5" xr3:uid="{6D19407C-64CF-4FC5-95E7-163AA12EB226}" uniqueName="5" name="Событие" queryTableFieldId="27" dataDxfId="557"/>
    <tableColumn id="7" xr3:uid="{007BF834-0BCB-4416-8941-11DA4EDFCE5B}" uniqueName="7" name="Объект" queryTableFieldId="29" dataDxfId="556"/>
    <tableColumn id="10" xr3:uid="{E896F002-4451-441D-B0CB-52AD69A6E5C3}" uniqueName="10" name="Груз" queryTableFieldId="30" dataDxfId="555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554"/>
    <tableColumn id="4" xr3:uid="{9F6560FA-27F8-4BE9-BA58-3B0E40F582E5}" uniqueName="4" name="Name" queryTableFieldId="14" dataDxfId="553"/>
    <tableColumn id="1" xr3:uid="{44892CD0-9118-4535-9434-E49462140346}" uniqueName="1" name="Folder Path" queryTableFieldId="11" dataDxfId="552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55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109" tableType="queryTable" totalsRowShown="0">
  <tableColumns count="13">
    <tableColumn id="11" xr3:uid="{390CB009-E9E0-4C0F-93C3-AF6B408B816B}" uniqueName="11" name="День нед" queryTableFieldId="39" dataDxfId="550"/>
    <tableColumn id="8" xr3:uid="{E0A1C296-A368-479C-9A74-85306B3C03D4}" uniqueName="8" name="Дата" queryTableFieldId="19" dataDxfId="549"/>
    <tableColumn id="9" xr3:uid="{86401298-83EB-49D3-ACBA-E743586F5CCB}" uniqueName="9" name="Время" queryTableFieldId="20" dataDxfId="548"/>
    <tableColumn id="5" xr3:uid="{FFB4F03A-A400-4544-A729-2375A1F7D5E8}" uniqueName="5" name="Событие" queryTableFieldId="27" dataDxfId="599"/>
    <tableColumn id="7" xr3:uid="{D96DCF3C-D325-4D0C-94A1-DBE97CC5C9DC}" uniqueName="7" name="Объект" queryTableFieldId="29" dataDxfId="598"/>
    <tableColumn id="10" xr3:uid="{76D99262-42F5-447E-95AC-9C2A84BF344C}" uniqueName="10" name="Груз" queryTableFieldId="30" dataDxfId="597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596"/>
    <tableColumn id="4" xr3:uid="{D16AEB37-7A8A-406F-8ED7-B8D53BAA9BD9}" uniqueName="4" name="Name" queryTableFieldId="14" dataDxfId="595"/>
    <tableColumn id="1" xr3:uid="{1746BE5F-089A-476F-AE8D-5F2B27E9AEEA}" uniqueName="1" name="Folder Path" queryTableFieldId="11" dataDxfId="594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547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73" tableType="queryTable" totalsRowShown="0">
  <tableColumns count="13">
    <tableColumn id="11" xr3:uid="{45D23538-AB74-404E-8577-E2B7A36436AF}" uniqueName="11" name="День нед" queryTableFieldId="39" dataDxfId="546"/>
    <tableColumn id="8" xr3:uid="{40B01B94-168F-4547-A2BC-AA7F91350AB3}" uniqueName="8" name="Дата" queryTableFieldId="19" dataDxfId="545"/>
    <tableColumn id="9" xr3:uid="{A2C94EFB-3081-4BA9-85C2-DFF0455AFA43}" uniqueName="9" name="Время" queryTableFieldId="20" dataDxfId="544"/>
    <tableColumn id="5" xr3:uid="{244D3D34-C9EC-4B9C-BE81-12A0C0BB4342}" uniqueName="5" name="Событие" queryTableFieldId="27" dataDxfId="593"/>
    <tableColumn id="7" xr3:uid="{C449A112-E8A8-4956-B85C-2BA12316F170}" uniqueName="7" name="Объект" queryTableFieldId="29" dataDxfId="592"/>
    <tableColumn id="10" xr3:uid="{C8411557-C312-4542-93DA-DF5949399E11}" uniqueName="10" name="Груз" queryTableFieldId="30" dataDxfId="591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590"/>
    <tableColumn id="4" xr3:uid="{6A396D44-0898-4737-A4C1-8D6D40981793}" uniqueName="4" name="Name" queryTableFieldId="14" dataDxfId="589"/>
    <tableColumn id="1" xr3:uid="{328F21C9-48B9-4081-9B8C-BBD168BD38D1}" uniqueName="1" name="Folder Path" queryTableFieldId="11" dataDxfId="588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543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198" tableType="queryTable" totalsRowShown="0">
  <tableColumns count="13">
    <tableColumn id="11" xr3:uid="{2311EAC9-4673-4BE2-ADB0-E8CEB0BD9945}" uniqueName="11" name="День нед" queryTableFieldId="39" dataDxfId="542"/>
    <tableColumn id="8" xr3:uid="{F1C9804A-F8E7-4755-B717-859265C587A2}" uniqueName="8" name="Дата" queryTableFieldId="19" dataDxfId="541"/>
    <tableColumn id="9" xr3:uid="{1C2BA522-8D4F-4713-849C-1F60357B476E}" uniqueName="9" name="Время" queryTableFieldId="20" dataDxfId="540"/>
    <tableColumn id="5" xr3:uid="{6E084A00-DC62-4E93-8ABC-4651FD4D2408}" uniqueName="5" name="Событие" queryTableFieldId="27" dataDxfId="587"/>
    <tableColumn id="7" xr3:uid="{C9F6EF14-DBE7-4655-9D20-5B253923C11E}" uniqueName="7" name="Объект" queryTableFieldId="29" dataDxfId="586"/>
    <tableColumn id="10" xr3:uid="{0ADEC0F9-9FE9-4E92-BD38-0B8CDDE1BDBD}" uniqueName="10" name="Груз" queryTableFieldId="30" dataDxfId="585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584"/>
    <tableColumn id="4" xr3:uid="{FE606B6B-0A78-44A2-B44F-54FBA553BAD6}" uniqueName="4" name="Name" queryTableFieldId="14" dataDxfId="583"/>
    <tableColumn id="1" xr3:uid="{34274AB2-665A-4EF1-8C79-4944C9C122A7}" uniqueName="1" name="Folder Path" queryTableFieldId="11" dataDxfId="582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539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30" tableType="queryTable" totalsRowShown="0">
  <tableColumns count="13">
    <tableColumn id="11" xr3:uid="{72CE202A-C56C-4D63-9F9F-0DFF72BB5190}" uniqueName="11" name="День нед" queryTableFieldId="39" dataDxfId="538"/>
    <tableColumn id="8" xr3:uid="{0D9F5C4C-70B0-46E2-9E29-649E206B6616}" uniqueName="8" name="Дата" queryTableFieldId="19" dataDxfId="537"/>
    <tableColumn id="9" xr3:uid="{7C8561D4-BD7D-493F-BC95-213F2D55F3FD}" uniqueName="9" name="Время" queryTableFieldId="20" dataDxfId="536"/>
    <tableColumn id="5" xr3:uid="{E48795B2-2732-4E4A-81E8-B1585581420B}" uniqueName="5" name="Событие" queryTableFieldId="27" dataDxfId="535"/>
    <tableColumn id="7" xr3:uid="{F684EE24-0636-4EC2-AB94-A65EA5355534}" uniqueName="7" name="Объект" queryTableFieldId="29" dataDxfId="534"/>
    <tableColumn id="10" xr3:uid="{0C1B5273-277F-4438-B52D-9F868AD13DEE}" uniqueName="10" name="Груз" queryTableFieldId="30" dataDxfId="533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532"/>
    <tableColumn id="4" xr3:uid="{729433F6-F4FD-435B-851D-D34CC9060068}" uniqueName="4" name="Name" queryTableFieldId="14" dataDxfId="531"/>
    <tableColumn id="1" xr3:uid="{7A9B9B80-B872-4A82-9D9D-98A75E20F89B}" uniqueName="1" name="Folder Path" queryTableFieldId="11" dataDxfId="530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529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82" tableType="queryTable" totalsRowShown="0">
  <tableColumns count="13">
    <tableColumn id="11" xr3:uid="{2CE691F0-1D02-41BD-8E81-7716875609CD}" uniqueName="11" name="День нед" queryTableFieldId="39" dataDxfId="528"/>
    <tableColumn id="8" xr3:uid="{1A2A3B97-F602-468E-8AD3-5DD492638A71}" uniqueName="8" name="Дата" queryTableFieldId="19" dataDxfId="527"/>
    <tableColumn id="9" xr3:uid="{E8725BDD-FF6C-47C3-9100-825160B93721}" uniqueName="9" name="Время" queryTableFieldId="20" dataDxfId="526"/>
    <tableColumn id="5" xr3:uid="{F68EB906-7F6F-4765-A5C8-9B40064179BE}" uniqueName="5" name="Событие" queryTableFieldId="27" dataDxfId="525"/>
    <tableColumn id="7" xr3:uid="{812FE0F9-0D7E-497C-893A-B104BA069155}" uniqueName="7" name="Объект" queryTableFieldId="29" dataDxfId="524"/>
    <tableColumn id="10" xr3:uid="{1679E688-A047-4936-9EBC-9BDCFEA4CD95}" uniqueName="10" name="Груз" queryTableFieldId="30" dataDxfId="52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522"/>
    <tableColumn id="4" xr3:uid="{F9F7F55E-2CCF-4A6B-892F-1C76C0668832}" uniqueName="4" name="Name" queryTableFieldId="14" dataDxfId="521"/>
    <tableColumn id="1" xr3:uid="{0AF9B05B-8D0E-4B8A-81D0-358A18429CE8}" uniqueName="1" name="Folder Path" queryTableFieldId="11" dataDxfId="52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51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383" tableType="queryTable" totalsRowShown="0">
  <tableColumns count="13">
    <tableColumn id="11" xr3:uid="{96A6BDDB-7ED5-4607-80F3-3FD842EAEE0A}" uniqueName="11" name="День нед" queryTableFieldId="39" dataDxfId="518"/>
    <tableColumn id="8" xr3:uid="{FBEC9ECA-BD5C-442E-BB86-7CCAEF9464D2}" uniqueName="8" name="Дата" queryTableFieldId="19" dataDxfId="517"/>
    <tableColumn id="9" xr3:uid="{68242AF7-BC60-4380-843B-35A6CC4A66E6}" uniqueName="9" name="Время" queryTableFieldId="20" dataDxfId="516"/>
    <tableColumn id="5" xr3:uid="{C98BCFD6-9DE9-4A28-B769-F5737933429D}" uniqueName="5" name="Событие" queryTableFieldId="27" dataDxfId="515"/>
    <tableColumn id="7" xr3:uid="{4D44F8D4-93A4-4851-894E-AC8CDD93BD71}" uniqueName="7" name="Объект" queryTableFieldId="29" dataDxfId="514"/>
    <tableColumn id="10" xr3:uid="{0A838B00-A88A-40EE-A542-7E8E08968D89}" uniqueName="10" name="Груз" queryTableFieldId="30" dataDxfId="513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512"/>
    <tableColumn id="4" xr3:uid="{4FA2E248-D5A3-4824-875F-C328FA9AC2F9}" uniqueName="4" name="Name" queryTableFieldId="14" dataDxfId="511"/>
    <tableColumn id="1" xr3:uid="{B01A6B83-82C4-4172-AD5B-D2AF410DBE1B}" uniqueName="1" name="Folder Path" queryTableFieldId="11" dataDxfId="510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50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55" tableType="queryTable" totalsRowShown="0">
  <tableColumns count="13">
    <tableColumn id="11" xr3:uid="{2AD64508-44AB-4871-8C82-4C5A1E5A5DD2}" uniqueName="11" name="День нед" queryTableFieldId="39" dataDxfId="488"/>
    <tableColumn id="8" xr3:uid="{C788117B-4896-492B-97B3-B2502F0537D8}" uniqueName="8" name="Дата" queryTableFieldId="19" dataDxfId="487"/>
    <tableColumn id="9" xr3:uid="{E3EF5757-6705-492A-BD76-A47D414757C0}" uniqueName="9" name="Время" queryTableFieldId="20" dataDxfId="486"/>
    <tableColumn id="5" xr3:uid="{EF049B28-F832-4F3D-AB4F-3C396920BF5B}" uniqueName="5" name="Событие" queryTableFieldId="27" dataDxfId="485"/>
    <tableColumn id="7" xr3:uid="{DDB63E42-2809-4377-A568-A326109989E9}" uniqueName="7" name="Объект" queryTableFieldId="29" dataDxfId="484"/>
    <tableColumn id="10" xr3:uid="{A4FCF3D3-582A-4DEF-8FB8-9D050C82517D}" uniqueName="10" name="Груз" queryTableFieldId="30" dataDxfId="483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482"/>
    <tableColumn id="4" xr3:uid="{DA63B8EC-3587-40B4-A86A-92B91C78723D}" uniqueName="4" name="Name" queryTableFieldId="14" dataDxfId="481"/>
    <tableColumn id="1" xr3:uid="{360C7476-DEC6-4377-8E95-D472C6673B12}" uniqueName="1" name="Folder Path" queryTableFieldId="11" dataDxfId="480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479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00" tableType="queryTable" totalsRowShown="0">
  <tableColumns count="13">
    <tableColumn id="11" xr3:uid="{C40005DE-8CA6-428A-9DF2-E715CC943F02}" uniqueName="11" name="День нед" queryTableFieldId="39" dataDxfId="508"/>
    <tableColumn id="8" xr3:uid="{55C75F47-F14F-483C-9C7A-95288D9463D6}" uniqueName="8" name="Дата" queryTableFieldId="19" dataDxfId="507"/>
    <tableColumn id="9" xr3:uid="{79D3981C-638A-4D64-BACB-D64D85DAC855}" uniqueName="9" name="Время" queryTableFieldId="20" dataDxfId="506"/>
    <tableColumn id="5" xr3:uid="{B0B848B5-29B2-4292-89A5-7DE5A2F72D15}" uniqueName="5" name="Событие" queryTableFieldId="27" dataDxfId="505"/>
    <tableColumn id="7" xr3:uid="{A9E0C8AC-2336-4969-BC3E-110E6C33529C}" uniqueName="7" name="Объект" queryTableFieldId="29" dataDxfId="504"/>
    <tableColumn id="10" xr3:uid="{F8691CA5-2689-452F-9550-C52E06B35BD6}" uniqueName="10" name="Груз" queryTableFieldId="30" dataDxfId="503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502"/>
    <tableColumn id="4" xr3:uid="{E9716AC2-8439-4E67-8698-BA6CD84F7B9C}" uniqueName="4" name="Name" queryTableFieldId="14" dataDxfId="501"/>
    <tableColumn id="1" xr3:uid="{9AB30DEC-91E3-4633-A156-B937B586CECB}" uniqueName="1" name="Folder Path" queryTableFieldId="11" dataDxfId="500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499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64" tableType="queryTable" totalsRowShown="0">
  <tableColumns count="13">
    <tableColumn id="11" xr3:uid="{B21CFC33-55C8-4073-BBD2-E0A5154A10D6}" uniqueName="11" name="День нед" queryTableFieldId="39" dataDxfId="498"/>
    <tableColumn id="8" xr3:uid="{004370C0-0D3C-4162-A392-32C741C3A58B}" uniqueName="8" name="Дата" queryTableFieldId="19" dataDxfId="497"/>
    <tableColumn id="9" xr3:uid="{6537DA5E-247D-44FB-ACE3-933B3C9B9408}" uniqueName="9" name="Время" queryTableFieldId="20" dataDxfId="496"/>
    <tableColumn id="5" xr3:uid="{4FA9309D-407E-48C1-B1F9-C33DEA7645B1}" uniqueName="5" name="Событие" queryTableFieldId="27" dataDxfId="495"/>
    <tableColumn id="7" xr3:uid="{76E54E9E-D730-4C99-9BF5-96E9384FF63C}" uniqueName="7" name="Объект" queryTableFieldId="29" dataDxfId="494"/>
    <tableColumn id="10" xr3:uid="{B9F78DE2-7938-486B-9BE2-F824D0E7A6C4}" uniqueName="10" name="Груз" queryTableFieldId="30" dataDxfId="493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492"/>
    <tableColumn id="4" xr3:uid="{921D28C1-5761-48A7-B447-6A4446F87545}" uniqueName="4" name="Name" queryTableFieldId="14" dataDxfId="491"/>
    <tableColumn id="1" xr3:uid="{F1A648C1-8DB5-4DEF-B011-BD85E17FCAA3}" uniqueName="1" name="Folder Path" queryTableFieldId="11" dataDxfId="490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489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2049" totalsRowShown="0">
  <autoFilter ref="A1:G2049" xr:uid="{803833C3-A4ED-4039-95A7-46694D1CE00F}">
    <filterColumn colId="6">
      <filters>
        <filter val="Склад хол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197" tableType="queryTable" totalsRowShown="0">
  <autoFilter ref="A1:M197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9"/>
    <tableColumn id="3" xr3:uid="{8C3702C1-E43C-496C-A204-7587B7ED5C05}" uniqueName="3" name="Время" queryTableFieldId="3" dataDxfId="8"/>
    <tableColumn id="4" xr3:uid="{C16264D0-558B-425C-8205-E671C6E3EB9E}" uniqueName="4" name="Событие" queryTableFieldId="4" dataDxfId="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6"/>
    <tableColumn id="10" xr3:uid="{37082223-0A57-495F-97B8-0BCE1F173A2E}" uniqueName="10" name="Folder Path" queryTableFieldId="10" dataDxfId="5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333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581"/>
    <tableColumn id="10" xr3:uid="{2646CF32-E994-4A14-AEA5-9E938118AF27}" uniqueName="10" name="Folder Path" queryTableFieldId="10" dataDxfId="580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29"/>
  <sheetViews>
    <sheetView zoomScale="90" zoomScaleNormal="90" workbookViewId="0">
      <pane ySplit="1" topLeftCell="A110" activePane="bottomLeft" state="frozen"/>
      <selection pane="bottomLeft" activeCell="E124" sqref="E124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customWidth="1"/>
    <col min="10" max="10" width="45.5703125" bestFit="1" customWidth="1"/>
    <col min="11" max="11" width="56.85546875" customWidth="1"/>
    <col min="12" max="12" width="24.5703125" bestFit="1" customWidth="1"/>
    <col min="13" max="13" width="56.85546875" bestFit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130:E143 D130:D140 G2:H129 D2:E129">
    <cfRule type="containsText" dxfId="478" priority="23" operator="containsText" text="Выезд с территории">
      <formula>NOT(ISERROR(SEARCH("Выезд с территории",D2)))</formula>
    </cfRule>
  </conditionalFormatting>
  <conditionalFormatting sqref="F2:F617">
    <cfRule type="notContainsText" dxfId="477" priority="21" operator="notContains" text="порожний">
      <formula>ISERROR(SEARCH("порожний",F2))</formula>
    </cfRule>
  </conditionalFormatting>
  <conditionalFormatting sqref="E2:E143">
    <cfRule type="containsText" dxfId="476" priority="12" operator="containsText" text="Газель базы">
      <formula>NOT(ISERROR(SEARCH("Газель базы",E2)))</formula>
    </cfRule>
    <cfRule type="containsText" dxfId="475" priority="13" operator="containsText" text="Погрузчик базы">
      <formula>NOT(ISERROR(SEARCH("Погрузчик базы",E2)))</formula>
    </cfRule>
  </conditionalFormatting>
  <conditionalFormatting sqref="E2:E143">
    <cfRule type="containsText" dxfId="474" priority="11" operator="containsText" text="Трактор базы">
      <formula>NOT(ISERROR(SEARCH("Трактор базы",E2)))</formula>
    </cfRule>
  </conditionalFormatting>
  <conditionalFormatting sqref="A2:C129">
    <cfRule type="expression" dxfId="473" priority="9">
      <formula>$A2="пн"</formula>
    </cfRule>
  </conditionalFormatting>
  <conditionalFormatting sqref="A2:C131">
    <cfRule type="expression" dxfId="472" priority="3">
      <formula>$A2="вс"</formula>
    </cfRule>
    <cfRule type="expression" dxfId="471" priority="4">
      <formula>$A2="сб"</formula>
    </cfRule>
    <cfRule type="expression" dxfId="470" priority="5">
      <formula>$A2="пт"</formula>
    </cfRule>
    <cfRule type="expression" dxfId="469" priority="6">
      <formula>$A2="чт"</formula>
    </cfRule>
    <cfRule type="expression" dxfId="468" priority="7">
      <formula>$A2="ср"</formula>
    </cfRule>
    <cfRule type="expression" dxfId="467" priority="8">
      <formula>$A2="вт"</formula>
    </cfRule>
  </conditionalFormatting>
  <conditionalFormatting sqref="D2:D140">
    <cfRule type="containsText" dxfId="4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0">
    <cfRule type="containsText" dxfId="4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63"/>
  <sheetViews>
    <sheetView zoomScale="90" zoomScaleNormal="90" workbookViewId="0">
      <pane ySplit="1" topLeftCell="A147" activePane="bottomLeft" state="frozen"/>
      <selection pane="bottomLeft" activeCell="D171" sqref="D171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5" bestFit="1" customWidth="1"/>
    <col min="7" max="7" width="9.7109375" bestFit="1" customWidth="1"/>
    <col min="8" max="8" width="30.140625" bestFit="1" customWidth="1"/>
    <col min="9" max="9" width="35.42578125" customWidth="1"/>
    <col min="10" max="10" width="43.140625" bestFit="1" customWidth="1"/>
    <col min="11" max="11" width="54.42578125" customWidth="1"/>
    <col min="12" max="12" width="24.5703125" customWidth="1"/>
    <col min="13" max="13" width="54.42578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3071</v>
      </c>
      <c r="H49" t="s">
        <v>3072</v>
      </c>
      <c r="I49" t="s">
        <v>3020</v>
      </c>
      <c r="J49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3073</v>
      </c>
      <c r="E50" t="s">
        <v>86</v>
      </c>
      <c r="F50" t="s">
        <v>3071</v>
      </c>
      <c r="H50" t="s">
        <v>3074</v>
      </c>
      <c r="I50" t="s">
        <v>3023</v>
      </c>
      <c r="J50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3071</v>
      </c>
      <c r="H51" t="s">
        <v>3072</v>
      </c>
      <c r="I51" t="s">
        <v>3026</v>
      </c>
      <c r="J51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3073</v>
      </c>
      <c r="E52" t="s">
        <v>86</v>
      </c>
      <c r="F52" t="s">
        <v>3071</v>
      </c>
      <c r="H52" t="s">
        <v>3074</v>
      </c>
      <c r="I52" t="s">
        <v>3029</v>
      </c>
      <c r="J52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3075</v>
      </c>
      <c r="I53" t="s">
        <v>3032</v>
      </c>
      <c r="J53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3071</v>
      </c>
      <c r="H54" t="s">
        <v>3072</v>
      </c>
      <c r="I54" t="s">
        <v>3035</v>
      </c>
      <c r="J54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3073</v>
      </c>
      <c r="E55" t="s">
        <v>86</v>
      </c>
      <c r="F55" t="s">
        <v>3071</v>
      </c>
      <c r="H55" t="s">
        <v>3074</v>
      </c>
      <c r="I55" t="s">
        <v>3038</v>
      </c>
      <c r="J55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3071</v>
      </c>
      <c r="H56" t="s">
        <v>3072</v>
      </c>
      <c r="I56" t="s">
        <v>3041</v>
      </c>
      <c r="J56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3073</v>
      </c>
      <c r="E57" t="s">
        <v>86</v>
      </c>
      <c r="F57" t="s">
        <v>3071</v>
      </c>
      <c r="H57" t="s">
        <v>3074</v>
      </c>
      <c r="I57" t="s">
        <v>3044</v>
      </c>
      <c r="J57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3071</v>
      </c>
      <c r="H58" t="s">
        <v>3072</v>
      </c>
      <c r="I58" t="s">
        <v>3047</v>
      </c>
      <c r="J5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3073</v>
      </c>
      <c r="E59" t="s">
        <v>86</v>
      </c>
      <c r="F59" t="s">
        <v>3071</v>
      </c>
      <c r="H59" t="s">
        <v>3074</v>
      </c>
      <c r="I59" t="s">
        <v>3050</v>
      </c>
      <c r="J59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3076</v>
      </c>
      <c r="G60">
        <v>1</v>
      </c>
      <c r="I60" t="s">
        <v>3053</v>
      </c>
      <c r="J60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3073</v>
      </c>
      <c r="E61" t="s">
        <v>86</v>
      </c>
      <c r="F61" t="s">
        <v>3076</v>
      </c>
      <c r="G61">
        <v>1</v>
      </c>
      <c r="H61" t="s">
        <v>3077</v>
      </c>
      <c r="I61" t="s">
        <v>3056</v>
      </c>
      <c r="J61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3076</v>
      </c>
      <c r="G62">
        <v>1</v>
      </c>
      <c r="I62" t="s">
        <v>3059</v>
      </c>
      <c r="J62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3073</v>
      </c>
      <c r="E63" t="s">
        <v>86</v>
      </c>
      <c r="F63" t="s">
        <v>3076</v>
      </c>
      <c r="G63">
        <v>1</v>
      </c>
      <c r="H63" t="s">
        <v>3077</v>
      </c>
      <c r="I63" t="s">
        <v>3062</v>
      </c>
      <c r="J63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3075</v>
      </c>
      <c r="I64" t="s">
        <v>3065</v>
      </c>
      <c r="J64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3078</v>
      </c>
      <c r="I65" t="s">
        <v>3068</v>
      </c>
      <c r="J65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4198</v>
      </c>
      <c r="E66" t="s">
        <v>4192</v>
      </c>
      <c r="F66" t="s">
        <v>51</v>
      </c>
      <c r="I66" t="s">
        <v>3261</v>
      </c>
      <c r="J66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4199</v>
      </c>
      <c r="E67" t="s">
        <v>4200</v>
      </c>
      <c r="H67" t="s">
        <v>3075</v>
      </c>
      <c r="I67" t="s">
        <v>3264</v>
      </c>
      <c r="J67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4199</v>
      </c>
      <c r="E68" t="s">
        <v>4200</v>
      </c>
      <c r="H68" t="s">
        <v>2936</v>
      </c>
      <c r="I68" t="s">
        <v>3267</v>
      </c>
      <c r="J6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4199</v>
      </c>
      <c r="E69" t="s">
        <v>4200</v>
      </c>
      <c r="H69" t="s">
        <v>2936</v>
      </c>
      <c r="I69" t="s">
        <v>3270</v>
      </c>
      <c r="J69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4199</v>
      </c>
      <c r="E70" t="s">
        <v>4200</v>
      </c>
      <c r="H70" t="s">
        <v>2936</v>
      </c>
      <c r="I70" t="s">
        <v>3273</v>
      </c>
      <c r="J70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4199</v>
      </c>
      <c r="E71" t="s">
        <v>4200</v>
      </c>
      <c r="H71" t="s">
        <v>2936</v>
      </c>
      <c r="I71" t="s">
        <v>3276</v>
      </c>
      <c r="J71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4199</v>
      </c>
      <c r="E72" t="s">
        <v>4200</v>
      </c>
      <c r="H72" t="s">
        <v>2936</v>
      </c>
      <c r="I72" t="s">
        <v>3279</v>
      </c>
      <c r="J72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4199</v>
      </c>
      <c r="E73" t="s">
        <v>4200</v>
      </c>
      <c r="H73" t="s">
        <v>2936</v>
      </c>
      <c r="I73" t="s">
        <v>3282</v>
      </c>
      <c r="J73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4199</v>
      </c>
      <c r="E74" t="s">
        <v>4200</v>
      </c>
      <c r="H74" t="s">
        <v>2936</v>
      </c>
      <c r="I74" t="s">
        <v>3285</v>
      </c>
      <c r="J74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4199</v>
      </c>
      <c r="E75" t="s">
        <v>4200</v>
      </c>
      <c r="H75" t="s">
        <v>2936</v>
      </c>
      <c r="I75" t="s">
        <v>3288</v>
      </c>
      <c r="J75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4199</v>
      </c>
      <c r="E76" t="s">
        <v>4200</v>
      </c>
      <c r="H76" t="s">
        <v>2936</v>
      </c>
      <c r="I76" t="s">
        <v>3291</v>
      </c>
      <c r="J76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4199</v>
      </c>
      <c r="E77" t="s">
        <v>4200</v>
      </c>
      <c r="H77" t="s">
        <v>2936</v>
      </c>
      <c r="I77" t="s">
        <v>3294</v>
      </c>
      <c r="J77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3071</v>
      </c>
      <c r="H78" t="s">
        <v>3072</v>
      </c>
      <c r="I78" t="s">
        <v>3297</v>
      </c>
      <c r="J7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3073</v>
      </c>
      <c r="E79" t="s">
        <v>86</v>
      </c>
      <c r="F79" t="s">
        <v>3071</v>
      </c>
      <c r="H79" t="s">
        <v>3074</v>
      </c>
      <c r="I79" t="s">
        <v>3300</v>
      </c>
      <c r="J79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3071</v>
      </c>
      <c r="H80" t="s">
        <v>3072</v>
      </c>
      <c r="I80" t="s">
        <v>3303</v>
      </c>
      <c r="J80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3073</v>
      </c>
      <c r="E81" t="s">
        <v>86</v>
      </c>
      <c r="F81" t="s">
        <v>3071</v>
      </c>
      <c r="H81" t="s">
        <v>3074</v>
      </c>
      <c r="I81" t="s">
        <v>3306</v>
      </c>
      <c r="J81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3071</v>
      </c>
      <c r="H82" t="s">
        <v>3072</v>
      </c>
      <c r="I82" t="s">
        <v>3309</v>
      </c>
      <c r="J82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3073</v>
      </c>
      <c r="E83" t="s">
        <v>86</v>
      </c>
      <c r="F83" t="s">
        <v>3071</v>
      </c>
      <c r="H83" t="s">
        <v>3074</v>
      </c>
      <c r="I83" t="s">
        <v>3312</v>
      </c>
      <c r="J83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3071</v>
      </c>
      <c r="H84" t="s">
        <v>3072</v>
      </c>
      <c r="I84" t="s">
        <v>3315</v>
      </c>
      <c r="J84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3073</v>
      </c>
      <c r="E85" t="s">
        <v>86</v>
      </c>
      <c r="F85" t="s">
        <v>3071</v>
      </c>
      <c r="H85" t="s">
        <v>3074</v>
      </c>
      <c r="I85" t="s">
        <v>3318</v>
      </c>
      <c r="J85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4202</v>
      </c>
      <c r="E86" t="s">
        <v>4193</v>
      </c>
      <c r="F86" t="s">
        <v>51</v>
      </c>
      <c r="I86" t="s">
        <v>3321</v>
      </c>
      <c r="J86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4202</v>
      </c>
      <c r="E87" t="s">
        <v>4193</v>
      </c>
      <c r="F87" t="s">
        <v>51</v>
      </c>
      <c r="H87" t="s">
        <v>2936</v>
      </c>
      <c r="I87" t="s">
        <v>3324</v>
      </c>
      <c r="J87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4202</v>
      </c>
      <c r="E88" t="s">
        <v>4193</v>
      </c>
      <c r="F88" t="s">
        <v>51</v>
      </c>
      <c r="H88" t="s">
        <v>2936</v>
      </c>
      <c r="I88" t="s">
        <v>3327</v>
      </c>
      <c r="J8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4201</v>
      </c>
      <c r="E89" t="s">
        <v>4193</v>
      </c>
      <c r="I89" t="s">
        <v>3330</v>
      </c>
      <c r="J89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3078</v>
      </c>
      <c r="I90" t="s">
        <v>3333</v>
      </c>
      <c r="J90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4258</v>
      </c>
      <c r="J91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5078</v>
      </c>
      <c r="E92" t="s">
        <v>1607</v>
      </c>
      <c r="F92" t="s">
        <v>5079</v>
      </c>
      <c r="H92" t="s">
        <v>5080</v>
      </c>
      <c r="I92" t="s">
        <v>4299</v>
      </c>
      <c r="J92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5081</v>
      </c>
      <c r="E93" t="s">
        <v>86</v>
      </c>
      <c r="F93" t="s">
        <v>3071</v>
      </c>
      <c r="H93" t="s">
        <v>5082</v>
      </c>
      <c r="I93" t="s">
        <v>4302</v>
      </c>
      <c r="J93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4305</v>
      </c>
      <c r="J94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4308</v>
      </c>
      <c r="J95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5081</v>
      </c>
      <c r="E96" t="s">
        <v>86</v>
      </c>
      <c r="F96" t="s">
        <v>2938</v>
      </c>
      <c r="H96" t="s">
        <v>5082</v>
      </c>
      <c r="I96" t="s">
        <v>4311</v>
      </c>
      <c r="J96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5083</v>
      </c>
      <c r="H97" t="s">
        <v>5084</v>
      </c>
      <c r="I97" t="s">
        <v>4314</v>
      </c>
      <c r="J97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4318</v>
      </c>
      <c r="J9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3075</v>
      </c>
      <c r="I99" t="s">
        <v>4321</v>
      </c>
      <c r="J99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3075</v>
      </c>
      <c r="I100" t="s">
        <v>4324</v>
      </c>
      <c r="J100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3075</v>
      </c>
      <c r="I101" t="s">
        <v>4327</v>
      </c>
      <c r="J101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3075</v>
      </c>
      <c r="I102" t="s">
        <v>4330</v>
      </c>
      <c r="J102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3075</v>
      </c>
      <c r="I103" t="s">
        <v>4333</v>
      </c>
      <c r="J103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3075</v>
      </c>
      <c r="I104" t="s">
        <v>4336</v>
      </c>
      <c r="J104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3075</v>
      </c>
      <c r="I105" t="s">
        <v>4339</v>
      </c>
      <c r="J105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5085</v>
      </c>
      <c r="G106">
        <v>3</v>
      </c>
      <c r="H106" t="s">
        <v>3075</v>
      </c>
      <c r="I106" t="s">
        <v>4342</v>
      </c>
      <c r="J106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5085</v>
      </c>
      <c r="G107">
        <v>3</v>
      </c>
      <c r="H107" t="s">
        <v>3075</v>
      </c>
      <c r="I107" t="s">
        <v>4345</v>
      </c>
      <c r="J107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5085</v>
      </c>
      <c r="G108">
        <v>3</v>
      </c>
      <c r="H108" t="s">
        <v>3075</v>
      </c>
      <c r="I108" t="s">
        <v>4348</v>
      </c>
      <c r="J10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4221</v>
      </c>
      <c r="E109" t="s">
        <v>86</v>
      </c>
      <c r="F109" t="s">
        <v>4240</v>
      </c>
      <c r="H109" t="s">
        <v>4236</v>
      </c>
      <c r="I109" t="s">
        <v>4351</v>
      </c>
      <c r="J109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4221</v>
      </c>
      <c r="E110" t="s">
        <v>86</v>
      </c>
      <c r="F110" t="s">
        <v>4240</v>
      </c>
      <c r="H110" t="s">
        <v>2936</v>
      </c>
      <c r="I110" t="s">
        <v>4354</v>
      </c>
      <c r="J110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5085</v>
      </c>
      <c r="G111">
        <v>3</v>
      </c>
      <c r="H111" t="s">
        <v>3075</v>
      </c>
      <c r="I111" t="s">
        <v>4357</v>
      </c>
      <c r="J111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3075</v>
      </c>
      <c r="I112" t="s">
        <v>4360</v>
      </c>
      <c r="J112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3075</v>
      </c>
      <c r="I113" t="s">
        <v>4363</v>
      </c>
      <c r="J113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3075</v>
      </c>
      <c r="I114" t="s">
        <v>4366</v>
      </c>
      <c r="J114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3075</v>
      </c>
      <c r="I115" t="s">
        <v>4369</v>
      </c>
      <c r="J115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3075</v>
      </c>
      <c r="I116" t="s">
        <v>4372</v>
      </c>
      <c r="J116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3075</v>
      </c>
      <c r="I117" t="s">
        <v>4375</v>
      </c>
      <c r="J117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4221</v>
      </c>
      <c r="E118" t="s">
        <v>86</v>
      </c>
      <c r="F118" t="s">
        <v>2938</v>
      </c>
      <c r="H118" t="s">
        <v>4236</v>
      </c>
      <c r="I118" t="s">
        <v>4378</v>
      </c>
      <c r="J11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4221</v>
      </c>
      <c r="E119" t="s">
        <v>86</v>
      </c>
      <c r="F119" t="s">
        <v>2938</v>
      </c>
      <c r="H119" t="s">
        <v>2936</v>
      </c>
      <c r="I119" t="s">
        <v>4381</v>
      </c>
      <c r="J119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3075</v>
      </c>
      <c r="I120" t="s">
        <v>4384</v>
      </c>
      <c r="J120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3075</v>
      </c>
      <c r="I121" t="s">
        <v>4387</v>
      </c>
      <c r="J121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3075</v>
      </c>
      <c r="I122" t="s">
        <v>4390</v>
      </c>
      <c r="J122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3075</v>
      </c>
      <c r="I123" t="s">
        <v>4393</v>
      </c>
      <c r="J123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3075</v>
      </c>
      <c r="I124" t="s">
        <v>4396</v>
      </c>
      <c r="J124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4399</v>
      </c>
      <c r="J125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5196</v>
      </c>
      <c r="J126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t="s">
        <v>4</v>
      </c>
      <c r="E127" t="s">
        <v>4193</v>
      </c>
      <c r="F127" t="s">
        <v>5076</v>
      </c>
      <c r="I127" t="s">
        <v>5282</v>
      </c>
      <c r="J127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t="s">
        <v>4</v>
      </c>
      <c r="E128" t="s">
        <v>4193</v>
      </c>
      <c r="F128" t="s">
        <v>5076</v>
      </c>
      <c r="H128" t="s">
        <v>5474</v>
      </c>
      <c r="I128" t="s">
        <v>5269</v>
      </c>
      <c r="J12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t="s">
        <v>158</v>
      </c>
      <c r="E129" t="s">
        <v>86</v>
      </c>
      <c r="F129" t="s">
        <v>200</v>
      </c>
      <c r="G129">
        <v>3</v>
      </c>
      <c r="H129" t="s">
        <v>3075</v>
      </c>
      <c r="I129" t="s">
        <v>5285</v>
      </c>
      <c r="J129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t="s">
        <v>158</v>
      </c>
      <c r="E130" t="s">
        <v>86</v>
      </c>
      <c r="F130" t="s">
        <v>200</v>
      </c>
      <c r="G130">
        <v>4</v>
      </c>
      <c r="H130" t="s">
        <v>3075</v>
      </c>
      <c r="I130" t="s">
        <v>5288</v>
      </c>
      <c r="J130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t="s">
        <v>4</v>
      </c>
      <c r="E131" t="s">
        <v>5475</v>
      </c>
      <c r="F131" t="s">
        <v>5076</v>
      </c>
      <c r="H131" t="s">
        <v>5474</v>
      </c>
      <c r="I131" t="s">
        <v>5291</v>
      </c>
      <c r="J131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t="s">
        <v>4</v>
      </c>
      <c r="E132" t="s">
        <v>8</v>
      </c>
      <c r="I132" t="s">
        <v>5294</v>
      </c>
      <c r="J132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t="s">
        <v>4198</v>
      </c>
      <c r="E133" t="s">
        <v>86</v>
      </c>
      <c r="F133" t="s">
        <v>6170</v>
      </c>
      <c r="I133" t="s">
        <v>5506</v>
      </c>
      <c r="J133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t="s">
        <v>1606</v>
      </c>
      <c r="E134" t="s">
        <v>4193</v>
      </c>
      <c r="F134" t="s">
        <v>5076</v>
      </c>
      <c r="I134" t="s">
        <v>5509</v>
      </c>
      <c r="J134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t="s">
        <v>6171</v>
      </c>
      <c r="E135" t="s">
        <v>4193</v>
      </c>
      <c r="F135" t="s">
        <v>5076</v>
      </c>
      <c r="H135" t="s">
        <v>5474</v>
      </c>
      <c r="I135" t="s">
        <v>5512</v>
      </c>
      <c r="J135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t="s">
        <v>1606</v>
      </c>
      <c r="E136" t="s">
        <v>4193</v>
      </c>
      <c r="F136" t="s">
        <v>5076</v>
      </c>
      <c r="I136" t="s">
        <v>5515</v>
      </c>
      <c r="J136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t="s">
        <v>6171</v>
      </c>
      <c r="E137" t="s">
        <v>4193</v>
      </c>
      <c r="F137" t="s">
        <v>5076</v>
      </c>
      <c r="H137" t="s">
        <v>5474</v>
      </c>
      <c r="I137" t="s">
        <v>5518</v>
      </c>
      <c r="J137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t="s">
        <v>4198</v>
      </c>
      <c r="E138" t="s">
        <v>86</v>
      </c>
      <c r="F138" t="s">
        <v>2944</v>
      </c>
      <c r="I138" t="s">
        <v>5521</v>
      </c>
      <c r="J13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t="s">
        <v>4198</v>
      </c>
      <c r="E139" t="s">
        <v>86</v>
      </c>
      <c r="F139" t="s">
        <v>2944</v>
      </c>
      <c r="H139" t="s">
        <v>2936</v>
      </c>
      <c r="I139" t="s">
        <v>5524</v>
      </c>
      <c r="J139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t="s">
        <v>4198</v>
      </c>
      <c r="E140" t="s">
        <v>86</v>
      </c>
      <c r="F140" t="s">
        <v>528</v>
      </c>
      <c r="I140" t="s">
        <v>5527</v>
      </c>
      <c r="J140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t="s">
        <v>4198</v>
      </c>
      <c r="E141" t="s">
        <v>86</v>
      </c>
      <c r="F141" t="s">
        <v>528</v>
      </c>
      <c r="H141" t="s">
        <v>2936</v>
      </c>
      <c r="I141" t="s">
        <v>5530</v>
      </c>
      <c r="J141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t="s">
        <v>1606</v>
      </c>
      <c r="E142" t="s">
        <v>4193</v>
      </c>
      <c r="F142" t="s">
        <v>5076</v>
      </c>
      <c r="I142" t="s">
        <v>5533</v>
      </c>
      <c r="J142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t="s">
        <v>6171</v>
      </c>
      <c r="E143" t="s">
        <v>4193</v>
      </c>
      <c r="F143" t="s">
        <v>5076</v>
      </c>
      <c r="H143" t="s">
        <v>5474</v>
      </c>
      <c r="I143" t="s">
        <v>5536</v>
      </c>
      <c r="J143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t="s">
        <v>4</v>
      </c>
      <c r="E144" t="s">
        <v>8</v>
      </c>
      <c r="I144" t="s">
        <v>5801</v>
      </c>
      <c r="J144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t="s">
        <v>4198</v>
      </c>
      <c r="E145" t="s">
        <v>86</v>
      </c>
      <c r="F145" t="s">
        <v>6172</v>
      </c>
      <c r="I145" t="s">
        <v>5804</v>
      </c>
      <c r="J145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t="s">
        <v>158</v>
      </c>
      <c r="E146" t="s">
        <v>86</v>
      </c>
      <c r="F146" t="s">
        <v>200</v>
      </c>
      <c r="G146">
        <v>3</v>
      </c>
      <c r="H146" t="s">
        <v>3075</v>
      </c>
      <c r="I146" t="s">
        <v>5807</v>
      </c>
      <c r="J146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t="s">
        <v>158</v>
      </c>
      <c r="E147" t="s">
        <v>86</v>
      </c>
      <c r="F147" t="s">
        <v>200</v>
      </c>
      <c r="G147">
        <v>4</v>
      </c>
      <c r="H147" t="s">
        <v>3075</v>
      </c>
      <c r="I147" t="s">
        <v>5810</v>
      </c>
      <c r="J147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t="s">
        <v>158</v>
      </c>
      <c r="E148" t="s">
        <v>86</v>
      </c>
      <c r="F148" t="s">
        <v>60</v>
      </c>
      <c r="G148">
        <v>2</v>
      </c>
      <c r="H148" t="s">
        <v>3075</v>
      </c>
      <c r="I148" t="s">
        <v>5813</v>
      </c>
      <c r="J14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t="s">
        <v>158</v>
      </c>
      <c r="E149" t="s">
        <v>86</v>
      </c>
      <c r="F149" t="s">
        <v>200</v>
      </c>
      <c r="G149">
        <v>2</v>
      </c>
      <c r="H149" t="s">
        <v>3075</v>
      </c>
      <c r="I149" t="s">
        <v>5816</v>
      </c>
      <c r="J149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t="s">
        <v>158</v>
      </c>
      <c r="E150" t="s">
        <v>86</v>
      </c>
      <c r="F150" t="s">
        <v>60</v>
      </c>
      <c r="G150">
        <v>3</v>
      </c>
      <c r="H150" t="s">
        <v>3075</v>
      </c>
      <c r="I150" t="s">
        <v>5819</v>
      </c>
      <c r="J150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t="s">
        <v>158</v>
      </c>
      <c r="E151" t="s">
        <v>86</v>
      </c>
      <c r="F151" t="s">
        <v>60</v>
      </c>
      <c r="G151">
        <v>3</v>
      </c>
      <c r="H151" t="s">
        <v>3075</v>
      </c>
      <c r="I151" t="s">
        <v>5822</v>
      </c>
      <c r="J151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t="s">
        <v>158</v>
      </c>
      <c r="E152" t="s">
        <v>86</v>
      </c>
      <c r="F152" t="s">
        <v>200</v>
      </c>
      <c r="G152">
        <v>2</v>
      </c>
      <c r="H152" t="s">
        <v>3075</v>
      </c>
      <c r="I152" t="s">
        <v>5825</v>
      </c>
      <c r="J152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t="s">
        <v>2004</v>
      </c>
      <c r="E153" t="s">
        <v>8</v>
      </c>
      <c r="I153" t="s">
        <v>6020</v>
      </c>
      <c r="J153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t="s">
        <v>2004</v>
      </c>
      <c r="E154" t="s">
        <v>8</v>
      </c>
      <c r="I154" t="s">
        <v>6192</v>
      </c>
      <c r="J154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t="s">
        <v>289</v>
      </c>
      <c r="E155" t="s">
        <v>86</v>
      </c>
      <c r="F155" t="s">
        <v>4240</v>
      </c>
      <c r="I155" t="s">
        <v>6281</v>
      </c>
      <c r="J155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t="s">
        <v>4198</v>
      </c>
      <c r="E156" t="s">
        <v>86</v>
      </c>
      <c r="F156" t="s">
        <v>4240</v>
      </c>
      <c r="H156" t="s">
        <v>1620</v>
      </c>
      <c r="I156" t="s">
        <v>6284</v>
      </c>
      <c r="J156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t="s">
        <v>4198</v>
      </c>
      <c r="E157" t="s">
        <v>86</v>
      </c>
      <c r="F157" t="s">
        <v>6182</v>
      </c>
      <c r="H157" t="s">
        <v>6339</v>
      </c>
      <c r="I157" t="s">
        <v>6287</v>
      </c>
      <c r="J157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t="s">
        <v>1606</v>
      </c>
      <c r="E158" t="s">
        <v>4193</v>
      </c>
      <c r="F158" t="s">
        <v>5076</v>
      </c>
      <c r="I158" t="s">
        <v>6290</v>
      </c>
      <c r="J15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t="s">
        <v>6171</v>
      </c>
      <c r="E159" t="s">
        <v>4193</v>
      </c>
      <c r="F159" t="s">
        <v>5076</v>
      </c>
      <c r="H159" t="s">
        <v>5474</v>
      </c>
      <c r="I159" t="s">
        <v>6293</v>
      </c>
      <c r="J159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t="s">
        <v>650</v>
      </c>
      <c r="E160" t="s">
        <v>4193</v>
      </c>
      <c r="F160" t="s">
        <v>5076</v>
      </c>
      <c r="I160" t="s">
        <v>6297</v>
      </c>
      <c r="J160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t="s">
        <v>158</v>
      </c>
      <c r="E161" t="s">
        <v>86</v>
      </c>
      <c r="F161" t="s">
        <v>528</v>
      </c>
      <c r="G161">
        <v>1</v>
      </c>
      <c r="H161" t="s">
        <v>3075</v>
      </c>
      <c r="I161" t="s">
        <v>6300</v>
      </c>
      <c r="J161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t="s">
        <v>158</v>
      </c>
      <c r="E162" t="s">
        <v>86</v>
      </c>
      <c r="F162" t="s">
        <v>528</v>
      </c>
      <c r="G162">
        <v>1</v>
      </c>
      <c r="H162" t="s">
        <v>3075</v>
      </c>
      <c r="I162" t="s">
        <v>6303</v>
      </c>
      <c r="J162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t="s">
        <v>158</v>
      </c>
      <c r="E163" t="s">
        <v>86</v>
      </c>
      <c r="F163" t="s">
        <v>200</v>
      </c>
      <c r="G163">
        <v>1</v>
      </c>
      <c r="H163" t="s">
        <v>3075</v>
      </c>
      <c r="I163" t="s">
        <v>6306</v>
      </c>
      <c r="J163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</sheetData>
  <conditionalFormatting sqref="D164:D174 E164:E177 G2:H163 D2:E163">
    <cfRule type="containsText" dxfId="464" priority="14" operator="containsText" text="Выезд с территории">
      <formula>NOT(ISERROR(SEARCH("Выезд с территории",D2)))</formula>
    </cfRule>
  </conditionalFormatting>
  <conditionalFormatting sqref="F2:F163">
    <cfRule type="notContainsText" dxfId="463" priority="13" operator="notContains" text="порожний">
      <formula>ISERROR(SEARCH("порожний",F2))</formula>
    </cfRule>
  </conditionalFormatting>
  <conditionalFormatting sqref="E2:E177">
    <cfRule type="containsText" dxfId="462" priority="11" operator="containsText" text="Газель базы">
      <formula>NOT(ISERROR(SEARCH("Газель базы",E2)))</formula>
    </cfRule>
    <cfRule type="containsText" dxfId="461" priority="12" operator="containsText" text="Погрузчик базы">
      <formula>NOT(ISERROR(SEARCH("Погрузчик базы",E2)))</formula>
    </cfRule>
  </conditionalFormatting>
  <conditionalFormatting sqref="E2:E177">
    <cfRule type="containsText" dxfId="460" priority="10" operator="containsText" text="Трактор базы">
      <formula>NOT(ISERROR(SEARCH("Трактор базы",E2)))</formula>
    </cfRule>
  </conditionalFormatting>
  <conditionalFormatting sqref="A2:C163">
    <cfRule type="expression" dxfId="459" priority="9">
      <formula>$A2="пн"</formula>
    </cfRule>
  </conditionalFormatting>
  <conditionalFormatting sqref="A2:C165">
    <cfRule type="expression" dxfId="458" priority="3">
      <formula>$A2="вс"</formula>
    </cfRule>
    <cfRule type="expression" dxfId="457" priority="4">
      <formula>$A2="сб"</formula>
    </cfRule>
    <cfRule type="expression" dxfId="456" priority="5">
      <formula>$A2="пт"</formula>
    </cfRule>
    <cfRule type="expression" dxfId="455" priority="6">
      <formula>$A2="чт"</formula>
    </cfRule>
    <cfRule type="expression" dxfId="454" priority="7">
      <formula>$A2="ср"</formula>
    </cfRule>
    <cfRule type="expression" dxfId="453" priority="8">
      <formula>$A2="вт"</formula>
    </cfRule>
  </conditionalFormatting>
  <conditionalFormatting sqref="D2:D174">
    <cfRule type="containsText" dxfId="4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4">
    <cfRule type="containsText" dxfId="4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86"/>
  <sheetViews>
    <sheetView zoomScale="90" zoomScaleNormal="90" workbookViewId="0">
      <pane ySplit="1" topLeftCell="A62" activePane="bottomLeft" state="frozen"/>
      <selection pane="bottomLeft" activeCell="I86" sqref="I86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bestFit="1" customWidth="1"/>
    <col min="11" max="11" width="50.7109375" customWidth="1"/>
    <col min="12" max="12" width="24.5703125" customWidth="1"/>
    <col min="13" max="13" width="50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4203</v>
      </c>
      <c r="I45" t="s">
        <v>2082</v>
      </c>
      <c r="J45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3336</v>
      </c>
      <c r="J49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3339</v>
      </c>
      <c r="J50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3342</v>
      </c>
      <c r="J51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4204</v>
      </c>
      <c r="I52" t="s">
        <v>3345</v>
      </c>
      <c r="J52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3348</v>
      </c>
      <c r="J53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3351</v>
      </c>
      <c r="J54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4192</v>
      </c>
      <c r="F55" t="s">
        <v>58</v>
      </c>
      <c r="I55" t="s">
        <v>3354</v>
      </c>
      <c r="J55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3357</v>
      </c>
      <c r="J56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3360</v>
      </c>
      <c r="J57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3363</v>
      </c>
      <c r="J5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3366</v>
      </c>
      <c r="J59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3369</v>
      </c>
      <c r="J60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3372</v>
      </c>
      <c r="J61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3375</v>
      </c>
      <c r="J62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4194</v>
      </c>
      <c r="F63" t="s">
        <v>4196</v>
      </c>
      <c r="I63" t="s">
        <v>3378</v>
      </c>
      <c r="J63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4261</v>
      </c>
      <c r="J64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4558</v>
      </c>
      <c r="J65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4194</v>
      </c>
      <c r="H66" t="s">
        <v>5089</v>
      </c>
      <c r="I66" t="s">
        <v>4561</v>
      </c>
      <c r="J66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4564</v>
      </c>
      <c r="J67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4567</v>
      </c>
      <c r="J6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5086</v>
      </c>
      <c r="J69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4570</v>
      </c>
      <c r="J70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4573</v>
      </c>
      <c r="J71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5262</v>
      </c>
      <c r="F72" t="s">
        <v>1609</v>
      </c>
      <c r="I72" t="s">
        <v>5141</v>
      </c>
      <c r="J72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t="s">
        <v>4</v>
      </c>
      <c r="E73" t="s">
        <v>8</v>
      </c>
      <c r="I73" t="s">
        <v>5276</v>
      </c>
      <c r="J73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t="s">
        <v>2004</v>
      </c>
      <c r="I74" t="s">
        <v>5279</v>
      </c>
      <c r="J74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t="s">
        <v>4</v>
      </c>
      <c r="E75" t="s">
        <v>8</v>
      </c>
      <c r="I75" t="s">
        <v>5684</v>
      </c>
      <c r="J75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t="s">
        <v>4</v>
      </c>
      <c r="E76" t="s">
        <v>8</v>
      </c>
      <c r="I76" t="s">
        <v>5687</v>
      </c>
      <c r="J76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t="s">
        <v>4</v>
      </c>
      <c r="E77" t="s">
        <v>8</v>
      </c>
      <c r="I77" t="s">
        <v>5690</v>
      </c>
      <c r="J77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t="s">
        <v>2004</v>
      </c>
      <c r="E78" t="s">
        <v>8</v>
      </c>
      <c r="I78" t="s">
        <v>5693</v>
      </c>
      <c r="J7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t="s">
        <v>4</v>
      </c>
      <c r="E79" t="s">
        <v>8</v>
      </c>
      <c r="I79" t="s">
        <v>5846</v>
      </c>
      <c r="J79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t="s">
        <v>2004</v>
      </c>
      <c r="E80" t="s">
        <v>8</v>
      </c>
      <c r="I80" t="s">
        <v>5849</v>
      </c>
      <c r="J80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t="s">
        <v>2004</v>
      </c>
      <c r="E81" t="s">
        <v>8</v>
      </c>
      <c r="I81" t="s">
        <v>5852</v>
      </c>
      <c r="J81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t="s">
        <v>4</v>
      </c>
      <c r="E82" t="s">
        <v>8</v>
      </c>
      <c r="I82" t="s">
        <v>6065</v>
      </c>
      <c r="J82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t="s">
        <v>4</v>
      </c>
      <c r="E83" t="s">
        <v>8</v>
      </c>
      <c r="I83" t="s">
        <v>6068</v>
      </c>
      <c r="J83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t="s">
        <v>4</v>
      </c>
      <c r="E84" t="s">
        <v>8</v>
      </c>
      <c r="I84" t="s">
        <v>6071</v>
      </c>
      <c r="J84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t="s">
        <v>2004</v>
      </c>
      <c r="E85" t="s">
        <v>8</v>
      </c>
      <c r="I85" t="s">
        <v>6195</v>
      </c>
      <c r="J85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t="s">
        <v>4</v>
      </c>
      <c r="E86" t="s">
        <v>8</v>
      </c>
      <c r="I86" t="s">
        <v>6323</v>
      </c>
      <c r="J86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</sheetData>
  <conditionalFormatting sqref="D87:D97 E87:E100 G2:H86 D2:E86">
    <cfRule type="containsText" dxfId="450" priority="14" operator="containsText" text="Выезд с территории">
      <formula>NOT(ISERROR(SEARCH("Выезд с территории",D2)))</formula>
    </cfRule>
  </conditionalFormatting>
  <conditionalFormatting sqref="F2:F86">
    <cfRule type="notContainsText" dxfId="449" priority="13" operator="notContains" text="порожний">
      <formula>ISERROR(SEARCH("порожний",F2))</formula>
    </cfRule>
  </conditionalFormatting>
  <conditionalFormatting sqref="E2:E100">
    <cfRule type="containsText" dxfId="448" priority="11" operator="containsText" text="Газель базы">
      <formula>NOT(ISERROR(SEARCH("Газель базы",E2)))</formula>
    </cfRule>
    <cfRule type="containsText" dxfId="447" priority="12" operator="containsText" text="Погрузчик базы">
      <formula>NOT(ISERROR(SEARCH("Погрузчик базы",E2)))</formula>
    </cfRule>
  </conditionalFormatting>
  <conditionalFormatting sqref="E2:E100">
    <cfRule type="containsText" dxfId="446" priority="10" operator="containsText" text="Трактор базы">
      <formula>NOT(ISERROR(SEARCH("Трактор базы",E2)))</formula>
    </cfRule>
  </conditionalFormatting>
  <conditionalFormatting sqref="A2:C86">
    <cfRule type="expression" dxfId="445" priority="9">
      <formula>$A2="пн"</formula>
    </cfRule>
  </conditionalFormatting>
  <conditionalFormatting sqref="A2:C88">
    <cfRule type="expression" dxfId="444" priority="3">
      <formula>$A2="вс"</formula>
    </cfRule>
    <cfRule type="expression" dxfId="443" priority="4">
      <formula>$A2="сб"</formula>
    </cfRule>
    <cfRule type="expression" dxfId="442" priority="5">
      <formula>$A2="пт"</formula>
    </cfRule>
    <cfRule type="expression" dxfId="441" priority="6">
      <formula>$A2="чт"</formula>
    </cfRule>
    <cfRule type="expression" dxfId="440" priority="7">
      <formula>$A2="ср"</formula>
    </cfRule>
    <cfRule type="expression" dxfId="439" priority="8">
      <formula>$A2="вт"</formula>
    </cfRule>
  </conditionalFormatting>
  <conditionalFormatting sqref="D2:D97">
    <cfRule type="containsText" dxfId="4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7">
    <cfRule type="containsText" dxfId="4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85"/>
  <sheetViews>
    <sheetView zoomScale="90" zoomScaleNormal="90" workbookViewId="0">
      <pane ySplit="1" topLeftCell="A65" activePane="bottomLeft" state="frozen"/>
      <selection pane="bottomLeft" activeCell="I85" sqref="I8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35.85546875" bestFit="1" customWidth="1"/>
    <col min="6" max="6" width="20.140625" bestFit="1" customWidth="1"/>
    <col min="7" max="7" width="7.28515625" bestFit="1" customWidth="1"/>
    <col min="8" max="8" width="26.140625" bestFit="1" customWidth="1"/>
    <col min="9" max="9" width="36.7109375" customWidth="1"/>
    <col min="10" max="10" width="41.140625" bestFit="1" customWidth="1"/>
    <col min="11" max="11" width="53.5703125" customWidth="1"/>
    <col min="12" max="12" width="24.5703125" customWidth="1"/>
    <col min="13" max="13" width="53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</sheetData>
  <conditionalFormatting sqref="D86:D96 E86:E99 G2:H85 D2:E85">
    <cfRule type="containsText" dxfId="436" priority="14" operator="containsText" text="Выезд с территории">
      <formula>NOT(ISERROR(SEARCH("Выезд с территории",D2)))</formula>
    </cfRule>
  </conditionalFormatting>
  <conditionalFormatting sqref="F2:F85">
    <cfRule type="notContainsText" dxfId="435" priority="13" operator="notContains" text="порожний">
      <formula>ISERROR(SEARCH("порожний",F2))</formula>
    </cfRule>
  </conditionalFormatting>
  <conditionalFormatting sqref="E2:E99">
    <cfRule type="containsText" dxfId="434" priority="11" operator="containsText" text="Газель базы">
      <formula>NOT(ISERROR(SEARCH("Газель базы",E2)))</formula>
    </cfRule>
    <cfRule type="containsText" dxfId="433" priority="12" operator="containsText" text="Погрузчик базы">
      <formula>NOT(ISERROR(SEARCH("Погрузчик базы",E2)))</formula>
    </cfRule>
  </conditionalFormatting>
  <conditionalFormatting sqref="E2:E99">
    <cfRule type="containsText" dxfId="432" priority="10" operator="containsText" text="Трактор базы">
      <formula>NOT(ISERROR(SEARCH("Трактор базы",E2)))</formula>
    </cfRule>
  </conditionalFormatting>
  <conditionalFormatting sqref="A2:C85">
    <cfRule type="expression" dxfId="431" priority="9">
      <formula>$A2="пн"</formula>
    </cfRule>
  </conditionalFormatting>
  <conditionalFormatting sqref="A2:C87">
    <cfRule type="expression" dxfId="430" priority="3">
      <formula>$A2="вс"</formula>
    </cfRule>
    <cfRule type="expression" dxfId="429" priority="4">
      <formula>$A2="сб"</formula>
    </cfRule>
    <cfRule type="expression" dxfId="428" priority="5">
      <formula>$A2="пт"</formula>
    </cfRule>
    <cfRule type="expression" dxfId="427" priority="6">
      <formula>$A2="чт"</formula>
    </cfRule>
    <cfRule type="expression" dxfId="426" priority="7">
      <formula>$A2="ср"</formula>
    </cfRule>
    <cfRule type="expression" dxfId="425" priority="8">
      <formula>$A2="вт"</formula>
    </cfRule>
  </conditionalFormatting>
  <conditionalFormatting sqref="D2:D96">
    <cfRule type="containsText" dxfId="4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6">
    <cfRule type="containsText" dxfId="4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109"/>
  <sheetViews>
    <sheetView zoomScale="90" zoomScaleNormal="90" workbookViewId="0">
      <pane ySplit="1" topLeftCell="A88" activePane="bottomLeft" state="frozen"/>
      <selection pane="bottomLeft" activeCell="I108" sqref="I108:I11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710937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39.7109375" bestFit="1" customWidth="1"/>
    <col min="9" max="9" width="36.7109375" customWidth="1"/>
    <col min="10" max="10" width="42.42578125" bestFit="1" customWidth="1"/>
    <col min="11" max="11" width="54.85546875" customWidth="1"/>
    <col min="12" max="12" width="24.5703125" customWidth="1"/>
    <col min="13" max="13" width="54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t="s">
        <v>4</v>
      </c>
      <c r="E2" t="s">
        <v>8</v>
      </c>
      <c r="H2" t="s">
        <v>5</v>
      </c>
      <c r="I2" t="s">
        <v>333</v>
      </c>
      <c r="J2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t="s">
        <v>460</v>
      </c>
      <c r="E3" t="s">
        <v>461</v>
      </c>
      <c r="I3" t="s">
        <v>337</v>
      </c>
      <c r="J3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t="s">
        <v>7</v>
      </c>
      <c r="E4" t="s">
        <v>461</v>
      </c>
      <c r="I4" t="s">
        <v>340</v>
      </c>
      <c r="J4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t="s">
        <v>4</v>
      </c>
      <c r="E5" t="s">
        <v>463</v>
      </c>
      <c r="I5" t="s">
        <v>343</v>
      </c>
      <c r="J5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t="s">
        <v>4</v>
      </c>
      <c r="E6" t="s">
        <v>462</v>
      </c>
      <c r="I6" t="s">
        <v>346</v>
      </c>
      <c r="J6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t="s">
        <v>4</v>
      </c>
      <c r="E7" t="s">
        <v>462</v>
      </c>
      <c r="I7" t="s">
        <v>349</v>
      </c>
      <c r="J7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t="s">
        <v>4</v>
      </c>
      <c r="E8" t="s">
        <v>463</v>
      </c>
      <c r="I8" t="s">
        <v>352</v>
      </c>
      <c r="J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t="s">
        <v>4</v>
      </c>
      <c r="E9" t="s">
        <v>464</v>
      </c>
      <c r="I9" t="s">
        <v>355</v>
      </c>
      <c r="J9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t="s">
        <v>4</v>
      </c>
      <c r="E10" t="s">
        <v>8</v>
      </c>
      <c r="H10" t="s">
        <v>5</v>
      </c>
      <c r="I10" t="s">
        <v>358</v>
      </c>
      <c r="J10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t="s">
        <v>4</v>
      </c>
      <c r="E11" t="s">
        <v>465</v>
      </c>
      <c r="I11" t="s">
        <v>361</v>
      </c>
      <c r="J11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t="s">
        <v>467</v>
      </c>
      <c r="E12" t="s">
        <v>67</v>
      </c>
      <c r="I12" t="s">
        <v>364</v>
      </c>
      <c r="J12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t="s">
        <v>289</v>
      </c>
      <c r="E13" t="s">
        <v>67</v>
      </c>
      <c r="F13" t="s">
        <v>468</v>
      </c>
      <c r="I13" t="s">
        <v>367</v>
      </c>
      <c r="J13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t="s">
        <v>289</v>
      </c>
      <c r="E14" t="s">
        <v>67</v>
      </c>
      <c r="F14" t="s">
        <v>468</v>
      </c>
      <c r="I14" t="s">
        <v>370</v>
      </c>
      <c r="J14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t="s">
        <v>289</v>
      </c>
      <c r="E15" t="s">
        <v>67</v>
      </c>
      <c r="F15" t="s">
        <v>468</v>
      </c>
      <c r="I15" t="s">
        <v>373</v>
      </c>
      <c r="J15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t="s">
        <v>289</v>
      </c>
      <c r="E16" t="s">
        <v>67</v>
      </c>
      <c r="F16" t="s">
        <v>468</v>
      </c>
      <c r="I16" t="s">
        <v>376</v>
      </c>
      <c r="J16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t="s">
        <v>289</v>
      </c>
      <c r="E17" t="s">
        <v>67</v>
      </c>
      <c r="F17" t="s">
        <v>468</v>
      </c>
      <c r="I17" t="s">
        <v>379</v>
      </c>
      <c r="J17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t="s">
        <v>289</v>
      </c>
      <c r="E18" t="s">
        <v>67</v>
      </c>
      <c r="F18" t="s">
        <v>468</v>
      </c>
      <c r="I18" t="s">
        <v>382</v>
      </c>
      <c r="J1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t="s">
        <v>289</v>
      </c>
      <c r="E19" t="s">
        <v>67</v>
      </c>
      <c r="F19" t="s">
        <v>468</v>
      </c>
      <c r="I19" t="s">
        <v>385</v>
      </c>
      <c r="J19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t="s">
        <v>289</v>
      </c>
      <c r="E20" t="s">
        <v>67</v>
      </c>
      <c r="F20" t="s">
        <v>468</v>
      </c>
      <c r="I20" t="s">
        <v>388</v>
      </c>
      <c r="J20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t="s">
        <v>289</v>
      </c>
      <c r="E21" t="s">
        <v>67</v>
      </c>
      <c r="F21" t="s">
        <v>468</v>
      </c>
      <c r="I21" t="s">
        <v>391</v>
      </c>
      <c r="J21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t="s">
        <v>289</v>
      </c>
      <c r="E22" t="s">
        <v>67</v>
      </c>
      <c r="F22" t="s">
        <v>468</v>
      </c>
      <c r="I22" t="s">
        <v>394</v>
      </c>
      <c r="J22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t="s">
        <v>289</v>
      </c>
      <c r="E23" t="s">
        <v>67</v>
      </c>
      <c r="F23" t="s">
        <v>468</v>
      </c>
      <c r="I23" t="s">
        <v>397</v>
      </c>
      <c r="J23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t="s">
        <v>289</v>
      </c>
      <c r="E24" t="s">
        <v>67</v>
      </c>
      <c r="F24" t="s">
        <v>468</v>
      </c>
      <c r="I24" t="s">
        <v>400</v>
      </c>
      <c r="J24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t="s">
        <v>289</v>
      </c>
      <c r="E25" t="s">
        <v>67</v>
      </c>
      <c r="F25" t="s">
        <v>468</v>
      </c>
      <c r="I25" t="s">
        <v>403</v>
      </c>
      <c r="J25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t="s">
        <v>289</v>
      </c>
      <c r="E26" t="s">
        <v>67</v>
      </c>
      <c r="F26" t="s">
        <v>468</v>
      </c>
      <c r="I26" t="s">
        <v>406</v>
      </c>
      <c r="J26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t="s">
        <v>289</v>
      </c>
      <c r="E27" t="s">
        <v>67</v>
      </c>
      <c r="F27" t="s">
        <v>469</v>
      </c>
      <c r="H27" t="s">
        <v>470</v>
      </c>
      <c r="I27" t="s">
        <v>409</v>
      </c>
      <c r="J27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t="s">
        <v>471</v>
      </c>
      <c r="E28" t="s">
        <v>67</v>
      </c>
      <c r="F28" t="s">
        <v>468</v>
      </c>
      <c r="I28" t="s">
        <v>412</v>
      </c>
      <c r="J2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t="s">
        <v>472</v>
      </c>
      <c r="E29" t="s">
        <v>67</v>
      </c>
      <c r="F29" t="s">
        <v>468</v>
      </c>
      <c r="I29" t="s">
        <v>415</v>
      </c>
      <c r="J29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t="s">
        <v>4</v>
      </c>
      <c r="E30" t="s">
        <v>473</v>
      </c>
      <c r="I30" t="s">
        <v>418</v>
      </c>
      <c r="J30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t="s">
        <v>4</v>
      </c>
      <c r="E31" t="s">
        <v>8</v>
      </c>
      <c r="H31" t="s">
        <v>5</v>
      </c>
      <c r="I31" t="s">
        <v>421</v>
      </c>
      <c r="J31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t="s">
        <v>4</v>
      </c>
      <c r="E32" t="s">
        <v>8</v>
      </c>
      <c r="I32" t="s">
        <v>424</v>
      </c>
      <c r="J32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t="s">
        <v>4</v>
      </c>
      <c r="E33" t="s">
        <v>477</v>
      </c>
      <c r="H33" t="s">
        <v>478</v>
      </c>
      <c r="I33" t="s">
        <v>427</v>
      </c>
      <c r="J33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t="s">
        <v>4</v>
      </c>
      <c r="E34" t="s">
        <v>8</v>
      </c>
      <c r="H34" t="s">
        <v>5</v>
      </c>
      <c r="I34" t="s">
        <v>430</v>
      </c>
      <c r="J34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t="s">
        <v>4</v>
      </c>
      <c r="E35" t="s">
        <v>8</v>
      </c>
      <c r="H35" t="s">
        <v>474</v>
      </c>
      <c r="I35" t="s">
        <v>433</v>
      </c>
      <c r="J35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t="s">
        <v>4</v>
      </c>
      <c r="E36" t="s">
        <v>8</v>
      </c>
      <c r="I36" t="s">
        <v>436</v>
      </c>
      <c r="J36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t="s">
        <v>4</v>
      </c>
      <c r="E37" t="s">
        <v>8</v>
      </c>
      <c r="H37" t="s">
        <v>6</v>
      </c>
      <c r="I37" t="s">
        <v>439</v>
      </c>
      <c r="J37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t="s">
        <v>4</v>
      </c>
      <c r="E38" t="s">
        <v>8</v>
      </c>
      <c r="H38" t="s">
        <v>5</v>
      </c>
      <c r="I38" t="s">
        <v>442</v>
      </c>
      <c r="J3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t="s">
        <v>4</v>
      </c>
      <c r="E39" t="s">
        <v>475</v>
      </c>
      <c r="I39" t="s">
        <v>445</v>
      </c>
      <c r="J39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t="s">
        <v>4</v>
      </c>
      <c r="E40" t="s">
        <v>475</v>
      </c>
      <c r="I40" t="s">
        <v>448</v>
      </c>
      <c r="J40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t="s">
        <v>4</v>
      </c>
      <c r="E41" t="s">
        <v>479</v>
      </c>
      <c r="H41" t="s">
        <v>476</v>
      </c>
      <c r="I41" t="s">
        <v>451</v>
      </c>
      <c r="J41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t="s">
        <v>4</v>
      </c>
      <c r="E42" t="s">
        <v>8</v>
      </c>
      <c r="I42" t="s">
        <v>454</v>
      </c>
      <c r="J42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t="s">
        <v>4</v>
      </c>
      <c r="E43" t="s">
        <v>8</v>
      </c>
      <c r="H43" t="s">
        <v>6</v>
      </c>
      <c r="I43" t="s">
        <v>457</v>
      </c>
      <c r="J43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t="s">
        <v>4</v>
      </c>
      <c r="E44" t="s">
        <v>8</v>
      </c>
      <c r="H44" t="s">
        <v>1625</v>
      </c>
      <c r="I44" t="s">
        <v>1295</v>
      </c>
      <c r="J44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t="s">
        <v>4</v>
      </c>
      <c r="E45" t="s">
        <v>8</v>
      </c>
      <c r="H45" t="s">
        <v>2009</v>
      </c>
      <c r="I45" t="s">
        <v>1298</v>
      </c>
      <c r="J45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t="s">
        <v>4</v>
      </c>
      <c r="E46" t="s">
        <v>2014</v>
      </c>
      <c r="H46" t="s">
        <v>1625</v>
      </c>
      <c r="I46" t="s">
        <v>1301</v>
      </c>
      <c r="J46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t="s">
        <v>4</v>
      </c>
      <c r="E47" t="s">
        <v>8</v>
      </c>
      <c r="I47" t="s">
        <v>2094</v>
      </c>
      <c r="J47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t="s">
        <v>4</v>
      </c>
      <c r="E48" t="s">
        <v>8</v>
      </c>
      <c r="I48" t="s">
        <v>2097</v>
      </c>
      <c r="J4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t="s">
        <v>4</v>
      </c>
      <c r="E49" t="s">
        <v>8</v>
      </c>
      <c r="I49" t="s">
        <v>2100</v>
      </c>
      <c r="J49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t="s">
        <v>4</v>
      </c>
      <c r="E50" t="s">
        <v>8</v>
      </c>
      <c r="I50" t="s">
        <v>2103</v>
      </c>
      <c r="J50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t="s">
        <v>4</v>
      </c>
      <c r="E51" t="s">
        <v>8</v>
      </c>
      <c r="I51" t="s">
        <v>2106</v>
      </c>
      <c r="J51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t="s">
        <v>4</v>
      </c>
      <c r="E52" t="s">
        <v>8</v>
      </c>
      <c r="I52" t="s">
        <v>2109</v>
      </c>
      <c r="J52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t="s">
        <v>4</v>
      </c>
      <c r="E53" t="s">
        <v>8</v>
      </c>
      <c r="I53" t="s">
        <v>2112</v>
      </c>
      <c r="J53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t="s">
        <v>4</v>
      </c>
      <c r="E54" t="s">
        <v>8</v>
      </c>
      <c r="I54" t="s">
        <v>3079</v>
      </c>
      <c r="J54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t="s">
        <v>4</v>
      </c>
      <c r="E55" t="s">
        <v>8</v>
      </c>
      <c r="I55" t="s">
        <v>3082</v>
      </c>
      <c r="J55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t="s">
        <v>4</v>
      </c>
      <c r="E56" t="s">
        <v>8</v>
      </c>
      <c r="I56" t="s">
        <v>3085</v>
      </c>
      <c r="J56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t="s">
        <v>4</v>
      </c>
      <c r="E57" t="s">
        <v>8</v>
      </c>
      <c r="I57" t="s">
        <v>3088</v>
      </c>
      <c r="J57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t="s">
        <v>4</v>
      </c>
      <c r="E58" t="s">
        <v>8</v>
      </c>
      <c r="I58" t="s">
        <v>3091</v>
      </c>
      <c r="J5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t="s">
        <v>4</v>
      </c>
      <c r="E59" t="s">
        <v>8</v>
      </c>
      <c r="I59" t="s">
        <v>3094</v>
      </c>
      <c r="J59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t="s">
        <v>4</v>
      </c>
      <c r="E60" t="s">
        <v>8</v>
      </c>
      <c r="I60" t="s">
        <v>3097</v>
      </c>
      <c r="J60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t="s">
        <v>4</v>
      </c>
      <c r="E61" t="s">
        <v>8</v>
      </c>
      <c r="I61" t="s">
        <v>3100</v>
      </c>
      <c r="J61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t="s">
        <v>2004</v>
      </c>
      <c r="I62" t="s">
        <v>4270</v>
      </c>
      <c r="J62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t="s">
        <v>1094</v>
      </c>
      <c r="E63" t="s">
        <v>4247</v>
      </c>
      <c r="F63" t="s">
        <v>58</v>
      </c>
      <c r="H63" t="s">
        <v>5102</v>
      </c>
      <c r="I63" t="s">
        <v>5097</v>
      </c>
      <c r="J63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t="s">
        <v>4</v>
      </c>
      <c r="E64" t="s">
        <v>8</v>
      </c>
      <c r="I64" t="s">
        <v>4489</v>
      </c>
      <c r="J64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t="s">
        <v>1615</v>
      </c>
      <c r="E65" t="s">
        <v>86</v>
      </c>
      <c r="F65" t="s">
        <v>200</v>
      </c>
      <c r="I65" t="s">
        <v>4492</v>
      </c>
      <c r="J65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t="s">
        <v>4</v>
      </c>
      <c r="E66" t="s">
        <v>8</v>
      </c>
      <c r="I66" t="s">
        <v>4495</v>
      </c>
      <c r="J66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t="s">
        <v>1615</v>
      </c>
      <c r="E67" t="s">
        <v>86</v>
      </c>
      <c r="F67" t="s">
        <v>200</v>
      </c>
      <c r="I67" t="s">
        <v>4498</v>
      </c>
      <c r="J67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t="s">
        <v>1615</v>
      </c>
      <c r="E68" t="s">
        <v>86</v>
      </c>
      <c r="F68" t="s">
        <v>5103</v>
      </c>
      <c r="H68" t="s">
        <v>5104</v>
      </c>
      <c r="I68" t="s">
        <v>4501</v>
      </c>
      <c r="J6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t="s">
        <v>1615</v>
      </c>
      <c r="E69" t="s">
        <v>86</v>
      </c>
      <c r="F69" t="s">
        <v>200</v>
      </c>
      <c r="I69" t="s">
        <v>4504</v>
      </c>
      <c r="J69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t="s">
        <v>1094</v>
      </c>
      <c r="E70" t="s">
        <v>4247</v>
      </c>
      <c r="F70" t="s">
        <v>60</v>
      </c>
      <c r="H70" t="s">
        <v>5102</v>
      </c>
      <c r="I70" t="s">
        <v>4507</v>
      </c>
      <c r="J70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t="s">
        <v>1094</v>
      </c>
      <c r="E71" t="s">
        <v>4247</v>
      </c>
      <c r="F71" t="s">
        <v>60</v>
      </c>
      <c r="H71" t="s">
        <v>2936</v>
      </c>
      <c r="I71" t="s">
        <v>4510</v>
      </c>
      <c r="J71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t="s">
        <v>4</v>
      </c>
      <c r="E72" t="s">
        <v>8</v>
      </c>
      <c r="H72" t="s">
        <v>2936</v>
      </c>
      <c r="I72" t="s">
        <v>4513</v>
      </c>
      <c r="J72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t="s">
        <v>4</v>
      </c>
      <c r="E73" t="s">
        <v>8</v>
      </c>
      <c r="H73" t="s">
        <v>2936</v>
      </c>
      <c r="I73" t="s">
        <v>4516</v>
      </c>
      <c r="J73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t="s">
        <v>4</v>
      </c>
      <c r="E74" t="s">
        <v>8</v>
      </c>
      <c r="H74" t="s">
        <v>2936</v>
      </c>
      <c r="I74" t="s">
        <v>4519</v>
      </c>
      <c r="J74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t="s">
        <v>1606</v>
      </c>
      <c r="E75" t="s">
        <v>70</v>
      </c>
      <c r="I75" t="s">
        <v>4522</v>
      </c>
      <c r="J75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t="s">
        <v>290</v>
      </c>
      <c r="E76" t="s">
        <v>70</v>
      </c>
      <c r="F76" t="s">
        <v>5093</v>
      </c>
      <c r="I76" t="s">
        <v>4525</v>
      </c>
      <c r="J76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t="s">
        <v>466</v>
      </c>
      <c r="E77" t="s">
        <v>86</v>
      </c>
      <c r="F77" t="s">
        <v>5093</v>
      </c>
      <c r="I77" t="s">
        <v>4528</v>
      </c>
      <c r="J77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t="s">
        <v>1615</v>
      </c>
      <c r="E78" t="s">
        <v>86</v>
      </c>
      <c r="F78" t="s">
        <v>5093</v>
      </c>
      <c r="I78" t="s">
        <v>4531</v>
      </c>
      <c r="J7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t="s">
        <v>466</v>
      </c>
      <c r="E79" t="s">
        <v>86</v>
      </c>
      <c r="F79" t="s">
        <v>5093</v>
      </c>
      <c r="I79" t="s">
        <v>5099</v>
      </c>
      <c r="J79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t="s">
        <v>5105</v>
      </c>
      <c r="I80" t="s">
        <v>4534</v>
      </c>
      <c r="J80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t="s">
        <v>1615</v>
      </c>
      <c r="E81" t="s">
        <v>86</v>
      </c>
      <c r="F81" t="s">
        <v>5093</v>
      </c>
      <c r="I81" t="s">
        <v>4537</v>
      </c>
      <c r="J81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t="s">
        <v>4</v>
      </c>
      <c r="E82" t="s">
        <v>8</v>
      </c>
      <c r="I82" t="s">
        <v>4540</v>
      </c>
      <c r="J82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t="s">
        <v>1606</v>
      </c>
      <c r="E83" t="s">
        <v>70</v>
      </c>
      <c r="I83" t="s">
        <v>4543</v>
      </c>
      <c r="J83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t="s">
        <v>1606</v>
      </c>
      <c r="E84" t="s">
        <v>55</v>
      </c>
      <c r="I84" t="s">
        <v>4546</v>
      </c>
      <c r="J84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t="s">
        <v>290</v>
      </c>
      <c r="E85" t="s">
        <v>70</v>
      </c>
      <c r="F85" t="s">
        <v>5093</v>
      </c>
      <c r="I85" t="s">
        <v>4549</v>
      </c>
      <c r="J85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t="s">
        <v>4</v>
      </c>
      <c r="E86" t="s">
        <v>8</v>
      </c>
      <c r="I86" t="s">
        <v>4552</v>
      </c>
      <c r="J86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t="s">
        <v>2004</v>
      </c>
      <c r="I87" t="s">
        <v>4555</v>
      </c>
      <c r="J87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t="s">
        <v>1606</v>
      </c>
      <c r="E88" t="s">
        <v>5263</v>
      </c>
      <c r="F88" t="s">
        <v>4233</v>
      </c>
      <c r="I88" t="s">
        <v>5148</v>
      </c>
      <c r="J8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t="s">
        <v>289</v>
      </c>
      <c r="E89" t="s">
        <v>5263</v>
      </c>
      <c r="F89" t="s">
        <v>5093</v>
      </c>
      <c r="I89" t="s">
        <v>5151</v>
      </c>
      <c r="J89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t="s">
        <v>289</v>
      </c>
      <c r="E90" t="s">
        <v>5263</v>
      </c>
      <c r="F90" t="s">
        <v>5093</v>
      </c>
      <c r="H90" t="s">
        <v>2936</v>
      </c>
      <c r="I90" t="s">
        <v>5154</v>
      </c>
      <c r="J90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t="s">
        <v>289</v>
      </c>
      <c r="E91" t="s">
        <v>5263</v>
      </c>
      <c r="F91" t="s">
        <v>5093</v>
      </c>
      <c r="H91" t="s">
        <v>2936</v>
      </c>
      <c r="I91" t="s">
        <v>5157</v>
      </c>
      <c r="J91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t="s">
        <v>289</v>
      </c>
      <c r="E92" t="s">
        <v>5263</v>
      </c>
      <c r="F92" t="s">
        <v>5093</v>
      </c>
      <c r="H92" t="s">
        <v>2936</v>
      </c>
      <c r="I92" t="s">
        <v>5160</v>
      </c>
      <c r="J92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t="s">
        <v>289</v>
      </c>
      <c r="E93" t="s">
        <v>5263</v>
      </c>
      <c r="F93" t="s">
        <v>5093</v>
      </c>
      <c r="H93" t="s">
        <v>2936</v>
      </c>
      <c r="I93" t="s">
        <v>5163</v>
      </c>
      <c r="J93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t="s">
        <v>289</v>
      </c>
      <c r="E94" t="s">
        <v>5263</v>
      </c>
      <c r="F94" t="s">
        <v>5093</v>
      </c>
      <c r="H94" t="s">
        <v>2936</v>
      </c>
      <c r="I94" t="s">
        <v>5166</v>
      </c>
      <c r="J94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t="s">
        <v>4232</v>
      </c>
      <c r="E95" t="s">
        <v>5263</v>
      </c>
      <c r="F95" t="s">
        <v>1609</v>
      </c>
      <c r="I95" t="s">
        <v>5169</v>
      </c>
      <c r="J95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t="s">
        <v>650</v>
      </c>
      <c r="E96" t="s">
        <v>5263</v>
      </c>
      <c r="F96" t="s">
        <v>1609</v>
      </c>
      <c r="I96" t="s">
        <v>5172</v>
      </c>
      <c r="J96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t="s">
        <v>4</v>
      </c>
      <c r="E97" t="s">
        <v>8</v>
      </c>
      <c r="I97" t="s">
        <v>5304</v>
      </c>
      <c r="J97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t="s">
        <v>2004</v>
      </c>
      <c r="E98" t="s">
        <v>8</v>
      </c>
      <c r="I98" t="s">
        <v>5307</v>
      </c>
      <c r="J9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t="s">
        <v>2004</v>
      </c>
      <c r="E99" t="s">
        <v>8</v>
      </c>
      <c r="I99" t="s">
        <v>5708</v>
      </c>
      <c r="J99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t="s">
        <v>4</v>
      </c>
      <c r="E100" t="s">
        <v>1607</v>
      </c>
      <c r="F100" t="s">
        <v>6175</v>
      </c>
      <c r="I100" t="s">
        <v>5711</v>
      </c>
      <c r="J100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t="s">
        <v>2004</v>
      </c>
      <c r="E101" t="s">
        <v>8</v>
      </c>
      <c r="I101" t="s">
        <v>5714</v>
      </c>
      <c r="J101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t="s">
        <v>2004</v>
      </c>
      <c r="E102" t="s">
        <v>8</v>
      </c>
      <c r="I102" t="s">
        <v>5855</v>
      </c>
      <c r="J102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t="s">
        <v>4</v>
      </c>
      <c r="E103" t="s">
        <v>55</v>
      </c>
      <c r="F103" t="s">
        <v>51</v>
      </c>
      <c r="I103" t="s">
        <v>5858</v>
      </c>
      <c r="J103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t="s">
        <v>650</v>
      </c>
      <c r="E104" t="s">
        <v>55</v>
      </c>
      <c r="F104" t="s">
        <v>51</v>
      </c>
      <c r="H104" t="s">
        <v>6176</v>
      </c>
      <c r="I104" t="s">
        <v>5861</v>
      </c>
      <c r="J104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t="s">
        <v>4</v>
      </c>
      <c r="E105" t="s">
        <v>8</v>
      </c>
      <c r="I105" t="s">
        <v>5864</v>
      </c>
      <c r="J105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t="s">
        <v>2004</v>
      </c>
      <c r="E106" t="s">
        <v>8</v>
      </c>
      <c r="I106" t="s">
        <v>6074</v>
      </c>
      <c r="J106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t="s">
        <v>2004</v>
      </c>
      <c r="E107" t="s">
        <v>8</v>
      </c>
      <c r="I107" t="s">
        <v>6204</v>
      </c>
      <c r="J107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t="s">
        <v>1606</v>
      </c>
      <c r="E108" t="s">
        <v>70</v>
      </c>
      <c r="I108" t="s">
        <v>6313</v>
      </c>
      <c r="J10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t="s">
        <v>4</v>
      </c>
      <c r="E109" t="s">
        <v>6341</v>
      </c>
      <c r="I109" t="s">
        <v>6316</v>
      </c>
      <c r="J109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</sheetData>
  <conditionalFormatting sqref="E110:E123 D110:D120 G2:H109 D2:E109">
    <cfRule type="containsText" dxfId="422" priority="17" operator="containsText" text="Выезд с территории">
      <formula>NOT(ISERROR(SEARCH("Выезд с территории",D2)))</formula>
    </cfRule>
  </conditionalFormatting>
  <conditionalFormatting sqref="F2:F109">
    <cfRule type="notContainsText" dxfId="421" priority="16" operator="notContains" text="порожний">
      <formula>ISERROR(SEARCH("порожний",F2))</formula>
    </cfRule>
  </conditionalFormatting>
  <conditionalFormatting sqref="E2:E123">
    <cfRule type="containsText" dxfId="420" priority="14" operator="containsText" text="Газель базы">
      <formula>NOT(ISERROR(SEARCH("Газель базы",E2)))</formula>
    </cfRule>
    <cfRule type="containsText" dxfId="419" priority="15" operator="containsText" text="Погрузчик базы">
      <formula>NOT(ISERROR(SEARCH("Погрузчик базы",E2)))</formula>
    </cfRule>
  </conditionalFormatting>
  <conditionalFormatting sqref="E2:E123">
    <cfRule type="containsText" dxfId="418" priority="13" operator="containsText" text="Трактор базы">
      <formula>NOT(ISERROR(SEARCH("Трактор базы",E2)))</formula>
    </cfRule>
  </conditionalFormatting>
  <conditionalFormatting sqref="A2:C109">
    <cfRule type="expression" dxfId="417" priority="12">
      <formula>$A2="пн"</formula>
    </cfRule>
  </conditionalFormatting>
  <conditionalFormatting sqref="A2:C111">
    <cfRule type="expression" dxfId="416" priority="6">
      <formula>$A2="вс"</formula>
    </cfRule>
    <cfRule type="expression" dxfId="415" priority="7">
      <formula>$A2="сб"</formula>
    </cfRule>
    <cfRule type="expression" dxfId="414" priority="8">
      <formula>$A2="пт"</formula>
    </cfRule>
    <cfRule type="expression" dxfId="413" priority="9">
      <formula>$A2="чт"</formula>
    </cfRule>
    <cfRule type="expression" dxfId="412" priority="10">
      <formula>$A2="ср"</formula>
    </cfRule>
    <cfRule type="expression" dxfId="411" priority="11">
      <formula>$A2="вт"</formula>
    </cfRule>
  </conditionalFormatting>
  <conditionalFormatting sqref="D2:D120">
    <cfRule type="containsText" dxfId="41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0">
    <cfRule type="containsText" dxfId="409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73"/>
  <sheetViews>
    <sheetView zoomScale="90" zoomScaleNormal="90" workbookViewId="0">
      <pane ySplit="1" topLeftCell="A55" activePane="bottomLeft" state="frozen"/>
      <selection pane="bottomLeft" activeCell="I73" sqref="I7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3.28515625" bestFit="1" customWidth="1"/>
    <col min="9" max="9" width="35.5703125" customWidth="1"/>
    <col min="10" max="10" width="45" bestFit="1" customWidth="1"/>
    <col min="11" max="11" width="57" customWidth="1"/>
    <col min="12" max="12" width="24.5703125" customWidth="1"/>
    <col min="13" max="13" width="57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t="s">
        <v>4</v>
      </c>
      <c r="E2" t="s">
        <v>8</v>
      </c>
      <c r="H2" t="s">
        <v>5</v>
      </c>
      <c r="I2" t="s">
        <v>480</v>
      </c>
      <c r="J2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t="s">
        <v>4</v>
      </c>
      <c r="E3" t="s">
        <v>8</v>
      </c>
      <c r="H3" t="s">
        <v>6</v>
      </c>
      <c r="I3" t="s">
        <v>483</v>
      </c>
      <c r="J3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t="s">
        <v>4</v>
      </c>
      <c r="E4" t="s">
        <v>8</v>
      </c>
      <c r="H4" t="s">
        <v>5</v>
      </c>
      <c r="I4" t="s">
        <v>486</v>
      </c>
      <c r="J4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t="s">
        <v>289</v>
      </c>
      <c r="E5" t="s">
        <v>86</v>
      </c>
      <c r="F5" t="s">
        <v>528</v>
      </c>
      <c r="I5" t="s">
        <v>489</v>
      </c>
      <c r="J5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t="s">
        <v>159</v>
      </c>
      <c r="E6" t="s">
        <v>86</v>
      </c>
      <c r="F6" t="s">
        <v>528</v>
      </c>
      <c r="I6" t="s">
        <v>492</v>
      </c>
      <c r="J6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t="s">
        <v>4</v>
      </c>
      <c r="E7" t="s">
        <v>8</v>
      </c>
      <c r="I7" t="s">
        <v>495</v>
      </c>
      <c r="J7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t="s">
        <v>4</v>
      </c>
      <c r="E8" t="s">
        <v>8</v>
      </c>
      <c r="I8" t="s">
        <v>498</v>
      </c>
      <c r="J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t="s">
        <v>4</v>
      </c>
      <c r="E9" t="s">
        <v>529</v>
      </c>
      <c r="I9" t="s">
        <v>501</v>
      </c>
      <c r="J9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t="s">
        <v>4</v>
      </c>
      <c r="E10" t="s">
        <v>8</v>
      </c>
      <c r="H10" t="s">
        <v>6</v>
      </c>
      <c r="I10" t="s">
        <v>504</v>
      </c>
      <c r="J10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t="s">
        <v>4</v>
      </c>
      <c r="E11" t="s">
        <v>8</v>
      </c>
      <c r="H11" t="s">
        <v>5</v>
      </c>
      <c r="I11" t="s">
        <v>507</v>
      </c>
      <c r="J11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t="s">
        <v>289</v>
      </c>
      <c r="E12" t="s">
        <v>86</v>
      </c>
      <c r="F12" t="s">
        <v>530</v>
      </c>
      <c r="I12" t="s">
        <v>510</v>
      </c>
      <c r="J12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t="s">
        <v>289</v>
      </c>
      <c r="E13" t="s">
        <v>86</v>
      </c>
      <c r="F13" t="s">
        <v>530</v>
      </c>
      <c r="I13" t="s">
        <v>513</v>
      </c>
      <c r="J13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t="s">
        <v>533</v>
      </c>
      <c r="E14" t="s">
        <v>531</v>
      </c>
      <c r="F14" t="s">
        <v>534</v>
      </c>
      <c r="I14" t="s">
        <v>516</v>
      </c>
      <c r="J14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t="s">
        <v>289</v>
      </c>
      <c r="E15" t="s">
        <v>86</v>
      </c>
      <c r="F15" t="s">
        <v>532</v>
      </c>
      <c r="I15" t="s">
        <v>519</v>
      </c>
      <c r="J15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t="s">
        <v>289</v>
      </c>
      <c r="E16" t="s">
        <v>86</v>
      </c>
      <c r="F16" t="s">
        <v>532</v>
      </c>
      <c r="I16" t="s">
        <v>522</v>
      </c>
      <c r="J16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t="s">
        <v>4</v>
      </c>
      <c r="E17" t="s">
        <v>8</v>
      </c>
      <c r="H17" t="s">
        <v>6</v>
      </c>
      <c r="I17" t="s">
        <v>525</v>
      </c>
      <c r="J17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t="s">
        <v>4</v>
      </c>
      <c r="E18" t="s">
        <v>8</v>
      </c>
      <c r="H18" t="s">
        <v>2009</v>
      </c>
      <c r="I18" t="s">
        <v>2015</v>
      </c>
      <c r="J1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t="s">
        <v>4</v>
      </c>
      <c r="E19" t="s">
        <v>8</v>
      </c>
      <c r="H19" t="s">
        <v>2004</v>
      </c>
      <c r="I19" t="s">
        <v>2018</v>
      </c>
      <c r="J19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t="s">
        <v>4</v>
      </c>
      <c r="E20" t="s">
        <v>8</v>
      </c>
      <c r="H20" t="s">
        <v>2004</v>
      </c>
      <c r="I20" t="s">
        <v>2021</v>
      </c>
      <c r="J20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t="s">
        <v>2004</v>
      </c>
      <c r="I21" t="s">
        <v>2115</v>
      </c>
      <c r="J21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t="s">
        <v>4</v>
      </c>
      <c r="E22" t="s">
        <v>8</v>
      </c>
      <c r="H22" t="s">
        <v>2932</v>
      </c>
      <c r="I22" t="s">
        <v>2934</v>
      </c>
      <c r="J22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t="s">
        <v>2004</v>
      </c>
      <c r="I23" t="s">
        <v>2118</v>
      </c>
      <c r="J23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t="s">
        <v>2004</v>
      </c>
      <c r="I24" t="s">
        <v>2121</v>
      </c>
      <c r="J24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t="s">
        <v>2004</v>
      </c>
      <c r="I25" t="s">
        <v>2124</v>
      </c>
      <c r="J25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t="s">
        <v>2004</v>
      </c>
      <c r="I26" t="s">
        <v>2127</v>
      </c>
      <c r="J26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t="s">
        <v>2004</v>
      </c>
      <c r="I27" t="s">
        <v>2130</v>
      </c>
      <c r="J27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t="s">
        <v>4</v>
      </c>
      <c r="E28" t="s">
        <v>8</v>
      </c>
      <c r="I28" t="s">
        <v>3405</v>
      </c>
      <c r="J2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t="s">
        <v>4</v>
      </c>
      <c r="E29" t="s">
        <v>8</v>
      </c>
      <c r="I29" t="s">
        <v>4206</v>
      </c>
      <c r="J29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t="s">
        <v>4</v>
      </c>
      <c r="E30" t="s">
        <v>8</v>
      </c>
      <c r="I30" t="s">
        <v>3408</v>
      </c>
      <c r="J30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t="s">
        <v>4209</v>
      </c>
      <c r="E31" t="s">
        <v>4210</v>
      </c>
      <c r="I31" t="s">
        <v>3411</v>
      </c>
      <c r="J31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t="s">
        <v>4209</v>
      </c>
      <c r="E32" t="s">
        <v>4210</v>
      </c>
      <c r="H32" t="s">
        <v>2936</v>
      </c>
      <c r="I32" t="s">
        <v>3414</v>
      </c>
      <c r="J32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t="s">
        <v>4209</v>
      </c>
      <c r="E33" t="s">
        <v>4210</v>
      </c>
      <c r="H33" t="s">
        <v>2936</v>
      </c>
      <c r="I33" t="s">
        <v>3417</v>
      </c>
      <c r="J33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t="s">
        <v>4209</v>
      </c>
      <c r="E34" t="s">
        <v>4210</v>
      </c>
      <c r="H34" t="s">
        <v>2936</v>
      </c>
      <c r="I34" t="s">
        <v>3420</v>
      </c>
      <c r="J34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t="s">
        <v>4209</v>
      </c>
      <c r="E35" t="s">
        <v>4210</v>
      </c>
      <c r="H35" t="s">
        <v>2936</v>
      </c>
      <c r="I35" t="s">
        <v>3423</v>
      </c>
      <c r="J35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t="s">
        <v>4209</v>
      </c>
      <c r="E36" t="s">
        <v>4210</v>
      </c>
      <c r="H36" t="s">
        <v>2936</v>
      </c>
      <c r="I36" t="s">
        <v>3426</v>
      </c>
      <c r="J36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t="s">
        <v>4209</v>
      </c>
      <c r="E37" t="s">
        <v>4210</v>
      </c>
      <c r="H37" t="s">
        <v>2936</v>
      </c>
      <c r="I37" t="s">
        <v>3429</v>
      </c>
      <c r="J37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t="s">
        <v>4209</v>
      </c>
      <c r="E38" t="s">
        <v>4210</v>
      </c>
      <c r="H38" t="s">
        <v>2936</v>
      </c>
      <c r="I38" t="s">
        <v>3432</v>
      </c>
      <c r="J3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t="s">
        <v>4209</v>
      </c>
      <c r="E39" t="s">
        <v>4210</v>
      </c>
      <c r="H39" t="s">
        <v>2936</v>
      </c>
      <c r="I39" t="s">
        <v>3435</v>
      </c>
      <c r="J39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t="s">
        <v>4209</v>
      </c>
      <c r="E40" t="s">
        <v>4210</v>
      </c>
      <c r="H40" t="s">
        <v>2936</v>
      </c>
      <c r="I40" t="s">
        <v>3438</v>
      </c>
      <c r="J40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t="s">
        <v>4209</v>
      </c>
      <c r="E41" t="s">
        <v>4210</v>
      </c>
      <c r="H41" t="s">
        <v>2936</v>
      </c>
      <c r="I41" t="s">
        <v>3441</v>
      </c>
      <c r="J41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t="s">
        <v>4209</v>
      </c>
      <c r="E42" t="s">
        <v>4210</v>
      </c>
      <c r="H42" t="s">
        <v>2936</v>
      </c>
      <c r="I42" t="s">
        <v>3444</v>
      </c>
      <c r="J42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t="s">
        <v>4</v>
      </c>
      <c r="E43" t="s">
        <v>8</v>
      </c>
      <c r="I43" t="s">
        <v>3447</v>
      </c>
      <c r="J43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t="s">
        <v>289</v>
      </c>
      <c r="E44" t="s">
        <v>4211</v>
      </c>
      <c r="I44" t="s">
        <v>3450</v>
      </c>
      <c r="J44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t="s">
        <v>289</v>
      </c>
      <c r="E45" t="s">
        <v>4211</v>
      </c>
      <c r="H45" t="s">
        <v>2936</v>
      </c>
      <c r="I45" t="s">
        <v>3453</v>
      </c>
      <c r="J45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t="s">
        <v>289</v>
      </c>
      <c r="E46" t="s">
        <v>4211</v>
      </c>
      <c r="H46" t="s">
        <v>2936</v>
      </c>
      <c r="I46" t="s">
        <v>3456</v>
      </c>
      <c r="J46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t="s">
        <v>289</v>
      </c>
      <c r="E47" t="s">
        <v>4211</v>
      </c>
      <c r="H47" t="s">
        <v>2936</v>
      </c>
      <c r="I47" t="s">
        <v>3459</v>
      </c>
      <c r="J47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t="s">
        <v>289</v>
      </c>
      <c r="E48" t="s">
        <v>4211</v>
      </c>
      <c r="H48" t="s">
        <v>2936</v>
      </c>
      <c r="I48" t="s">
        <v>3462</v>
      </c>
      <c r="J4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t="s">
        <v>4</v>
      </c>
      <c r="E49" t="s">
        <v>8</v>
      </c>
      <c r="I49" t="s">
        <v>3465</v>
      </c>
      <c r="J49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t="s">
        <v>2004</v>
      </c>
      <c r="I50" t="s">
        <v>4273</v>
      </c>
      <c r="J50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t="s">
        <v>1615</v>
      </c>
      <c r="E51" t="s">
        <v>86</v>
      </c>
      <c r="F51" t="s">
        <v>200</v>
      </c>
      <c r="I51" t="s">
        <v>5110</v>
      </c>
      <c r="J51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t="s">
        <v>1094</v>
      </c>
      <c r="E52" t="s">
        <v>4247</v>
      </c>
      <c r="F52" t="s">
        <v>60</v>
      </c>
      <c r="I52" t="s">
        <v>5112</v>
      </c>
      <c r="J52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t="s">
        <v>533</v>
      </c>
      <c r="E53" t="s">
        <v>1607</v>
      </c>
      <c r="F53" t="s">
        <v>58</v>
      </c>
      <c r="I53" t="s">
        <v>5114</v>
      </c>
      <c r="J53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t="s">
        <v>1615</v>
      </c>
      <c r="E54" t="s">
        <v>86</v>
      </c>
      <c r="F54" t="s">
        <v>200</v>
      </c>
      <c r="I54" t="s">
        <v>4576</v>
      </c>
      <c r="J54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t="s">
        <v>1094</v>
      </c>
      <c r="E55" t="s">
        <v>4247</v>
      </c>
      <c r="F55" t="s">
        <v>200</v>
      </c>
      <c r="I55" t="s">
        <v>4579</v>
      </c>
      <c r="J55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t="s">
        <v>1094</v>
      </c>
      <c r="E56" t="s">
        <v>4247</v>
      </c>
      <c r="F56" t="s">
        <v>200</v>
      </c>
      <c r="I56" t="s">
        <v>4582</v>
      </c>
      <c r="J56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t="s">
        <v>5109</v>
      </c>
      <c r="E57" t="s">
        <v>86</v>
      </c>
      <c r="I57" t="s">
        <v>4585</v>
      </c>
      <c r="J57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t="s">
        <v>4</v>
      </c>
      <c r="E58" t="s">
        <v>8</v>
      </c>
      <c r="I58" t="s">
        <v>4588</v>
      </c>
      <c r="J5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t="s">
        <v>5109</v>
      </c>
      <c r="E59" t="s">
        <v>86</v>
      </c>
      <c r="I59" t="s">
        <v>4591</v>
      </c>
      <c r="J59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t="s">
        <v>5109</v>
      </c>
      <c r="E60" t="s">
        <v>86</v>
      </c>
      <c r="I60" t="s">
        <v>4594</v>
      </c>
      <c r="J60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t="s">
        <v>2004</v>
      </c>
      <c r="E61" t="s">
        <v>8</v>
      </c>
      <c r="I61" t="s">
        <v>4597</v>
      </c>
      <c r="J61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t="s">
        <v>2004</v>
      </c>
      <c r="E62" t="s">
        <v>8</v>
      </c>
      <c r="I62" t="s">
        <v>5175</v>
      </c>
      <c r="J62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t="s">
        <v>4</v>
      </c>
      <c r="E63" t="s">
        <v>8</v>
      </c>
      <c r="I63" t="s">
        <v>5310</v>
      </c>
      <c r="J63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t="s">
        <v>2004</v>
      </c>
      <c r="E64" t="s">
        <v>8</v>
      </c>
      <c r="I64" t="s">
        <v>5313</v>
      </c>
      <c r="J64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t="s">
        <v>2004</v>
      </c>
      <c r="E65" t="s">
        <v>8</v>
      </c>
      <c r="I65" t="s">
        <v>5539</v>
      </c>
      <c r="J65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t="s">
        <v>2004</v>
      </c>
      <c r="E66" t="s">
        <v>8</v>
      </c>
      <c r="I66" t="s">
        <v>5542</v>
      </c>
      <c r="J66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t="s">
        <v>2004</v>
      </c>
      <c r="E67" t="s">
        <v>8</v>
      </c>
      <c r="I67" t="s">
        <v>5545</v>
      </c>
      <c r="J67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t="s">
        <v>1615</v>
      </c>
      <c r="E68" t="s">
        <v>86</v>
      </c>
      <c r="F68" t="s">
        <v>200</v>
      </c>
      <c r="I68" t="s">
        <v>5867</v>
      </c>
      <c r="J6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t="s">
        <v>1615</v>
      </c>
      <c r="E69" t="s">
        <v>86</v>
      </c>
      <c r="F69" t="s">
        <v>200</v>
      </c>
      <c r="I69" t="s">
        <v>5870</v>
      </c>
      <c r="J69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t="s">
        <v>1615</v>
      </c>
      <c r="E70" t="s">
        <v>86</v>
      </c>
      <c r="F70" t="s">
        <v>200</v>
      </c>
      <c r="I70" t="s">
        <v>5873</v>
      </c>
      <c r="J70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t="s">
        <v>2004</v>
      </c>
      <c r="E71" t="s">
        <v>8</v>
      </c>
      <c r="I71" t="s">
        <v>6077</v>
      </c>
      <c r="J71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t="s">
        <v>2004</v>
      </c>
      <c r="E72" t="s">
        <v>8</v>
      </c>
      <c r="I72" t="s">
        <v>6207</v>
      </c>
      <c r="J72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t="s">
        <v>2004</v>
      </c>
      <c r="E73" t="s">
        <v>8</v>
      </c>
      <c r="I73" t="s">
        <v>6326</v>
      </c>
      <c r="J73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</sheetData>
  <conditionalFormatting sqref="D74:D84 E74:E87 G2:H73 D2:E73">
    <cfRule type="containsText" dxfId="408" priority="14" operator="containsText" text="Выезд с территории">
      <formula>NOT(ISERROR(SEARCH("Выезд с территории",D2)))</formula>
    </cfRule>
  </conditionalFormatting>
  <conditionalFormatting sqref="F2:F73">
    <cfRule type="notContainsText" dxfId="407" priority="13" operator="notContains" text="порожний">
      <formula>ISERROR(SEARCH("порожний",F2))</formula>
    </cfRule>
  </conditionalFormatting>
  <conditionalFormatting sqref="E2:E87">
    <cfRule type="containsText" dxfId="406" priority="11" operator="containsText" text="Газель базы">
      <formula>NOT(ISERROR(SEARCH("Газель базы",E2)))</formula>
    </cfRule>
    <cfRule type="containsText" dxfId="405" priority="12" operator="containsText" text="Погрузчик базы">
      <formula>NOT(ISERROR(SEARCH("Погрузчик базы",E2)))</formula>
    </cfRule>
  </conditionalFormatting>
  <conditionalFormatting sqref="E2:E87">
    <cfRule type="containsText" dxfId="404" priority="10" operator="containsText" text="Трактор базы">
      <formula>NOT(ISERROR(SEARCH("Трактор базы",E2)))</formula>
    </cfRule>
  </conditionalFormatting>
  <conditionalFormatting sqref="A2:C73">
    <cfRule type="expression" dxfId="403" priority="9">
      <formula>$A2="пн"</formula>
    </cfRule>
  </conditionalFormatting>
  <conditionalFormatting sqref="A2:C75">
    <cfRule type="expression" dxfId="402" priority="3">
      <formula>$A2="вс"</formula>
    </cfRule>
    <cfRule type="expression" dxfId="401" priority="4">
      <formula>$A2="сб"</formula>
    </cfRule>
    <cfRule type="expression" dxfId="400" priority="5">
      <formula>$A2="пт"</formula>
    </cfRule>
    <cfRule type="expression" dxfId="399" priority="6">
      <formula>$A2="чт"</formula>
    </cfRule>
    <cfRule type="expression" dxfId="398" priority="7">
      <formula>$A2="ср"</formula>
    </cfRule>
    <cfRule type="expression" dxfId="397" priority="8">
      <formula>$A2="вт"</formula>
    </cfRule>
  </conditionalFormatting>
  <conditionalFormatting sqref="D2:D84">
    <cfRule type="containsText" dxfId="39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4">
    <cfRule type="containsText" dxfId="39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198"/>
  <sheetViews>
    <sheetView zoomScale="90" zoomScaleNormal="90" workbookViewId="0">
      <pane ySplit="1" topLeftCell="A176" activePane="bottomLeft" state="frozen"/>
      <selection pane="bottomLeft" activeCell="E196" sqref="E19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customWidth="1"/>
    <col min="10" max="10" width="48.85546875" bestFit="1" customWidth="1"/>
    <col min="11" max="11" width="61.28515625" customWidth="1"/>
    <col min="12" max="12" width="24.5703125" customWidth="1"/>
    <col min="13" max="13" width="61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t="s">
        <v>4</v>
      </c>
      <c r="E2" t="s">
        <v>8</v>
      </c>
      <c r="H2" t="s">
        <v>5</v>
      </c>
      <c r="I2" t="s">
        <v>535</v>
      </c>
      <c r="J2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t="s">
        <v>4</v>
      </c>
      <c r="E3" t="s">
        <v>11</v>
      </c>
      <c r="I3" t="s">
        <v>538</v>
      </c>
      <c r="J3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t="s">
        <v>4</v>
      </c>
      <c r="E4" t="s">
        <v>19</v>
      </c>
      <c r="I4" t="s">
        <v>541</v>
      </c>
      <c r="J4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t="s">
        <v>4</v>
      </c>
      <c r="E5" t="s">
        <v>19</v>
      </c>
      <c r="I5" t="s">
        <v>544</v>
      </c>
      <c r="J5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t="s">
        <v>4</v>
      </c>
      <c r="E6" t="s">
        <v>8</v>
      </c>
      <c r="H6" t="s">
        <v>6</v>
      </c>
      <c r="I6" t="s">
        <v>547</v>
      </c>
      <c r="J6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t="s">
        <v>4</v>
      </c>
      <c r="E7" t="s">
        <v>8</v>
      </c>
      <c r="H7" t="s">
        <v>5</v>
      </c>
      <c r="I7" t="s">
        <v>550</v>
      </c>
      <c r="J7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t="s">
        <v>4</v>
      </c>
      <c r="E8" t="s">
        <v>19</v>
      </c>
      <c r="I8" t="s">
        <v>553</v>
      </c>
      <c r="J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t="s">
        <v>4</v>
      </c>
      <c r="E9" t="s">
        <v>19</v>
      </c>
      <c r="I9" t="s">
        <v>556</v>
      </c>
      <c r="J9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t="s">
        <v>648</v>
      </c>
      <c r="E10" t="s">
        <v>86</v>
      </c>
      <c r="F10" t="s">
        <v>528</v>
      </c>
      <c r="I10" t="s">
        <v>559</v>
      </c>
      <c r="J10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t="s">
        <v>4</v>
      </c>
      <c r="E11" t="s">
        <v>19</v>
      </c>
      <c r="I11" t="s">
        <v>562</v>
      </c>
      <c r="J11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t="s">
        <v>158</v>
      </c>
      <c r="E12" t="s">
        <v>86</v>
      </c>
      <c r="F12" t="s">
        <v>649</v>
      </c>
      <c r="I12" t="s">
        <v>565</v>
      </c>
      <c r="J12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t="s">
        <v>290</v>
      </c>
      <c r="E13" t="s">
        <v>86</v>
      </c>
      <c r="F13" t="s">
        <v>649</v>
      </c>
      <c r="I13" t="s">
        <v>568</v>
      </c>
      <c r="J13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t="s">
        <v>289</v>
      </c>
      <c r="E14" t="s">
        <v>86</v>
      </c>
      <c r="F14" t="s">
        <v>60</v>
      </c>
      <c r="G14">
        <v>2</v>
      </c>
      <c r="I14" t="s">
        <v>571</v>
      </c>
      <c r="J14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t="s">
        <v>650</v>
      </c>
      <c r="E15" t="s">
        <v>86</v>
      </c>
      <c r="F15" t="s">
        <v>60</v>
      </c>
      <c r="I15" t="s">
        <v>574</v>
      </c>
      <c r="J15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t="s">
        <v>4</v>
      </c>
      <c r="E16" t="s">
        <v>12</v>
      </c>
      <c r="I16" t="s">
        <v>577</v>
      </c>
      <c r="J16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t="s">
        <v>4</v>
      </c>
      <c r="E17" t="s">
        <v>651</v>
      </c>
      <c r="I17" t="s">
        <v>580</v>
      </c>
      <c r="J17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t="s">
        <v>4</v>
      </c>
      <c r="E18" t="s">
        <v>8</v>
      </c>
      <c r="H18" t="s">
        <v>6</v>
      </c>
      <c r="I18" t="s">
        <v>583</v>
      </c>
      <c r="J1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t="s">
        <v>4</v>
      </c>
      <c r="E19" t="s">
        <v>652</v>
      </c>
      <c r="I19" t="s">
        <v>586</v>
      </c>
      <c r="J19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t="s">
        <v>4</v>
      </c>
      <c r="E20" t="s">
        <v>652</v>
      </c>
      <c r="I20" t="s">
        <v>589</v>
      </c>
      <c r="J20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t="s">
        <v>4</v>
      </c>
      <c r="E21" t="s">
        <v>7</v>
      </c>
      <c r="I21" t="s">
        <v>592</v>
      </c>
      <c r="J21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t="s">
        <v>4</v>
      </c>
      <c r="E22" t="s">
        <v>652</v>
      </c>
      <c r="I22" t="s">
        <v>595</v>
      </c>
      <c r="J22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t="s">
        <v>4</v>
      </c>
      <c r="E23" t="s">
        <v>8</v>
      </c>
      <c r="H23" t="s">
        <v>5</v>
      </c>
      <c r="I23" t="s">
        <v>598</v>
      </c>
      <c r="J23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t="s">
        <v>4</v>
      </c>
      <c r="E24" t="s">
        <v>652</v>
      </c>
      <c r="I24" t="s">
        <v>601</v>
      </c>
      <c r="J24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t="s">
        <v>4</v>
      </c>
      <c r="E25" t="s">
        <v>7</v>
      </c>
      <c r="I25" t="s">
        <v>603</v>
      </c>
      <c r="J25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t="s">
        <v>4</v>
      </c>
      <c r="E26" t="s">
        <v>7</v>
      </c>
      <c r="I26" t="s">
        <v>606</v>
      </c>
      <c r="J26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t="s">
        <v>4</v>
      </c>
      <c r="E27" t="s">
        <v>652</v>
      </c>
      <c r="I27" t="s">
        <v>609</v>
      </c>
      <c r="J27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t="s">
        <v>4</v>
      </c>
      <c r="E28" t="s">
        <v>652</v>
      </c>
      <c r="I28" t="s">
        <v>612</v>
      </c>
      <c r="J2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t="s">
        <v>4</v>
      </c>
      <c r="E29" t="s">
        <v>8</v>
      </c>
      <c r="H29" t="s">
        <v>6</v>
      </c>
      <c r="I29" t="s">
        <v>615</v>
      </c>
      <c r="J29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t="s">
        <v>4</v>
      </c>
      <c r="E30" t="s">
        <v>12</v>
      </c>
      <c r="I30" t="s">
        <v>618</v>
      </c>
      <c r="J30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t="s">
        <v>4</v>
      </c>
      <c r="E31" t="s">
        <v>11</v>
      </c>
      <c r="I31" t="s">
        <v>621</v>
      </c>
      <c r="J31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t="s">
        <v>4</v>
      </c>
      <c r="E32" t="s">
        <v>11</v>
      </c>
      <c r="I32" t="s">
        <v>624</v>
      </c>
      <c r="J32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t="s">
        <v>289</v>
      </c>
      <c r="E33" t="s">
        <v>86</v>
      </c>
      <c r="F33" t="s">
        <v>60</v>
      </c>
      <c r="G33">
        <v>1</v>
      </c>
      <c r="I33" t="s">
        <v>627</v>
      </c>
      <c r="J33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t="s">
        <v>653</v>
      </c>
      <c r="E34" t="s">
        <v>86</v>
      </c>
      <c r="F34" t="s">
        <v>200</v>
      </c>
      <c r="I34" t="s">
        <v>630</v>
      </c>
      <c r="J34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t="s">
        <v>650</v>
      </c>
      <c r="E35" t="s">
        <v>86</v>
      </c>
      <c r="F35" t="s">
        <v>200</v>
      </c>
      <c r="I35" t="s">
        <v>633</v>
      </c>
      <c r="J35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t="s">
        <v>289</v>
      </c>
      <c r="E36" t="s">
        <v>86</v>
      </c>
      <c r="F36" t="s">
        <v>200</v>
      </c>
      <c r="I36" t="s">
        <v>636</v>
      </c>
      <c r="J36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t="s">
        <v>650</v>
      </c>
      <c r="E37" t="s">
        <v>86</v>
      </c>
      <c r="F37" t="s">
        <v>200</v>
      </c>
      <c r="I37" t="s">
        <v>639</v>
      </c>
      <c r="J37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t="s">
        <v>4</v>
      </c>
      <c r="E38" t="s">
        <v>11</v>
      </c>
      <c r="I38" t="s">
        <v>642</v>
      </c>
      <c r="J3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t="s">
        <v>4</v>
      </c>
      <c r="E39" t="s">
        <v>8</v>
      </c>
      <c r="H39" t="s">
        <v>6</v>
      </c>
      <c r="I39" t="s">
        <v>645</v>
      </c>
      <c r="J39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t="s">
        <v>4</v>
      </c>
      <c r="E40" t="s">
        <v>8</v>
      </c>
      <c r="I40" t="s">
        <v>1115</v>
      </c>
      <c r="J40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t="s">
        <v>4</v>
      </c>
      <c r="E41" t="s">
        <v>8</v>
      </c>
      <c r="H41" t="s">
        <v>2004</v>
      </c>
      <c r="I41" t="s">
        <v>1118</v>
      </c>
      <c r="J41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t="s">
        <v>4</v>
      </c>
      <c r="E42" t="s">
        <v>8</v>
      </c>
      <c r="I42" t="s">
        <v>1121</v>
      </c>
      <c r="J42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t="s">
        <v>4</v>
      </c>
      <c r="E43" t="s">
        <v>8</v>
      </c>
      <c r="H43" t="s">
        <v>2004</v>
      </c>
      <c r="I43" t="s">
        <v>1124</v>
      </c>
      <c r="J43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t="s">
        <v>4</v>
      </c>
      <c r="E44" t="s">
        <v>8</v>
      </c>
      <c r="I44" t="s">
        <v>1127</v>
      </c>
      <c r="J44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t="s">
        <v>11</v>
      </c>
      <c r="I45" t="s">
        <v>2154</v>
      </c>
      <c r="J45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t="s">
        <v>11</v>
      </c>
      <c r="I46" t="s">
        <v>2157</v>
      </c>
      <c r="J46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t="s">
        <v>11</v>
      </c>
      <c r="I47" t="s">
        <v>2160</v>
      </c>
      <c r="J47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t="s">
        <v>11</v>
      </c>
      <c r="I48" t="s">
        <v>2163</v>
      </c>
      <c r="J4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t="s">
        <v>11</v>
      </c>
      <c r="I49" t="s">
        <v>2166</v>
      </c>
      <c r="J49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t="s">
        <v>11</v>
      </c>
      <c r="I50" t="s">
        <v>2169</v>
      </c>
      <c r="J50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t="s">
        <v>11</v>
      </c>
      <c r="I51" t="s">
        <v>2172</v>
      </c>
      <c r="J51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t="s">
        <v>11</v>
      </c>
      <c r="I52" t="s">
        <v>2175</v>
      </c>
      <c r="J52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t="s">
        <v>11</v>
      </c>
      <c r="I53" t="s">
        <v>2178</v>
      </c>
      <c r="J53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t="s">
        <v>4</v>
      </c>
      <c r="E54" t="s">
        <v>8</v>
      </c>
      <c r="H54" t="s">
        <v>1625</v>
      </c>
      <c r="I54" t="s">
        <v>2181</v>
      </c>
      <c r="J54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t="s">
        <v>11</v>
      </c>
      <c r="I55" t="s">
        <v>2184</v>
      </c>
      <c r="J55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t="s">
        <v>11</v>
      </c>
      <c r="I56" t="s">
        <v>2187</v>
      </c>
      <c r="J56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t="s">
        <v>11</v>
      </c>
      <c r="I57" t="s">
        <v>2190</v>
      </c>
      <c r="J57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t="s">
        <v>11</v>
      </c>
      <c r="I58" t="s">
        <v>2193</v>
      </c>
      <c r="J5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t="s">
        <v>11</v>
      </c>
      <c r="I59" t="s">
        <v>2196</v>
      </c>
      <c r="J59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t="s">
        <v>11</v>
      </c>
      <c r="I60" t="s">
        <v>2199</v>
      </c>
      <c r="J60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t="s">
        <v>11</v>
      </c>
      <c r="I61" t="s">
        <v>2202</v>
      </c>
      <c r="J61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t="s">
        <v>11</v>
      </c>
      <c r="I62" t="s">
        <v>2205</v>
      </c>
      <c r="J62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t="s">
        <v>11</v>
      </c>
      <c r="I63" t="s">
        <v>2208</v>
      </c>
      <c r="J63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t="s">
        <v>11</v>
      </c>
      <c r="I64" t="s">
        <v>2211</v>
      </c>
      <c r="J64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t="s">
        <v>11</v>
      </c>
      <c r="I65" t="s">
        <v>2214</v>
      </c>
      <c r="J65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t="s">
        <v>11</v>
      </c>
      <c r="I66" t="s">
        <v>2217</v>
      </c>
      <c r="J66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t="s">
        <v>11</v>
      </c>
      <c r="I67" t="s">
        <v>2220</v>
      </c>
      <c r="J67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t="s">
        <v>4</v>
      </c>
      <c r="E68" t="s">
        <v>8</v>
      </c>
      <c r="H68" t="s">
        <v>1625</v>
      </c>
      <c r="I68" t="s">
        <v>2223</v>
      </c>
      <c r="J6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t="s">
        <v>2004</v>
      </c>
      <c r="I69" t="s">
        <v>2226</v>
      </c>
      <c r="J69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t="s">
        <v>2004</v>
      </c>
      <c r="I70" t="s">
        <v>2229</v>
      </c>
      <c r="J70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t="s">
        <v>4</v>
      </c>
      <c r="E71" t="s">
        <v>8</v>
      </c>
      <c r="I71" t="s">
        <v>3468</v>
      </c>
      <c r="J71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t="s">
        <v>4</v>
      </c>
      <c r="E72" t="s">
        <v>8</v>
      </c>
      <c r="I72" t="s">
        <v>3471</v>
      </c>
      <c r="J72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t="s">
        <v>4</v>
      </c>
      <c r="E73" t="s">
        <v>8</v>
      </c>
      <c r="I73" t="s">
        <v>3474</v>
      </c>
      <c r="J73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t="s">
        <v>4212</v>
      </c>
      <c r="I74" t="s">
        <v>4213</v>
      </c>
      <c r="J74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t="s">
        <v>4</v>
      </c>
      <c r="E75" t="s">
        <v>8</v>
      </c>
      <c r="I75" t="s">
        <v>3477</v>
      </c>
      <c r="J75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t="s">
        <v>4209</v>
      </c>
      <c r="E76" t="s">
        <v>4210</v>
      </c>
      <c r="I76" t="s">
        <v>3480</v>
      </c>
      <c r="J76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t="s">
        <v>4209</v>
      </c>
      <c r="E77" t="s">
        <v>4210</v>
      </c>
      <c r="H77" t="s">
        <v>2936</v>
      </c>
      <c r="I77" t="s">
        <v>3483</v>
      </c>
      <c r="J77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t="s">
        <v>4209</v>
      </c>
      <c r="E78" t="s">
        <v>4210</v>
      </c>
      <c r="H78" t="s">
        <v>2936</v>
      </c>
      <c r="I78" t="s">
        <v>3486</v>
      </c>
      <c r="J7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t="s">
        <v>4209</v>
      </c>
      <c r="E79" t="s">
        <v>4210</v>
      </c>
      <c r="H79" t="s">
        <v>2936</v>
      </c>
      <c r="I79" t="s">
        <v>3489</v>
      </c>
      <c r="J79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t="s">
        <v>4209</v>
      </c>
      <c r="E80" t="s">
        <v>4210</v>
      </c>
      <c r="H80" t="s">
        <v>2936</v>
      </c>
      <c r="I80" t="s">
        <v>3492</v>
      </c>
      <c r="J80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t="s">
        <v>4209</v>
      </c>
      <c r="E81" t="s">
        <v>4210</v>
      </c>
      <c r="H81" t="s">
        <v>2936</v>
      </c>
      <c r="I81" t="s">
        <v>3495</v>
      </c>
      <c r="J81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t="s">
        <v>4209</v>
      </c>
      <c r="E82" t="s">
        <v>4210</v>
      </c>
      <c r="H82" t="s">
        <v>2936</v>
      </c>
      <c r="I82" t="s">
        <v>3498</v>
      </c>
      <c r="J82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t="s">
        <v>4209</v>
      </c>
      <c r="E83" t="s">
        <v>4210</v>
      </c>
      <c r="H83" t="s">
        <v>2936</v>
      </c>
      <c r="I83" t="s">
        <v>3501</v>
      </c>
      <c r="J83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t="s">
        <v>4209</v>
      </c>
      <c r="E84" t="s">
        <v>4210</v>
      </c>
      <c r="H84" t="s">
        <v>2936</v>
      </c>
      <c r="I84" t="s">
        <v>3504</v>
      </c>
      <c r="J84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t="s">
        <v>4209</v>
      </c>
      <c r="E85" t="s">
        <v>4210</v>
      </c>
      <c r="H85" t="s">
        <v>2936</v>
      </c>
      <c r="I85" t="s">
        <v>3507</v>
      </c>
      <c r="J85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t="s">
        <v>4209</v>
      </c>
      <c r="E86" t="s">
        <v>4210</v>
      </c>
      <c r="H86" t="s">
        <v>2936</v>
      </c>
      <c r="I86" t="s">
        <v>3510</v>
      </c>
      <c r="J86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t="s">
        <v>4209</v>
      </c>
      <c r="E87" t="s">
        <v>4210</v>
      </c>
      <c r="H87" t="s">
        <v>2936</v>
      </c>
      <c r="I87" t="s">
        <v>3513</v>
      </c>
      <c r="J87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t="s">
        <v>4209</v>
      </c>
      <c r="E88" t="s">
        <v>4210</v>
      </c>
      <c r="H88" t="s">
        <v>2936</v>
      </c>
      <c r="I88" t="s">
        <v>3516</v>
      </c>
      <c r="J8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t="s">
        <v>4209</v>
      </c>
      <c r="E89" t="s">
        <v>4210</v>
      </c>
      <c r="H89" t="s">
        <v>2936</v>
      </c>
      <c r="I89" t="s">
        <v>3519</v>
      </c>
      <c r="J89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t="s">
        <v>4209</v>
      </c>
      <c r="E90" t="s">
        <v>4210</v>
      </c>
      <c r="H90" t="s">
        <v>2936</v>
      </c>
      <c r="I90" t="s">
        <v>3522</v>
      </c>
      <c r="J90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t="s">
        <v>4209</v>
      </c>
      <c r="E91" t="s">
        <v>4210</v>
      </c>
      <c r="H91" t="s">
        <v>2936</v>
      </c>
      <c r="I91" t="s">
        <v>3525</v>
      </c>
      <c r="J91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t="s">
        <v>4209</v>
      </c>
      <c r="E92" t="s">
        <v>4210</v>
      </c>
      <c r="H92" t="s">
        <v>2936</v>
      </c>
      <c r="I92" t="s">
        <v>3528</v>
      </c>
      <c r="J92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t="s">
        <v>4209</v>
      </c>
      <c r="E93" t="s">
        <v>4210</v>
      </c>
      <c r="H93" t="s">
        <v>2936</v>
      </c>
      <c r="I93" t="s">
        <v>3531</v>
      </c>
      <c r="J93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t="s">
        <v>4209</v>
      </c>
      <c r="E94" t="s">
        <v>4210</v>
      </c>
      <c r="H94" t="s">
        <v>2936</v>
      </c>
      <c r="I94" t="s">
        <v>3534</v>
      </c>
      <c r="J94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t="s">
        <v>4209</v>
      </c>
      <c r="E95" t="s">
        <v>4210</v>
      </c>
      <c r="H95" t="s">
        <v>2936</v>
      </c>
      <c r="I95" t="s">
        <v>3537</v>
      </c>
      <c r="J95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t="s">
        <v>4216</v>
      </c>
      <c r="E96" t="s">
        <v>4211</v>
      </c>
      <c r="I96" t="s">
        <v>3540</v>
      </c>
      <c r="J96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t="s">
        <v>4216</v>
      </c>
      <c r="E97" t="s">
        <v>4211</v>
      </c>
      <c r="H97" t="s">
        <v>2936</v>
      </c>
      <c r="I97" t="s">
        <v>3543</v>
      </c>
      <c r="J97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t="s">
        <v>4216</v>
      </c>
      <c r="E98" t="s">
        <v>4211</v>
      </c>
      <c r="H98" t="s">
        <v>2936</v>
      </c>
      <c r="I98" t="s">
        <v>3546</v>
      </c>
      <c r="J9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t="s">
        <v>4216</v>
      </c>
      <c r="E99" t="s">
        <v>4211</v>
      </c>
      <c r="H99" t="s">
        <v>2936</v>
      </c>
      <c r="I99" t="s">
        <v>3549</v>
      </c>
      <c r="J99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t="s">
        <v>4216</v>
      </c>
      <c r="E100" t="s">
        <v>4211</v>
      </c>
      <c r="H100" t="s">
        <v>2936</v>
      </c>
      <c r="I100" t="s">
        <v>3552</v>
      </c>
      <c r="J100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t="s">
        <v>4216</v>
      </c>
      <c r="E101" t="s">
        <v>4211</v>
      </c>
      <c r="H101" t="s">
        <v>2936</v>
      </c>
      <c r="I101" t="s">
        <v>3555</v>
      </c>
      <c r="J101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t="s">
        <v>4</v>
      </c>
      <c r="E102" t="s">
        <v>8</v>
      </c>
      <c r="I102" t="s">
        <v>3558</v>
      </c>
      <c r="J102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t="s">
        <v>1606</v>
      </c>
      <c r="E103" t="s">
        <v>4194</v>
      </c>
      <c r="I103" t="s">
        <v>3561</v>
      </c>
      <c r="J103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t="s">
        <v>1606</v>
      </c>
      <c r="E104" t="s">
        <v>4217</v>
      </c>
      <c r="I104" t="s">
        <v>3564</v>
      </c>
      <c r="J104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t="s">
        <v>289</v>
      </c>
      <c r="E105" t="s">
        <v>4217</v>
      </c>
      <c r="F105" t="s">
        <v>4211</v>
      </c>
      <c r="I105" t="s">
        <v>3567</v>
      </c>
      <c r="J105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t="s">
        <v>289</v>
      </c>
      <c r="E106" t="s">
        <v>4217</v>
      </c>
      <c r="F106" t="s">
        <v>4211</v>
      </c>
      <c r="H106" t="s">
        <v>2936</v>
      </c>
      <c r="I106" t="s">
        <v>3570</v>
      </c>
      <c r="J106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t="s">
        <v>289</v>
      </c>
      <c r="E107" t="s">
        <v>4217</v>
      </c>
      <c r="F107" t="s">
        <v>4211</v>
      </c>
      <c r="H107" t="s">
        <v>2936</v>
      </c>
      <c r="I107" t="s">
        <v>3573</v>
      </c>
      <c r="J107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t="s">
        <v>289</v>
      </c>
      <c r="E108" t="s">
        <v>4217</v>
      </c>
      <c r="F108" t="s">
        <v>4211</v>
      </c>
      <c r="H108" t="s">
        <v>2936</v>
      </c>
      <c r="I108" t="s">
        <v>3576</v>
      </c>
      <c r="J10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t="s">
        <v>289</v>
      </c>
      <c r="E109" t="s">
        <v>4217</v>
      </c>
      <c r="F109" t="s">
        <v>4211</v>
      </c>
      <c r="H109" t="s">
        <v>2936</v>
      </c>
      <c r="I109" t="s">
        <v>3579</v>
      </c>
      <c r="J109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t="s">
        <v>289</v>
      </c>
      <c r="E110" t="s">
        <v>4217</v>
      </c>
      <c r="F110" t="s">
        <v>4211</v>
      </c>
      <c r="H110" t="s">
        <v>2936</v>
      </c>
      <c r="I110" t="s">
        <v>3582</v>
      </c>
      <c r="J110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t="s">
        <v>289</v>
      </c>
      <c r="E111" t="s">
        <v>4217</v>
      </c>
      <c r="F111" t="s">
        <v>4211</v>
      </c>
      <c r="H111" t="s">
        <v>2936</v>
      </c>
      <c r="I111" t="s">
        <v>3585</v>
      </c>
      <c r="J111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t="s">
        <v>289</v>
      </c>
      <c r="E112" t="s">
        <v>4217</v>
      </c>
      <c r="F112" t="s">
        <v>4211</v>
      </c>
      <c r="H112" t="s">
        <v>2936</v>
      </c>
      <c r="I112" t="s">
        <v>3588</v>
      </c>
      <c r="J112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t="s">
        <v>289</v>
      </c>
      <c r="E113" t="s">
        <v>4217</v>
      </c>
      <c r="F113" t="s">
        <v>4211</v>
      </c>
      <c r="H113" t="s">
        <v>2936</v>
      </c>
      <c r="I113" t="s">
        <v>3591</v>
      </c>
      <c r="J113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t="s">
        <v>289</v>
      </c>
      <c r="E114" t="s">
        <v>4217</v>
      </c>
      <c r="F114" t="s">
        <v>4211</v>
      </c>
      <c r="H114" t="s">
        <v>2936</v>
      </c>
      <c r="I114" t="s">
        <v>3594</v>
      </c>
      <c r="J114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t="s">
        <v>289</v>
      </c>
      <c r="E115" t="s">
        <v>4217</v>
      </c>
      <c r="F115" t="s">
        <v>4211</v>
      </c>
      <c r="H115" t="s">
        <v>2936</v>
      </c>
      <c r="I115" t="s">
        <v>3597</v>
      </c>
      <c r="J115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t="s">
        <v>289</v>
      </c>
      <c r="E116" t="s">
        <v>4217</v>
      </c>
      <c r="F116" t="s">
        <v>4211</v>
      </c>
      <c r="H116" t="s">
        <v>2936</v>
      </c>
      <c r="I116" t="s">
        <v>3600</v>
      </c>
      <c r="J116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t="s">
        <v>289</v>
      </c>
      <c r="E117" t="s">
        <v>4217</v>
      </c>
      <c r="F117" t="s">
        <v>4211</v>
      </c>
      <c r="H117" t="s">
        <v>2936</v>
      </c>
      <c r="I117" t="s">
        <v>3603</v>
      </c>
      <c r="J117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t="s">
        <v>289</v>
      </c>
      <c r="E118" t="s">
        <v>4217</v>
      </c>
      <c r="F118" t="s">
        <v>4211</v>
      </c>
      <c r="H118" t="s">
        <v>2936</v>
      </c>
      <c r="I118" t="s">
        <v>3606</v>
      </c>
      <c r="J11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t="s">
        <v>650</v>
      </c>
      <c r="E119" t="s">
        <v>4217</v>
      </c>
      <c r="F119" t="s">
        <v>4211</v>
      </c>
      <c r="H119" t="s">
        <v>4218</v>
      </c>
      <c r="I119" t="s">
        <v>3609</v>
      </c>
      <c r="J119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t="s">
        <v>289</v>
      </c>
      <c r="E120" t="s">
        <v>4194</v>
      </c>
      <c r="F120" t="s">
        <v>4211</v>
      </c>
      <c r="I120" t="s">
        <v>3612</v>
      </c>
      <c r="J120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t="s">
        <v>289</v>
      </c>
      <c r="E121" t="s">
        <v>4194</v>
      </c>
      <c r="F121" t="s">
        <v>4211</v>
      </c>
      <c r="H121" t="s">
        <v>2936</v>
      </c>
      <c r="I121" t="s">
        <v>3615</v>
      </c>
      <c r="J121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t="s">
        <v>289</v>
      </c>
      <c r="E122" t="s">
        <v>4194</v>
      </c>
      <c r="F122" t="s">
        <v>4211</v>
      </c>
      <c r="H122" t="s">
        <v>2936</v>
      </c>
      <c r="I122" t="s">
        <v>3618</v>
      </c>
      <c r="J122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t="s">
        <v>289</v>
      </c>
      <c r="E123" t="s">
        <v>4194</v>
      </c>
      <c r="F123" t="s">
        <v>4211</v>
      </c>
      <c r="H123" t="s">
        <v>2936</v>
      </c>
      <c r="I123" t="s">
        <v>3621</v>
      </c>
      <c r="J123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t="s">
        <v>289</v>
      </c>
      <c r="E124" t="s">
        <v>4194</v>
      </c>
      <c r="F124" t="s">
        <v>4211</v>
      </c>
      <c r="H124" t="s">
        <v>2936</v>
      </c>
      <c r="I124" t="s">
        <v>3624</v>
      </c>
      <c r="J124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t="s">
        <v>289</v>
      </c>
      <c r="E125" t="s">
        <v>4194</v>
      </c>
      <c r="F125" t="s">
        <v>4211</v>
      </c>
      <c r="H125" t="s">
        <v>2936</v>
      </c>
      <c r="I125" t="s">
        <v>3627</v>
      </c>
      <c r="J125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t="s">
        <v>289</v>
      </c>
      <c r="E126" t="s">
        <v>4194</v>
      </c>
      <c r="F126" t="s">
        <v>4211</v>
      </c>
      <c r="H126" t="s">
        <v>2936</v>
      </c>
      <c r="I126" t="s">
        <v>3630</v>
      </c>
      <c r="J126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t="s">
        <v>289</v>
      </c>
      <c r="E128" t="s">
        <v>4194</v>
      </c>
      <c r="F128" t="s">
        <v>4211</v>
      </c>
      <c r="H128" t="s">
        <v>2936</v>
      </c>
      <c r="I128" t="s">
        <v>3636</v>
      </c>
      <c r="J12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t="s">
        <v>289</v>
      </c>
      <c r="E129" t="s">
        <v>4194</v>
      </c>
      <c r="F129" t="s">
        <v>4211</v>
      </c>
      <c r="H129" t="s">
        <v>2936</v>
      </c>
      <c r="I129" t="s">
        <v>3639</v>
      </c>
      <c r="J129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t="s">
        <v>289</v>
      </c>
      <c r="E130" t="s">
        <v>4194</v>
      </c>
      <c r="F130" t="s">
        <v>4211</v>
      </c>
      <c r="H130" t="s">
        <v>2936</v>
      </c>
      <c r="I130" t="s">
        <v>3642</v>
      </c>
      <c r="J130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t="s">
        <v>289</v>
      </c>
      <c r="E131" t="s">
        <v>4194</v>
      </c>
      <c r="F131" t="s">
        <v>87</v>
      </c>
      <c r="I131" t="s">
        <v>3645</v>
      </c>
      <c r="J131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t="s">
        <v>1606</v>
      </c>
      <c r="E132" t="s">
        <v>4195</v>
      </c>
      <c r="I132" t="s">
        <v>3648</v>
      </c>
      <c r="J132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t="s">
        <v>1606</v>
      </c>
      <c r="E133" t="s">
        <v>4195</v>
      </c>
      <c r="H133" t="s">
        <v>2936</v>
      </c>
      <c r="I133" t="s">
        <v>3650</v>
      </c>
      <c r="J133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t="s">
        <v>289</v>
      </c>
      <c r="E134" t="s">
        <v>4195</v>
      </c>
      <c r="F134" t="s">
        <v>4211</v>
      </c>
      <c r="I134" t="s">
        <v>3653</v>
      </c>
      <c r="J134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t="s">
        <v>289</v>
      </c>
      <c r="E135" t="s">
        <v>4195</v>
      </c>
      <c r="F135" t="s">
        <v>4211</v>
      </c>
      <c r="H135" t="s">
        <v>2936</v>
      </c>
      <c r="I135" t="s">
        <v>3656</v>
      </c>
      <c r="J135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t="s">
        <v>289</v>
      </c>
      <c r="E136" t="s">
        <v>4195</v>
      </c>
      <c r="F136" t="s">
        <v>4211</v>
      </c>
      <c r="H136" t="s">
        <v>2936</v>
      </c>
      <c r="I136" t="s">
        <v>3659</v>
      </c>
      <c r="J136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t="s">
        <v>289</v>
      </c>
      <c r="E137" t="s">
        <v>4195</v>
      </c>
      <c r="F137" t="s">
        <v>4211</v>
      </c>
      <c r="H137" t="s">
        <v>2936</v>
      </c>
      <c r="I137" t="s">
        <v>3662</v>
      </c>
      <c r="J137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t="s">
        <v>289</v>
      </c>
      <c r="E138" t="s">
        <v>4195</v>
      </c>
      <c r="F138" t="s">
        <v>4211</v>
      </c>
      <c r="H138" t="s">
        <v>2936</v>
      </c>
      <c r="I138" t="s">
        <v>3665</v>
      </c>
      <c r="J13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t="s">
        <v>289</v>
      </c>
      <c r="E139" t="s">
        <v>4195</v>
      </c>
      <c r="F139" t="s">
        <v>4211</v>
      </c>
      <c r="H139" t="s">
        <v>2936</v>
      </c>
      <c r="I139" t="s">
        <v>3668</v>
      </c>
      <c r="J139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t="s">
        <v>289</v>
      </c>
      <c r="E140" t="s">
        <v>4195</v>
      </c>
      <c r="F140" t="s">
        <v>4211</v>
      </c>
      <c r="H140" t="s">
        <v>2936</v>
      </c>
      <c r="I140" t="s">
        <v>3671</v>
      </c>
      <c r="J140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t="s">
        <v>289</v>
      </c>
      <c r="E141" t="s">
        <v>4195</v>
      </c>
      <c r="F141" t="s">
        <v>4211</v>
      </c>
      <c r="H141" t="s">
        <v>2936</v>
      </c>
      <c r="I141" t="s">
        <v>3674</v>
      </c>
      <c r="J141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t="s">
        <v>289</v>
      </c>
      <c r="E142" t="s">
        <v>4195</v>
      </c>
      <c r="F142" t="s">
        <v>4211</v>
      </c>
      <c r="H142" t="s">
        <v>2936</v>
      </c>
      <c r="I142" t="s">
        <v>3677</v>
      </c>
      <c r="J142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t="s">
        <v>289</v>
      </c>
      <c r="E143" t="s">
        <v>4195</v>
      </c>
      <c r="F143" t="s">
        <v>4211</v>
      </c>
      <c r="H143" t="s">
        <v>2936</v>
      </c>
      <c r="I143" t="s">
        <v>3680</v>
      </c>
      <c r="J143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t="s">
        <v>289</v>
      </c>
      <c r="E144" t="s">
        <v>4195</v>
      </c>
      <c r="F144" t="s">
        <v>4211</v>
      </c>
      <c r="H144" t="s">
        <v>2936</v>
      </c>
      <c r="I144" t="s">
        <v>3683</v>
      </c>
      <c r="J144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t="s">
        <v>289</v>
      </c>
      <c r="E145" t="s">
        <v>4195</v>
      </c>
      <c r="F145" t="s">
        <v>4211</v>
      </c>
      <c r="H145" t="s">
        <v>2936</v>
      </c>
      <c r="I145" t="s">
        <v>3686</v>
      </c>
      <c r="J145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t="s">
        <v>289</v>
      </c>
      <c r="E146" t="s">
        <v>4195</v>
      </c>
      <c r="F146" t="s">
        <v>4211</v>
      </c>
      <c r="H146" t="s">
        <v>2936</v>
      </c>
      <c r="I146" t="s">
        <v>3689</v>
      </c>
      <c r="J146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t="s">
        <v>289</v>
      </c>
      <c r="E147" t="s">
        <v>4195</v>
      </c>
      <c r="F147" t="s">
        <v>4211</v>
      </c>
      <c r="H147" t="s">
        <v>2936</v>
      </c>
      <c r="I147" t="s">
        <v>3692</v>
      </c>
      <c r="J147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t="s">
        <v>289</v>
      </c>
      <c r="E148" t="s">
        <v>4195</v>
      </c>
      <c r="F148" t="s">
        <v>4211</v>
      </c>
      <c r="H148" t="s">
        <v>2936</v>
      </c>
      <c r="I148" t="s">
        <v>3695</v>
      </c>
      <c r="J14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t="s">
        <v>289</v>
      </c>
      <c r="E149" t="s">
        <v>4195</v>
      </c>
      <c r="F149" t="s">
        <v>4211</v>
      </c>
      <c r="H149" t="s">
        <v>2936</v>
      </c>
      <c r="I149" t="s">
        <v>3698</v>
      </c>
      <c r="J149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t="s">
        <v>289</v>
      </c>
      <c r="E150" t="s">
        <v>4195</v>
      </c>
      <c r="F150" t="s">
        <v>4211</v>
      </c>
      <c r="H150" t="s">
        <v>2936</v>
      </c>
      <c r="I150" t="s">
        <v>3701</v>
      </c>
      <c r="J150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t="s">
        <v>289</v>
      </c>
      <c r="E151" t="s">
        <v>4195</v>
      </c>
      <c r="F151" t="s">
        <v>4211</v>
      </c>
      <c r="H151" t="s">
        <v>2936</v>
      </c>
      <c r="I151" t="s">
        <v>3704</v>
      </c>
      <c r="J151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t="s">
        <v>289</v>
      </c>
      <c r="E152" t="s">
        <v>4195</v>
      </c>
      <c r="F152" t="s">
        <v>4211</v>
      </c>
      <c r="H152" t="s">
        <v>2936</v>
      </c>
      <c r="I152" t="s">
        <v>3707</v>
      </c>
      <c r="J152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t="s">
        <v>289</v>
      </c>
      <c r="E153" t="s">
        <v>4195</v>
      </c>
      <c r="F153" t="s">
        <v>4211</v>
      </c>
      <c r="H153" t="s">
        <v>2936</v>
      </c>
      <c r="I153" t="s">
        <v>3710</v>
      </c>
      <c r="J153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t="s">
        <v>471</v>
      </c>
      <c r="E154" t="s">
        <v>4195</v>
      </c>
      <c r="I154" t="s">
        <v>3713</v>
      </c>
      <c r="J154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t="s">
        <v>650</v>
      </c>
      <c r="E155" t="s">
        <v>4195</v>
      </c>
      <c r="F155" t="s">
        <v>4211</v>
      </c>
      <c r="H155" t="s">
        <v>4219</v>
      </c>
      <c r="I155" t="s">
        <v>3716</v>
      </c>
      <c r="J155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t="s">
        <v>4297</v>
      </c>
      <c r="E156" t="s">
        <v>55</v>
      </c>
      <c r="I156" t="s">
        <v>4276</v>
      </c>
      <c r="J156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t="s">
        <v>289</v>
      </c>
      <c r="E157" t="s">
        <v>86</v>
      </c>
      <c r="F157" t="s">
        <v>200</v>
      </c>
      <c r="I157" t="s">
        <v>4999</v>
      </c>
      <c r="J157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t="s">
        <v>289</v>
      </c>
      <c r="E158" t="s">
        <v>86</v>
      </c>
      <c r="F158" t="s">
        <v>200</v>
      </c>
      <c r="I158" t="s">
        <v>5002</v>
      </c>
      <c r="J15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t="s">
        <v>289</v>
      </c>
      <c r="E159" t="s">
        <v>86</v>
      </c>
      <c r="F159" t="s">
        <v>200</v>
      </c>
      <c r="I159" t="s">
        <v>5005</v>
      </c>
      <c r="J159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t="s">
        <v>1094</v>
      </c>
      <c r="E160" t="s">
        <v>4247</v>
      </c>
      <c r="F160" t="s">
        <v>58</v>
      </c>
      <c r="I160" t="s">
        <v>5008</v>
      </c>
      <c r="J160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t="s">
        <v>289</v>
      </c>
      <c r="E161" t="s">
        <v>86</v>
      </c>
      <c r="F161" t="s">
        <v>200</v>
      </c>
      <c r="I161" t="s">
        <v>5011</v>
      </c>
      <c r="J161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t="s">
        <v>1094</v>
      </c>
      <c r="E162" t="s">
        <v>4247</v>
      </c>
      <c r="F162" t="s">
        <v>58</v>
      </c>
      <c r="I162" t="s">
        <v>5014</v>
      </c>
      <c r="J162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t="s">
        <v>1094</v>
      </c>
      <c r="E163" t="s">
        <v>531</v>
      </c>
      <c r="F163" t="s">
        <v>58</v>
      </c>
      <c r="I163" t="s">
        <v>5017</v>
      </c>
      <c r="J163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t="s">
        <v>4</v>
      </c>
      <c r="E164" t="s">
        <v>8</v>
      </c>
      <c r="I164" t="s">
        <v>5020</v>
      </c>
      <c r="J164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t="s">
        <v>289</v>
      </c>
      <c r="E165" t="s">
        <v>86</v>
      </c>
      <c r="F165" t="s">
        <v>60</v>
      </c>
      <c r="I165" t="s">
        <v>5023</v>
      </c>
      <c r="J165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t="s">
        <v>289</v>
      </c>
      <c r="E166" t="s">
        <v>86</v>
      </c>
      <c r="F166" t="s">
        <v>60</v>
      </c>
      <c r="I166" t="s">
        <v>5026</v>
      </c>
      <c r="J166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t="s">
        <v>289</v>
      </c>
      <c r="E167" t="s">
        <v>86</v>
      </c>
      <c r="F167" t="s">
        <v>200</v>
      </c>
      <c r="I167" t="s">
        <v>5029</v>
      </c>
      <c r="J167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t="s">
        <v>4</v>
      </c>
      <c r="E168" t="s">
        <v>8</v>
      </c>
      <c r="I168" t="s">
        <v>5032</v>
      </c>
      <c r="J16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t="s">
        <v>289</v>
      </c>
      <c r="E169" t="s">
        <v>86</v>
      </c>
      <c r="F169" t="s">
        <v>60</v>
      </c>
      <c r="I169" t="s">
        <v>5035</v>
      </c>
      <c r="J169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t="s">
        <v>289</v>
      </c>
      <c r="E170" t="s">
        <v>86</v>
      </c>
      <c r="F170" t="s">
        <v>60</v>
      </c>
      <c r="I170" t="s">
        <v>5038</v>
      </c>
      <c r="J170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t="s">
        <v>4</v>
      </c>
      <c r="E171" t="s">
        <v>8</v>
      </c>
      <c r="I171" t="s">
        <v>5041</v>
      </c>
      <c r="J171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t="s">
        <v>1094</v>
      </c>
      <c r="E172" t="s">
        <v>4247</v>
      </c>
      <c r="F172" t="s">
        <v>60</v>
      </c>
      <c r="I172" t="s">
        <v>5116</v>
      </c>
      <c r="J172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t="s">
        <v>1094</v>
      </c>
      <c r="E173" t="s">
        <v>4247</v>
      </c>
      <c r="F173" t="s">
        <v>200</v>
      </c>
      <c r="I173" t="s">
        <v>5119</v>
      </c>
      <c r="J173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t="s">
        <v>1094</v>
      </c>
      <c r="E174" t="s">
        <v>4247</v>
      </c>
      <c r="F174" t="s">
        <v>200</v>
      </c>
      <c r="I174" t="s">
        <v>5122</v>
      </c>
      <c r="J174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t="s">
        <v>4</v>
      </c>
      <c r="E175" t="s">
        <v>8</v>
      </c>
      <c r="H175" t="s">
        <v>2936</v>
      </c>
      <c r="I175" t="s">
        <v>5125</v>
      </c>
      <c r="J175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t="s">
        <v>4</v>
      </c>
      <c r="E176" t="s">
        <v>8</v>
      </c>
      <c r="H176" t="s">
        <v>2936</v>
      </c>
      <c r="I176" t="s">
        <v>5128</v>
      </c>
      <c r="J176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t="s">
        <v>4</v>
      </c>
      <c r="E177" t="s">
        <v>8</v>
      </c>
      <c r="H177" t="s">
        <v>2936</v>
      </c>
      <c r="I177" t="s">
        <v>5131</v>
      </c>
      <c r="J177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t="s">
        <v>4</v>
      </c>
      <c r="E178" t="s">
        <v>8</v>
      </c>
      <c r="H178" t="s">
        <v>2936</v>
      </c>
      <c r="I178" t="s">
        <v>5044</v>
      </c>
      <c r="J17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t="s">
        <v>4</v>
      </c>
      <c r="E179" t="s">
        <v>8</v>
      </c>
      <c r="H179" t="s">
        <v>2936</v>
      </c>
      <c r="I179" t="s">
        <v>5047</v>
      </c>
      <c r="J179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t="s">
        <v>4</v>
      </c>
      <c r="E180" t="s">
        <v>8</v>
      </c>
      <c r="H180" t="s">
        <v>2936</v>
      </c>
      <c r="I180" t="s">
        <v>5050</v>
      </c>
      <c r="J180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t="s">
        <v>289</v>
      </c>
      <c r="E181" t="s">
        <v>86</v>
      </c>
      <c r="F181" t="s">
        <v>200</v>
      </c>
      <c r="I181" t="s">
        <v>5053</v>
      </c>
      <c r="J181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t="s">
        <v>289</v>
      </c>
      <c r="E182" t="s">
        <v>86</v>
      </c>
      <c r="F182" t="s">
        <v>200</v>
      </c>
      <c r="I182" t="s">
        <v>5056</v>
      </c>
      <c r="J182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t="s">
        <v>289</v>
      </c>
      <c r="E183" t="s">
        <v>86</v>
      </c>
      <c r="F183" t="s">
        <v>200</v>
      </c>
      <c r="I183" t="s">
        <v>5059</v>
      </c>
      <c r="J183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t="s">
        <v>289</v>
      </c>
      <c r="E184" t="s">
        <v>86</v>
      </c>
      <c r="F184" t="s">
        <v>200</v>
      </c>
      <c r="I184" t="s">
        <v>5062</v>
      </c>
      <c r="J184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t="s">
        <v>289</v>
      </c>
      <c r="E185" t="s">
        <v>86</v>
      </c>
      <c r="F185" t="s">
        <v>200</v>
      </c>
      <c r="I185" t="s">
        <v>5065</v>
      </c>
      <c r="J185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t="s">
        <v>5134</v>
      </c>
      <c r="I186" t="s">
        <v>5068</v>
      </c>
      <c r="J186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t="s">
        <v>2004</v>
      </c>
      <c r="I187" t="s">
        <v>5071</v>
      </c>
      <c r="J187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t="s">
        <v>2004</v>
      </c>
      <c r="I188" t="s">
        <v>5229</v>
      </c>
      <c r="J18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t="s">
        <v>4</v>
      </c>
      <c r="E189" t="s">
        <v>8</v>
      </c>
      <c r="I189" t="s">
        <v>5316</v>
      </c>
      <c r="J189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t="s">
        <v>289</v>
      </c>
      <c r="E190" t="s">
        <v>86</v>
      </c>
      <c r="F190" t="s">
        <v>200</v>
      </c>
      <c r="I190" t="s">
        <v>5319</v>
      </c>
      <c r="J190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t="s">
        <v>289</v>
      </c>
      <c r="E191" t="s">
        <v>86</v>
      </c>
      <c r="F191" t="s">
        <v>200</v>
      </c>
      <c r="I191" t="s">
        <v>5322</v>
      </c>
      <c r="J191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t="s">
        <v>2004</v>
      </c>
      <c r="E192" t="s">
        <v>8</v>
      </c>
      <c r="I192" t="s">
        <v>5548</v>
      </c>
      <c r="J192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t="s">
        <v>2004</v>
      </c>
      <c r="E193" t="s">
        <v>8</v>
      </c>
      <c r="I193" t="s">
        <v>5551</v>
      </c>
      <c r="J193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t="s">
        <v>2004</v>
      </c>
      <c r="E194" t="s">
        <v>8</v>
      </c>
      <c r="I194" t="s">
        <v>5554</v>
      </c>
      <c r="J194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t="s">
        <v>4212</v>
      </c>
      <c r="I195" t="s">
        <v>6330</v>
      </c>
      <c r="J195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t="s">
        <v>4212</v>
      </c>
      <c r="I196" t="s">
        <v>6333</v>
      </c>
      <c r="J196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t="s">
        <v>4212</v>
      </c>
      <c r="I197" t="s">
        <v>6336</v>
      </c>
      <c r="J197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t="s">
        <v>2004</v>
      </c>
      <c r="E198" t="s">
        <v>8</v>
      </c>
      <c r="I198" t="s">
        <v>6320</v>
      </c>
      <c r="J19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</sheetData>
  <conditionalFormatting sqref="E199:E212 D2:E198 G2:H198 D1:D1048576">
    <cfRule type="containsText" dxfId="394" priority="18" operator="containsText" text="Выезд с территории">
      <formula>NOT(ISERROR(SEARCH("Выезд с территории",D1)))</formula>
    </cfRule>
  </conditionalFormatting>
  <conditionalFormatting sqref="F2:F198">
    <cfRule type="notContainsText" dxfId="393" priority="17" operator="notContains" text="порожний">
      <formula>ISERROR(SEARCH("порожний",F2))</formula>
    </cfRule>
  </conditionalFormatting>
  <conditionalFormatting sqref="E2:E212">
    <cfRule type="containsText" dxfId="392" priority="15" operator="containsText" text="Газель базы">
      <formula>NOT(ISERROR(SEARCH("Газель базы",E2)))</formula>
    </cfRule>
    <cfRule type="containsText" dxfId="391" priority="16" operator="containsText" text="Погрузчик базы">
      <formula>NOT(ISERROR(SEARCH("Погрузчик базы",E2)))</formula>
    </cfRule>
  </conditionalFormatting>
  <conditionalFormatting sqref="E2:E212">
    <cfRule type="containsText" dxfId="390" priority="14" operator="containsText" text="Трактор базы">
      <formula>NOT(ISERROR(SEARCH("Трактор базы",E2)))</formula>
    </cfRule>
  </conditionalFormatting>
  <conditionalFormatting sqref="A2:C198">
    <cfRule type="expression" dxfId="389" priority="13">
      <formula>$A2="пн"</formula>
    </cfRule>
  </conditionalFormatting>
  <conditionalFormatting sqref="A2:C200">
    <cfRule type="expression" dxfId="388" priority="7">
      <formula>$A2="вс"</formula>
    </cfRule>
    <cfRule type="expression" dxfId="387" priority="8">
      <formula>$A2="сб"</formula>
    </cfRule>
    <cfRule type="expression" dxfId="386" priority="9">
      <formula>$A2="пт"</formula>
    </cfRule>
    <cfRule type="expression" dxfId="385" priority="10">
      <formula>$A2="чт"</formula>
    </cfRule>
    <cfRule type="expression" dxfId="384" priority="11">
      <formula>$A2="ср"</formula>
    </cfRule>
    <cfRule type="expression" dxfId="383" priority="12">
      <formula>$A2="вт"</formula>
    </cfRule>
  </conditionalFormatting>
  <conditionalFormatting sqref="D1:D1048576">
    <cfRule type="containsText" dxfId="382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381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380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30"/>
  <sheetViews>
    <sheetView zoomScale="90" zoomScaleNormal="90" workbookViewId="0">
      <pane ySplit="1" topLeftCell="A110" activePane="bottomLeft" state="frozen"/>
      <selection pane="bottomLeft" activeCell="I130" sqref="I13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bestFit="1" customWidth="1"/>
    <col min="11" max="11" width="45.5703125" customWidth="1"/>
    <col min="12" max="12" width="24.5703125" customWidth="1"/>
    <col min="13" max="13" width="45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5136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5136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5136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</sheetData>
  <conditionalFormatting sqref="D131:D141 E131:E144 G2:H130 D2:E130">
    <cfRule type="containsText" dxfId="379" priority="14" operator="containsText" text="Выезд с территории">
      <formula>NOT(ISERROR(SEARCH("Выезд с территории",D2)))</formula>
    </cfRule>
  </conditionalFormatting>
  <conditionalFormatting sqref="F2:F130">
    <cfRule type="notContainsText" dxfId="378" priority="13" operator="notContains" text="порожний">
      <formula>ISERROR(SEARCH("порожний",F2))</formula>
    </cfRule>
  </conditionalFormatting>
  <conditionalFormatting sqref="E2:E144">
    <cfRule type="containsText" dxfId="377" priority="11" operator="containsText" text="Газель базы">
      <formula>NOT(ISERROR(SEARCH("Газель базы",E2)))</formula>
    </cfRule>
    <cfRule type="containsText" dxfId="376" priority="12" operator="containsText" text="Погрузчик базы">
      <formula>NOT(ISERROR(SEARCH("Погрузчик базы",E2)))</formula>
    </cfRule>
  </conditionalFormatting>
  <conditionalFormatting sqref="E2:E144">
    <cfRule type="containsText" dxfId="375" priority="10" operator="containsText" text="Трактор базы">
      <formula>NOT(ISERROR(SEARCH("Трактор базы",E2)))</formula>
    </cfRule>
  </conditionalFormatting>
  <conditionalFormatting sqref="A2:C130">
    <cfRule type="expression" dxfId="374" priority="9">
      <formula>$A2="пн"</formula>
    </cfRule>
  </conditionalFormatting>
  <conditionalFormatting sqref="A2:C132">
    <cfRule type="expression" dxfId="373" priority="3">
      <formula>$A2="вс"</formula>
    </cfRule>
    <cfRule type="expression" dxfId="372" priority="4">
      <formula>$A2="сб"</formula>
    </cfRule>
    <cfRule type="expression" dxfId="371" priority="5">
      <formula>$A2="пт"</formula>
    </cfRule>
    <cfRule type="expression" dxfId="370" priority="6">
      <formula>$A2="чт"</formula>
    </cfRule>
    <cfRule type="expression" dxfId="369" priority="7">
      <formula>$A2="ср"</formula>
    </cfRule>
    <cfRule type="expression" dxfId="368" priority="8">
      <formula>$A2="вт"</formula>
    </cfRule>
  </conditionalFormatting>
  <conditionalFormatting sqref="D2:D141">
    <cfRule type="containsText" dxfId="36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1">
    <cfRule type="containsText" dxfId="36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382"/>
  <sheetViews>
    <sheetView zoomScale="90" zoomScaleNormal="90" workbookViewId="0">
      <pane ySplit="1" topLeftCell="A368" activePane="bottomLeft" state="frozen"/>
      <selection pane="bottomLeft" activeCell="I370" sqref="I370:I38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5" width="28.140625" bestFit="1" customWidth="1"/>
    <col min="6" max="6" width="18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bestFit="1" customWidth="1"/>
    <col min="11" max="11" width="53.28515625" customWidth="1"/>
    <col min="12" max="12" width="24.5703125" customWidth="1"/>
    <col min="13" max="13" width="53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</sheetData>
  <conditionalFormatting sqref="D383:D393 E383:E396 G2:H382 D2:E382">
    <cfRule type="containsText" dxfId="365" priority="14" operator="containsText" text="Выезд с территории">
      <formula>NOT(ISERROR(SEARCH("Выезд с территории",D2)))</formula>
    </cfRule>
  </conditionalFormatting>
  <conditionalFormatting sqref="F2:F382">
    <cfRule type="notContainsText" dxfId="364" priority="13" operator="notContains" text="порожний">
      <formula>ISERROR(SEARCH("порожний",F2))</formula>
    </cfRule>
  </conditionalFormatting>
  <conditionalFormatting sqref="E2:E396">
    <cfRule type="containsText" dxfId="363" priority="11" operator="containsText" text="Газель базы">
      <formula>NOT(ISERROR(SEARCH("Газель базы",E2)))</formula>
    </cfRule>
    <cfRule type="containsText" dxfId="362" priority="12" operator="containsText" text="Погрузчик базы">
      <formula>NOT(ISERROR(SEARCH("Погрузчик базы",E2)))</formula>
    </cfRule>
  </conditionalFormatting>
  <conditionalFormatting sqref="E2:E396">
    <cfRule type="containsText" dxfId="361" priority="10" operator="containsText" text="Трактор базы">
      <formula>NOT(ISERROR(SEARCH("Трактор базы",E2)))</formula>
    </cfRule>
  </conditionalFormatting>
  <conditionalFormatting sqref="A2:C382">
    <cfRule type="expression" dxfId="360" priority="9">
      <formula>$A2="пн"</formula>
    </cfRule>
  </conditionalFormatting>
  <conditionalFormatting sqref="A2:C384">
    <cfRule type="expression" dxfId="359" priority="3">
      <formula>$A2="вс"</formula>
    </cfRule>
    <cfRule type="expression" dxfId="358" priority="4">
      <formula>$A2="сб"</formula>
    </cfRule>
    <cfRule type="expression" dxfId="357" priority="5">
      <formula>$A2="пт"</formula>
    </cfRule>
    <cfRule type="expression" dxfId="356" priority="6">
      <formula>$A2="чт"</formula>
    </cfRule>
    <cfRule type="expression" dxfId="355" priority="7">
      <formula>$A2="ср"</formula>
    </cfRule>
    <cfRule type="expression" dxfId="354" priority="8">
      <formula>$A2="вт"</formula>
    </cfRule>
  </conditionalFormatting>
  <conditionalFormatting sqref="D2:D393">
    <cfRule type="containsText" dxfId="3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3">
    <cfRule type="containsText" dxfId="3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383"/>
  <sheetViews>
    <sheetView topLeftCell="C1" zoomScale="90" zoomScaleNormal="90" workbookViewId="0">
      <pane ySplit="1" topLeftCell="A369" activePane="bottomLeft" state="frozen"/>
      <selection pane="bottomLeft" activeCell="E374" sqref="E37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" bestFit="1" customWidth="1"/>
    <col min="5" max="5" width="39.28515625" bestFit="1" customWidth="1"/>
    <col min="6" max="6" width="23.855468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bestFit="1" customWidth="1"/>
    <col min="11" max="11" width="52.85546875" customWidth="1"/>
    <col min="12" max="12" width="24.5703125" customWidth="1"/>
    <col min="13" max="13" width="52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9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9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6182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6182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6182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</sheetData>
  <conditionalFormatting sqref="D384:D394 E384:E397 G2:H383 D2:E383">
    <cfRule type="containsText" dxfId="351" priority="14" operator="containsText" text="Выезд с территории">
      <formula>NOT(ISERROR(SEARCH("Выезд с территории",D2)))</formula>
    </cfRule>
  </conditionalFormatting>
  <conditionalFormatting sqref="F2:F383">
    <cfRule type="notContainsText" dxfId="350" priority="13" operator="notContains" text="порожний">
      <formula>ISERROR(SEARCH("порожний",F2))</formula>
    </cfRule>
  </conditionalFormatting>
  <conditionalFormatting sqref="E2:E397">
    <cfRule type="containsText" dxfId="349" priority="11" operator="containsText" text="Газель базы">
      <formula>NOT(ISERROR(SEARCH("Газель базы",E2)))</formula>
    </cfRule>
    <cfRule type="containsText" dxfId="348" priority="12" operator="containsText" text="Погрузчик базы">
      <formula>NOT(ISERROR(SEARCH("Погрузчик базы",E2)))</formula>
    </cfRule>
  </conditionalFormatting>
  <conditionalFormatting sqref="E2:E397">
    <cfRule type="containsText" dxfId="347" priority="10" operator="containsText" text="Трактор базы">
      <formula>NOT(ISERROR(SEARCH("Трактор базы",E2)))</formula>
    </cfRule>
  </conditionalFormatting>
  <conditionalFormatting sqref="A2:C383">
    <cfRule type="expression" dxfId="346" priority="9">
      <formula>$A2="пн"</formula>
    </cfRule>
  </conditionalFormatting>
  <conditionalFormatting sqref="A2:C385">
    <cfRule type="expression" dxfId="345" priority="3">
      <formula>$A2="вс"</formula>
    </cfRule>
    <cfRule type="expression" dxfId="344" priority="4">
      <formula>$A2="сб"</formula>
    </cfRule>
    <cfRule type="expression" dxfId="343" priority="5">
      <formula>$A2="пт"</formula>
    </cfRule>
    <cfRule type="expression" dxfId="342" priority="6">
      <formula>$A2="чт"</formula>
    </cfRule>
    <cfRule type="expression" dxfId="341" priority="7">
      <formula>$A2="ср"</formula>
    </cfRule>
    <cfRule type="expression" dxfId="340" priority="8">
      <formula>$A2="вт"</formula>
    </cfRule>
  </conditionalFormatting>
  <conditionalFormatting sqref="D2:D394">
    <cfRule type="containsText" dxfId="3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4">
    <cfRule type="containsText" dxfId="3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55"/>
  <sheetViews>
    <sheetView zoomScale="90" zoomScaleNormal="90" workbookViewId="0">
      <pane ySplit="1" topLeftCell="A135" activePane="bottomLeft" state="frozen"/>
      <selection pane="bottomLeft" activeCell="I153" sqref="I153:I15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7.5703125" bestFit="1" customWidth="1"/>
    <col min="5" max="5" width="39.28515625" bestFit="1" customWidth="1"/>
    <col min="6" max="6" width="29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bestFit="1" customWidth="1"/>
    <col min="11" max="11" width="54.7109375" customWidth="1"/>
    <col min="12" max="12" width="24.5703125" customWidth="1"/>
    <col min="13" max="13" width="54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</sheetData>
  <conditionalFormatting sqref="D156:D166 E156:E169 G2:H155 D2:E155">
    <cfRule type="containsText" dxfId="337" priority="14" operator="containsText" text="Выезд с территории">
      <formula>NOT(ISERROR(SEARCH("Выезд с территории",D2)))</formula>
    </cfRule>
  </conditionalFormatting>
  <conditionalFormatting sqref="F2:F155">
    <cfRule type="notContainsText" dxfId="336" priority="13" operator="notContains" text="порожний">
      <formula>ISERROR(SEARCH("порожний",F2))</formula>
    </cfRule>
  </conditionalFormatting>
  <conditionalFormatting sqref="E2:E169">
    <cfRule type="containsText" dxfId="335" priority="11" operator="containsText" text="Газель базы">
      <formula>NOT(ISERROR(SEARCH("Газель базы",E2)))</formula>
    </cfRule>
    <cfRule type="containsText" dxfId="334" priority="12" operator="containsText" text="Погрузчик базы">
      <formula>NOT(ISERROR(SEARCH("Погрузчик базы",E2)))</formula>
    </cfRule>
  </conditionalFormatting>
  <conditionalFormatting sqref="E2:E169">
    <cfRule type="containsText" dxfId="333" priority="10" operator="containsText" text="Трактор базы">
      <formula>NOT(ISERROR(SEARCH("Трактор базы",E2)))</formula>
    </cfRule>
  </conditionalFormatting>
  <conditionalFormatting sqref="A2:C155">
    <cfRule type="expression" dxfId="332" priority="9">
      <formula>$A2="пн"</formula>
    </cfRule>
  </conditionalFormatting>
  <conditionalFormatting sqref="A2:C157">
    <cfRule type="expression" dxfId="331" priority="3">
      <formula>$A2="вс"</formula>
    </cfRule>
    <cfRule type="expression" dxfId="330" priority="4">
      <formula>$A2="сб"</formula>
    </cfRule>
    <cfRule type="expression" dxfId="329" priority="5">
      <formula>$A2="пт"</formula>
    </cfRule>
    <cfRule type="expression" dxfId="328" priority="6">
      <formula>$A2="чт"</formula>
    </cfRule>
    <cfRule type="expression" dxfId="327" priority="7">
      <formula>$A2="ср"</formula>
    </cfRule>
    <cfRule type="expression" dxfId="326" priority="8">
      <formula>$A2="вт"</formula>
    </cfRule>
  </conditionalFormatting>
  <conditionalFormatting sqref="D2:D166">
    <cfRule type="containsText" dxfId="3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6">
    <cfRule type="containsText" dxfId="3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00"/>
  <sheetViews>
    <sheetView zoomScale="90" zoomScaleNormal="90" workbookViewId="0">
      <pane ySplit="1" topLeftCell="A86" activePane="bottomLeft" state="frozen"/>
      <selection pane="bottomLeft" activeCell="I99" sqref="I99:I10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12.7109375" bestFit="1" customWidth="1"/>
    <col min="9" max="9" width="36.7109375" customWidth="1"/>
    <col min="10" max="10" width="43.7109375" bestFit="1" customWidth="1"/>
    <col min="11" max="11" width="56.7109375" customWidth="1"/>
    <col min="12" max="12" width="24.5703125" customWidth="1"/>
    <col min="13" max="13" width="56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</sheetData>
  <conditionalFormatting sqref="D101:D111 E101:E114 G2:H100 D2:E100">
    <cfRule type="containsText" dxfId="323" priority="14" operator="containsText" text="Выезд с территории">
      <formula>NOT(ISERROR(SEARCH("Выезд с территории",D2)))</formula>
    </cfRule>
  </conditionalFormatting>
  <conditionalFormatting sqref="F2:F100">
    <cfRule type="notContainsText" dxfId="322" priority="13" operator="notContains" text="порожний">
      <formula>ISERROR(SEARCH("порожний",F2))</formula>
    </cfRule>
  </conditionalFormatting>
  <conditionalFormatting sqref="E2:E114">
    <cfRule type="containsText" dxfId="321" priority="11" operator="containsText" text="Газель базы">
      <formula>NOT(ISERROR(SEARCH("Газель базы",E2)))</formula>
    </cfRule>
    <cfRule type="containsText" dxfId="320" priority="12" operator="containsText" text="Погрузчик базы">
      <formula>NOT(ISERROR(SEARCH("Погрузчик базы",E2)))</formula>
    </cfRule>
  </conditionalFormatting>
  <conditionalFormatting sqref="E2:E114">
    <cfRule type="containsText" dxfId="319" priority="10" operator="containsText" text="Трактор базы">
      <formula>NOT(ISERROR(SEARCH("Трактор базы",E2)))</formula>
    </cfRule>
  </conditionalFormatting>
  <conditionalFormatting sqref="A2:C100">
    <cfRule type="expression" dxfId="318" priority="9">
      <formula>$A2="пн"</formula>
    </cfRule>
  </conditionalFormatting>
  <conditionalFormatting sqref="A2:C102">
    <cfRule type="expression" dxfId="317" priority="3">
      <formula>$A2="вс"</formula>
    </cfRule>
    <cfRule type="expression" dxfId="316" priority="4">
      <formula>$A2="сб"</formula>
    </cfRule>
    <cfRule type="expression" dxfId="315" priority="5">
      <formula>$A2="пт"</formula>
    </cfRule>
    <cfRule type="expression" dxfId="314" priority="6">
      <formula>$A2="чт"</formula>
    </cfRule>
    <cfRule type="expression" dxfId="313" priority="7">
      <formula>$A2="ср"</formula>
    </cfRule>
    <cfRule type="expression" dxfId="312" priority="8">
      <formula>$A2="вт"</formula>
    </cfRule>
  </conditionalFormatting>
  <conditionalFormatting sqref="D2:D111">
    <cfRule type="containsText" dxfId="3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1">
    <cfRule type="containsText" dxfId="3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64"/>
  <sheetViews>
    <sheetView zoomScale="90" zoomScaleNormal="90" workbookViewId="0">
      <pane ySplit="1" topLeftCell="A41" activePane="bottomLeft" state="frozen"/>
      <selection pane="bottomLeft" activeCell="I62" sqref="I62:I6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30.42578125" bestFit="1" customWidth="1"/>
    <col min="6" max="6" width="21.42578125" bestFit="1" customWidth="1"/>
    <col min="7" max="7" width="7.28515625" bestFit="1" customWidth="1"/>
    <col min="8" max="8" width="12.7109375" bestFit="1" customWidth="1"/>
    <col min="9" max="9" width="36.7109375" customWidth="1"/>
    <col min="10" max="10" width="37.140625" bestFit="1" customWidth="1"/>
    <col min="11" max="11" width="49.7109375" customWidth="1"/>
    <col min="12" max="12" width="24.5703125" customWidth="1"/>
    <col min="13" max="13" width="49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</sheetData>
  <conditionalFormatting sqref="D65:D75 E65:E78 G2:H64 D2:E64">
    <cfRule type="containsText" dxfId="309" priority="14" operator="containsText" text="Выезд с территории">
      <formula>NOT(ISERROR(SEARCH("Выезд с территории",D2)))</formula>
    </cfRule>
  </conditionalFormatting>
  <conditionalFormatting sqref="F2:F64">
    <cfRule type="notContainsText" dxfId="308" priority="13" operator="notContains" text="порожний">
      <formula>ISERROR(SEARCH("порожний",F2))</formula>
    </cfRule>
  </conditionalFormatting>
  <conditionalFormatting sqref="E2:E78">
    <cfRule type="containsText" dxfId="307" priority="11" operator="containsText" text="Газель базы">
      <formula>NOT(ISERROR(SEARCH("Газель базы",E2)))</formula>
    </cfRule>
    <cfRule type="containsText" dxfId="306" priority="12" operator="containsText" text="Погрузчик базы">
      <formula>NOT(ISERROR(SEARCH("Погрузчик базы",E2)))</formula>
    </cfRule>
  </conditionalFormatting>
  <conditionalFormatting sqref="E2:E78">
    <cfRule type="containsText" dxfId="305" priority="10" operator="containsText" text="Трактор базы">
      <formula>NOT(ISERROR(SEARCH("Трактор базы",E2)))</formula>
    </cfRule>
  </conditionalFormatting>
  <conditionalFormatting sqref="A2:C64">
    <cfRule type="expression" dxfId="304" priority="9">
      <formula>$A2="пн"</formula>
    </cfRule>
  </conditionalFormatting>
  <conditionalFormatting sqref="A2:C66">
    <cfRule type="expression" dxfId="303" priority="3">
      <formula>$A2="вс"</formula>
    </cfRule>
    <cfRule type="expression" dxfId="302" priority="4">
      <formula>$A2="сб"</formula>
    </cfRule>
    <cfRule type="expression" dxfId="301" priority="5">
      <formula>$A2="пт"</formula>
    </cfRule>
    <cfRule type="expression" dxfId="300" priority="6">
      <formula>$A2="чт"</formula>
    </cfRule>
    <cfRule type="expression" dxfId="299" priority="7">
      <formula>$A2="ср"</formula>
    </cfRule>
    <cfRule type="expression" dxfId="298" priority="8">
      <formula>$A2="вт"</formula>
    </cfRule>
  </conditionalFormatting>
  <conditionalFormatting sqref="D2:D75">
    <cfRule type="containsText" dxfId="29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5">
    <cfRule type="containsText" dxfId="29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2049"/>
  <sheetViews>
    <sheetView topLeftCell="A1644" zoomScale="90" zoomScaleNormal="90" workbookViewId="0">
      <selection activeCell="C2051" sqref="C2051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5136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5136</v>
      </c>
      <c r="F1798" t="s">
        <v>5723</v>
      </c>
      <c r="G1798" t="s">
        <v>796</v>
      </c>
    </row>
    <row r="1799" spans="1:7" hidden="1" x14ac:dyDescent="0.25">
      <c r="A1799" t="s">
        <v>5136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6182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6182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6182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x14ac:dyDescent="0.25">
      <c r="A1935" t="s">
        <v>2014</v>
      </c>
      <c r="F1935" t="s">
        <v>5681</v>
      </c>
      <c r="G1935" t="s">
        <v>1997</v>
      </c>
    </row>
    <row r="1936" spans="1:7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s="8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s="8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s="8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s="8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s="8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s="8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s="8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s="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s="8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s="8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s="8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s="8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s="8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s="8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s="8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s="8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s="8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s="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s="8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s="8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s="8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s="8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s="8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s="8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s="8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s="8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s="8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s="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s="8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s="8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s="8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s="8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s="8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s="8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s="8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s="8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s="8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s="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s="8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s="8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s="8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s="8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s="8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s="8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s="8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s="8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s="8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s="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s="8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s="8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s="8" t="s">
        <v>6497</v>
      </c>
      <c r="G2041" s="1" t="s">
        <v>1603</v>
      </c>
    </row>
    <row r="2042" spans="1:7" hidden="1" x14ac:dyDescent="0.25">
      <c r="A2042" t="s">
        <v>159</v>
      </c>
      <c r="B2042" s="8" t="s">
        <v>6329</v>
      </c>
      <c r="C2042" t="s">
        <v>51</v>
      </c>
      <c r="F2042" s="8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s="8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s="8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s="8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s="8" t="s">
        <v>6503</v>
      </c>
      <c r="G2046" t="s">
        <v>1934</v>
      </c>
    </row>
    <row r="2047" spans="1:7" x14ac:dyDescent="0.25">
      <c r="A2047" t="s">
        <v>289</v>
      </c>
      <c r="B2047" t="s">
        <v>5480</v>
      </c>
      <c r="C2047" t="s">
        <v>528</v>
      </c>
      <c r="F2047" s="8" t="s">
        <v>6515</v>
      </c>
      <c r="G2047" t="s">
        <v>1997</v>
      </c>
    </row>
    <row r="2048" spans="1:7" x14ac:dyDescent="0.25">
      <c r="A2048" t="s">
        <v>289</v>
      </c>
      <c r="B2048" t="s">
        <v>5480</v>
      </c>
      <c r="C2048" t="s">
        <v>528</v>
      </c>
      <c r="F2048" s="8" t="s">
        <v>6518</v>
      </c>
      <c r="G2048" t="s">
        <v>1997</v>
      </c>
    </row>
    <row r="2049" spans="1:7" x14ac:dyDescent="0.25">
      <c r="A2049" t="s">
        <v>289</v>
      </c>
      <c r="B2049" t="s">
        <v>5480</v>
      </c>
      <c r="C2049" t="s">
        <v>1621</v>
      </c>
      <c r="F2049" s="8" t="s">
        <v>6521</v>
      </c>
      <c r="G2049" t="s">
        <v>1997</v>
      </c>
    </row>
  </sheetData>
  <phoneticPr fontId="2" type="noConversion"/>
  <conditionalFormatting sqref="C2:C11 C14 C16:C18 C23:C24">
    <cfRule type="notContainsText" dxfId="295" priority="287" operator="notContains" text="порожний">
      <formula>ISERROR(SEARCH("порожний",C2))</formula>
    </cfRule>
  </conditionalFormatting>
  <conditionalFormatting sqref="B11 A695 A697:A701 A825 B932">
    <cfRule type="containsText" dxfId="294" priority="286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293" priority="285" operator="notContains" text="порожний">
      <formula>ISERROR(SEARCH("порожний",C12))</formula>
    </cfRule>
  </conditionalFormatting>
  <conditionalFormatting sqref="B12:B14">
    <cfRule type="containsText" dxfId="292" priority="284" operator="containsText" text="Выезд с территории">
      <formula>NOT(ISERROR(SEARCH("Выезд с территории",B12)))</formula>
    </cfRule>
  </conditionalFormatting>
  <conditionalFormatting sqref="C15">
    <cfRule type="notContainsText" dxfId="291" priority="283" operator="notContains" text="порожний">
      <formula>ISERROR(SEARCH("порожний",C15))</formula>
    </cfRule>
  </conditionalFormatting>
  <conditionalFormatting sqref="C19:C22">
    <cfRule type="notContainsText" dxfId="290" priority="282" operator="notContains" text="порожний">
      <formula>ISERROR(SEARCH("порожний",C19))</formula>
    </cfRule>
  </conditionalFormatting>
  <conditionalFormatting sqref="C25">
    <cfRule type="notContainsText" dxfId="289" priority="281" operator="notContains" text="порожний">
      <formula>ISERROR(SEARCH("порожний",C25))</formula>
    </cfRule>
  </conditionalFormatting>
  <conditionalFormatting sqref="C26:C27">
    <cfRule type="notContainsText" dxfId="288" priority="280" operator="notContains" text="порожний">
      <formula>ISERROR(SEARCH("порожний",C26))</formula>
    </cfRule>
  </conditionalFormatting>
  <conditionalFormatting sqref="C29">
    <cfRule type="notContainsText" dxfId="287" priority="279" operator="notContains" text="порожний">
      <formula>ISERROR(SEARCH("порожний",C29))</formula>
    </cfRule>
  </conditionalFormatting>
  <conditionalFormatting sqref="C39">
    <cfRule type="notContainsText" dxfId="286" priority="274" operator="notContains" text="порожний">
      <formula>ISERROR(SEARCH("порожний",C39))</formula>
    </cfRule>
  </conditionalFormatting>
  <conditionalFormatting sqref="C32">
    <cfRule type="notContainsText" dxfId="285" priority="278" operator="notContains" text="порожний">
      <formula>ISERROR(SEARCH("порожний",C32))</formula>
    </cfRule>
  </conditionalFormatting>
  <conditionalFormatting sqref="C34">
    <cfRule type="notContainsText" dxfId="284" priority="277" operator="notContains" text="порожний">
      <formula>ISERROR(SEARCH("порожний",C34))</formula>
    </cfRule>
  </conditionalFormatting>
  <conditionalFormatting sqref="C36">
    <cfRule type="notContainsText" dxfId="283" priority="276" operator="notContains" text="порожний">
      <formula>ISERROR(SEARCH("порожний",C36))</formula>
    </cfRule>
  </conditionalFormatting>
  <conditionalFormatting sqref="C38">
    <cfRule type="notContainsText" dxfId="282" priority="275" operator="notContains" text="порожний">
      <formula>ISERROR(SEARCH("порожний",C38))</formula>
    </cfRule>
  </conditionalFormatting>
  <conditionalFormatting sqref="E147">
    <cfRule type="containsText" dxfId="281" priority="273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280" priority="272" operator="notContains" text="порожний">
      <formula>ISERROR(SEARCH("порожний",C581))</formula>
    </cfRule>
  </conditionalFormatting>
  <conditionalFormatting sqref="C586">
    <cfRule type="notContainsText" dxfId="279" priority="271" operator="notContains" text="порожний">
      <formula>ISERROR(SEARCH("порожний",C586))</formula>
    </cfRule>
  </conditionalFormatting>
  <conditionalFormatting sqref="B609">
    <cfRule type="containsText" dxfId="278" priority="270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277" priority="268" operator="containsText" text="Газель базы">
      <formula>NOT(ISERROR(SEARCH("Газель базы",B609)))</formula>
    </cfRule>
    <cfRule type="containsText" dxfId="276" priority="269" operator="containsText" text="Погрузчик базы">
      <formula>NOT(ISERROR(SEARCH("Погрузчик базы",B609)))</formula>
    </cfRule>
  </conditionalFormatting>
  <conditionalFormatting sqref="B609 B932">
    <cfRule type="containsText" dxfId="275" priority="267" operator="containsText" text="Трактор базы">
      <formula>NOT(ISERROR(SEARCH("Трактор базы",B609)))</formula>
    </cfRule>
  </conditionalFormatting>
  <conditionalFormatting sqref="B614">
    <cfRule type="containsText" dxfId="274" priority="263" operator="containsText" text="Трактор базы">
      <formula>NOT(ISERROR(SEARCH("Трактор базы",B614)))</formula>
    </cfRule>
  </conditionalFormatting>
  <conditionalFormatting sqref="B614">
    <cfRule type="containsText" dxfId="273" priority="266" operator="containsText" text="Выезд с территории">
      <formula>NOT(ISERROR(SEARCH("Выезд с территории",B614)))</formula>
    </cfRule>
  </conditionalFormatting>
  <conditionalFormatting sqref="B614">
    <cfRule type="containsText" dxfId="272" priority="264" operator="containsText" text="Газель базы">
      <formula>NOT(ISERROR(SEARCH("Газель базы",B614)))</formula>
    </cfRule>
    <cfRule type="containsText" dxfId="271" priority="265" operator="containsText" text="Погрузчик базы">
      <formula>NOT(ISERROR(SEARCH("Погрузчик базы",B614)))</formula>
    </cfRule>
  </conditionalFormatting>
  <conditionalFormatting sqref="C649">
    <cfRule type="notContainsText" dxfId="270" priority="262" operator="notContains" text="порожний">
      <formula>ISERROR(SEARCH("порожний",C649))</formula>
    </cfRule>
  </conditionalFormatting>
  <conditionalFormatting sqref="C655">
    <cfRule type="notContainsText" dxfId="269" priority="259" operator="notContains" text="порожний">
      <formula>ISERROR(SEARCH("порожний",C655))</formula>
    </cfRule>
  </conditionalFormatting>
  <conditionalFormatting sqref="C650">
    <cfRule type="notContainsText" dxfId="268" priority="261" operator="notContains" text="порожний">
      <formula>ISERROR(SEARCH("порожний",C650))</formula>
    </cfRule>
  </conditionalFormatting>
  <conditionalFormatting sqref="C654">
    <cfRule type="notContainsText" dxfId="267" priority="260" operator="notContains" text="порожний">
      <formula>ISERROR(SEARCH("порожний",C654))</formula>
    </cfRule>
  </conditionalFormatting>
  <conditionalFormatting sqref="A663:A666 A668:A670 A695 A697:A701 A825">
    <cfRule type="containsText" dxfId="266" priority="256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265" priority="258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264" priority="257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263" priority="253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262" priority="255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261" priority="254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260" priority="243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259" priority="252" operator="containsText" text="Выезд с территории">
      <formula>NOT(ISERROR(SEARCH("Выезд с территории",A681)))</formula>
    </cfRule>
  </conditionalFormatting>
  <conditionalFormatting sqref="A681">
    <cfRule type="containsText" dxfId="258" priority="251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257" priority="250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256" priority="246" operator="containsText" text="Трактор базы">
      <formula>NOT(ISERROR(SEARCH("Трактор базы",B682)))</formula>
    </cfRule>
  </conditionalFormatting>
  <conditionalFormatting sqref="B682">
    <cfRule type="containsText" dxfId="255" priority="249" operator="containsText" text="Выезд с территории">
      <formula>NOT(ISERROR(SEARCH("Выезд с территории",B682)))</formula>
    </cfRule>
  </conditionalFormatting>
  <conditionalFormatting sqref="B682">
    <cfRule type="containsText" dxfId="254" priority="247" operator="containsText" text="Газель базы">
      <formula>NOT(ISERROR(SEARCH("Газель базы",B682)))</formula>
    </cfRule>
    <cfRule type="containsText" dxfId="253" priority="248" operator="containsText" text="Погрузчик базы">
      <formula>NOT(ISERROR(SEARCH("Погрузчик базы",B682)))</formula>
    </cfRule>
  </conditionalFormatting>
  <conditionalFormatting sqref="A684:A687">
    <cfRule type="containsText" dxfId="252" priority="245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251" priority="244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250" priority="234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249" priority="236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248" priority="235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247" priority="231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246" priority="233" operator="containsText" text="Выезд с территории">
      <formula>NOT(ISERROR(SEARCH("Выезд с территории",A824)))</formula>
    </cfRule>
  </conditionalFormatting>
  <conditionalFormatting sqref="A824">
    <cfRule type="containsText" dxfId="245" priority="232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244" priority="227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243" priority="225" operator="containsText" text="Газель базы">
      <formula>NOT(ISERROR(SEARCH("Газель базы",B846)))</formula>
    </cfRule>
    <cfRule type="containsText" dxfId="242" priority="226" operator="containsText" text="Погрузчик базы">
      <formula>NOT(ISERROR(SEARCH("Погрузчик базы",B846)))</formula>
    </cfRule>
  </conditionalFormatting>
  <conditionalFormatting sqref="B846:B850">
    <cfRule type="containsText" dxfId="241" priority="224" operator="containsText" text="Трактор базы">
      <formula>NOT(ISERROR(SEARCH("Трактор базы",B846)))</formula>
    </cfRule>
  </conditionalFormatting>
  <conditionalFormatting sqref="A916:A917">
    <cfRule type="containsText" dxfId="240" priority="218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239" priority="223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238" priority="221" operator="containsText" text="Газель базы">
      <formula>NOT(ISERROR(SEARCH("Газель базы",B916)))</formula>
    </cfRule>
    <cfRule type="containsText" dxfId="237" priority="222" operator="containsText" text="Погрузчик базы">
      <formula>NOT(ISERROR(SEARCH("Погрузчик базы",B916)))</formula>
    </cfRule>
  </conditionalFormatting>
  <conditionalFormatting sqref="B916:B917">
    <cfRule type="containsText" dxfId="236" priority="220" operator="containsText" text="Трактор базы">
      <formula>NOT(ISERROR(SEARCH("Трактор базы",B916)))</formula>
    </cfRule>
  </conditionalFormatting>
  <conditionalFormatting sqref="A916:A917">
    <cfRule type="containsText" dxfId="235" priority="219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234" priority="217" operator="containsText" text="Выезд с территории">
      <formula>NOT(ISERROR(SEARCH("Выезд с территории",E916)))</formula>
    </cfRule>
  </conditionalFormatting>
  <conditionalFormatting sqref="A932">
    <cfRule type="containsText" dxfId="233" priority="194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232" priority="216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231" priority="214" operator="containsText" text="Газель базы">
      <formula>NOT(ISERROR(SEARCH("Газель базы",B918)))</formula>
    </cfRule>
    <cfRule type="containsText" dxfId="230" priority="215" operator="containsText" text="Погрузчик базы">
      <formula>NOT(ISERROR(SEARCH("Погрузчик базы",B918)))</formula>
    </cfRule>
  </conditionalFormatting>
  <conditionalFormatting sqref="B918:B924">
    <cfRule type="containsText" dxfId="229" priority="213" operator="containsText" text="Трактор базы">
      <formula>NOT(ISERROR(SEARCH("Трактор базы",B918)))</formula>
    </cfRule>
  </conditionalFormatting>
  <conditionalFormatting sqref="A918">
    <cfRule type="containsText" dxfId="228" priority="212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227" priority="211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226" priority="205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225" priority="210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224" priority="208" operator="containsText" text="Газель базы">
      <formula>NOT(ISERROR(SEARCH("Газель базы",B926)))</formula>
    </cfRule>
    <cfRule type="containsText" dxfId="223" priority="209" operator="containsText" text="Погрузчик базы">
      <formula>NOT(ISERROR(SEARCH("Погрузчик базы",B926)))</formula>
    </cfRule>
  </conditionalFormatting>
  <conditionalFormatting sqref="B926:B928">
    <cfRule type="containsText" dxfId="222" priority="207" operator="containsText" text="Трактор базы">
      <formula>NOT(ISERROR(SEARCH("Трактор базы",B926)))</formula>
    </cfRule>
  </conditionalFormatting>
  <conditionalFormatting sqref="A926:A928">
    <cfRule type="containsText" dxfId="221" priority="206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220" priority="204" operator="containsText" text="Выезд с территории">
      <formula>NOT(ISERROR(SEARCH("Выезд с территории",E926)))</formula>
    </cfRule>
  </conditionalFormatting>
  <conditionalFormatting sqref="A930">
    <cfRule type="containsText" dxfId="219" priority="198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218" priority="203" operator="containsText" text="Выезд с территории">
      <formula>NOT(ISERROR(SEARCH("Выезд с территории",A930)))</formula>
    </cfRule>
  </conditionalFormatting>
  <conditionalFormatting sqref="B930">
    <cfRule type="containsText" dxfId="217" priority="201" operator="containsText" text="Газель базы">
      <formula>NOT(ISERROR(SEARCH("Газель базы",B930)))</formula>
    </cfRule>
    <cfRule type="containsText" dxfId="216" priority="202" operator="containsText" text="Погрузчик базы">
      <formula>NOT(ISERROR(SEARCH("Погрузчик базы",B930)))</formula>
    </cfRule>
  </conditionalFormatting>
  <conditionalFormatting sqref="B930">
    <cfRule type="containsText" dxfId="215" priority="200" operator="containsText" text="Трактор базы">
      <formula>NOT(ISERROR(SEARCH("Трактор базы",B930)))</formula>
    </cfRule>
  </conditionalFormatting>
  <conditionalFormatting sqref="A930">
    <cfRule type="containsText" dxfId="214" priority="199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213" priority="197" operator="containsText" text="Выезд с территории">
      <formula>NOT(ISERROR(SEARCH("Выезд с территории",E930)))</formula>
    </cfRule>
  </conditionalFormatting>
  <conditionalFormatting sqref="A932">
    <cfRule type="containsText" dxfId="212" priority="196" operator="containsText" text="Выезд с территории">
      <formula>NOT(ISERROR(SEARCH("Выезд с территории",A932)))</formula>
    </cfRule>
  </conditionalFormatting>
  <conditionalFormatting sqref="A932">
    <cfRule type="containsText" dxfId="211" priority="195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210" priority="191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209" priority="193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208" priority="192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207" priority="190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206" priority="189" operator="notContains" text="порожний">
      <formula>ISERROR(SEARCH("порожний",C954))</formula>
    </cfRule>
  </conditionalFormatting>
  <conditionalFormatting sqref="B954:B956">
    <cfRule type="containsText" dxfId="205" priority="187" operator="containsText" text="Газель базы">
      <formula>NOT(ISERROR(SEARCH("Газель базы",B954)))</formula>
    </cfRule>
    <cfRule type="containsText" dxfId="204" priority="188" operator="containsText" text="Погрузчик базы">
      <formula>NOT(ISERROR(SEARCH("Погрузчик базы",B954)))</formula>
    </cfRule>
  </conditionalFormatting>
  <conditionalFormatting sqref="B954:B956">
    <cfRule type="containsText" dxfId="203" priority="186" operator="containsText" text="Трактор базы">
      <formula>NOT(ISERROR(SEARCH("Трактор базы",B954)))</formula>
    </cfRule>
  </conditionalFormatting>
  <conditionalFormatting sqref="A954:A956">
    <cfRule type="containsText" dxfId="202" priority="185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201" priority="184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200" priority="182" operator="notContains" text="порожний">
      <formula>ISERROR(SEARCH("порожний",C995))</formula>
    </cfRule>
  </conditionalFormatting>
  <conditionalFormatting sqref="C987">
    <cfRule type="notContainsText" dxfId="199" priority="183" operator="notContains" text="порожний">
      <formula>ISERROR(SEARCH("порожний",C987))</formula>
    </cfRule>
  </conditionalFormatting>
  <conditionalFormatting sqref="B999">
    <cfRule type="containsText" dxfId="198" priority="181" operator="containsText" text="Выезд с территории">
      <formula>NOT(ISERROR(SEARCH("Выезд с территории",B999)))</formula>
    </cfRule>
  </conditionalFormatting>
  <conditionalFormatting sqref="B999">
    <cfRule type="containsText" dxfId="197" priority="179" operator="containsText" text="Газель базы">
      <formula>NOT(ISERROR(SEARCH("Газель базы",B999)))</formula>
    </cfRule>
    <cfRule type="containsText" dxfId="196" priority="180" operator="containsText" text="Погрузчик базы">
      <formula>NOT(ISERROR(SEARCH("Погрузчик базы",B999)))</formula>
    </cfRule>
  </conditionalFormatting>
  <conditionalFormatting sqref="B999">
    <cfRule type="containsText" dxfId="195" priority="178" operator="containsText" text="Трактор базы">
      <formula>NOT(ISERROR(SEARCH("Трактор базы",B999)))</formula>
    </cfRule>
  </conditionalFormatting>
  <conditionalFormatting sqref="B1019:B1022">
    <cfRule type="containsText" dxfId="194" priority="174" operator="containsText" text="Трактор базы">
      <formula>NOT(ISERROR(SEARCH("Трактор базы",B1019)))</formula>
    </cfRule>
  </conditionalFormatting>
  <conditionalFormatting sqref="B1019:B1022">
    <cfRule type="containsText" dxfId="193" priority="177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192" priority="175" operator="containsText" text="Газель базы">
      <formula>NOT(ISERROR(SEARCH("Газель базы",B1019)))</formula>
    </cfRule>
    <cfRule type="containsText" dxfId="191" priority="176" operator="containsText" text="Погрузчик базы">
      <formula>NOT(ISERROR(SEARCH("Погрузчик базы",B1019)))</formula>
    </cfRule>
  </conditionalFormatting>
  <conditionalFormatting sqref="C966">
    <cfRule type="notContainsText" dxfId="190" priority="173" operator="notContains" text="порожний">
      <formula>ISERROR(SEARCH("порожний",C966))</formula>
    </cfRule>
  </conditionalFormatting>
  <conditionalFormatting sqref="A1029">
    <cfRule type="containsText" dxfId="189" priority="170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188" priority="172" operator="containsText" text="Выезд с территории">
      <formula>NOT(ISERROR(SEARCH("Выезд с территории",A1029)))</formula>
    </cfRule>
  </conditionalFormatting>
  <conditionalFormatting sqref="A1029">
    <cfRule type="containsText" dxfId="187" priority="171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186" priority="169" operator="containsText" text="Выезд с территории">
      <formula>NOT(ISERROR(SEARCH("Выезд с территории",B1030)))</formula>
    </cfRule>
  </conditionalFormatting>
  <conditionalFormatting sqref="B1030">
    <cfRule type="containsText" dxfId="185" priority="167" operator="containsText" text="Газель базы">
      <formula>NOT(ISERROR(SEARCH("Газель базы",B1030)))</formula>
    </cfRule>
    <cfRule type="containsText" dxfId="184" priority="168" operator="containsText" text="Погрузчик базы">
      <formula>NOT(ISERROR(SEARCH("Погрузчик базы",B1030)))</formula>
    </cfRule>
  </conditionalFormatting>
  <conditionalFormatting sqref="B1030">
    <cfRule type="containsText" dxfId="183" priority="166" operator="containsText" text="Трактор базы">
      <formula>NOT(ISERROR(SEARCH("Трактор базы",B1030)))</formula>
    </cfRule>
  </conditionalFormatting>
  <conditionalFormatting sqref="A1035">
    <cfRule type="containsText" dxfId="182" priority="160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181" priority="163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180" priority="165" operator="containsText" text="Выезд с территории">
      <formula>NOT(ISERROR(SEARCH("Выезд с территории",A1033)))</formula>
    </cfRule>
  </conditionalFormatting>
  <conditionalFormatting sqref="A1033">
    <cfRule type="containsText" dxfId="179" priority="164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178" priority="162" operator="containsText" text="Выезд с территории">
      <formula>NOT(ISERROR(SEARCH("Выезд с территории",A1035)))</formula>
    </cfRule>
  </conditionalFormatting>
  <conditionalFormatting sqref="A1035">
    <cfRule type="containsText" dxfId="177" priority="161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176" priority="159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175" priority="157" operator="containsText" text="Газель базы">
      <formula>NOT(ISERROR(SEARCH("Газель базы",B1138)))</formula>
    </cfRule>
    <cfRule type="containsText" dxfId="174" priority="158" operator="containsText" text="Погрузчик базы">
      <formula>NOT(ISERROR(SEARCH("Погрузчик базы",B1138)))</formula>
    </cfRule>
  </conditionalFormatting>
  <conditionalFormatting sqref="B1138:B1161">
    <cfRule type="containsText" dxfId="173" priority="156" operator="containsText" text="Трактор базы">
      <formula>NOT(ISERROR(SEARCH("Трактор базы",B1138)))</formula>
    </cfRule>
  </conditionalFormatting>
  <conditionalFormatting sqref="B1258:B1262">
    <cfRule type="containsText" dxfId="172" priority="140" operator="containsText" text="Трактор базы">
      <formula>NOT(ISERROR(SEARCH("Трактор базы",B1258)))</formula>
    </cfRule>
  </conditionalFormatting>
  <conditionalFormatting sqref="B1244:B1252">
    <cfRule type="containsText" dxfId="171" priority="155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170" priority="153" operator="containsText" text="Газель базы">
      <formula>NOT(ISERROR(SEARCH("Газель базы",B1244)))</formula>
    </cfRule>
    <cfRule type="containsText" dxfId="169" priority="154" operator="containsText" text="Погрузчик базы">
      <formula>NOT(ISERROR(SEARCH("Погрузчик базы",B1244)))</formula>
    </cfRule>
  </conditionalFormatting>
  <conditionalFormatting sqref="B1244:B1252">
    <cfRule type="containsText" dxfId="168" priority="152" operator="containsText" text="Трактор базы">
      <formula>NOT(ISERROR(SEARCH("Трактор базы",B1244)))</formula>
    </cfRule>
  </conditionalFormatting>
  <conditionalFormatting sqref="B1253:B1256">
    <cfRule type="containsText" dxfId="167" priority="151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166" priority="149" operator="containsText" text="Газель базы">
      <formula>NOT(ISERROR(SEARCH("Газель базы",B1253)))</formula>
    </cfRule>
    <cfRule type="containsText" dxfId="165" priority="150" operator="containsText" text="Погрузчик базы">
      <formula>NOT(ISERROR(SEARCH("Погрузчик базы",B1253)))</formula>
    </cfRule>
  </conditionalFormatting>
  <conditionalFormatting sqref="B1253:B1256">
    <cfRule type="containsText" dxfId="164" priority="148" operator="containsText" text="Трактор базы">
      <formula>NOT(ISERROR(SEARCH("Трактор базы",B1253)))</formula>
    </cfRule>
  </conditionalFormatting>
  <conditionalFormatting sqref="B1257">
    <cfRule type="containsText" dxfId="163" priority="147" operator="containsText" text="Выезд с территории">
      <formula>NOT(ISERROR(SEARCH("Выезд с территории",B1257)))</formula>
    </cfRule>
  </conditionalFormatting>
  <conditionalFormatting sqref="B1257">
    <cfRule type="containsText" dxfId="162" priority="145" operator="containsText" text="Газель базы">
      <formula>NOT(ISERROR(SEARCH("Газель базы",B1257)))</formula>
    </cfRule>
    <cfRule type="containsText" dxfId="161" priority="146" operator="containsText" text="Погрузчик базы">
      <formula>NOT(ISERROR(SEARCH("Погрузчик базы",B1257)))</formula>
    </cfRule>
  </conditionalFormatting>
  <conditionalFormatting sqref="B1257">
    <cfRule type="containsText" dxfId="160" priority="144" operator="containsText" text="Трактор базы">
      <formula>NOT(ISERROR(SEARCH("Трактор базы",B1257)))</formula>
    </cfRule>
  </conditionalFormatting>
  <conditionalFormatting sqref="B1258:B1262">
    <cfRule type="containsText" dxfId="159" priority="143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158" priority="141" operator="containsText" text="Газель базы">
      <formula>NOT(ISERROR(SEARCH("Газель базы",B1258)))</formula>
    </cfRule>
    <cfRule type="containsText" dxfId="157" priority="142" operator="containsText" text="Погрузчик базы">
      <formula>NOT(ISERROR(SEARCH("Погрузчик базы",B1258)))</formula>
    </cfRule>
  </conditionalFormatting>
  <conditionalFormatting sqref="B1281:B1287">
    <cfRule type="containsText" dxfId="156" priority="139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155" priority="137" operator="containsText" text="Газель базы">
      <formula>NOT(ISERROR(SEARCH("Газель базы",B1281)))</formula>
    </cfRule>
    <cfRule type="containsText" dxfId="154" priority="138" operator="containsText" text="Погрузчик базы">
      <formula>NOT(ISERROR(SEARCH("Погрузчик базы",B1281)))</formula>
    </cfRule>
  </conditionalFormatting>
  <conditionalFormatting sqref="B1281:B1287">
    <cfRule type="containsText" dxfId="153" priority="136" operator="containsText" text="Трактор базы">
      <formula>NOT(ISERROR(SEARCH("Трактор базы",B1281)))</formula>
    </cfRule>
  </conditionalFormatting>
  <conditionalFormatting sqref="B1296">
    <cfRule type="containsText" dxfId="152" priority="132" operator="containsText" text="Трактор базы">
      <formula>NOT(ISERROR(SEARCH("Трактор базы",B1296)))</formula>
    </cfRule>
  </conditionalFormatting>
  <conditionalFormatting sqref="B1296">
    <cfRule type="containsText" dxfId="151" priority="135" operator="containsText" text="Выезд с территории">
      <formula>NOT(ISERROR(SEARCH("Выезд с территории",B1296)))</formula>
    </cfRule>
  </conditionalFormatting>
  <conditionalFormatting sqref="B1296">
    <cfRule type="containsText" dxfId="150" priority="133" operator="containsText" text="Газель базы">
      <formula>NOT(ISERROR(SEARCH("Газель базы",B1296)))</formula>
    </cfRule>
    <cfRule type="containsText" dxfId="149" priority="134" operator="containsText" text="Погрузчик базы">
      <formula>NOT(ISERROR(SEARCH("Погрузчик базы",B1296)))</formula>
    </cfRule>
  </conditionalFormatting>
  <conditionalFormatting sqref="C1320:C1321">
    <cfRule type="notContainsText" dxfId="148" priority="130" operator="notContains" text="порожний">
      <formula>ISERROR(SEARCH("порожний",C1320))</formula>
    </cfRule>
  </conditionalFormatting>
  <conditionalFormatting sqref="A1323">
    <cfRule type="containsText" dxfId="147" priority="124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146" priority="127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145" priority="129" operator="containsText" text="Выезд с территории">
      <formula>NOT(ISERROR(SEARCH("Выезд с территории",A1322)))</formula>
    </cfRule>
  </conditionalFormatting>
  <conditionalFormatting sqref="A1322">
    <cfRule type="containsText" dxfId="144" priority="128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143" priority="126" operator="containsText" text="Выезд с территории">
      <formula>NOT(ISERROR(SEARCH("Выезд с территории",A1323)))</formula>
    </cfRule>
  </conditionalFormatting>
  <conditionalFormatting sqref="A1323">
    <cfRule type="containsText" dxfId="142" priority="125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141" priority="123" operator="notContains" text="порожний">
      <formula>ISERROR(SEARCH("порожний",C1336))</formula>
    </cfRule>
  </conditionalFormatting>
  <conditionalFormatting sqref="C1346">
    <cfRule type="notContainsText" dxfId="140" priority="122" operator="notContains" text="порожний">
      <formula>ISERROR(SEARCH("порожний",C1346))</formula>
    </cfRule>
  </conditionalFormatting>
  <conditionalFormatting sqref="A1391">
    <cfRule type="containsText" dxfId="139" priority="116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138" priority="118" operator="containsText" text="Выезд с территории">
      <formula>NOT(ISERROR(SEARCH("Выезд с территории",A1391)))</formula>
    </cfRule>
  </conditionalFormatting>
  <conditionalFormatting sqref="A1391">
    <cfRule type="containsText" dxfId="137" priority="117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136" priority="113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135" priority="115" operator="containsText" text="Выезд с территории">
      <formula>NOT(ISERROR(SEARCH("Выезд с территории",A1398)))</formula>
    </cfRule>
  </conditionalFormatting>
  <conditionalFormatting sqref="A1398">
    <cfRule type="containsText" dxfId="134" priority="114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133" priority="112" operator="notContains" text="порожний">
      <formula>ISERROR(SEARCH("порожний",C1606))</formula>
    </cfRule>
  </conditionalFormatting>
  <conditionalFormatting sqref="B1633:B1636">
    <cfRule type="containsText" dxfId="132" priority="111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131" priority="109" operator="containsText" text="Газель базы">
      <formula>NOT(ISERROR(SEARCH("Газель базы",B1633)))</formula>
    </cfRule>
    <cfRule type="containsText" dxfId="130" priority="110" operator="containsText" text="Погрузчик базы">
      <formula>NOT(ISERROR(SEARCH("Погрузчик базы",B1633)))</formula>
    </cfRule>
  </conditionalFormatting>
  <conditionalFormatting sqref="B1633:B1636">
    <cfRule type="containsText" dxfId="129" priority="108" operator="containsText" text="Трактор базы">
      <formula>NOT(ISERROR(SEARCH("Трактор базы",B1633)))</formula>
    </cfRule>
  </conditionalFormatting>
  <conditionalFormatting sqref="B1637:B1642">
    <cfRule type="containsText" dxfId="128" priority="107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127" priority="105" operator="containsText" text="Газель базы">
      <formula>NOT(ISERROR(SEARCH("Газель базы",B1637)))</formula>
    </cfRule>
    <cfRule type="containsText" dxfId="126" priority="106" operator="containsText" text="Погрузчик базы">
      <formula>NOT(ISERROR(SEARCH("Погрузчик базы",B1637)))</formula>
    </cfRule>
  </conditionalFormatting>
  <conditionalFormatting sqref="B1637:B1642">
    <cfRule type="containsText" dxfId="125" priority="104" operator="containsText" text="Трактор базы">
      <formula>NOT(ISERROR(SEARCH("Трактор базы",B1637)))</formula>
    </cfRule>
  </conditionalFormatting>
  <conditionalFormatting sqref="B1671:B1672">
    <cfRule type="containsText" dxfId="124" priority="100" operator="containsText" text="Трактор базы">
      <formula>NOT(ISERROR(SEARCH("Трактор базы",B1671)))</formula>
    </cfRule>
  </conditionalFormatting>
  <conditionalFormatting sqref="B1671:B1672">
    <cfRule type="containsText" dxfId="123" priority="103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122" priority="101" operator="containsText" text="Газель базы">
      <formula>NOT(ISERROR(SEARCH("Газель базы",B1671)))</formula>
    </cfRule>
    <cfRule type="containsText" dxfId="121" priority="102" operator="containsText" text="Погрузчик базы">
      <formula>NOT(ISERROR(SEARCH("Погрузчик базы",B1671)))</formula>
    </cfRule>
  </conditionalFormatting>
  <conditionalFormatting sqref="B1675">
    <cfRule type="containsText" dxfId="120" priority="96" operator="containsText" text="Трактор базы">
      <formula>NOT(ISERROR(SEARCH("Трактор базы",B1675)))</formula>
    </cfRule>
  </conditionalFormatting>
  <conditionalFormatting sqref="B1675">
    <cfRule type="containsText" dxfId="119" priority="99" operator="containsText" text="Выезд с территории">
      <formula>NOT(ISERROR(SEARCH("Выезд с территории",B1675)))</formula>
    </cfRule>
  </conditionalFormatting>
  <conditionalFormatting sqref="B1675">
    <cfRule type="containsText" dxfId="118" priority="97" operator="containsText" text="Газель базы">
      <formula>NOT(ISERROR(SEARCH("Газель базы",B1675)))</formula>
    </cfRule>
    <cfRule type="containsText" dxfId="117" priority="98" operator="containsText" text="Погрузчик базы">
      <formula>NOT(ISERROR(SEARCH("Погрузчик базы",B1675)))</formula>
    </cfRule>
  </conditionalFormatting>
  <conditionalFormatting sqref="A1678">
    <cfRule type="containsText" dxfId="116" priority="93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115" priority="95" operator="containsText" text="Выезд с территории">
      <formula>NOT(ISERROR(SEARCH("Выезд с территории",A1678)))</formula>
    </cfRule>
  </conditionalFormatting>
  <conditionalFormatting sqref="A1678">
    <cfRule type="containsText" dxfId="114" priority="94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113" priority="92" operator="notContains" text="порожний">
      <formula>ISERROR(SEARCH("порожний",C1723))</formula>
    </cfRule>
  </conditionalFormatting>
  <conditionalFormatting sqref="C1725:C1726">
    <cfRule type="notContainsText" dxfId="112" priority="91" operator="notContains" text="порожний">
      <formula>ISERROR(SEARCH("порожний",C1725))</formula>
    </cfRule>
  </conditionalFormatting>
  <conditionalFormatting sqref="C1727">
    <cfRule type="notContainsText" dxfId="111" priority="90" operator="notContains" text="порожний">
      <formula>ISERROR(SEARCH("порожний",C1727))</formula>
    </cfRule>
  </conditionalFormatting>
  <conditionalFormatting sqref="C1728">
    <cfRule type="notContainsText" dxfId="110" priority="89" operator="notContains" text="порожний">
      <formula>ISERROR(SEARCH("порожний",C1728))</formula>
    </cfRule>
  </conditionalFormatting>
  <conditionalFormatting sqref="B1732:B1733">
    <cfRule type="containsText" dxfId="109" priority="88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108" priority="86" operator="containsText" text="Газель базы">
      <formula>NOT(ISERROR(SEARCH("Газель базы",B1732)))</formula>
    </cfRule>
    <cfRule type="containsText" dxfId="107" priority="87" operator="containsText" text="Погрузчик базы">
      <formula>NOT(ISERROR(SEARCH("Погрузчик базы",B1732)))</formula>
    </cfRule>
  </conditionalFormatting>
  <conditionalFormatting sqref="B1732:B1733">
    <cfRule type="containsText" dxfId="106" priority="85" operator="containsText" text="Трактор базы">
      <formula>NOT(ISERROR(SEARCH("Трактор базы",B1732)))</formula>
    </cfRule>
  </conditionalFormatting>
  <conditionalFormatting sqref="B1734:B1735">
    <cfRule type="containsText" dxfId="105" priority="84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104" priority="82" operator="containsText" text="Газель базы">
      <formula>NOT(ISERROR(SEARCH("Газель базы",B1734)))</formula>
    </cfRule>
    <cfRule type="containsText" dxfId="103" priority="83" operator="containsText" text="Погрузчик базы">
      <formula>NOT(ISERROR(SEARCH("Погрузчик базы",B1734)))</formula>
    </cfRule>
  </conditionalFormatting>
  <conditionalFormatting sqref="B1734:B1735">
    <cfRule type="containsText" dxfId="102" priority="81" operator="containsText" text="Трактор базы">
      <formula>NOT(ISERROR(SEARCH("Трактор базы",B1734)))</formula>
    </cfRule>
  </conditionalFormatting>
  <conditionalFormatting sqref="B1762:B1764">
    <cfRule type="containsText" dxfId="101" priority="67" operator="containsText" text="Трактор базы">
      <formula>NOT(ISERROR(SEARCH("Трактор базы",B1762)))</formula>
    </cfRule>
  </conditionalFormatting>
  <conditionalFormatting sqref="B1740:B1741">
    <cfRule type="containsText" dxfId="100" priority="80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99" priority="78" operator="containsText" text="Газель базы">
      <formula>NOT(ISERROR(SEARCH("Газель базы",B1740)))</formula>
    </cfRule>
    <cfRule type="containsText" dxfId="98" priority="79" operator="containsText" text="Погрузчик базы">
      <formula>NOT(ISERROR(SEARCH("Погрузчик базы",B1740)))</formula>
    </cfRule>
  </conditionalFormatting>
  <conditionalFormatting sqref="B1740:B1741">
    <cfRule type="containsText" dxfId="97" priority="77" operator="containsText" text="Трактор базы">
      <formula>NOT(ISERROR(SEARCH("Трактор базы",B1740)))</formula>
    </cfRule>
  </conditionalFormatting>
  <conditionalFormatting sqref="A1755">
    <cfRule type="containsText" dxfId="96" priority="74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95" priority="76" operator="containsText" text="Выезд с территории">
      <formula>NOT(ISERROR(SEARCH("Выезд с территории",A1755)))</formula>
    </cfRule>
  </conditionalFormatting>
  <conditionalFormatting sqref="A1755">
    <cfRule type="containsText" dxfId="94" priority="75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93" priority="71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92" priority="73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91" priority="72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90" priority="58" operator="containsText" text="Трактор базы">
      <formula>NOT(ISERROR(SEARCH("Трактор базы",B1773)))</formula>
    </cfRule>
  </conditionalFormatting>
  <conditionalFormatting sqref="B1762:B1764">
    <cfRule type="containsText" dxfId="89" priority="70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88" priority="68" operator="containsText" text="Газель базы">
      <formula>NOT(ISERROR(SEARCH("Газель базы",B1762)))</formula>
    </cfRule>
    <cfRule type="containsText" dxfId="87" priority="69" operator="containsText" text="Погрузчик базы">
      <formula>NOT(ISERROR(SEARCH("Погрузчик базы",B1762)))</formula>
    </cfRule>
  </conditionalFormatting>
  <conditionalFormatting sqref="B1776:B1777">
    <cfRule type="containsText" dxfId="86" priority="49" operator="containsText" text="Трактор базы">
      <formula>NOT(ISERROR(SEARCH("Трактор базы",B1776)))</formula>
    </cfRule>
  </conditionalFormatting>
  <conditionalFormatting sqref="B1770:B1771">
    <cfRule type="containsText" dxfId="85" priority="66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84" priority="64" operator="containsText" text="Газель базы">
      <formula>NOT(ISERROR(SEARCH("Газель базы",B1770)))</formula>
    </cfRule>
    <cfRule type="containsText" dxfId="83" priority="65" operator="containsText" text="Погрузчик базы">
      <formula>NOT(ISERROR(SEARCH("Погрузчик базы",B1770)))</formula>
    </cfRule>
  </conditionalFormatting>
  <conditionalFormatting sqref="B1770:B1771">
    <cfRule type="containsText" dxfId="82" priority="63" operator="containsText" text="Трактор базы">
      <formula>NOT(ISERROR(SEARCH("Трактор базы",B1770)))</formula>
    </cfRule>
  </conditionalFormatting>
  <conditionalFormatting sqref="B1773">
    <cfRule type="containsText" dxfId="81" priority="62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80" priority="61" operator="notContains" text="порожний">
      <formula>ISERROR(SEARCH("порожний",C1773))</formula>
    </cfRule>
  </conditionalFormatting>
  <conditionalFormatting sqref="B1773">
    <cfRule type="containsText" dxfId="79" priority="59" operator="containsText" text="Газель базы">
      <formula>NOT(ISERROR(SEARCH("Газель базы",B1773)))</formula>
    </cfRule>
    <cfRule type="containsText" dxfId="78" priority="60" operator="containsText" text="Погрузчик базы">
      <formula>NOT(ISERROR(SEARCH("Погрузчик базы",B1773)))</formula>
    </cfRule>
  </conditionalFormatting>
  <conditionalFormatting sqref="B1775">
    <cfRule type="containsText" dxfId="77" priority="53" operator="containsText" text="Трактор базы">
      <formula>NOT(ISERROR(SEARCH("Трактор базы",B1775)))</formula>
    </cfRule>
  </conditionalFormatting>
  <conditionalFormatting sqref="B1775">
    <cfRule type="containsText" dxfId="76" priority="57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75" priority="56" operator="notContains" text="порожний">
      <formula>ISERROR(SEARCH("порожний",C1775))</formula>
    </cfRule>
  </conditionalFormatting>
  <conditionalFormatting sqref="B1775">
    <cfRule type="containsText" dxfId="74" priority="54" operator="containsText" text="Газель базы">
      <formula>NOT(ISERROR(SEARCH("Газель базы",B1775)))</formula>
    </cfRule>
    <cfRule type="containsText" dxfId="73" priority="55" operator="containsText" text="Погрузчик базы">
      <formula>NOT(ISERROR(SEARCH("Погрузчик базы",B1775)))</formula>
    </cfRule>
  </conditionalFormatting>
  <conditionalFormatting sqref="B1776:B1777">
    <cfRule type="containsText" dxfId="72" priority="52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71" priority="50" operator="containsText" text="Газель базы">
      <formula>NOT(ISERROR(SEARCH("Газель базы",B1776)))</formula>
    </cfRule>
    <cfRule type="containsText" dxfId="70" priority="51" operator="containsText" text="Погрузчик базы">
      <formula>NOT(ISERROR(SEARCH("Погрузчик базы",B1776)))</formula>
    </cfRule>
  </conditionalFormatting>
  <conditionalFormatting sqref="B1891">
    <cfRule type="containsText" dxfId="69" priority="41" operator="containsText" text="Трактор базы">
      <formula>NOT(ISERROR(SEARCH("Трактор базы",B1891)))</formula>
    </cfRule>
  </conditionalFormatting>
  <conditionalFormatting sqref="B1889">
    <cfRule type="containsText" dxfId="68" priority="48" operator="containsText" text="Выезд с территории">
      <formula>NOT(ISERROR(SEARCH("Выезд с территории",B1889)))</formula>
    </cfRule>
  </conditionalFormatting>
  <conditionalFormatting sqref="B1889">
    <cfRule type="containsText" dxfId="67" priority="46" operator="containsText" text="Газель базы">
      <formula>NOT(ISERROR(SEARCH("Газель базы",B1889)))</formula>
    </cfRule>
    <cfRule type="containsText" dxfId="66" priority="47" operator="containsText" text="Погрузчик базы">
      <formula>NOT(ISERROR(SEARCH("Погрузчик базы",B1889)))</formula>
    </cfRule>
  </conditionalFormatting>
  <conditionalFormatting sqref="B1889">
    <cfRule type="containsText" dxfId="65" priority="45" operator="containsText" text="Трактор базы">
      <formula>NOT(ISERROR(SEARCH("Трактор базы",B1889)))</formula>
    </cfRule>
  </conditionalFormatting>
  <conditionalFormatting sqref="B1891">
    <cfRule type="containsText" dxfId="64" priority="44" operator="containsText" text="Выезд с территории">
      <formula>NOT(ISERROR(SEARCH("Выезд с территории",B1891)))</formula>
    </cfRule>
  </conditionalFormatting>
  <conditionalFormatting sqref="B1891">
    <cfRule type="containsText" dxfId="63" priority="42" operator="containsText" text="Газель базы">
      <formula>NOT(ISERROR(SEARCH("Газель базы",B1891)))</formula>
    </cfRule>
    <cfRule type="containsText" dxfId="62" priority="43" operator="containsText" text="Погрузчик базы">
      <formula>NOT(ISERROR(SEARCH("Погрузчик базы",B1891)))</formula>
    </cfRule>
  </conditionalFormatting>
  <conditionalFormatting sqref="B1920">
    <cfRule type="containsText" dxfId="61" priority="29" operator="containsText" text="Трактор базы">
      <formula>NOT(ISERROR(SEARCH("Трактор базы",B1920)))</formula>
    </cfRule>
  </conditionalFormatting>
  <conditionalFormatting sqref="B1904:B1914">
    <cfRule type="containsText" dxfId="60" priority="40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9" priority="38" operator="containsText" text="Газель базы">
      <formula>NOT(ISERROR(SEARCH("Газель базы",B1904)))</formula>
    </cfRule>
    <cfRule type="containsText" dxfId="58" priority="39" operator="containsText" text="Погрузчик базы">
      <formula>NOT(ISERROR(SEARCH("Погрузчик базы",B1904)))</formula>
    </cfRule>
  </conditionalFormatting>
  <conditionalFormatting sqref="B1904:B1914">
    <cfRule type="containsText" dxfId="57" priority="37" operator="containsText" text="Трактор базы">
      <formula>NOT(ISERROR(SEARCH("Трактор базы",B1904)))</formula>
    </cfRule>
  </conditionalFormatting>
  <conditionalFormatting sqref="B1915:B1919">
    <cfRule type="containsText" dxfId="56" priority="36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5" priority="34" operator="containsText" text="Газель базы">
      <formula>NOT(ISERROR(SEARCH("Газель базы",B1915)))</formula>
    </cfRule>
    <cfRule type="containsText" dxfId="54" priority="35" operator="containsText" text="Погрузчик базы">
      <formula>NOT(ISERROR(SEARCH("Погрузчик базы",B1915)))</formula>
    </cfRule>
  </conditionalFormatting>
  <conditionalFormatting sqref="B1915:B1919">
    <cfRule type="containsText" dxfId="53" priority="33" operator="containsText" text="Трактор базы">
      <formula>NOT(ISERROR(SEARCH("Трактор базы",B1915)))</formula>
    </cfRule>
  </conditionalFormatting>
  <conditionalFormatting sqref="B1920">
    <cfRule type="containsText" dxfId="52" priority="32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1" priority="30" operator="containsText" text="Газель базы">
      <formula>NOT(ISERROR(SEARCH("Газель базы",B1920)))</formula>
    </cfRule>
    <cfRule type="containsText" dxfId="50" priority="31" operator="containsText" text="Погрузчик базы">
      <formula>NOT(ISERROR(SEARCH("Погрузчик базы",B1920)))</formula>
    </cfRule>
  </conditionalFormatting>
  <conditionalFormatting sqref="B1939">
    <cfRule type="containsText" dxfId="49" priority="25" operator="containsText" text="Трактор базы">
      <formula>NOT(ISERROR(SEARCH("Трактор базы",B1939)))</formula>
    </cfRule>
  </conditionalFormatting>
  <conditionalFormatting sqref="B1939">
    <cfRule type="containsText" dxfId="48" priority="28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7" priority="26" operator="containsText" text="Газель базы">
      <formula>NOT(ISERROR(SEARCH("Газель базы",B1939)))</formula>
    </cfRule>
    <cfRule type="containsText" dxfId="46" priority="27" operator="containsText" text="Погрузчик базы">
      <formula>NOT(ISERROR(SEARCH("Погрузчик базы",B1939)))</formula>
    </cfRule>
  </conditionalFormatting>
  <conditionalFormatting sqref="A1943">
    <cfRule type="containsText" dxfId="45" priority="22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4" priority="24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3" priority="23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2" priority="6" operator="containsText" text="Трактор базы">
      <formula>NOT(ISERROR(SEARCH("Трактор базы",B1977)))</formula>
    </cfRule>
  </conditionalFormatting>
  <conditionalFormatting sqref="B1974">
    <cfRule type="containsText" dxfId="41" priority="21" operator="containsText" text="Выезд с территории">
      <formula>NOT(ISERROR(SEARCH("Выезд с территории",B1974)))</formula>
    </cfRule>
  </conditionalFormatting>
  <conditionalFormatting sqref="B1974">
    <cfRule type="containsText" dxfId="40" priority="19" operator="containsText" text="Газель базы">
      <formula>NOT(ISERROR(SEARCH("Газель базы",B1974)))</formula>
    </cfRule>
    <cfRule type="containsText" dxfId="39" priority="20" operator="containsText" text="Погрузчик базы">
      <formula>NOT(ISERROR(SEARCH("Погрузчик базы",B1974)))</formula>
    </cfRule>
  </conditionalFormatting>
  <conditionalFormatting sqref="B1974">
    <cfRule type="containsText" dxfId="38" priority="18" operator="containsText" text="Трактор базы">
      <formula>NOT(ISERROR(SEARCH("Трактор базы",B1974)))</formula>
    </cfRule>
  </conditionalFormatting>
  <conditionalFormatting sqref="B1975">
    <cfRule type="containsText" dxfId="37" priority="17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6" priority="15" operator="containsText" text="Газель базы">
      <formula>NOT(ISERROR(SEARCH("Газель базы",B1975)))</formula>
    </cfRule>
    <cfRule type="containsText" dxfId="35" priority="16" operator="containsText" text="Погрузчик базы">
      <formula>NOT(ISERROR(SEARCH("Погрузчик базы",B1975)))</formula>
    </cfRule>
  </conditionalFormatting>
  <conditionalFormatting sqref="B1975">
    <cfRule type="containsText" dxfId="34" priority="14" operator="containsText" text="Трактор базы">
      <formula>NOT(ISERROR(SEARCH("Трактор базы",B1975)))</formula>
    </cfRule>
  </conditionalFormatting>
  <conditionalFormatting sqref="B1976">
    <cfRule type="containsText" dxfId="33" priority="13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2" priority="11" operator="containsText" text="Газель базы">
      <formula>NOT(ISERROR(SEARCH("Газель базы",B1976)))</formula>
    </cfRule>
    <cfRule type="containsText" dxfId="31" priority="12" operator="containsText" text="Погрузчик базы">
      <formula>NOT(ISERROR(SEARCH("Погрузчик базы",B1976)))</formula>
    </cfRule>
  </conditionalFormatting>
  <conditionalFormatting sqref="B1976">
    <cfRule type="containsText" dxfId="30" priority="10" operator="containsText" text="Трактор базы">
      <formula>NOT(ISERROR(SEARCH("Трактор базы",B1976)))</formula>
    </cfRule>
  </conditionalFormatting>
  <conditionalFormatting sqref="B1977">
    <cfRule type="containsText" dxfId="29" priority="9" operator="containsText" text="Выезд с территории">
      <formula>NOT(ISERROR(SEARCH("Выезд с территории",B1977)))</formula>
    </cfRule>
  </conditionalFormatting>
  <conditionalFormatting sqref="B1977">
    <cfRule type="containsText" dxfId="28" priority="7" operator="containsText" text="Газель базы">
      <formula>NOT(ISERROR(SEARCH("Газель базы",B1977)))</formula>
    </cfRule>
    <cfRule type="containsText" dxfId="27" priority="8" operator="containsText" text="Погрузчик базы">
      <formula>NOT(ISERROR(SEARCH("Погрузчик базы",B1977)))</formula>
    </cfRule>
  </conditionalFormatting>
  <conditionalFormatting sqref="C1965">
    <cfRule type="notContainsText" dxfId="26" priority="5" operator="notContains" text="порожний">
      <formula>ISERROR(SEARCH("порожний",C1965))</formula>
    </cfRule>
  </conditionalFormatting>
  <conditionalFormatting sqref="B2042">
    <cfRule type="containsText" dxfId="25" priority="1" operator="containsText" text="Трактор базы">
      <formula>NOT(ISERROR(SEARCH("Трактор базы",B2042)))</formula>
    </cfRule>
  </conditionalFormatting>
  <conditionalFormatting sqref="B2042">
    <cfRule type="containsText" dxfId="24" priority="4" operator="containsText" text="Выезд с территории">
      <formula>NOT(ISERROR(SEARCH("Выезд с территории",B2042)))</formula>
    </cfRule>
  </conditionalFormatting>
  <conditionalFormatting sqref="B2042">
    <cfRule type="containsText" dxfId="23" priority="2" operator="containsText" text="Газель базы">
      <formula>NOT(ISERROR(SEARCH("Газель базы",B2042)))</formula>
    </cfRule>
    <cfRule type="containsText" dxfId="22" priority="3" operator="containsText" text="Погрузчик базы">
      <formula>NOT(ISERROR(SEARCH("Погрузчик базы",B2042)))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197"/>
  <sheetViews>
    <sheetView topLeftCell="A172" zoomScale="80" zoomScaleNormal="80" workbookViewId="0">
      <selection activeCell="F174" sqref="F174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s="8" t="s">
        <v>1398</v>
      </c>
      <c r="J2" s="8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s="8" t="s">
        <v>409</v>
      </c>
      <c r="J3" s="8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s="8" t="s">
        <v>1456</v>
      </c>
      <c r="J4" s="8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s="8" t="s">
        <v>1459</v>
      </c>
      <c r="J5" s="8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s="8" t="s">
        <v>400</v>
      </c>
      <c r="J6" s="8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s="8" t="s">
        <v>403</v>
      </c>
      <c r="J7" s="8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s="8" t="s">
        <v>406</v>
      </c>
      <c r="J8" s="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s="8" t="s">
        <v>1462</v>
      </c>
      <c r="J9" s="8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s="8" t="s">
        <v>1480</v>
      </c>
      <c r="J10" s="8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s="8" t="s">
        <v>1483</v>
      </c>
      <c r="J11" s="8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s="8" t="s">
        <v>1486</v>
      </c>
      <c r="J12" s="8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s="8" t="s">
        <v>1471</v>
      </c>
      <c r="J13" s="8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s="8" t="s">
        <v>1474</v>
      </c>
      <c r="J14" s="8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s="8" t="s">
        <v>1477</v>
      </c>
      <c r="J15" s="8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s="8" t="s">
        <v>376</v>
      </c>
      <c r="J16" s="8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s="8" t="s">
        <v>379</v>
      </c>
      <c r="J17" s="8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s="8" t="s">
        <v>382</v>
      </c>
      <c r="J18" s="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s="8" t="s">
        <v>367</v>
      </c>
      <c r="J19" s="8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s="8" t="s">
        <v>370</v>
      </c>
      <c r="J20" s="8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s="8" t="s">
        <v>373</v>
      </c>
      <c r="J21" s="8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s="8" t="s">
        <v>391</v>
      </c>
      <c r="J22" s="8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s="8" t="s">
        <v>394</v>
      </c>
      <c r="J23" s="8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s="8" t="s">
        <v>397</v>
      </c>
      <c r="J24" s="8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s="8" t="s">
        <v>385</v>
      </c>
      <c r="J25" s="8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s="8" t="s">
        <v>388</v>
      </c>
      <c r="J26" s="8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s="8" t="s">
        <v>1522</v>
      </c>
      <c r="J27" s="8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s="8" t="s">
        <v>1525</v>
      </c>
      <c r="J28" s="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s="8" t="s">
        <v>1271</v>
      </c>
      <c r="J29" s="8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s="8" t="s">
        <v>2699</v>
      </c>
      <c r="J30" s="8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s="8" t="s">
        <v>2701</v>
      </c>
      <c r="J31" s="8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s="8" t="s">
        <v>2697</v>
      </c>
      <c r="J32" s="8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s="8" t="s">
        <v>2679</v>
      </c>
      <c r="J33" s="8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s="8" t="s">
        <v>2535</v>
      </c>
      <c r="J34" s="8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s="8" t="s">
        <v>2550</v>
      </c>
      <c r="J35" s="8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s="8" t="s">
        <v>2547</v>
      </c>
      <c r="J36" s="8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s="8" t="s">
        <v>2538</v>
      </c>
      <c r="J37" s="8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s="8" t="s">
        <v>2541</v>
      </c>
      <c r="J38" s="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s="8" t="s">
        <v>2664</v>
      </c>
      <c r="J39" s="8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s="8" t="s">
        <v>2070</v>
      </c>
      <c r="J40" s="8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s="8" t="s">
        <v>2658</v>
      </c>
      <c r="J41" s="8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s="8" t="s">
        <v>2661</v>
      </c>
      <c r="J42" s="8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s="8" t="s">
        <v>2673</v>
      </c>
      <c r="J43" s="8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s="8" t="s">
        <v>2667</v>
      </c>
      <c r="J44" s="8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s="8" t="s">
        <v>2670</v>
      </c>
      <c r="J45" s="8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s="8" t="s">
        <v>2676</v>
      </c>
      <c r="J46" s="8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s="8" t="s">
        <v>2779</v>
      </c>
      <c r="J47" s="8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s="8" t="s">
        <v>2776</v>
      </c>
      <c r="J48" s="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s="8" t="s">
        <v>2770</v>
      </c>
      <c r="J49" s="8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s="8" t="s">
        <v>2773</v>
      </c>
      <c r="J50" s="8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s="8" t="s">
        <v>2791</v>
      </c>
      <c r="J51" s="8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s="8" t="s">
        <v>2761</v>
      </c>
      <c r="J52" s="8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s="8" t="s">
        <v>2788</v>
      </c>
      <c r="J53" s="8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s="8" t="s">
        <v>2782</v>
      </c>
      <c r="J54" s="8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s="8" t="s">
        <v>2785</v>
      </c>
      <c r="J55" s="8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s="8" t="s">
        <v>2740</v>
      </c>
      <c r="J56" s="8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s="8" t="s">
        <v>2743</v>
      </c>
      <c r="J57" s="8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s="8" t="s">
        <v>2746</v>
      </c>
      <c r="J58" s="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s="8" t="s">
        <v>2731</v>
      </c>
      <c r="J59" s="8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s="8" t="s">
        <v>2734</v>
      </c>
      <c r="J60" s="8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s="8" t="s">
        <v>2737</v>
      </c>
      <c r="J61" s="8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s="8" t="s">
        <v>2758</v>
      </c>
      <c r="J62" s="8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s="8" t="s">
        <v>2764</v>
      </c>
      <c r="J63" s="8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s="8" t="s">
        <v>2767</v>
      </c>
      <c r="J64" s="8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s="8" t="s">
        <v>2749</v>
      </c>
      <c r="J65" s="8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s="8" t="s">
        <v>2752</v>
      </c>
      <c r="J66" s="8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s="8" t="s">
        <v>2755</v>
      </c>
      <c r="J67" s="8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s="8" t="s">
        <v>2082</v>
      </c>
      <c r="J68" s="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s="8" t="s">
        <v>3940</v>
      </c>
      <c r="J69" s="8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s="8" t="s">
        <v>3931</v>
      </c>
      <c r="J70" s="8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s="8" t="s">
        <v>3928</v>
      </c>
      <c r="J71" s="8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s="8" t="s">
        <v>3937</v>
      </c>
      <c r="J72" s="8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s="8" t="s">
        <v>3934</v>
      </c>
      <c r="J73" s="8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s="8" t="s">
        <v>3943</v>
      </c>
      <c r="J74" s="8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s="8" t="s">
        <v>3946</v>
      </c>
      <c r="J75" s="8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s="8" t="s">
        <v>3949</v>
      </c>
      <c r="J76" s="8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s="8" t="s">
        <v>3955</v>
      </c>
      <c r="J77" s="8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s="8" t="s">
        <v>3980</v>
      </c>
      <c r="J78" s="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s="8" t="s">
        <v>3965</v>
      </c>
      <c r="J79" s="8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s="8" t="s">
        <v>3968</v>
      </c>
      <c r="J80" s="8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s="8" t="s">
        <v>3983</v>
      </c>
      <c r="J81" s="8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s="8" t="s">
        <v>4013</v>
      </c>
      <c r="J82" s="8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s="8" t="s">
        <v>4097</v>
      </c>
      <c r="J83" s="8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s="8" t="s">
        <v>4100</v>
      </c>
      <c r="J84" s="8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s="8" t="s">
        <v>4103</v>
      </c>
      <c r="J85" s="8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s="8" t="s">
        <v>4094</v>
      </c>
      <c r="J86" s="8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s="8" t="s">
        <v>3992</v>
      </c>
      <c r="J87" s="8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s="8" t="s">
        <v>3995</v>
      </c>
      <c r="J88" s="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s="8" t="s">
        <v>4010</v>
      </c>
      <c r="J89" s="8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s="8" t="s">
        <v>3989</v>
      </c>
      <c r="J90" s="8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s="8" t="s">
        <v>4007</v>
      </c>
      <c r="J91" s="8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s="8" t="s">
        <v>3977</v>
      </c>
      <c r="J92" s="8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s="8" t="s">
        <v>3974</v>
      </c>
      <c r="J93" s="8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s="8" t="s">
        <v>3971</v>
      </c>
      <c r="J94" s="8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s="8" t="s">
        <v>4004</v>
      </c>
      <c r="J95" s="8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s="8" t="s">
        <v>3630</v>
      </c>
      <c r="J96" s="8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s="8" t="s">
        <v>3627</v>
      </c>
      <c r="J97" s="8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s="8" t="s">
        <v>3689</v>
      </c>
      <c r="J98" s="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s="8" t="s">
        <v>3659</v>
      </c>
      <c r="J99" s="8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s="8" t="s">
        <v>3624</v>
      </c>
      <c r="J100" s="8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s="8" t="s">
        <v>3615</v>
      </c>
      <c r="J101" s="8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s="8" t="s">
        <v>3645</v>
      </c>
      <c r="J102" s="8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s="8" t="s">
        <v>3653</v>
      </c>
      <c r="J103" s="8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s="8" t="s">
        <v>3656</v>
      </c>
      <c r="J104" s="8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s="8" t="s">
        <v>3618</v>
      </c>
      <c r="J105" s="8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s="8" t="s">
        <v>3621</v>
      </c>
      <c r="J106" s="8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s="8" t="s">
        <v>3633</v>
      </c>
      <c r="J107" s="8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s="8" t="s">
        <v>3677</v>
      </c>
      <c r="J108" s="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s="8" t="s">
        <v>3662</v>
      </c>
      <c r="J109" s="8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s="8" t="s">
        <v>3665</v>
      </c>
      <c r="J110" s="8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s="8" t="s">
        <v>3462</v>
      </c>
      <c r="J111" s="8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s="8" t="s">
        <v>3671</v>
      </c>
      <c r="J112" s="8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s="8" t="s">
        <v>3674</v>
      </c>
      <c r="J113" s="8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s="8" t="s">
        <v>3668</v>
      </c>
      <c r="J114" s="8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s="8" t="s">
        <v>3698</v>
      </c>
      <c r="J115" s="8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s="8" t="s">
        <v>3683</v>
      </c>
      <c r="J116" s="8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s="8" t="s">
        <v>3686</v>
      </c>
      <c r="J117" s="8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s="8" t="s">
        <v>3680</v>
      </c>
      <c r="J118" s="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s="8" t="s">
        <v>3692</v>
      </c>
      <c r="J119" s="8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s="8" t="s">
        <v>3695</v>
      </c>
      <c r="J120" s="8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s="8" t="s">
        <v>3701</v>
      </c>
      <c r="J121" s="8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s="8" t="s">
        <v>3704</v>
      </c>
      <c r="J122" s="8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s="8" t="s">
        <v>3707</v>
      </c>
      <c r="J123" s="8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s="8" t="s">
        <v>3606</v>
      </c>
      <c r="J124" s="8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s="8" t="s">
        <v>3450</v>
      </c>
      <c r="J125" s="8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s="8" t="s">
        <v>3710</v>
      </c>
      <c r="J126" s="8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s="8" t="s">
        <v>3612</v>
      </c>
      <c r="J127" s="8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s="8" t="s">
        <v>3594</v>
      </c>
      <c r="J128" s="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s="8" t="s">
        <v>3600</v>
      </c>
      <c r="J129" s="8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s="8" t="s">
        <v>3597</v>
      </c>
      <c r="J130" s="8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s="8" t="s">
        <v>3585</v>
      </c>
      <c r="J131" s="8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s="8" t="s">
        <v>3603</v>
      </c>
      <c r="J132" s="8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s="8" t="s">
        <v>3591</v>
      </c>
      <c r="J133" s="8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s="8" t="s">
        <v>3588</v>
      </c>
      <c r="J134" s="8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s="8" t="s">
        <v>3570</v>
      </c>
      <c r="J135" s="8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s="8" t="s">
        <v>3567</v>
      </c>
      <c r="J136" s="8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s="8" t="s">
        <v>3582</v>
      </c>
      <c r="J137" s="8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s="8" t="s">
        <v>3573</v>
      </c>
      <c r="J138" s="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s="8" t="s">
        <v>3636</v>
      </c>
      <c r="J139" s="8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s="8" t="s">
        <v>3639</v>
      </c>
      <c r="J140" s="8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s="8" t="s">
        <v>3642</v>
      </c>
      <c r="J141" s="8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s="8" t="s">
        <v>3456</v>
      </c>
      <c r="J142" s="8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s="8" t="s">
        <v>3459</v>
      </c>
      <c r="J143" s="8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s="8" t="s">
        <v>3453</v>
      </c>
      <c r="J144" s="8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s="8" t="s">
        <v>3375</v>
      </c>
      <c r="J145" s="8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s="8" t="s">
        <v>3579</v>
      </c>
      <c r="J146" s="8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s="8" t="s">
        <v>3576</v>
      </c>
      <c r="J147" s="8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s="8" t="s">
        <v>3447</v>
      </c>
      <c r="J148" s="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s="8" t="s">
        <v>4459</v>
      </c>
      <c r="J149" s="8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s="8" t="s">
        <v>5086</v>
      </c>
      <c r="J150" s="8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s="8" t="s">
        <v>4468</v>
      </c>
      <c r="J151" s="8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s="8" t="s">
        <v>4471</v>
      </c>
      <c r="J152" s="8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s="8" t="s">
        <v>4474</v>
      </c>
      <c r="J153" s="8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s="8" t="s">
        <v>4477</v>
      </c>
      <c r="J154" s="8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s="8" t="s">
        <v>5166</v>
      </c>
      <c r="J155" s="8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s="8" t="s">
        <v>5163</v>
      </c>
      <c r="J156" s="8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s="8" t="s">
        <v>5190</v>
      </c>
      <c r="J157" s="8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s="8" t="s">
        <v>5187</v>
      </c>
      <c r="J158" s="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s="8" t="s">
        <v>5154</v>
      </c>
      <c r="J159" s="8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s="8" t="s">
        <v>5151</v>
      </c>
      <c r="J160" s="8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s="8" t="s">
        <v>5160</v>
      </c>
      <c r="J161" s="8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s="8" t="s">
        <v>5157</v>
      </c>
      <c r="J162" s="8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s="8" t="s">
        <v>6113</v>
      </c>
      <c r="J163" s="8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s="8" t="s">
        <v>6116</v>
      </c>
      <c r="J164" s="8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s="8" t="s">
        <v>6119</v>
      </c>
      <c r="J165" s="8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s="8" t="s">
        <v>6122</v>
      </c>
      <c r="J166" s="8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s="8" t="s">
        <v>6125</v>
      </c>
      <c r="J167" s="8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s="8" t="s">
        <v>6128</v>
      </c>
      <c r="J168" s="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s="8" t="s">
        <v>6131</v>
      </c>
      <c r="J169" s="8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s="8" t="s">
        <v>6134</v>
      </c>
      <c r="J170" s="8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s="8" t="s">
        <v>6452</v>
      </c>
      <c r="J171" s="8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s="8" t="s">
        <v>6455</v>
      </c>
      <c r="J172" s="8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s="8" t="s">
        <v>6458</v>
      </c>
      <c r="J173" s="8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s="8" t="s">
        <v>6443</v>
      </c>
      <c r="J174" s="8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s="8" t="s">
        <v>6446</v>
      </c>
      <c r="J175" s="8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s="8" t="s">
        <v>6449</v>
      </c>
      <c r="J176" s="8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s="8" t="s">
        <v>6461</v>
      </c>
      <c r="J177" s="8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0.62061342592592594</v>
      </c>
      <c r="D178" s="2" t="s">
        <v>289</v>
      </c>
      <c r="E178" t="s">
        <v>5480</v>
      </c>
      <c r="F178" t="s">
        <v>528</v>
      </c>
      <c r="I178" s="8" t="s">
        <v>6515</v>
      </c>
      <c r="J178" s="8" t="s">
        <v>2988</v>
      </c>
      <c r="K178" t="s">
        <v>6516</v>
      </c>
      <c r="L178" t="s">
        <v>6517</v>
      </c>
      <c r="M178" s="3" t="str">
        <f>HYPERLINK(Таблица3[[#This Row],[RelativePath]])</f>
        <v>13 Склад хол\K07156189_23_20251215T145341Z.jpg</v>
      </c>
    </row>
    <row r="179" spans="1:13" x14ac:dyDescent="0.25">
      <c r="A179" t="s">
        <v>13</v>
      </c>
      <c r="B179" s="4">
        <v>46006</v>
      </c>
      <c r="C179" s="6">
        <v>0.62665509259259256</v>
      </c>
      <c r="D179" s="2" t="s">
        <v>289</v>
      </c>
      <c r="E179" t="s">
        <v>5480</v>
      </c>
      <c r="F179" t="s">
        <v>528</v>
      </c>
      <c r="I179" s="8" t="s">
        <v>6518</v>
      </c>
      <c r="J179" s="8" t="s">
        <v>2988</v>
      </c>
      <c r="K179" t="s">
        <v>6519</v>
      </c>
      <c r="L179" t="s">
        <v>6520</v>
      </c>
      <c r="M179" s="3" t="str">
        <f>HYPERLINK(Таблица3[[#This Row],[RelativePath]])</f>
        <v>13 Склад хол\K07156189_23_20251215T150223Z.jpg</v>
      </c>
    </row>
    <row r="180" spans="1:13" x14ac:dyDescent="0.25">
      <c r="A180" t="s">
        <v>13</v>
      </c>
      <c r="B180" s="4">
        <v>46006</v>
      </c>
      <c r="C180" s="6">
        <v>0.63099537037037035</v>
      </c>
      <c r="D180" s="2" t="s">
        <v>289</v>
      </c>
      <c r="E180" t="s">
        <v>5480</v>
      </c>
      <c r="F180" t="s">
        <v>1621</v>
      </c>
      <c r="I180" s="8" t="s">
        <v>6521</v>
      </c>
      <c r="J180" s="8" t="s">
        <v>2988</v>
      </c>
      <c r="K180" t="s">
        <v>6522</v>
      </c>
      <c r="L180" t="s">
        <v>6523</v>
      </c>
      <c r="M180" s="3" t="str">
        <f>HYPERLINK(Таблица3[[#This Row],[RelativePath]])</f>
        <v>13 Склад хол\K07156189_23_20251215T150838Z.jpg</v>
      </c>
    </row>
    <row r="181" spans="1:13" x14ac:dyDescent="0.25">
      <c r="A181" t="s">
        <v>13</v>
      </c>
      <c r="B181" s="4">
        <v>46006</v>
      </c>
      <c r="C181" s="6">
        <v>0.4783101851851852</v>
      </c>
      <c r="D181" s="2" t="s">
        <v>289</v>
      </c>
      <c r="E181" t="s">
        <v>6329</v>
      </c>
      <c r="F181" t="s">
        <v>58</v>
      </c>
      <c r="H181" t="s">
        <v>2936</v>
      </c>
      <c r="I181" s="8" t="s">
        <v>6464</v>
      </c>
      <c r="J181" s="8" t="s">
        <v>6392</v>
      </c>
      <c r="K181" t="s">
        <v>6465</v>
      </c>
      <c r="L181" t="s">
        <v>6466</v>
      </c>
      <c r="M181" s="3" t="str">
        <f>HYPERLINK(Таблица3[[#This Row],[RelativePath]])</f>
        <v>10 Сушилка навес\E33149364_3_20251215T112846Z.jpg</v>
      </c>
    </row>
    <row r="182" spans="1:13" x14ac:dyDescent="0.25">
      <c r="A182" t="s">
        <v>13</v>
      </c>
      <c r="B182" s="4">
        <v>46006</v>
      </c>
      <c r="C182" s="6">
        <v>0.47834490740740743</v>
      </c>
      <c r="D182" s="2" t="s">
        <v>289</v>
      </c>
      <c r="E182" t="s">
        <v>6329</v>
      </c>
      <c r="F182" t="s">
        <v>58</v>
      </c>
      <c r="H182" t="s">
        <v>2936</v>
      </c>
      <c r="I182" s="8" t="s">
        <v>6467</v>
      </c>
      <c r="J182" s="8" t="s">
        <v>6392</v>
      </c>
      <c r="K182" t="s">
        <v>6468</v>
      </c>
      <c r="L182" t="s">
        <v>6469</v>
      </c>
      <c r="M182" s="3" t="str">
        <f>HYPERLINK(Таблица3[[#This Row],[RelativePath]])</f>
        <v>10 Сушилка навес\E33149364_3_20251215T112849Z.jpg</v>
      </c>
    </row>
    <row r="183" spans="1:13" x14ac:dyDescent="0.25">
      <c r="A183" t="s">
        <v>13</v>
      </c>
      <c r="B183" s="4">
        <v>46006</v>
      </c>
      <c r="C183" s="6">
        <v>0.61089120370370376</v>
      </c>
      <c r="D183" s="2" t="s">
        <v>289</v>
      </c>
      <c r="E183" t="s">
        <v>6527</v>
      </c>
      <c r="F183" t="s">
        <v>1099</v>
      </c>
      <c r="G183">
        <v>2</v>
      </c>
      <c r="I183" s="8" t="s">
        <v>6479</v>
      </c>
      <c r="J183" s="8" t="s">
        <v>6392</v>
      </c>
      <c r="K183" t="s">
        <v>6480</v>
      </c>
      <c r="L183" t="s">
        <v>6481</v>
      </c>
      <c r="M183" s="3" t="str">
        <f>HYPERLINK(Таблица3[[#This Row],[RelativePath]])</f>
        <v>10 Сушилка навес\E33149364_3_20251215T143941Z.jpg</v>
      </c>
    </row>
    <row r="184" spans="1:13" x14ac:dyDescent="0.25">
      <c r="A184" t="s">
        <v>13</v>
      </c>
      <c r="B184" s="4">
        <v>46006</v>
      </c>
      <c r="C184" s="6">
        <v>0.47047453703703701</v>
      </c>
      <c r="D184" s="2" t="s">
        <v>289</v>
      </c>
      <c r="E184" t="s">
        <v>6329</v>
      </c>
      <c r="F184" t="s">
        <v>58</v>
      </c>
      <c r="H184" t="s">
        <v>2936</v>
      </c>
      <c r="I184" s="8" t="s">
        <v>6440</v>
      </c>
      <c r="J184" s="8" t="s">
        <v>6392</v>
      </c>
      <c r="K184" t="s">
        <v>6441</v>
      </c>
      <c r="L184" t="s">
        <v>6442</v>
      </c>
      <c r="M184" s="3" t="str">
        <f>HYPERLINK(Таблица3[[#This Row],[RelativePath]])</f>
        <v>10 Сушилка навес\E33149364_3_20251215T111729Z.jpg</v>
      </c>
    </row>
    <row r="185" spans="1:13" x14ac:dyDescent="0.25">
      <c r="A185" t="s">
        <v>13</v>
      </c>
      <c r="B185" s="4">
        <v>46006</v>
      </c>
      <c r="C185" s="6">
        <v>0.46650462962962963</v>
      </c>
      <c r="D185" s="2" t="s">
        <v>289</v>
      </c>
      <c r="E185" t="s">
        <v>6329</v>
      </c>
      <c r="F185" t="s">
        <v>58</v>
      </c>
      <c r="H185" t="s">
        <v>2936</v>
      </c>
      <c r="I185" s="8" t="s">
        <v>6410</v>
      </c>
      <c r="J185" s="8" t="s">
        <v>6392</v>
      </c>
      <c r="K185" t="s">
        <v>6411</v>
      </c>
      <c r="L185" t="s">
        <v>6412</v>
      </c>
      <c r="M185" s="3" t="str">
        <f>HYPERLINK(Таблица3[[#This Row],[RelativePath]])</f>
        <v>10 Сушилка навес\E33149364_3_20251215T111146Z.jpg</v>
      </c>
    </row>
    <row r="186" spans="1:13" x14ac:dyDescent="0.25">
      <c r="A186" t="s">
        <v>13</v>
      </c>
      <c r="B186" s="4">
        <v>46006</v>
      </c>
      <c r="C186" s="6">
        <v>0.46740740740740738</v>
      </c>
      <c r="D186" s="2" t="s">
        <v>289</v>
      </c>
      <c r="E186" t="s">
        <v>6329</v>
      </c>
      <c r="F186" t="s">
        <v>58</v>
      </c>
      <c r="H186" t="s">
        <v>2936</v>
      </c>
      <c r="I186" s="8" t="s">
        <v>6413</v>
      </c>
      <c r="J186" s="8" t="s">
        <v>6392</v>
      </c>
      <c r="K186" t="s">
        <v>6414</v>
      </c>
      <c r="L186" t="s">
        <v>6415</v>
      </c>
      <c r="M186" s="3" t="str">
        <f>HYPERLINK(Таблица3[[#This Row],[RelativePath]])</f>
        <v>10 Сушилка навес\E33149364_3_20251215T111304Z.jpg</v>
      </c>
    </row>
    <row r="187" spans="1:13" x14ac:dyDescent="0.25">
      <c r="A187" t="s">
        <v>13</v>
      </c>
      <c r="B187" s="4">
        <v>46006</v>
      </c>
      <c r="C187" s="6">
        <v>0.46766203703703701</v>
      </c>
      <c r="D187" s="2" t="s">
        <v>289</v>
      </c>
      <c r="E187" t="s">
        <v>6329</v>
      </c>
      <c r="F187" t="s">
        <v>58</v>
      </c>
      <c r="H187" t="s">
        <v>2936</v>
      </c>
      <c r="I187" s="8" t="s">
        <v>6416</v>
      </c>
      <c r="J187" s="8" t="s">
        <v>6392</v>
      </c>
      <c r="K187" t="s">
        <v>6417</v>
      </c>
      <c r="L187" t="s">
        <v>6418</v>
      </c>
      <c r="M187" s="3" t="str">
        <f>HYPERLINK(Таблица3[[#This Row],[RelativePath]])</f>
        <v>10 Сушилка навес\E33149364_3_20251215T111326Z.jpg</v>
      </c>
    </row>
    <row r="188" spans="1:13" x14ac:dyDescent="0.25">
      <c r="A188" t="s">
        <v>13</v>
      </c>
      <c r="B188" s="4">
        <v>46006</v>
      </c>
      <c r="C188" s="6">
        <v>0.51274305555555555</v>
      </c>
      <c r="D188" s="2" t="s">
        <v>289</v>
      </c>
      <c r="E188" t="s">
        <v>70</v>
      </c>
      <c r="F188" t="s">
        <v>6340</v>
      </c>
      <c r="I188" s="8" t="s">
        <v>6310</v>
      </c>
      <c r="J188" s="8" t="s">
        <v>6309</v>
      </c>
      <c r="K188" t="s">
        <v>6311</v>
      </c>
      <c r="L188" t="s">
        <v>6312</v>
      </c>
      <c r="M188" s="3" t="str">
        <f>HYPERLINK(Таблица3[[#This Row],[RelativePath]])</f>
        <v>4 Крыльцо офиса\K07156189_21_20251215T121821Z.jpg</v>
      </c>
    </row>
    <row r="189" spans="1:13" x14ac:dyDescent="0.25">
      <c r="A189" t="s">
        <v>13</v>
      </c>
      <c r="B189" s="4">
        <v>46006</v>
      </c>
      <c r="C189" s="6">
        <v>0.46620370370370373</v>
      </c>
      <c r="D189" s="2" t="s">
        <v>289</v>
      </c>
      <c r="E189" t="s">
        <v>6329</v>
      </c>
      <c r="F189" t="s">
        <v>58</v>
      </c>
      <c r="H189" t="s">
        <v>1620</v>
      </c>
      <c r="I189" s="8" t="s">
        <v>6404</v>
      </c>
      <c r="J189" s="8" t="s">
        <v>6392</v>
      </c>
      <c r="K189" t="s">
        <v>6405</v>
      </c>
      <c r="L189" t="s">
        <v>6406</v>
      </c>
      <c r="M189" s="3" t="str">
        <f>HYPERLINK(Таблица3[[#This Row],[RelativePath]])</f>
        <v>10 Сушилка навес\E33149364_3_20251215T111120Z.jpg</v>
      </c>
    </row>
    <row r="190" spans="1:13" x14ac:dyDescent="0.25">
      <c r="A190" t="s">
        <v>13</v>
      </c>
      <c r="B190" s="4">
        <v>46006</v>
      </c>
      <c r="C190" s="6">
        <v>0.46644675925925927</v>
      </c>
      <c r="D190" s="2" t="s">
        <v>289</v>
      </c>
      <c r="E190" t="s">
        <v>6329</v>
      </c>
      <c r="F190" t="s">
        <v>58</v>
      </c>
      <c r="H190" t="s">
        <v>2936</v>
      </c>
      <c r="I190" s="8" t="s">
        <v>6407</v>
      </c>
      <c r="J190" s="8" t="s">
        <v>6392</v>
      </c>
      <c r="K190" t="s">
        <v>6408</v>
      </c>
      <c r="L190" t="s">
        <v>6409</v>
      </c>
      <c r="M190" s="3" t="str">
        <f>HYPERLINK(Таблица3[[#This Row],[RelativePath]])</f>
        <v>10 Сушилка навес\E33149364_3_20251215T111141Z.jpg</v>
      </c>
    </row>
    <row r="191" spans="1:13" x14ac:dyDescent="0.25">
      <c r="A191" t="s">
        <v>13</v>
      </c>
      <c r="B191" s="4">
        <v>46006</v>
      </c>
      <c r="C191" s="6">
        <v>0.46770833333333334</v>
      </c>
      <c r="D191" s="2" t="s">
        <v>289</v>
      </c>
      <c r="E191" t="s">
        <v>6329</v>
      </c>
      <c r="F191" t="s">
        <v>58</v>
      </c>
      <c r="H191" t="s">
        <v>2936</v>
      </c>
      <c r="I191" s="8" t="s">
        <v>6419</v>
      </c>
      <c r="J191" s="8" t="s">
        <v>6392</v>
      </c>
      <c r="K191" t="s">
        <v>6420</v>
      </c>
      <c r="L191" t="s">
        <v>6421</v>
      </c>
      <c r="M191" s="3" t="str">
        <f>HYPERLINK(Таблица3[[#This Row],[RelativePath]])</f>
        <v>10 Сушилка навес\E33149364_3_20251215T111330Z.jpg</v>
      </c>
    </row>
    <row r="192" spans="1:13" x14ac:dyDescent="0.25">
      <c r="A192" t="s">
        <v>13</v>
      </c>
      <c r="B192" s="4">
        <v>46006</v>
      </c>
      <c r="C192" s="6">
        <v>0.46927083333333336</v>
      </c>
      <c r="D192" s="2" t="s">
        <v>289</v>
      </c>
      <c r="E192" t="s">
        <v>6329</v>
      </c>
      <c r="F192" t="s">
        <v>58</v>
      </c>
      <c r="H192" t="s">
        <v>2936</v>
      </c>
      <c r="I192" s="8" t="s">
        <v>6431</v>
      </c>
      <c r="J192" s="8" t="s">
        <v>6392</v>
      </c>
      <c r="K192" t="s">
        <v>6432</v>
      </c>
      <c r="L192" t="s">
        <v>6433</v>
      </c>
      <c r="M192" s="3" t="str">
        <f>HYPERLINK(Таблица3[[#This Row],[RelativePath]])</f>
        <v>10 Сушилка навес\E33149364_3_20251215T111545Z.jpg</v>
      </c>
    </row>
    <row r="193" spans="1:13" x14ac:dyDescent="0.25">
      <c r="A193" t="s">
        <v>13</v>
      </c>
      <c r="B193" s="4">
        <v>46006</v>
      </c>
      <c r="C193" s="6">
        <v>0.47002314814814816</v>
      </c>
      <c r="D193" s="2" t="s">
        <v>289</v>
      </c>
      <c r="E193" t="s">
        <v>6329</v>
      </c>
      <c r="F193" t="s">
        <v>58</v>
      </c>
      <c r="H193" t="s">
        <v>2936</v>
      </c>
      <c r="I193" s="8" t="s">
        <v>6434</v>
      </c>
      <c r="J193" s="8" t="s">
        <v>6392</v>
      </c>
      <c r="K193" t="s">
        <v>6435</v>
      </c>
      <c r="L193" t="s">
        <v>6436</v>
      </c>
      <c r="M193" s="3" t="str">
        <f>HYPERLINK(Таблица3[[#This Row],[RelativePath]])</f>
        <v>10 Сушилка навес\E33149364_3_20251215T111650Z.jpg</v>
      </c>
    </row>
    <row r="194" spans="1:13" x14ac:dyDescent="0.25">
      <c r="A194" t="s">
        <v>13</v>
      </c>
      <c r="B194" s="4">
        <v>46006</v>
      </c>
      <c r="C194" s="6">
        <v>0.47033564814814816</v>
      </c>
      <c r="D194" s="2" t="s">
        <v>289</v>
      </c>
      <c r="E194" t="s">
        <v>6329</v>
      </c>
      <c r="F194" t="s">
        <v>58</v>
      </c>
      <c r="H194" t="s">
        <v>2936</v>
      </c>
      <c r="I194" s="8" t="s">
        <v>6437</v>
      </c>
      <c r="J194" s="8" t="s">
        <v>6392</v>
      </c>
      <c r="K194" t="s">
        <v>6438</v>
      </c>
      <c r="L194" t="s">
        <v>6439</v>
      </c>
      <c r="M194" s="3" t="str">
        <f>HYPERLINK(Таблица3[[#This Row],[RelativePath]])</f>
        <v>10 Сушилка навес\E33149364_3_20251215T111717Z.jpg</v>
      </c>
    </row>
    <row r="195" spans="1:13" x14ac:dyDescent="0.25">
      <c r="A195" t="s">
        <v>13</v>
      </c>
      <c r="B195" s="4">
        <v>46006</v>
      </c>
      <c r="C195" s="6">
        <v>0.46807870370370369</v>
      </c>
      <c r="D195" s="2" t="s">
        <v>289</v>
      </c>
      <c r="E195" t="s">
        <v>6329</v>
      </c>
      <c r="F195" t="s">
        <v>58</v>
      </c>
      <c r="H195" t="s">
        <v>2936</v>
      </c>
      <c r="I195" s="8" t="s">
        <v>6422</v>
      </c>
      <c r="J195" s="8" t="s">
        <v>6392</v>
      </c>
      <c r="K195" t="s">
        <v>6423</v>
      </c>
      <c r="L195" t="s">
        <v>6424</v>
      </c>
      <c r="M195" s="3" t="str">
        <f>HYPERLINK(Таблица3[[#This Row],[RelativePath]])</f>
        <v>10 Сушилка навес\E33149364_3_20251215T111402Z.jpg</v>
      </c>
    </row>
    <row r="196" spans="1:13" x14ac:dyDescent="0.25">
      <c r="A196" t="s">
        <v>13</v>
      </c>
      <c r="B196" s="4">
        <v>46006</v>
      </c>
      <c r="C196" s="6">
        <v>0.46834490740740742</v>
      </c>
      <c r="D196" s="2" t="s">
        <v>289</v>
      </c>
      <c r="E196" t="s">
        <v>6329</v>
      </c>
      <c r="F196" t="s">
        <v>58</v>
      </c>
      <c r="H196" t="s">
        <v>2936</v>
      </c>
      <c r="I196" s="8" t="s">
        <v>6425</v>
      </c>
      <c r="J196" s="8" t="s">
        <v>6392</v>
      </c>
      <c r="K196" t="s">
        <v>6426</v>
      </c>
      <c r="L196" t="s">
        <v>6427</v>
      </c>
      <c r="M196" s="3" t="str">
        <f>HYPERLINK(Таблица3[[#This Row],[RelativePath]])</f>
        <v>10 Сушилка навес\E33149364_3_20251215T111425Z.jpg</v>
      </c>
    </row>
    <row r="197" spans="1:13" x14ac:dyDescent="0.25">
      <c r="A197" t="s">
        <v>13</v>
      </c>
      <c r="B197" s="4">
        <v>46006</v>
      </c>
      <c r="C197" s="6">
        <v>0.4692013888888889</v>
      </c>
      <c r="D197" s="2" t="s">
        <v>289</v>
      </c>
      <c r="E197" t="s">
        <v>6329</v>
      </c>
      <c r="F197" t="s">
        <v>58</v>
      </c>
      <c r="H197" t="s">
        <v>2936</v>
      </c>
      <c r="I197" s="8" t="s">
        <v>6428</v>
      </c>
      <c r="J197" s="8" t="s">
        <v>6392</v>
      </c>
      <c r="K197" t="s">
        <v>6429</v>
      </c>
      <c r="L197" t="s">
        <v>6430</v>
      </c>
      <c r="M197" s="3" t="str">
        <f>HYPERLINK(Таблица3[[#This Row],[RelativePath]])</f>
        <v>10 Сушилка навес\E33149364_3_20251215T111539Z.jpg</v>
      </c>
    </row>
  </sheetData>
  <phoneticPr fontId="2" type="noConversion"/>
  <conditionalFormatting sqref="E198:E219 D2:E197">
    <cfRule type="containsText" dxfId="21" priority="7" operator="containsText" text="Выезд с территории">
      <formula>NOT(ISERROR(SEARCH("Выезд с территории",D2)))</formula>
    </cfRule>
  </conditionalFormatting>
  <conditionalFormatting sqref="D2:D197">
    <cfRule type="containsText" dxfId="2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7">
    <cfRule type="containsText" dxfId="1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19">
    <cfRule type="containsText" dxfId="18" priority="2" operator="containsText" text="Газель базы">
      <formula>NOT(ISERROR(SEARCH("Газель базы",E2)))</formula>
    </cfRule>
    <cfRule type="containsText" dxfId="17" priority="3" operator="containsText" text="Погрузчик базы">
      <formula>NOT(ISERROR(SEARCH("Погрузчик базы",E2)))</formula>
    </cfRule>
  </conditionalFormatting>
  <conditionalFormatting sqref="E2:E219">
    <cfRule type="containsText" dxfId="1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333"/>
  <sheetViews>
    <sheetView tabSelected="1" topLeftCell="A306" zoomScale="80" zoomScaleNormal="80" workbookViewId="0">
      <selection activeCell="E336" sqref="E336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56.710937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14</v>
      </c>
      <c r="B2" s="4">
        <v>45972</v>
      </c>
      <c r="C2" s="6">
        <v>0.43606481481481479</v>
      </c>
      <c r="D2" s="7" t="s">
        <v>466</v>
      </c>
      <c r="E2" t="s">
        <v>67</v>
      </c>
      <c r="F2" t="s">
        <v>469</v>
      </c>
      <c r="H2" t="s">
        <v>470</v>
      </c>
      <c r="I2" t="s">
        <v>409</v>
      </c>
      <c r="J2" t="s">
        <v>334</v>
      </c>
      <c r="K2" t="s">
        <v>410</v>
      </c>
      <c r="L2" t="s">
        <v>411</v>
      </c>
      <c r="M2" s="3" t="str">
        <f>HYPERLINK(СторонТрансп[[#This Row],[RelativePath]])</f>
        <v>5 Крыльцо общага\K07156189_22_20251111T102756Z.jpg</v>
      </c>
    </row>
    <row r="3" spans="1:13" x14ac:dyDescent="0.25">
      <c r="A3" t="s">
        <v>14</v>
      </c>
      <c r="B3" s="4">
        <v>45972</v>
      </c>
      <c r="C3" s="6">
        <v>0.46743055555555557</v>
      </c>
      <c r="D3" s="7" t="s">
        <v>466</v>
      </c>
      <c r="E3" t="s">
        <v>63</v>
      </c>
      <c r="F3" t="s">
        <v>58</v>
      </c>
      <c r="H3" t="s">
        <v>1620</v>
      </c>
      <c r="I3" t="s">
        <v>1456</v>
      </c>
      <c r="J3" t="s">
        <v>1308</v>
      </c>
      <c r="K3" t="s">
        <v>1457</v>
      </c>
      <c r="L3" t="s">
        <v>1458</v>
      </c>
      <c r="M3" s="3" t="str">
        <f>HYPERLINK(СторонТрансп[[#This Row],[RelativePath]])</f>
        <v>10 Сушилка навес\E33149364_3_20251111T111306Z.jpg</v>
      </c>
    </row>
    <row r="4" spans="1:13" x14ac:dyDescent="0.25">
      <c r="A4" t="s">
        <v>14</v>
      </c>
      <c r="B4" s="4">
        <v>45972</v>
      </c>
      <c r="C4" s="6">
        <v>0.47805555555555557</v>
      </c>
      <c r="D4" s="7" t="s">
        <v>1616</v>
      </c>
      <c r="E4" t="s">
        <v>63</v>
      </c>
      <c r="F4" t="s">
        <v>58</v>
      </c>
      <c r="H4" t="s">
        <v>1620</v>
      </c>
      <c r="I4" t="s">
        <v>1459</v>
      </c>
      <c r="J4" t="s">
        <v>1308</v>
      </c>
      <c r="K4" t="s">
        <v>1460</v>
      </c>
      <c r="L4" t="s">
        <v>1461</v>
      </c>
      <c r="M4" s="3" t="str">
        <f>HYPERLINK(СторонТрансп[[#This Row],[RelativePath]])</f>
        <v>10 Сушилка навес\E33149364_3_20251111T112824Z.jpg</v>
      </c>
    </row>
    <row r="5" spans="1:13" x14ac:dyDescent="0.25">
      <c r="A5" t="s">
        <v>14</v>
      </c>
      <c r="B5" s="4">
        <v>45972</v>
      </c>
      <c r="C5" s="6">
        <v>0.42944444444444446</v>
      </c>
      <c r="D5" s="7" t="s">
        <v>466</v>
      </c>
      <c r="E5" t="s">
        <v>67</v>
      </c>
      <c r="F5" t="s">
        <v>468</v>
      </c>
      <c r="I5" t="s">
        <v>400</v>
      </c>
      <c r="J5" t="s">
        <v>334</v>
      </c>
      <c r="K5" t="s">
        <v>401</v>
      </c>
      <c r="L5" t="s">
        <v>402</v>
      </c>
      <c r="M5" s="3" t="str">
        <f>HYPERLINK(СторонТрансп[[#This Row],[RelativePath]])</f>
        <v>5 Крыльцо общага\K07156189_22_20251111T101824Z.jpg</v>
      </c>
    </row>
    <row r="6" spans="1:13" x14ac:dyDescent="0.25">
      <c r="A6" t="s">
        <v>14</v>
      </c>
      <c r="B6" s="4">
        <v>45972</v>
      </c>
      <c r="C6" s="6">
        <v>0.4316550925925926</v>
      </c>
      <c r="D6" s="7" t="s">
        <v>466</v>
      </c>
      <c r="E6" t="s">
        <v>67</v>
      </c>
      <c r="F6" t="s">
        <v>468</v>
      </c>
      <c r="I6" t="s">
        <v>403</v>
      </c>
      <c r="J6" t="s">
        <v>334</v>
      </c>
      <c r="K6" t="s">
        <v>404</v>
      </c>
      <c r="L6" t="s">
        <v>405</v>
      </c>
      <c r="M6" s="3" t="str">
        <f>HYPERLINK(СторонТрансп[[#This Row],[RelativePath]])</f>
        <v>5 Крыльцо общага\K07156189_22_20251111T102135Z.jpg</v>
      </c>
    </row>
    <row r="7" spans="1:13" x14ac:dyDescent="0.25">
      <c r="A7" t="s">
        <v>14</v>
      </c>
      <c r="B7" s="4">
        <v>45972</v>
      </c>
      <c r="C7" s="6">
        <v>0.43408564814814815</v>
      </c>
      <c r="D7" s="7" t="s">
        <v>466</v>
      </c>
      <c r="E7" t="s">
        <v>67</v>
      </c>
      <c r="F7" t="s">
        <v>468</v>
      </c>
      <c r="I7" t="s">
        <v>406</v>
      </c>
      <c r="J7" t="s">
        <v>334</v>
      </c>
      <c r="K7" t="s">
        <v>407</v>
      </c>
      <c r="L7" t="s">
        <v>408</v>
      </c>
      <c r="M7" s="3" t="str">
        <f>HYPERLINK(СторонТрансп[[#This Row],[RelativePath]])</f>
        <v>5 Крыльцо общага\K07156189_22_20251111T102505Z.jpg</v>
      </c>
    </row>
    <row r="8" spans="1:13" x14ac:dyDescent="0.25">
      <c r="A8" t="s">
        <v>14</v>
      </c>
      <c r="B8" s="4">
        <v>45972</v>
      </c>
      <c r="C8" s="6">
        <v>0.48200231481481481</v>
      </c>
      <c r="D8" s="7" t="s">
        <v>1616</v>
      </c>
      <c r="E8" t="s">
        <v>63</v>
      </c>
      <c r="F8" t="s">
        <v>58</v>
      </c>
      <c r="H8" t="s">
        <v>1620</v>
      </c>
      <c r="I8" t="s">
        <v>1462</v>
      </c>
      <c r="J8" t="s">
        <v>1308</v>
      </c>
      <c r="K8" t="s">
        <v>1463</v>
      </c>
      <c r="L8" t="s">
        <v>1464</v>
      </c>
      <c r="M8" s="3" t="str">
        <f>HYPERLINK(СторонТрансп[[#This Row],[RelativePath]])</f>
        <v>10 Сушилка навес\E33149364_3_20251111T113405Z.jpg</v>
      </c>
    </row>
    <row r="9" spans="1:13" x14ac:dyDescent="0.25">
      <c r="A9" t="s">
        <v>14</v>
      </c>
      <c r="B9" s="4">
        <v>45972</v>
      </c>
      <c r="C9" s="6">
        <v>0.40597222222222223</v>
      </c>
      <c r="D9" s="7" t="s">
        <v>466</v>
      </c>
      <c r="E9" t="s">
        <v>67</v>
      </c>
      <c r="F9" t="s">
        <v>468</v>
      </c>
      <c r="I9" t="s">
        <v>376</v>
      </c>
      <c r="J9" t="s">
        <v>334</v>
      </c>
      <c r="K9" t="s">
        <v>377</v>
      </c>
      <c r="L9" t="s">
        <v>378</v>
      </c>
      <c r="M9" s="3" t="str">
        <f>HYPERLINK(СторонТрансп[[#This Row],[RelativePath]])</f>
        <v>5 Крыльцо общага\K07156189_22_20251111T094436Z.jpg</v>
      </c>
    </row>
    <row r="10" spans="1:13" x14ac:dyDescent="0.25">
      <c r="A10" t="s">
        <v>14</v>
      </c>
      <c r="B10" s="4">
        <v>45972</v>
      </c>
      <c r="C10" s="6">
        <v>0.40881944444444446</v>
      </c>
      <c r="D10" s="7" t="s">
        <v>466</v>
      </c>
      <c r="E10" t="s">
        <v>67</v>
      </c>
      <c r="F10" t="s">
        <v>468</v>
      </c>
      <c r="I10" t="s">
        <v>379</v>
      </c>
      <c r="J10" t="s">
        <v>334</v>
      </c>
      <c r="K10" t="s">
        <v>380</v>
      </c>
      <c r="L10" t="s">
        <v>381</v>
      </c>
      <c r="M10" s="3" t="str">
        <f>HYPERLINK(СторонТрансп[[#This Row],[RelativePath]])</f>
        <v>5 Крыльцо общага\K07156189_22_20251111T094842Z.jpg</v>
      </c>
    </row>
    <row r="11" spans="1:13" x14ac:dyDescent="0.25">
      <c r="A11" t="s">
        <v>14</v>
      </c>
      <c r="B11" s="4">
        <v>45972</v>
      </c>
      <c r="C11" s="6">
        <v>0.4105787037037037</v>
      </c>
      <c r="D11" s="7" t="s">
        <v>466</v>
      </c>
      <c r="E11" t="s">
        <v>67</v>
      </c>
      <c r="F11" t="s">
        <v>468</v>
      </c>
      <c r="I11" t="s">
        <v>382</v>
      </c>
      <c r="J11" t="s">
        <v>334</v>
      </c>
      <c r="K11" t="s">
        <v>383</v>
      </c>
      <c r="L11" t="s">
        <v>384</v>
      </c>
      <c r="M11" s="3" t="str">
        <f>HYPERLINK(СторонТрансп[[#This Row],[RelativePath]])</f>
        <v>5 Крыльцо общага\K07156189_22_20251111T095114Z.jpg</v>
      </c>
    </row>
    <row r="12" spans="1:13" x14ac:dyDescent="0.25">
      <c r="A12" t="s">
        <v>14</v>
      </c>
      <c r="B12" s="4">
        <v>45972</v>
      </c>
      <c r="C12" s="6">
        <v>0.39787037037037037</v>
      </c>
      <c r="D12" s="7" t="s">
        <v>466</v>
      </c>
      <c r="E12" t="s">
        <v>67</v>
      </c>
      <c r="F12" t="s">
        <v>468</v>
      </c>
      <c r="I12" t="s">
        <v>367</v>
      </c>
      <c r="J12" t="s">
        <v>334</v>
      </c>
      <c r="K12" t="s">
        <v>368</v>
      </c>
      <c r="L12" t="s">
        <v>369</v>
      </c>
      <c r="M12" s="3" t="str">
        <f>HYPERLINK(СторонТрансп[[#This Row],[RelativePath]])</f>
        <v>5 Крыльцо общага\K07156189_22_20251111T093256Z.jpg</v>
      </c>
    </row>
    <row r="13" spans="1:13" x14ac:dyDescent="0.25">
      <c r="A13" t="s">
        <v>14</v>
      </c>
      <c r="B13" s="4">
        <v>45972</v>
      </c>
      <c r="C13" s="6">
        <v>0.40370370370370373</v>
      </c>
      <c r="D13" s="7" t="s">
        <v>466</v>
      </c>
      <c r="E13" t="s">
        <v>67</v>
      </c>
      <c r="F13" t="s">
        <v>468</v>
      </c>
      <c r="I13" t="s">
        <v>370</v>
      </c>
      <c r="J13" t="s">
        <v>334</v>
      </c>
      <c r="K13" t="s">
        <v>371</v>
      </c>
      <c r="L13" t="s">
        <v>372</v>
      </c>
      <c r="M13" s="3" t="str">
        <f>HYPERLINK(СторонТрансп[[#This Row],[RelativePath]])</f>
        <v>5 Крыльцо общага\K07156189_22_20251111T094120Z.jpg</v>
      </c>
    </row>
    <row r="14" spans="1:13" x14ac:dyDescent="0.25">
      <c r="A14" t="s">
        <v>14</v>
      </c>
      <c r="B14" s="4">
        <v>45972</v>
      </c>
      <c r="C14" s="6">
        <v>0.40377314814814813</v>
      </c>
      <c r="D14" s="7" t="s">
        <v>466</v>
      </c>
      <c r="E14" t="s">
        <v>67</v>
      </c>
      <c r="F14" t="s">
        <v>468</v>
      </c>
      <c r="I14" t="s">
        <v>373</v>
      </c>
      <c r="J14" t="s">
        <v>334</v>
      </c>
      <c r="K14" t="s">
        <v>374</v>
      </c>
      <c r="L14" t="s">
        <v>375</v>
      </c>
      <c r="M14" s="3" t="str">
        <f>HYPERLINK(СторонТрансп[[#This Row],[RelativePath]])</f>
        <v>5 Крыльцо общага\K07156189_22_20251111T094126Z.jpg</v>
      </c>
    </row>
    <row r="15" spans="1:13" x14ac:dyDescent="0.25">
      <c r="A15" t="s">
        <v>14</v>
      </c>
      <c r="B15" s="4">
        <v>45972</v>
      </c>
      <c r="C15" s="6">
        <v>0.41627314814814814</v>
      </c>
      <c r="D15" s="7" t="s">
        <v>466</v>
      </c>
      <c r="E15" t="s">
        <v>67</v>
      </c>
      <c r="F15" t="s">
        <v>468</v>
      </c>
      <c r="I15" t="s">
        <v>391</v>
      </c>
      <c r="J15" t="s">
        <v>334</v>
      </c>
      <c r="K15" t="s">
        <v>392</v>
      </c>
      <c r="L15" t="s">
        <v>393</v>
      </c>
      <c r="M15" s="3" t="str">
        <f>HYPERLINK(СторонТрансп[[#This Row],[RelativePath]])</f>
        <v>5 Крыльцо общага\K07156189_22_20251111T095926Z.jpg</v>
      </c>
    </row>
    <row r="16" spans="1:13" x14ac:dyDescent="0.25">
      <c r="A16" t="s">
        <v>14</v>
      </c>
      <c r="B16" s="4">
        <v>45972</v>
      </c>
      <c r="C16" s="6">
        <v>0.4226273148148148</v>
      </c>
      <c r="D16" s="7" t="s">
        <v>466</v>
      </c>
      <c r="E16" t="s">
        <v>67</v>
      </c>
      <c r="F16" t="s">
        <v>468</v>
      </c>
      <c r="I16" t="s">
        <v>394</v>
      </c>
      <c r="J16" t="s">
        <v>334</v>
      </c>
      <c r="K16" t="s">
        <v>395</v>
      </c>
      <c r="L16" t="s">
        <v>396</v>
      </c>
      <c r="M16" s="3" t="str">
        <f>HYPERLINK(СторонТрансп[[#This Row],[RelativePath]])</f>
        <v>5 Крыльцо общага\K07156189_22_20251111T100835Z.jpg</v>
      </c>
    </row>
    <row r="17" spans="1:13" x14ac:dyDescent="0.25">
      <c r="A17" t="s">
        <v>14</v>
      </c>
      <c r="B17" s="4">
        <v>45972</v>
      </c>
      <c r="C17" s="6">
        <v>0.42736111111111114</v>
      </c>
      <c r="D17" s="7" t="s">
        <v>466</v>
      </c>
      <c r="E17" t="s">
        <v>67</v>
      </c>
      <c r="F17" t="s">
        <v>468</v>
      </c>
      <c r="I17" t="s">
        <v>397</v>
      </c>
      <c r="J17" t="s">
        <v>334</v>
      </c>
      <c r="K17" t="s">
        <v>398</v>
      </c>
      <c r="L17" t="s">
        <v>399</v>
      </c>
      <c r="M17" s="3" t="str">
        <f>HYPERLINK(СторонТрансп[[#This Row],[RelativePath]])</f>
        <v>5 Крыльцо общага\K07156189_22_20251111T101524Z.jpg</v>
      </c>
    </row>
    <row r="18" spans="1:13" x14ac:dyDescent="0.25">
      <c r="A18" t="s">
        <v>14</v>
      </c>
      <c r="B18" s="4">
        <v>45972</v>
      </c>
      <c r="C18" s="6">
        <v>0.41136574074074073</v>
      </c>
      <c r="D18" s="7" t="s">
        <v>466</v>
      </c>
      <c r="E18" t="s">
        <v>67</v>
      </c>
      <c r="F18" t="s">
        <v>468</v>
      </c>
      <c r="I18" t="s">
        <v>385</v>
      </c>
      <c r="J18" t="s">
        <v>334</v>
      </c>
      <c r="K18" t="s">
        <v>386</v>
      </c>
      <c r="L18" t="s">
        <v>387</v>
      </c>
      <c r="M18" s="3" t="str">
        <f>HYPERLINK(СторонТрансп[[#This Row],[RelativePath]])</f>
        <v>5 Крыльцо общага\K07156189_22_20251111T095222Z.jpg</v>
      </c>
    </row>
    <row r="19" spans="1:13" x14ac:dyDescent="0.25">
      <c r="A19" t="s">
        <v>14</v>
      </c>
      <c r="B19" s="4">
        <v>45972</v>
      </c>
      <c r="C19" s="6">
        <v>0.41312500000000002</v>
      </c>
      <c r="D19" s="7" t="s">
        <v>466</v>
      </c>
      <c r="E19" t="s">
        <v>67</v>
      </c>
      <c r="F19" t="s">
        <v>468</v>
      </c>
      <c r="I19" t="s">
        <v>388</v>
      </c>
      <c r="J19" t="s">
        <v>334</v>
      </c>
      <c r="K19" t="s">
        <v>389</v>
      </c>
      <c r="L19" t="s">
        <v>390</v>
      </c>
      <c r="M19" s="3" t="str">
        <f>HYPERLINK(СторонТрансп[[#This Row],[RelativePath]])</f>
        <v>5 Крыльцо общага\K07156189_22_20251111T095454Z.jpg</v>
      </c>
    </row>
    <row r="20" spans="1:13" x14ac:dyDescent="0.25">
      <c r="A20" t="s">
        <v>15</v>
      </c>
      <c r="B20" s="4">
        <v>45987</v>
      </c>
      <c r="C20" s="6">
        <v>0.44269675925925928</v>
      </c>
      <c r="D20" s="7" t="s">
        <v>289</v>
      </c>
      <c r="E20" t="s">
        <v>4192</v>
      </c>
      <c r="F20" t="s">
        <v>58</v>
      </c>
      <c r="H20" t="s">
        <v>2936</v>
      </c>
      <c r="I20" t="s">
        <v>3980</v>
      </c>
      <c r="J20" t="s">
        <v>2985</v>
      </c>
      <c r="K20" t="s">
        <v>3981</v>
      </c>
      <c r="L20" t="s">
        <v>3982</v>
      </c>
      <c r="M20" s="3" t="str">
        <f>HYPERLINK(СторонТрансп[[#This Row],[RelativePath]])</f>
        <v>10 Сушилка навес\E33149364_3_20251126T103729Z.jpg</v>
      </c>
    </row>
    <row r="21" spans="1:13" x14ac:dyDescent="0.25">
      <c r="A21" t="s">
        <v>15</v>
      </c>
      <c r="B21" s="4">
        <v>45987</v>
      </c>
      <c r="C21" s="6">
        <v>0.44207175925925923</v>
      </c>
      <c r="D21" s="7" t="s">
        <v>289</v>
      </c>
      <c r="E21" t="s">
        <v>4192</v>
      </c>
      <c r="F21" t="s">
        <v>58</v>
      </c>
      <c r="H21" t="s">
        <v>1620</v>
      </c>
      <c r="I21" t="s">
        <v>3965</v>
      </c>
      <c r="J21" t="s">
        <v>2985</v>
      </c>
      <c r="K21" t="s">
        <v>3966</v>
      </c>
      <c r="L21" t="s">
        <v>3967</v>
      </c>
      <c r="M21" s="3" t="str">
        <f>HYPERLINK(СторонТрансп[[#This Row],[RelativePath]])</f>
        <v>10 Сушилка навес\E33149364_3_20251126T103635Z.jpg</v>
      </c>
    </row>
    <row r="22" spans="1:13" x14ac:dyDescent="0.25">
      <c r="A22" t="s">
        <v>15</v>
      </c>
      <c r="B22" s="4">
        <v>45987</v>
      </c>
      <c r="C22" s="6">
        <v>0.44216435185185188</v>
      </c>
      <c r="D22" s="7" t="s">
        <v>289</v>
      </c>
      <c r="E22" t="s">
        <v>4192</v>
      </c>
      <c r="F22" t="s">
        <v>58</v>
      </c>
      <c r="H22" t="s">
        <v>2936</v>
      </c>
      <c r="I22" t="s">
        <v>3968</v>
      </c>
      <c r="J22" t="s">
        <v>2985</v>
      </c>
      <c r="K22" t="s">
        <v>3969</v>
      </c>
      <c r="L22" t="s">
        <v>3970</v>
      </c>
      <c r="M22" s="3" t="str">
        <f>HYPERLINK(СторонТрансп[[#This Row],[RelativePath]])</f>
        <v>10 Сушилка навес\E33149364_3_20251126T103643Z.jpg</v>
      </c>
    </row>
    <row r="23" spans="1:13" x14ac:dyDescent="0.25">
      <c r="A23" t="s">
        <v>15</v>
      </c>
      <c r="B23" s="4">
        <v>45987</v>
      </c>
      <c r="C23" s="6">
        <v>0.44284722222222223</v>
      </c>
      <c r="D23" s="7" t="s">
        <v>289</v>
      </c>
      <c r="E23" t="s">
        <v>4192</v>
      </c>
      <c r="F23" t="s">
        <v>58</v>
      </c>
      <c r="H23" t="s">
        <v>2936</v>
      </c>
      <c r="I23" t="s">
        <v>3983</v>
      </c>
      <c r="J23" t="s">
        <v>2985</v>
      </c>
      <c r="K23" t="s">
        <v>3984</v>
      </c>
      <c r="L23" t="s">
        <v>3985</v>
      </c>
      <c r="M23" s="3" t="str">
        <f>HYPERLINK(СторонТрансп[[#This Row],[RelativePath]])</f>
        <v>10 Сушилка навес\E33149364_3_20251126T103742Z.jpg</v>
      </c>
    </row>
    <row r="24" spans="1:13" x14ac:dyDescent="0.25">
      <c r="A24" t="s">
        <v>15</v>
      </c>
      <c r="B24" s="4">
        <v>45987</v>
      </c>
      <c r="C24" s="6">
        <v>0.45056712962962964</v>
      </c>
      <c r="D24" s="7" t="s">
        <v>289</v>
      </c>
      <c r="E24" t="s">
        <v>4192</v>
      </c>
      <c r="F24" t="s">
        <v>58</v>
      </c>
      <c r="H24" t="s">
        <v>2936</v>
      </c>
      <c r="I24" t="s">
        <v>4013</v>
      </c>
      <c r="J24" t="s">
        <v>2985</v>
      </c>
      <c r="K24" t="s">
        <v>4014</v>
      </c>
      <c r="L24" t="s">
        <v>4015</v>
      </c>
      <c r="M24" s="3" t="str">
        <f>HYPERLINK(СторонТрансп[[#This Row],[RelativePath]])</f>
        <v>10 Сушилка навес\E33149364_3_20251126T104849Z.jpg</v>
      </c>
    </row>
    <row r="25" spans="1:13" x14ac:dyDescent="0.25">
      <c r="A25" t="s">
        <v>15</v>
      </c>
      <c r="B25" s="4">
        <v>45987</v>
      </c>
      <c r="C25" s="6">
        <v>0.44848379629629631</v>
      </c>
      <c r="D25" s="7" t="s">
        <v>289</v>
      </c>
      <c r="E25" t="s">
        <v>4192</v>
      </c>
      <c r="F25" t="s">
        <v>58</v>
      </c>
      <c r="H25" t="s">
        <v>2936</v>
      </c>
      <c r="I25" t="s">
        <v>4097</v>
      </c>
      <c r="J25" t="s">
        <v>2986</v>
      </c>
      <c r="K25" t="s">
        <v>4098</v>
      </c>
      <c r="L25" t="s">
        <v>4099</v>
      </c>
      <c r="M25" s="3" t="str">
        <f>HYPERLINK(СторонТрансп[[#This Row],[RelativePath]])</f>
        <v>11 С ангара на базу\E33149364_4_20251126T104549Z.jpg</v>
      </c>
    </row>
    <row r="26" spans="1:13" x14ac:dyDescent="0.25">
      <c r="A26" t="s">
        <v>15</v>
      </c>
      <c r="B26" s="4">
        <v>45987</v>
      </c>
      <c r="C26" s="6">
        <v>0.44864583333333335</v>
      </c>
      <c r="D26" s="7" t="s">
        <v>289</v>
      </c>
      <c r="E26" t="s">
        <v>4192</v>
      </c>
      <c r="F26" t="s">
        <v>58</v>
      </c>
      <c r="H26" t="s">
        <v>2936</v>
      </c>
      <c r="I26" t="s">
        <v>4100</v>
      </c>
      <c r="J26" t="s">
        <v>2986</v>
      </c>
      <c r="K26" t="s">
        <v>4101</v>
      </c>
      <c r="L26" t="s">
        <v>4102</v>
      </c>
      <c r="M26" s="3" t="str">
        <f>HYPERLINK(СторонТрансп[[#This Row],[RelativePath]])</f>
        <v>11 С ангара на базу\E33149364_4_20251126T104603Z.jpg</v>
      </c>
    </row>
    <row r="27" spans="1:13" x14ac:dyDescent="0.25">
      <c r="A27" t="s">
        <v>15</v>
      </c>
      <c r="B27" s="4">
        <v>45987</v>
      </c>
      <c r="C27" s="6">
        <v>0.44947916666666665</v>
      </c>
      <c r="D27" s="7" t="s">
        <v>289</v>
      </c>
      <c r="E27" t="s">
        <v>4192</v>
      </c>
      <c r="F27" t="s">
        <v>58</v>
      </c>
      <c r="H27" t="s">
        <v>2936</v>
      </c>
      <c r="I27" t="s">
        <v>4103</v>
      </c>
      <c r="J27" t="s">
        <v>2986</v>
      </c>
      <c r="K27" t="s">
        <v>4104</v>
      </c>
      <c r="L27" t="s">
        <v>4105</v>
      </c>
      <c r="M27" s="3" t="str">
        <f>HYPERLINK(СторонТрансп[[#This Row],[RelativePath]])</f>
        <v>11 С ангара на базу\E33149364_4_20251126T104715Z.jpg</v>
      </c>
    </row>
    <row r="28" spans="1:13" x14ac:dyDescent="0.25">
      <c r="A28" t="s">
        <v>15</v>
      </c>
      <c r="B28" s="4">
        <v>45987</v>
      </c>
      <c r="C28" s="6">
        <v>0.44723379629629628</v>
      </c>
      <c r="D28" s="7" t="s">
        <v>289</v>
      </c>
      <c r="E28" t="s">
        <v>4192</v>
      </c>
      <c r="F28" t="s">
        <v>58</v>
      </c>
      <c r="I28" t="s">
        <v>4094</v>
      </c>
      <c r="J28" t="s">
        <v>2986</v>
      </c>
      <c r="K28" t="s">
        <v>4095</v>
      </c>
      <c r="L28" t="s">
        <v>4096</v>
      </c>
      <c r="M28" s="3" t="str">
        <f>HYPERLINK(СторонТрансп[[#This Row],[RelativePath]])</f>
        <v>11 С ангара на базу\E33149364_4_20251126T104401Z.jpg</v>
      </c>
    </row>
    <row r="29" spans="1:13" x14ac:dyDescent="0.25">
      <c r="A29" t="s">
        <v>15</v>
      </c>
      <c r="B29" s="4">
        <v>45987</v>
      </c>
      <c r="C29" s="6">
        <v>0.44473379629629628</v>
      </c>
      <c r="D29" s="7" t="s">
        <v>289</v>
      </c>
      <c r="E29" t="s">
        <v>4192</v>
      </c>
      <c r="F29" t="s">
        <v>58</v>
      </c>
      <c r="H29" t="s">
        <v>2936</v>
      </c>
      <c r="I29" t="s">
        <v>3992</v>
      </c>
      <c r="J29" t="s">
        <v>2985</v>
      </c>
      <c r="K29" t="s">
        <v>3993</v>
      </c>
      <c r="L29" t="s">
        <v>3994</v>
      </c>
      <c r="M29" s="3" t="str">
        <f>HYPERLINK(СторонТрансп[[#This Row],[RelativePath]])</f>
        <v>10 Сушилка навес\E33149364_3_20251126T104025Z.jpg</v>
      </c>
    </row>
    <row r="30" spans="1:13" x14ac:dyDescent="0.25">
      <c r="A30" t="s">
        <v>15</v>
      </c>
      <c r="B30" s="4">
        <v>45987</v>
      </c>
      <c r="C30" s="6">
        <v>0.44495370370370368</v>
      </c>
      <c r="D30" s="7" t="s">
        <v>289</v>
      </c>
      <c r="E30" t="s">
        <v>4192</v>
      </c>
      <c r="F30" t="s">
        <v>58</v>
      </c>
      <c r="H30" t="s">
        <v>2936</v>
      </c>
      <c r="I30" t="s">
        <v>3995</v>
      </c>
      <c r="J30" t="s">
        <v>2985</v>
      </c>
      <c r="K30" t="s">
        <v>3996</v>
      </c>
      <c r="L30" t="s">
        <v>3997</v>
      </c>
      <c r="M30" s="3" t="str">
        <f>HYPERLINK(СторонТрансп[[#This Row],[RelativePath]])</f>
        <v>10 Сушилка навес\E33149364_3_20251126T104044Z.jpg</v>
      </c>
    </row>
    <row r="31" spans="1:13" x14ac:dyDescent="0.25">
      <c r="A31" t="s">
        <v>15</v>
      </c>
      <c r="B31" s="4">
        <v>45987</v>
      </c>
      <c r="C31" s="6">
        <v>0.4478125</v>
      </c>
      <c r="D31" s="7" t="s">
        <v>289</v>
      </c>
      <c r="E31" t="s">
        <v>4192</v>
      </c>
      <c r="F31" t="s">
        <v>58</v>
      </c>
      <c r="H31" t="s">
        <v>2936</v>
      </c>
      <c r="I31" t="s">
        <v>4010</v>
      </c>
      <c r="J31" t="s">
        <v>2985</v>
      </c>
      <c r="K31" t="s">
        <v>4011</v>
      </c>
      <c r="L31" t="s">
        <v>4012</v>
      </c>
      <c r="M31" s="3" t="str">
        <f>HYPERLINK(СторонТрансп[[#This Row],[RelativePath]])</f>
        <v>10 Сушилка навес\E33149364_3_20251126T104451Z.jpg</v>
      </c>
    </row>
    <row r="32" spans="1:13" x14ac:dyDescent="0.25">
      <c r="A32" t="s">
        <v>15</v>
      </c>
      <c r="B32" s="4">
        <v>45987</v>
      </c>
      <c r="C32" s="6">
        <v>0.44372685185185184</v>
      </c>
      <c r="D32" s="7" t="s">
        <v>289</v>
      </c>
      <c r="E32" t="s">
        <v>4192</v>
      </c>
      <c r="F32" t="s">
        <v>58</v>
      </c>
      <c r="I32" t="s">
        <v>3989</v>
      </c>
      <c r="J32" t="s">
        <v>2985</v>
      </c>
      <c r="K32" t="s">
        <v>3990</v>
      </c>
      <c r="L32" t="s">
        <v>3991</v>
      </c>
      <c r="M32" s="3" t="str">
        <f>HYPERLINK(СторонТрансп[[#This Row],[RelativePath]])</f>
        <v>10 Сушилка навес\E33149364_3_20251126T103858Z.jpg</v>
      </c>
    </row>
    <row r="33" spans="1:13" x14ac:dyDescent="0.25">
      <c r="A33" t="s">
        <v>15</v>
      </c>
      <c r="B33" s="4">
        <v>45987</v>
      </c>
      <c r="C33" s="6">
        <v>0.44767361111111109</v>
      </c>
      <c r="D33" s="7" t="s">
        <v>289</v>
      </c>
      <c r="E33" t="s">
        <v>4192</v>
      </c>
      <c r="F33" t="s">
        <v>58</v>
      </c>
      <c r="H33" t="s">
        <v>2936</v>
      </c>
      <c r="I33" t="s">
        <v>4007</v>
      </c>
      <c r="J33" t="s">
        <v>2985</v>
      </c>
      <c r="K33" t="s">
        <v>4008</v>
      </c>
      <c r="L33" t="s">
        <v>4009</v>
      </c>
      <c r="M33" s="3" t="str">
        <f>HYPERLINK(СторонТрансп[[#This Row],[RelativePath]])</f>
        <v>10 Сушилка навес\E33149364_3_20251126T104439Z.jpg</v>
      </c>
    </row>
    <row r="34" spans="1:13" x14ac:dyDescent="0.25">
      <c r="A34" t="s">
        <v>15</v>
      </c>
      <c r="B34" s="4">
        <v>45987</v>
      </c>
      <c r="C34" s="6">
        <v>0.44255787037037037</v>
      </c>
      <c r="D34" s="7" t="s">
        <v>289</v>
      </c>
      <c r="E34" t="s">
        <v>4192</v>
      </c>
      <c r="F34" t="s">
        <v>58</v>
      </c>
      <c r="H34" t="s">
        <v>2936</v>
      </c>
      <c r="I34" t="s">
        <v>3977</v>
      </c>
      <c r="J34" t="s">
        <v>2985</v>
      </c>
      <c r="K34" t="s">
        <v>3978</v>
      </c>
      <c r="L34" t="s">
        <v>3979</v>
      </c>
      <c r="M34" s="3" t="str">
        <f>HYPERLINK(СторонТрансп[[#This Row],[RelativePath]])</f>
        <v>10 Сушилка навес\E33149364_3_20251126T103717Z.jpg</v>
      </c>
    </row>
    <row r="35" spans="1:13" x14ac:dyDescent="0.25">
      <c r="A35" t="s">
        <v>15</v>
      </c>
      <c r="B35" s="4">
        <v>45987</v>
      </c>
      <c r="C35" s="6">
        <v>0.44241898148148145</v>
      </c>
      <c r="D35" s="7" t="s">
        <v>289</v>
      </c>
      <c r="E35" t="s">
        <v>4192</v>
      </c>
      <c r="F35" t="s">
        <v>58</v>
      </c>
      <c r="H35" t="s">
        <v>2936</v>
      </c>
      <c r="I35" t="s">
        <v>3974</v>
      </c>
      <c r="J35" t="s">
        <v>2985</v>
      </c>
      <c r="K35" t="s">
        <v>3975</v>
      </c>
      <c r="L35" t="s">
        <v>3976</v>
      </c>
      <c r="M35" s="3" t="str">
        <f>HYPERLINK(СторонТрансп[[#This Row],[RelativePath]])</f>
        <v>10 Сушилка навес\E33149364_3_20251126T103705Z.jpg</v>
      </c>
    </row>
    <row r="36" spans="1:13" x14ac:dyDescent="0.25">
      <c r="A36" t="s">
        <v>15</v>
      </c>
      <c r="B36" s="4">
        <v>45987</v>
      </c>
      <c r="C36" s="6">
        <v>0.44226851851851851</v>
      </c>
      <c r="D36" s="7" t="s">
        <v>289</v>
      </c>
      <c r="E36" t="s">
        <v>4192</v>
      </c>
      <c r="F36" t="s">
        <v>58</v>
      </c>
      <c r="H36" t="s">
        <v>2936</v>
      </c>
      <c r="I36" t="s">
        <v>3971</v>
      </c>
      <c r="J36" t="s">
        <v>2985</v>
      </c>
      <c r="K36" t="s">
        <v>3972</v>
      </c>
      <c r="L36" t="s">
        <v>3973</v>
      </c>
      <c r="M36" s="3" t="str">
        <f>HYPERLINK(СторонТрансп[[#This Row],[RelativePath]])</f>
        <v>10 Сушилка навес\E33149364_3_20251126T103652Z.jpg</v>
      </c>
    </row>
    <row r="37" spans="1:13" x14ac:dyDescent="0.25">
      <c r="A37" t="s">
        <v>15</v>
      </c>
      <c r="B37" s="4">
        <v>45987</v>
      </c>
      <c r="C37" s="6">
        <v>0.4475925925925926</v>
      </c>
      <c r="D37" s="7" t="s">
        <v>289</v>
      </c>
      <c r="E37" t="s">
        <v>4192</v>
      </c>
      <c r="F37" t="s">
        <v>58</v>
      </c>
      <c r="I37" t="s">
        <v>4004</v>
      </c>
      <c r="J37" t="s">
        <v>2985</v>
      </c>
      <c r="K37" t="s">
        <v>4005</v>
      </c>
      <c r="L37" t="s">
        <v>4006</v>
      </c>
      <c r="M37" s="3" t="str">
        <f>HYPERLINK(СторонТрансп[[#This Row],[RelativePath]])</f>
        <v>10 Сушилка навес\E33149364_3_20251126T104432Z.jpg</v>
      </c>
    </row>
    <row r="38" spans="1:13" x14ac:dyDescent="0.25">
      <c r="A38" t="s">
        <v>18</v>
      </c>
      <c r="B38" s="4">
        <v>45990</v>
      </c>
      <c r="C38" s="6">
        <v>0.63124999999999998</v>
      </c>
      <c r="D38" s="7" t="s">
        <v>289</v>
      </c>
      <c r="E38" t="s">
        <v>4194</v>
      </c>
      <c r="F38" t="s">
        <v>4211</v>
      </c>
      <c r="H38" t="s">
        <v>2936</v>
      </c>
      <c r="I38" t="s">
        <v>3630</v>
      </c>
      <c r="J38" t="s">
        <v>2984</v>
      </c>
      <c r="K38" t="s">
        <v>3631</v>
      </c>
      <c r="L38" t="s">
        <v>3632</v>
      </c>
      <c r="M38" s="3" t="str">
        <f>HYPERLINK(СторонТрансп[[#This Row],[RelativePath]])</f>
        <v>7 Площадка 2 бетонщики\K07156189_18_20251129T150900Z.jpg</v>
      </c>
    </row>
    <row r="39" spans="1:13" x14ac:dyDescent="0.25">
      <c r="A39" t="s">
        <v>18</v>
      </c>
      <c r="B39" s="4">
        <v>45990</v>
      </c>
      <c r="C39" s="6">
        <v>0.62604166666666672</v>
      </c>
      <c r="D39" s="7" t="s">
        <v>289</v>
      </c>
      <c r="E39" t="s">
        <v>4194</v>
      </c>
      <c r="F39" t="s">
        <v>4211</v>
      </c>
      <c r="H39" t="s">
        <v>2936</v>
      </c>
      <c r="I39" t="s">
        <v>3627</v>
      </c>
      <c r="J39" t="s">
        <v>2984</v>
      </c>
      <c r="K39" t="s">
        <v>3628</v>
      </c>
      <c r="L39" t="s">
        <v>3629</v>
      </c>
      <c r="M39" s="3" t="str">
        <f>HYPERLINK(СторонТрансп[[#This Row],[RelativePath]])</f>
        <v>7 Площадка 2 бетонщики\K07156189_18_20251129T150130Z.jpg</v>
      </c>
    </row>
    <row r="40" spans="1:13" x14ac:dyDescent="0.25">
      <c r="A40" t="s">
        <v>18</v>
      </c>
      <c r="B40" s="4">
        <v>45990</v>
      </c>
      <c r="C40" s="6">
        <v>0.67753472222222222</v>
      </c>
      <c r="D40" s="7" t="s">
        <v>289</v>
      </c>
      <c r="E40" t="s">
        <v>4195</v>
      </c>
      <c r="F40" t="s">
        <v>4211</v>
      </c>
      <c r="H40" t="s">
        <v>2936</v>
      </c>
      <c r="I40" t="s">
        <v>3689</v>
      </c>
      <c r="J40" t="s">
        <v>2984</v>
      </c>
      <c r="K40" t="s">
        <v>3690</v>
      </c>
      <c r="L40" t="s">
        <v>3691</v>
      </c>
      <c r="M40" s="3" t="str">
        <f>HYPERLINK(СторонТрансп[[#This Row],[RelativePath]])</f>
        <v>7 Площадка 2 бетонщики\K07156189_18_20251129T161539Z.jpg</v>
      </c>
    </row>
    <row r="41" spans="1:13" x14ac:dyDescent="0.25">
      <c r="A41" t="s">
        <v>18</v>
      </c>
      <c r="B41" s="4">
        <v>45990</v>
      </c>
      <c r="C41" s="6">
        <v>0.65699074074074071</v>
      </c>
      <c r="D41" s="7" t="s">
        <v>289</v>
      </c>
      <c r="E41" t="s">
        <v>4195</v>
      </c>
      <c r="F41" t="s">
        <v>4211</v>
      </c>
      <c r="H41" t="s">
        <v>2936</v>
      </c>
      <c r="I41" t="s">
        <v>3659</v>
      </c>
      <c r="J41" t="s">
        <v>2984</v>
      </c>
      <c r="K41" t="s">
        <v>3660</v>
      </c>
      <c r="L41" t="s">
        <v>3661</v>
      </c>
      <c r="M41" s="3" t="str">
        <f>HYPERLINK(СторонТрансп[[#This Row],[RelativePath]])</f>
        <v>7 Площадка 2 бетонщики\K07156189_18_20251129T154604Z.jpg</v>
      </c>
    </row>
    <row r="42" spans="1:13" x14ac:dyDescent="0.25">
      <c r="A42" t="s">
        <v>18</v>
      </c>
      <c r="B42" s="4">
        <v>45990</v>
      </c>
      <c r="C42" s="6">
        <v>0.62410879629629634</v>
      </c>
      <c r="D42" s="7" t="s">
        <v>289</v>
      </c>
      <c r="E42" t="s">
        <v>4194</v>
      </c>
      <c r="F42" t="s">
        <v>4211</v>
      </c>
      <c r="H42" t="s">
        <v>2936</v>
      </c>
      <c r="I42" t="s">
        <v>3624</v>
      </c>
      <c r="J42" t="s">
        <v>2984</v>
      </c>
      <c r="K42" t="s">
        <v>3625</v>
      </c>
      <c r="L42" t="s">
        <v>3626</v>
      </c>
      <c r="M42" s="3" t="str">
        <f>HYPERLINK(СторонТрансп[[#This Row],[RelativePath]])</f>
        <v>7 Площадка 2 бетонщики\K07156189_18_20251129T145843Z.jpg</v>
      </c>
    </row>
    <row r="43" spans="1:13" x14ac:dyDescent="0.25">
      <c r="A43" t="s">
        <v>18</v>
      </c>
      <c r="B43" s="4">
        <v>45990</v>
      </c>
      <c r="C43" s="6">
        <v>0.61790509259259263</v>
      </c>
      <c r="D43" s="7" t="s">
        <v>289</v>
      </c>
      <c r="E43" t="s">
        <v>4194</v>
      </c>
      <c r="F43" t="s">
        <v>4211</v>
      </c>
      <c r="H43" t="s">
        <v>2936</v>
      </c>
      <c r="I43" t="s">
        <v>3615</v>
      </c>
      <c r="J43" t="s">
        <v>2984</v>
      </c>
      <c r="K43" t="s">
        <v>3616</v>
      </c>
      <c r="L43" t="s">
        <v>3617</v>
      </c>
      <c r="M43" s="3" t="str">
        <f>HYPERLINK(СторонТрансп[[#This Row],[RelativePath]])</f>
        <v>7 Площадка 2 бетонщики\K07156189_18_20251129T144947Z.jpg</v>
      </c>
    </row>
    <row r="44" spans="1:13" x14ac:dyDescent="0.25">
      <c r="A44" t="s">
        <v>18</v>
      </c>
      <c r="B44" s="4">
        <v>45990</v>
      </c>
      <c r="C44" s="6">
        <v>0.64386574074074077</v>
      </c>
      <c r="D44" s="7" t="s">
        <v>289</v>
      </c>
      <c r="E44" t="s">
        <v>4194</v>
      </c>
      <c r="F44" t="s">
        <v>87</v>
      </c>
      <c r="I44" t="s">
        <v>3645</v>
      </c>
      <c r="J44" t="s">
        <v>2984</v>
      </c>
      <c r="K44" t="s">
        <v>3646</v>
      </c>
      <c r="L44" t="s">
        <v>3647</v>
      </c>
      <c r="M44" s="3" t="str">
        <f>HYPERLINK(СторонТрансп[[#This Row],[RelativePath]])</f>
        <v>7 Площадка 2 бетонщики\K07156189_18_20251129T152710Z.jpg</v>
      </c>
    </row>
    <row r="45" spans="1:13" x14ac:dyDescent="0.25">
      <c r="A45" t="s">
        <v>18</v>
      </c>
      <c r="B45" s="4">
        <v>45990</v>
      </c>
      <c r="C45" s="6">
        <v>0.65312499999999996</v>
      </c>
      <c r="D45" s="7" t="s">
        <v>289</v>
      </c>
      <c r="E45" t="s">
        <v>4195</v>
      </c>
      <c r="F45" t="s">
        <v>4211</v>
      </c>
      <c r="I45" t="s">
        <v>3653</v>
      </c>
      <c r="J45" t="s">
        <v>2984</v>
      </c>
      <c r="K45" t="s">
        <v>3654</v>
      </c>
      <c r="L45" t="s">
        <v>3655</v>
      </c>
      <c r="M45" s="3" t="str">
        <f>HYPERLINK(СторонТрансп[[#This Row],[RelativePath]])</f>
        <v>7 Площадка 2 бетонщики\K07156189_18_20251129T154030Z.jpg</v>
      </c>
    </row>
    <row r="46" spans="1:13" x14ac:dyDescent="0.25">
      <c r="A46" t="s">
        <v>18</v>
      </c>
      <c r="B46" s="4">
        <v>45990</v>
      </c>
      <c r="C46" s="6">
        <v>0.65543981481481484</v>
      </c>
      <c r="D46" s="7" t="s">
        <v>289</v>
      </c>
      <c r="E46" t="s">
        <v>4195</v>
      </c>
      <c r="F46" t="s">
        <v>4211</v>
      </c>
      <c r="H46" t="s">
        <v>2936</v>
      </c>
      <c r="I46" t="s">
        <v>3656</v>
      </c>
      <c r="J46" t="s">
        <v>2984</v>
      </c>
      <c r="K46" t="s">
        <v>3657</v>
      </c>
      <c r="L46" t="s">
        <v>3658</v>
      </c>
      <c r="M46" s="3" t="str">
        <f>HYPERLINK(СторонТрансп[[#This Row],[RelativePath]])</f>
        <v>7 Площадка 2 бетонщики\K07156189_18_20251129T154350Z.jpg</v>
      </c>
    </row>
    <row r="47" spans="1:13" x14ac:dyDescent="0.25">
      <c r="A47" t="s">
        <v>18</v>
      </c>
      <c r="B47" s="4">
        <v>45990</v>
      </c>
      <c r="C47" s="6">
        <v>0.61982638888888886</v>
      </c>
      <c r="D47" s="7" t="s">
        <v>289</v>
      </c>
      <c r="E47" t="s">
        <v>4194</v>
      </c>
      <c r="F47" t="s">
        <v>4211</v>
      </c>
      <c r="H47" t="s">
        <v>2936</v>
      </c>
      <c r="I47" t="s">
        <v>3618</v>
      </c>
      <c r="J47" t="s">
        <v>2984</v>
      </c>
      <c r="K47" t="s">
        <v>3619</v>
      </c>
      <c r="L47" t="s">
        <v>3620</v>
      </c>
      <c r="M47" s="3" t="str">
        <f>HYPERLINK(СторонТрансп[[#This Row],[RelativePath]])</f>
        <v>7 Площадка 2 бетонщики\K07156189_18_20251129T145233Z.jpg</v>
      </c>
    </row>
    <row r="48" spans="1:13" x14ac:dyDescent="0.25">
      <c r="A48" t="s">
        <v>18</v>
      </c>
      <c r="B48" s="4">
        <v>45990</v>
      </c>
      <c r="C48" s="6">
        <v>0.6216666666666667</v>
      </c>
      <c r="D48" s="7" t="s">
        <v>289</v>
      </c>
      <c r="E48" t="s">
        <v>4194</v>
      </c>
      <c r="F48" t="s">
        <v>4211</v>
      </c>
      <c r="H48" t="s">
        <v>2936</v>
      </c>
      <c r="I48" t="s">
        <v>3621</v>
      </c>
      <c r="J48" t="s">
        <v>2984</v>
      </c>
      <c r="K48" t="s">
        <v>3622</v>
      </c>
      <c r="L48" t="s">
        <v>3623</v>
      </c>
      <c r="M48" s="3" t="str">
        <f>HYPERLINK(СторонТрансп[[#This Row],[RelativePath]])</f>
        <v>7 Площадка 2 бетонщики\K07156189_18_20251129T145512Z.jpg</v>
      </c>
    </row>
    <row r="49" spans="1:13" x14ac:dyDescent="0.25">
      <c r="A49" t="s">
        <v>18</v>
      </c>
      <c r="B49" s="4">
        <v>45990</v>
      </c>
      <c r="C49" s="6">
        <v>0.6338773148148148</v>
      </c>
      <c r="D49" s="7" t="s">
        <v>289</v>
      </c>
      <c r="E49" t="s">
        <v>4194</v>
      </c>
      <c r="F49" t="s">
        <v>4211</v>
      </c>
      <c r="H49" t="s">
        <v>2936</v>
      </c>
      <c r="I49" t="s">
        <v>3633</v>
      </c>
      <c r="J49" t="s">
        <v>2984</v>
      </c>
      <c r="K49" t="s">
        <v>3634</v>
      </c>
      <c r="L49" t="s">
        <v>3635</v>
      </c>
      <c r="M49" s="3" t="str">
        <f>HYPERLINK(СторонТрансп[[#This Row],[RelativePath]])</f>
        <v>7 Площадка 2 бетонщики\K07156189_18_20251129T151247Z.jpg</v>
      </c>
    </row>
    <row r="50" spans="1:13" x14ac:dyDescent="0.25">
      <c r="A50" t="s">
        <v>18</v>
      </c>
      <c r="B50" s="4">
        <v>45990</v>
      </c>
      <c r="C50" s="6">
        <v>0.67155092592592591</v>
      </c>
      <c r="D50" s="7" t="s">
        <v>289</v>
      </c>
      <c r="E50" t="s">
        <v>4195</v>
      </c>
      <c r="F50" t="s">
        <v>4211</v>
      </c>
      <c r="H50" t="s">
        <v>2936</v>
      </c>
      <c r="I50" t="s">
        <v>3677</v>
      </c>
      <c r="J50" t="s">
        <v>2984</v>
      </c>
      <c r="K50" t="s">
        <v>3678</v>
      </c>
      <c r="L50" t="s">
        <v>3679</v>
      </c>
      <c r="M50" s="3" t="str">
        <f>HYPERLINK(СторонТрансп[[#This Row],[RelativePath]])</f>
        <v>7 Площадка 2 бетонщики\K07156189_18_20251129T160702Z.jpg</v>
      </c>
    </row>
    <row r="51" spans="1:13" x14ac:dyDescent="0.25">
      <c r="A51" t="s">
        <v>18</v>
      </c>
      <c r="B51" s="4">
        <v>45990</v>
      </c>
      <c r="C51" s="6">
        <v>0.65927083333333336</v>
      </c>
      <c r="D51" s="7" t="s">
        <v>289</v>
      </c>
      <c r="E51" t="s">
        <v>4195</v>
      </c>
      <c r="F51" t="s">
        <v>4211</v>
      </c>
      <c r="H51" t="s">
        <v>2936</v>
      </c>
      <c r="I51" t="s">
        <v>3662</v>
      </c>
      <c r="J51" t="s">
        <v>2984</v>
      </c>
      <c r="K51" t="s">
        <v>3663</v>
      </c>
      <c r="L51" t="s">
        <v>3664</v>
      </c>
      <c r="M51" s="3" t="str">
        <f>HYPERLINK(СторонТрансп[[#This Row],[RelativePath]])</f>
        <v>7 Площадка 2 бетонщики\K07156189_18_20251129T154921Z.jpg</v>
      </c>
    </row>
    <row r="52" spans="1:13" x14ac:dyDescent="0.25">
      <c r="A52" t="s">
        <v>18</v>
      </c>
      <c r="B52" s="4">
        <v>45990</v>
      </c>
      <c r="C52" s="6">
        <v>0.66106481481481483</v>
      </c>
      <c r="D52" s="7" t="s">
        <v>289</v>
      </c>
      <c r="E52" t="s">
        <v>4195</v>
      </c>
      <c r="F52" t="s">
        <v>4211</v>
      </c>
      <c r="H52" t="s">
        <v>2936</v>
      </c>
      <c r="I52" t="s">
        <v>3665</v>
      </c>
      <c r="J52" t="s">
        <v>2984</v>
      </c>
      <c r="K52" t="s">
        <v>3666</v>
      </c>
      <c r="L52" t="s">
        <v>3667</v>
      </c>
      <c r="M52" s="3" t="str">
        <f>HYPERLINK(СторонТрансп[[#This Row],[RelativePath]])</f>
        <v>7 Площадка 2 бетонщики\K07156189_18_20251129T155156Z.jpg</v>
      </c>
    </row>
    <row r="53" spans="1:13" x14ac:dyDescent="0.25">
      <c r="A53" t="s">
        <v>18</v>
      </c>
      <c r="B53" s="4">
        <v>45990</v>
      </c>
      <c r="C53" s="6">
        <v>0.66733796296296299</v>
      </c>
      <c r="D53" s="7" t="s">
        <v>289</v>
      </c>
      <c r="E53" t="s">
        <v>4195</v>
      </c>
      <c r="F53" t="s">
        <v>4211</v>
      </c>
      <c r="H53" t="s">
        <v>2936</v>
      </c>
      <c r="I53" t="s">
        <v>3671</v>
      </c>
      <c r="J53" t="s">
        <v>2984</v>
      </c>
      <c r="K53" t="s">
        <v>3672</v>
      </c>
      <c r="L53" t="s">
        <v>3673</v>
      </c>
      <c r="M53" s="3" t="str">
        <f>HYPERLINK(СторонТрансп[[#This Row],[RelativePath]])</f>
        <v>7 Площадка 2 бетонщики\K07156189_18_20251129T160058Z.jpg</v>
      </c>
    </row>
    <row r="54" spans="1:13" x14ac:dyDescent="0.25">
      <c r="A54" t="s">
        <v>18</v>
      </c>
      <c r="B54" s="4">
        <v>45990</v>
      </c>
      <c r="C54" s="6">
        <v>0.66971064814814818</v>
      </c>
      <c r="D54" s="7" t="s">
        <v>289</v>
      </c>
      <c r="E54" t="s">
        <v>4195</v>
      </c>
      <c r="F54" t="s">
        <v>4211</v>
      </c>
      <c r="H54" t="s">
        <v>2936</v>
      </c>
      <c r="I54" t="s">
        <v>3674</v>
      </c>
      <c r="J54" t="s">
        <v>2984</v>
      </c>
      <c r="K54" t="s">
        <v>3675</v>
      </c>
      <c r="L54" t="s">
        <v>3676</v>
      </c>
      <c r="M54" s="3" t="str">
        <f>HYPERLINK(СторонТрансп[[#This Row],[RelativePath]])</f>
        <v>7 Площадка 2 бетонщики\K07156189_18_20251129T160423Z.jpg</v>
      </c>
    </row>
    <row r="55" spans="1:13" x14ac:dyDescent="0.25">
      <c r="A55" t="s">
        <v>18</v>
      </c>
      <c r="B55" s="4">
        <v>45990</v>
      </c>
      <c r="C55" s="6">
        <v>0.66378472222222218</v>
      </c>
      <c r="D55" s="7" t="s">
        <v>289</v>
      </c>
      <c r="E55" t="s">
        <v>4195</v>
      </c>
      <c r="F55" t="s">
        <v>4211</v>
      </c>
      <c r="H55" t="s">
        <v>2936</v>
      </c>
      <c r="I55" t="s">
        <v>3668</v>
      </c>
      <c r="J55" t="s">
        <v>2984</v>
      </c>
      <c r="K55" t="s">
        <v>3669</v>
      </c>
      <c r="L55" t="s">
        <v>3670</v>
      </c>
      <c r="M55" s="3" t="str">
        <f>HYPERLINK(СторонТрансп[[#This Row],[RelativePath]])</f>
        <v>7 Площадка 2 бетонщики\K07156189_18_20251129T155551Z.jpg</v>
      </c>
    </row>
    <row r="56" spans="1:13" x14ac:dyDescent="0.25">
      <c r="A56" t="s">
        <v>18</v>
      </c>
      <c r="B56" s="4">
        <v>45990</v>
      </c>
      <c r="C56" s="6">
        <v>0.68376157407407412</v>
      </c>
      <c r="D56" s="7" t="s">
        <v>289</v>
      </c>
      <c r="E56" t="s">
        <v>4195</v>
      </c>
      <c r="F56" t="s">
        <v>4211</v>
      </c>
      <c r="H56" t="s">
        <v>2936</v>
      </c>
      <c r="I56" t="s">
        <v>3698</v>
      </c>
      <c r="J56" t="s">
        <v>2984</v>
      </c>
      <c r="K56" t="s">
        <v>3699</v>
      </c>
      <c r="L56" t="s">
        <v>3700</v>
      </c>
      <c r="M56" s="3" t="str">
        <f>HYPERLINK(СторонТрансп[[#This Row],[RelativePath]])</f>
        <v>7 Площадка 2 бетонщики\K07156189_18_20251129T162437Z.jpg</v>
      </c>
    </row>
    <row r="57" spans="1:13" x14ac:dyDescent="0.25">
      <c r="A57" t="s">
        <v>18</v>
      </c>
      <c r="B57" s="4">
        <v>45990</v>
      </c>
      <c r="C57" s="6">
        <v>0.67570601851851853</v>
      </c>
      <c r="D57" s="7" t="s">
        <v>289</v>
      </c>
      <c r="E57" t="s">
        <v>4195</v>
      </c>
      <c r="F57" t="s">
        <v>4211</v>
      </c>
      <c r="H57" t="s">
        <v>2936</v>
      </c>
      <c r="I57" t="s">
        <v>3683</v>
      </c>
      <c r="J57" t="s">
        <v>2984</v>
      </c>
      <c r="K57" t="s">
        <v>3684</v>
      </c>
      <c r="L57" t="s">
        <v>3685</v>
      </c>
      <c r="M57" s="3" t="str">
        <f>HYPERLINK(СторонТрансп[[#This Row],[RelativePath]])</f>
        <v>7 Площадка 2 бетонщики\K07156189_18_20251129T161301Z.jpg</v>
      </c>
    </row>
    <row r="58" spans="1:13" x14ac:dyDescent="0.25">
      <c r="A58" t="s">
        <v>18</v>
      </c>
      <c r="B58" s="4">
        <v>45990</v>
      </c>
      <c r="C58" s="6">
        <v>0.67623842592592598</v>
      </c>
      <c r="D58" s="7" t="s">
        <v>289</v>
      </c>
      <c r="E58" t="s">
        <v>4195</v>
      </c>
      <c r="F58" t="s">
        <v>4211</v>
      </c>
      <c r="H58" t="s">
        <v>2936</v>
      </c>
      <c r="I58" t="s">
        <v>3686</v>
      </c>
      <c r="J58" t="s">
        <v>2984</v>
      </c>
      <c r="K58" t="s">
        <v>3687</v>
      </c>
      <c r="L58" t="s">
        <v>3688</v>
      </c>
      <c r="M58" s="3" t="str">
        <f>HYPERLINK(СторонТрансп[[#This Row],[RelativePath]])</f>
        <v>7 Площадка 2 бетонщики\K07156189_18_20251129T161347Z.jpg</v>
      </c>
    </row>
    <row r="59" spans="1:13" x14ac:dyDescent="0.25">
      <c r="A59" t="s">
        <v>18</v>
      </c>
      <c r="B59" s="4">
        <v>45990</v>
      </c>
      <c r="C59" s="6">
        <v>0.67405092592592597</v>
      </c>
      <c r="D59" s="7" t="s">
        <v>289</v>
      </c>
      <c r="E59" t="s">
        <v>4195</v>
      </c>
      <c r="F59" t="s">
        <v>4211</v>
      </c>
      <c r="H59" t="s">
        <v>2936</v>
      </c>
      <c r="I59" t="s">
        <v>3680</v>
      </c>
      <c r="J59" t="s">
        <v>2984</v>
      </c>
      <c r="K59" t="s">
        <v>3681</v>
      </c>
      <c r="L59" t="s">
        <v>3682</v>
      </c>
      <c r="M59" s="3" t="str">
        <f>HYPERLINK(СторонТрансп[[#This Row],[RelativePath]])</f>
        <v>7 Площадка 2 бетонщики\K07156189_18_20251129T161038Z.jpg</v>
      </c>
    </row>
    <row r="60" spans="1:13" x14ac:dyDescent="0.25">
      <c r="A60" t="s">
        <v>18</v>
      </c>
      <c r="B60" s="4">
        <v>45990</v>
      </c>
      <c r="C60" s="6">
        <v>0.68038194444444444</v>
      </c>
      <c r="D60" s="7" t="s">
        <v>289</v>
      </c>
      <c r="E60" t="s">
        <v>4195</v>
      </c>
      <c r="F60" t="s">
        <v>4211</v>
      </c>
      <c r="H60" t="s">
        <v>2936</v>
      </c>
      <c r="I60" t="s">
        <v>3692</v>
      </c>
      <c r="J60" t="s">
        <v>2984</v>
      </c>
      <c r="K60" t="s">
        <v>3693</v>
      </c>
      <c r="L60" t="s">
        <v>3694</v>
      </c>
      <c r="M60" s="3" t="str">
        <f>HYPERLINK(СторонТрансп[[#This Row],[RelativePath]])</f>
        <v>7 Площадка 2 бетонщики\K07156189_18_20251129T161945Z.jpg</v>
      </c>
    </row>
    <row r="61" spans="1:13" x14ac:dyDescent="0.25">
      <c r="A61" t="s">
        <v>18</v>
      </c>
      <c r="B61" s="4">
        <v>45990</v>
      </c>
      <c r="C61" s="6">
        <v>0.68329861111111112</v>
      </c>
      <c r="D61" s="7" t="s">
        <v>289</v>
      </c>
      <c r="E61" t="s">
        <v>4195</v>
      </c>
      <c r="F61" t="s">
        <v>4211</v>
      </c>
      <c r="H61" t="s">
        <v>2936</v>
      </c>
      <c r="I61" t="s">
        <v>3695</v>
      </c>
      <c r="J61" t="s">
        <v>2984</v>
      </c>
      <c r="K61" t="s">
        <v>3696</v>
      </c>
      <c r="L61" t="s">
        <v>3697</v>
      </c>
      <c r="M61" s="3" t="str">
        <f>HYPERLINK(СторонТрансп[[#This Row],[RelativePath]])</f>
        <v>7 Площадка 2 бетонщики\K07156189_18_20251129T162357Z.jpg</v>
      </c>
    </row>
    <row r="62" spans="1:13" x14ac:dyDescent="0.25">
      <c r="A62" t="s">
        <v>18</v>
      </c>
      <c r="B62" s="4">
        <v>45990</v>
      </c>
      <c r="C62" s="6">
        <v>0.68625000000000003</v>
      </c>
      <c r="D62" s="7" t="s">
        <v>289</v>
      </c>
      <c r="E62" t="s">
        <v>4195</v>
      </c>
      <c r="F62" t="s">
        <v>4211</v>
      </c>
      <c r="H62" t="s">
        <v>2936</v>
      </c>
      <c r="I62" t="s">
        <v>3701</v>
      </c>
      <c r="J62" t="s">
        <v>2984</v>
      </c>
      <c r="K62" t="s">
        <v>3702</v>
      </c>
      <c r="L62" t="s">
        <v>3703</v>
      </c>
      <c r="M62" s="3" t="str">
        <f>HYPERLINK(СторонТрансп[[#This Row],[RelativePath]])</f>
        <v>7 Площадка 2 бетонщики\K07156189_18_20251129T162812Z.jpg</v>
      </c>
    </row>
    <row r="63" spans="1:13" x14ac:dyDescent="0.25">
      <c r="A63" t="s">
        <v>18</v>
      </c>
      <c r="B63" s="4">
        <v>45990</v>
      </c>
      <c r="C63" s="6">
        <v>0.68951388888888887</v>
      </c>
      <c r="D63" s="7" t="s">
        <v>289</v>
      </c>
      <c r="E63" t="s">
        <v>4195</v>
      </c>
      <c r="F63" t="s">
        <v>4211</v>
      </c>
      <c r="H63" t="s">
        <v>2936</v>
      </c>
      <c r="I63" t="s">
        <v>3704</v>
      </c>
      <c r="J63" t="s">
        <v>2984</v>
      </c>
      <c r="K63" t="s">
        <v>3705</v>
      </c>
      <c r="L63" t="s">
        <v>3706</v>
      </c>
      <c r="M63" s="3" t="str">
        <f>HYPERLINK(СторонТрансп[[#This Row],[RelativePath]])</f>
        <v>7 Площадка 2 бетонщики\K07156189_18_20251129T163254Z.jpg</v>
      </c>
    </row>
    <row r="64" spans="1:13" x14ac:dyDescent="0.25">
      <c r="A64" t="s">
        <v>18</v>
      </c>
      <c r="B64" s="4">
        <v>45990</v>
      </c>
      <c r="C64" s="6">
        <v>0.6917592592592593</v>
      </c>
      <c r="D64" s="7" t="s">
        <v>289</v>
      </c>
      <c r="E64" t="s">
        <v>4195</v>
      </c>
      <c r="F64" t="s">
        <v>4211</v>
      </c>
      <c r="H64" t="s">
        <v>2936</v>
      </c>
      <c r="I64" t="s">
        <v>3707</v>
      </c>
      <c r="J64" t="s">
        <v>2984</v>
      </c>
      <c r="K64" t="s">
        <v>3708</v>
      </c>
      <c r="L64" t="s">
        <v>3709</v>
      </c>
      <c r="M64" s="3" t="str">
        <f>HYPERLINK(СторонТрансп[[#This Row],[RelativePath]])</f>
        <v>7 Площадка 2 бетонщики\K07156189_18_20251129T163608Z.jpg</v>
      </c>
    </row>
    <row r="65" spans="1:13" x14ac:dyDescent="0.25">
      <c r="A65" t="s">
        <v>18</v>
      </c>
      <c r="B65" s="4">
        <v>45990</v>
      </c>
      <c r="C65" s="6">
        <v>0.58450231481481485</v>
      </c>
      <c r="D65" s="7" t="s">
        <v>289</v>
      </c>
      <c r="E65" t="s">
        <v>4217</v>
      </c>
      <c r="F65" t="s">
        <v>4211</v>
      </c>
      <c r="H65" t="s">
        <v>2936</v>
      </c>
      <c r="I65" t="s">
        <v>3606</v>
      </c>
      <c r="J65" t="s">
        <v>2984</v>
      </c>
      <c r="K65" t="s">
        <v>3607</v>
      </c>
      <c r="L65" t="s">
        <v>3608</v>
      </c>
      <c r="M65" s="3" t="str">
        <f>HYPERLINK(СторонТрансп[[#This Row],[RelativePath]])</f>
        <v>7 Площадка 2 бетонщики\K07156189_18_20251129T140141Z.jpg</v>
      </c>
    </row>
    <row r="66" spans="1:13" x14ac:dyDescent="0.25">
      <c r="A66" t="s">
        <v>18</v>
      </c>
      <c r="B66" s="4">
        <v>45990</v>
      </c>
      <c r="C66" s="6">
        <v>0.69224537037037037</v>
      </c>
      <c r="D66" s="7" t="s">
        <v>289</v>
      </c>
      <c r="E66" t="s">
        <v>4195</v>
      </c>
      <c r="F66" t="s">
        <v>4211</v>
      </c>
      <c r="H66" t="s">
        <v>2936</v>
      </c>
      <c r="I66" t="s">
        <v>3710</v>
      </c>
      <c r="J66" t="s">
        <v>2984</v>
      </c>
      <c r="K66" t="s">
        <v>3711</v>
      </c>
      <c r="L66" t="s">
        <v>3712</v>
      </c>
      <c r="M66" s="3" t="str">
        <f>HYPERLINK(СторонТрансп[[#This Row],[RelativePath]])</f>
        <v>7 Площадка 2 бетонщики\K07156189_18_20251129T163650Z.jpg</v>
      </c>
    </row>
    <row r="67" spans="1:13" x14ac:dyDescent="0.25">
      <c r="A67" t="s">
        <v>18</v>
      </c>
      <c r="B67" s="4">
        <v>45990</v>
      </c>
      <c r="C67" s="6">
        <v>0.61375000000000002</v>
      </c>
      <c r="D67" s="7" t="s">
        <v>289</v>
      </c>
      <c r="E67" t="s">
        <v>4194</v>
      </c>
      <c r="F67" t="s">
        <v>4211</v>
      </c>
      <c r="I67" t="s">
        <v>3612</v>
      </c>
      <c r="J67" t="s">
        <v>2984</v>
      </c>
      <c r="K67" t="s">
        <v>3613</v>
      </c>
      <c r="L67" t="s">
        <v>3614</v>
      </c>
      <c r="M67" s="3" t="str">
        <f>HYPERLINK(СторонТрансп[[#This Row],[RelativePath]])</f>
        <v>7 Площадка 2 бетонщики\K07156189_18_20251129T144348Z.jpg</v>
      </c>
    </row>
    <row r="68" spans="1:13" x14ac:dyDescent="0.25">
      <c r="A68" t="s">
        <v>18</v>
      </c>
      <c r="B68" s="4">
        <v>45990</v>
      </c>
      <c r="C68" s="6">
        <v>0.57677083333333334</v>
      </c>
      <c r="D68" s="7" t="s">
        <v>289</v>
      </c>
      <c r="E68" t="s">
        <v>4217</v>
      </c>
      <c r="F68" t="s">
        <v>4211</v>
      </c>
      <c r="H68" t="s">
        <v>2936</v>
      </c>
      <c r="I68" t="s">
        <v>3594</v>
      </c>
      <c r="J68" t="s">
        <v>2984</v>
      </c>
      <c r="K68" t="s">
        <v>3595</v>
      </c>
      <c r="L68" t="s">
        <v>3596</v>
      </c>
      <c r="M68" s="3" t="str">
        <f>HYPERLINK(СторонТрансп[[#This Row],[RelativePath]])</f>
        <v>7 Площадка 2 бетонщики\K07156189_18_20251129T135033Z.jpg</v>
      </c>
    </row>
    <row r="69" spans="1:13" x14ac:dyDescent="0.25">
      <c r="A69" t="s">
        <v>18</v>
      </c>
      <c r="B69" s="4">
        <v>45990</v>
      </c>
      <c r="C69" s="6">
        <v>0.58212962962962966</v>
      </c>
      <c r="D69" s="7" t="s">
        <v>289</v>
      </c>
      <c r="E69" t="s">
        <v>4217</v>
      </c>
      <c r="F69" t="s">
        <v>4211</v>
      </c>
      <c r="H69" t="s">
        <v>2936</v>
      </c>
      <c r="I69" t="s">
        <v>3600</v>
      </c>
      <c r="J69" t="s">
        <v>2984</v>
      </c>
      <c r="K69" t="s">
        <v>3601</v>
      </c>
      <c r="L69" t="s">
        <v>3602</v>
      </c>
      <c r="M69" s="3" t="str">
        <f>HYPERLINK(СторонТрансп[[#This Row],[RelativePath]])</f>
        <v>7 Площадка 2 бетонщики\K07156189_18_20251129T135816Z.jpg</v>
      </c>
    </row>
    <row r="70" spans="1:13" x14ac:dyDescent="0.25">
      <c r="A70" t="s">
        <v>18</v>
      </c>
      <c r="B70" s="4">
        <v>45990</v>
      </c>
      <c r="C70" s="6">
        <v>0.57995370370370369</v>
      </c>
      <c r="D70" s="7" t="s">
        <v>289</v>
      </c>
      <c r="E70" t="s">
        <v>4217</v>
      </c>
      <c r="F70" t="s">
        <v>4211</v>
      </c>
      <c r="H70" t="s">
        <v>2936</v>
      </c>
      <c r="I70" t="s">
        <v>3597</v>
      </c>
      <c r="J70" t="s">
        <v>2984</v>
      </c>
      <c r="K70" t="s">
        <v>3598</v>
      </c>
      <c r="L70" t="s">
        <v>3599</v>
      </c>
      <c r="M70" s="3" t="str">
        <f>HYPERLINK(СторонТрансп[[#This Row],[RelativePath]])</f>
        <v>7 Площадка 2 бетонщики\K07156189_18_20251129T135508Z.jpg</v>
      </c>
    </row>
    <row r="71" spans="1:13" x14ac:dyDescent="0.25">
      <c r="A71" t="s">
        <v>18</v>
      </c>
      <c r="B71" s="4">
        <v>45990</v>
      </c>
      <c r="C71" s="6">
        <v>0.57168981481481485</v>
      </c>
      <c r="D71" s="7" t="s">
        <v>289</v>
      </c>
      <c r="E71" t="s">
        <v>4217</v>
      </c>
      <c r="F71" t="s">
        <v>4211</v>
      </c>
      <c r="H71" t="s">
        <v>2936</v>
      </c>
      <c r="I71" t="s">
        <v>3585</v>
      </c>
      <c r="J71" t="s">
        <v>2984</v>
      </c>
      <c r="K71" t="s">
        <v>3586</v>
      </c>
      <c r="L71" t="s">
        <v>3587</v>
      </c>
      <c r="M71" s="3" t="str">
        <f>HYPERLINK(СторонТрансп[[#This Row],[RelativePath]])</f>
        <v>7 Площадка 2 бетонщики\K07156189_18_20251129T134314Z.jpg</v>
      </c>
    </row>
    <row r="72" spans="1:13" x14ac:dyDescent="0.25">
      <c r="A72" t="s">
        <v>18</v>
      </c>
      <c r="B72" s="4">
        <v>45990</v>
      </c>
      <c r="C72" s="6">
        <v>0.58278935185185188</v>
      </c>
      <c r="D72" s="7" t="s">
        <v>289</v>
      </c>
      <c r="E72" t="s">
        <v>4217</v>
      </c>
      <c r="F72" t="s">
        <v>4211</v>
      </c>
      <c r="H72" t="s">
        <v>2936</v>
      </c>
      <c r="I72" t="s">
        <v>3603</v>
      </c>
      <c r="J72" t="s">
        <v>2984</v>
      </c>
      <c r="K72" t="s">
        <v>3604</v>
      </c>
      <c r="L72" t="s">
        <v>3605</v>
      </c>
      <c r="M72" s="3" t="str">
        <f>HYPERLINK(СторонТрансп[[#This Row],[RelativePath]])</f>
        <v>7 Площадка 2 бетонщики\K07156189_18_20251129T135913Z.jpg</v>
      </c>
    </row>
    <row r="73" spans="1:13" x14ac:dyDescent="0.25">
      <c r="A73" t="s">
        <v>18</v>
      </c>
      <c r="B73" s="4">
        <v>45990</v>
      </c>
      <c r="C73" s="6">
        <v>0.57449074074074069</v>
      </c>
      <c r="D73" s="7" t="s">
        <v>289</v>
      </c>
      <c r="E73" t="s">
        <v>4217</v>
      </c>
      <c r="F73" t="s">
        <v>4211</v>
      </c>
      <c r="H73" t="s">
        <v>2936</v>
      </c>
      <c r="I73" t="s">
        <v>3591</v>
      </c>
      <c r="J73" t="s">
        <v>2984</v>
      </c>
      <c r="K73" t="s">
        <v>3592</v>
      </c>
      <c r="L73" t="s">
        <v>3593</v>
      </c>
      <c r="M73" s="3" t="str">
        <f>HYPERLINK(СторонТрансп[[#This Row],[RelativePath]])</f>
        <v>7 Площадка 2 бетонщики\K07156189_18_20251129T134716Z.jpg</v>
      </c>
    </row>
    <row r="74" spans="1:13" x14ac:dyDescent="0.25">
      <c r="A74" t="s">
        <v>18</v>
      </c>
      <c r="B74" s="4">
        <v>45990</v>
      </c>
      <c r="C74" s="6">
        <v>0.57275462962962964</v>
      </c>
      <c r="D74" s="7" t="s">
        <v>289</v>
      </c>
      <c r="E74" t="s">
        <v>4217</v>
      </c>
      <c r="F74" t="s">
        <v>4211</v>
      </c>
      <c r="H74" t="s">
        <v>2936</v>
      </c>
      <c r="I74" t="s">
        <v>3588</v>
      </c>
      <c r="J74" t="s">
        <v>2984</v>
      </c>
      <c r="K74" t="s">
        <v>3589</v>
      </c>
      <c r="L74" t="s">
        <v>3590</v>
      </c>
      <c r="M74" s="3" t="str">
        <f>HYPERLINK(СторонТрансп[[#This Row],[RelativePath]])</f>
        <v>7 Площадка 2 бетонщики\K07156189_18_20251129T134446Z.jpg</v>
      </c>
    </row>
    <row r="75" spans="1:13" x14ac:dyDescent="0.25">
      <c r="A75" t="s">
        <v>18</v>
      </c>
      <c r="B75" s="4">
        <v>45990</v>
      </c>
      <c r="C75" s="6">
        <v>0.55314814814814817</v>
      </c>
      <c r="D75" s="7" t="s">
        <v>289</v>
      </c>
      <c r="E75" t="s">
        <v>4217</v>
      </c>
      <c r="F75" t="s">
        <v>4211</v>
      </c>
      <c r="H75" t="s">
        <v>2936</v>
      </c>
      <c r="I75" t="s">
        <v>3570</v>
      </c>
      <c r="J75" t="s">
        <v>2984</v>
      </c>
      <c r="K75" t="s">
        <v>3571</v>
      </c>
      <c r="L75" t="s">
        <v>3572</v>
      </c>
      <c r="M75" s="3" t="str">
        <f>HYPERLINK(СторонТрансп[[#This Row],[RelativePath]])</f>
        <v>7 Площадка 2 бетонщики\K07156189_18_20251129T131632Z.jpg</v>
      </c>
    </row>
    <row r="76" spans="1:13" x14ac:dyDescent="0.25">
      <c r="A76" t="s">
        <v>18</v>
      </c>
      <c r="B76" s="4">
        <v>45990</v>
      </c>
      <c r="C76" s="6">
        <v>0.55248842592592595</v>
      </c>
      <c r="D76" s="7" t="s">
        <v>289</v>
      </c>
      <c r="E76" t="s">
        <v>4217</v>
      </c>
      <c r="F76" t="s">
        <v>4211</v>
      </c>
      <c r="I76" t="s">
        <v>3567</v>
      </c>
      <c r="J76" t="s">
        <v>2984</v>
      </c>
      <c r="K76" t="s">
        <v>3568</v>
      </c>
      <c r="L76" t="s">
        <v>3569</v>
      </c>
      <c r="M76" s="3" t="str">
        <f>HYPERLINK(СторонТрансп[[#This Row],[RelativePath]])</f>
        <v>7 Площадка 2 бетонщики\K07156189_18_20251129T131535Z.jpg</v>
      </c>
    </row>
    <row r="77" spans="1:13" x14ac:dyDescent="0.25">
      <c r="A77" t="s">
        <v>18</v>
      </c>
      <c r="B77" s="4">
        <v>45990</v>
      </c>
      <c r="C77" s="6">
        <v>0.56846064814814812</v>
      </c>
      <c r="D77" s="7" t="s">
        <v>289</v>
      </c>
      <c r="E77" t="s">
        <v>4217</v>
      </c>
      <c r="F77" t="s">
        <v>4211</v>
      </c>
      <c r="H77" t="s">
        <v>2936</v>
      </c>
      <c r="I77" t="s">
        <v>3582</v>
      </c>
      <c r="J77" t="s">
        <v>2984</v>
      </c>
      <c r="K77" t="s">
        <v>3583</v>
      </c>
      <c r="L77" t="s">
        <v>3584</v>
      </c>
      <c r="M77" s="3" t="str">
        <f>HYPERLINK(СторонТрансп[[#This Row],[RelativePath]])</f>
        <v>7 Площадка 2 бетонщики\K07156189_18_20251129T133835Z.jpg</v>
      </c>
    </row>
    <row r="78" spans="1:13" x14ac:dyDescent="0.25">
      <c r="A78" t="s">
        <v>18</v>
      </c>
      <c r="B78" s="4">
        <v>45990</v>
      </c>
      <c r="C78" s="6">
        <v>0.55888888888888888</v>
      </c>
      <c r="D78" s="7" t="s">
        <v>289</v>
      </c>
      <c r="E78" t="s">
        <v>4217</v>
      </c>
      <c r="F78" t="s">
        <v>4211</v>
      </c>
      <c r="H78" t="s">
        <v>2936</v>
      </c>
      <c r="I78" t="s">
        <v>3573</v>
      </c>
      <c r="J78" t="s">
        <v>2984</v>
      </c>
      <c r="K78" t="s">
        <v>3574</v>
      </c>
      <c r="L78" t="s">
        <v>3575</v>
      </c>
      <c r="M78" s="3" t="str">
        <f>HYPERLINK(СторонТрансп[[#This Row],[RelativePath]])</f>
        <v>7 Площадка 2 бетонщики\K07156189_18_20251129T132448Z.jpg</v>
      </c>
    </row>
    <row r="79" spans="1:13" x14ac:dyDescent="0.25">
      <c r="A79" t="s">
        <v>18</v>
      </c>
      <c r="B79" s="4">
        <v>45990</v>
      </c>
      <c r="C79" s="6">
        <v>0.63736111111111116</v>
      </c>
      <c r="D79" s="7" t="s">
        <v>289</v>
      </c>
      <c r="E79" t="s">
        <v>4194</v>
      </c>
      <c r="F79" t="s">
        <v>4211</v>
      </c>
      <c r="H79" t="s">
        <v>2936</v>
      </c>
      <c r="I79" t="s">
        <v>3636</v>
      </c>
      <c r="J79" t="s">
        <v>2984</v>
      </c>
      <c r="K79" t="s">
        <v>3637</v>
      </c>
      <c r="L79" t="s">
        <v>3638</v>
      </c>
      <c r="M79" s="3" t="str">
        <f>HYPERLINK(СторонТрансп[[#This Row],[RelativePath]])</f>
        <v>7 Площадка 2 бетонщики\K07156189_18_20251129T151748Z.jpg</v>
      </c>
    </row>
    <row r="80" spans="1:13" x14ac:dyDescent="0.25">
      <c r="A80" t="s">
        <v>18</v>
      </c>
      <c r="B80" s="4">
        <v>45990</v>
      </c>
      <c r="C80" s="6">
        <v>0.63914351851851847</v>
      </c>
      <c r="D80" s="7" t="s">
        <v>289</v>
      </c>
      <c r="E80" t="s">
        <v>4194</v>
      </c>
      <c r="F80" t="s">
        <v>4211</v>
      </c>
      <c r="H80" t="s">
        <v>2936</v>
      </c>
      <c r="I80" t="s">
        <v>3639</v>
      </c>
      <c r="J80" t="s">
        <v>2984</v>
      </c>
      <c r="K80" t="s">
        <v>3640</v>
      </c>
      <c r="L80" t="s">
        <v>3641</v>
      </c>
      <c r="M80" s="3" t="str">
        <f>HYPERLINK(СторонТрансп[[#This Row],[RelativePath]])</f>
        <v>7 Площадка 2 бетонщики\K07156189_18_20251129T152022Z.jpg</v>
      </c>
    </row>
    <row r="81" spans="1:13" x14ac:dyDescent="0.25">
      <c r="A81" t="s">
        <v>18</v>
      </c>
      <c r="B81" s="4">
        <v>45990</v>
      </c>
      <c r="C81" s="6">
        <v>0.64195601851851847</v>
      </c>
      <c r="D81" s="7" t="s">
        <v>289</v>
      </c>
      <c r="E81" t="s">
        <v>4194</v>
      </c>
      <c r="F81" t="s">
        <v>4211</v>
      </c>
      <c r="H81" t="s">
        <v>2936</v>
      </c>
      <c r="I81" t="s">
        <v>3642</v>
      </c>
      <c r="J81" t="s">
        <v>2984</v>
      </c>
      <c r="K81" t="s">
        <v>3643</v>
      </c>
      <c r="L81" t="s">
        <v>3644</v>
      </c>
      <c r="M81" s="3" t="str">
        <f>HYPERLINK(СторонТрансп[[#This Row],[RelativePath]])</f>
        <v>7 Площадка 2 бетонщики\K07156189_18_20251129T152425Z.jpg</v>
      </c>
    </row>
    <row r="82" spans="1:13" x14ac:dyDescent="0.25">
      <c r="A82" t="s">
        <v>18</v>
      </c>
      <c r="B82" s="4">
        <v>45990</v>
      </c>
      <c r="C82" s="6">
        <v>0.56593749999999998</v>
      </c>
      <c r="D82" s="7" t="s">
        <v>289</v>
      </c>
      <c r="E82" t="s">
        <v>4217</v>
      </c>
      <c r="F82" t="s">
        <v>4211</v>
      </c>
      <c r="H82" t="s">
        <v>2936</v>
      </c>
      <c r="I82" t="s">
        <v>3579</v>
      </c>
      <c r="J82" t="s">
        <v>2984</v>
      </c>
      <c r="K82" t="s">
        <v>3580</v>
      </c>
      <c r="L82" t="s">
        <v>3581</v>
      </c>
      <c r="M82" s="3" t="str">
        <f>HYPERLINK(СторонТрансп[[#This Row],[RelativePath]])</f>
        <v>7 Площадка 2 бетонщики\K07156189_18_20251129T133457Z.jpg</v>
      </c>
    </row>
    <row r="83" spans="1:13" x14ac:dyDescent="0.25">
      <c r="A83" t="s">
        <v>18</v>
      </c>
      <c r="B83" s="4">
        <v>45990</v>
      </c>
      <c r="C83" s="6">
        <v>0.5607523148148148</v>
      </c>
      <c r="D83" s="7" t="s">
        <v>289</v>
      </c>
      <c r="E83" t="s">
        <v>4217</v>
      </c>
      <c r="F83" t="s">
        <v>4211</v>
      </c>
      <c r="H83" t="s">
        <v>2936</v>
      </c>
      <c r="I83" t="s">
        <v>3576</v>
      </c>
      <c r="J83" t="s">
        <v>2984</v>
      </c>
      <c r="K83" t="s">
        <v>3577</v>
      </c>
      <c r="L83" t="s">
        <v>3578</v>
      </c>
      <c r="M83" s="3" t="str">
        <f>HYPERLINK(СторонТрансп[[#This Row],[RelativePath]])</f>
        <v>7 Площадка 2 бетонщики\K07156189_18_20251129T132729Z.jpg</v>
      </c>
    </row>
    <row r="84" spans="1:13" x14ac:dyDescent="0.25">
      <c r="A84" t="s">
        <v>22</v>
      </c>
      <c r="B84" s="4">
        <v>45998</v>
      </c>
      <c r="C84" s="6">
        <v>0.63689814814814816</v>
      </c>
      <c r="D84" s="7" t="s">
        <v>289</v>
      </c>
      <c r="E84" t="s">
        <v>5263</v>
      </c>
      <c r="F84" t="s">
        <v>5093</v>
      </c>
      <c r="H84" t="s">
        <v>2936</v>
      </c>
      <c r="I84" t="s">
        <v>5166</v>
      </c>
      <c r="J84" t="s">
        <v>2982</v>
      </c>
      <c r="K84" t="s">
        <v>5167</v>
      </c>
      <c r="L84" t="s">
        <v>5168</v>
      </c>
      <c r="M84" s="3" t="str">
        <f>HYPERLINK(СторонТрансп[[#This Row],[RelativePath]])</f>
        <v>5 Крыльцо общага\K07156189_22_20251207T151708Z.jpg</v>
      </c>
    </row>
    <row r="85" spans="1:13" x14ac:dyDescent="0.25">
      <c r="A85" t="s">
        <v>22</v>
      </c>
      <c r="B85" s="4">
        <v>45998</v>
      </c>
      <c r="C85" s="6">
        <v>0.62921296296296292</v>
      </c>
      <c r="D85" s="7" t="s">
        <v>289</v>
      </c>
      <c r="E85" t="s">
        <v>5263</v>
      </c>
      <c r="F85" t="s">
        <v>5093</v>
      </c>
      <c r="H85" t="s">
        <v>2936</v>
      </c>
      <c r="I85" t="s">
        <v>5163</v>
      </c>
      <c r="J85" t="s">
        <v>2982</v>
      </c>
      <c r="K85" t="s">
        <v>5164</v>
      </c>
      <c r="L85" t="s">
        <v>5165</v>
      </c>
      <c r="M85" s="3" t="str">
        <f>HYPERLINK(СторонТрансп[[#This Row],[RelativePath]])</f>
        <v>5 Крыльцо общага\K07156189_22_20251207T150604Z.jpg</v>
      </c>
    </row>
    <row r="86" spans="1:13" x14ac:dyDescent="0.25">
      <c r="A86" t="s">
        <v>22</v>
      </c>
      <c r="B86" s="4">
        <v>45998</v>
      </c>
      <c r="C86" s="6">
        <v>0.60648148148148151</v>
      </c>
      <c r="D86" s="7" t="s">
        <v>289</v>
      </c>
      <c r="E86" t="s">
        <v>5263</v>
      </c>
      <c r="F86" t="s">
        <v>4233</v>
      </c>
      <c r="H86" t="s">
        <v>2936</v>
      </c>
      <c r="I86" t="s">
        <v>5190</v>
      </c>
      <c r="J86" t="s">
        <v>2985</v>
      </c>
      <c r="K86" t="s">
        <v>5191</v>
      </c>
      <c r="L86" t="s">
        <v>5192</v>
      </c>
      <c r="M86" s="3" t="str">
        <f>HYPERLINK(СторонТрансп[[#This Row],[RelativePath]])</f>
        <v>10 Сушилка навес\E33149364_3_20251207T143320Z.jpg</v>
      </c>
    </row>
    <row r="87" spans="1:13" x14ac:dyDescent="0.25">
      <c r="A87" t="s">
        <v>22</v>
      </c>
      <c r="B87" s="4">
        <v>45998</v>
      </c>
      <c r="C87" s="6">
        <v>0.60039351851851852</v>
      </c>
      <c r="D87" s="7" t="s">
        <v>289</v>
      </c>
      <c r="E87" t="s">
        <v>5263</v>
      </c>
      <c r="F87" t="s">
        <v>4233</v>
      </c>
      <c r="I87" t="s">
        <v>5187</v>
      </c>
      <c r="J87" t="s">
        <v>2985</v>
      </c>
      <c r="K87" t="s">
        <v>5188</v>
      </c>
      <c r="L87" t="s">
        <v>5189</v>
      </c>
      <c r="M87" s="3" t="str">
        <f>HYPERLINK(СторонТрансп[[#This Row],[RelativePath]])</f>
        <v>10 Сушилка навес\E33149364_3_20251207T142434Z.jpg</v>
      </c>
    </row>
    <row r="88" spans="1:13" x14ac:dyDescent="0.25">
      <c r="A88" t="s">
        <v>22</v>
      </c>
      <c r="B88" s="4">
        <v>45998</v>
      </c>
      <c r="C88" s="6">
        <v>0.62070601851851848</v>
      </c>
      <c r="D88" s="7" t="s">
        <v>289</v>
      </c>
      <c r="E88" t="s">
        <v>5263</v>
      </c>
      <c r="F88" t="s">
        <v>5093</v>
      </c>
      <c r="H88" t="s">
        <v>2936</v>
      </c>
      <c r="I88" t="s">
        <v>5154</v>
      </c>
      <c r="J88" t="s">
        <v>2982</v>
      </c>
      <c r="K88" t="s">
        <v>5155</v>
      </c>
      <c r="L88" t="s">
        <v>5156</v>
      </c>
      <c r="M88" s="3" t="str">
        <f>HYPERLINK(СторонТрансп[[#This Row],[RelativePath]])</f>
        <v>5 Крыльцо общага\K07156189_22_20251207T145349Z.jpg</v>
      </c>
    </row>
    <row r="89" spans="1:13" x14ac:dyDescent="0.25">
      <c r="A89" t="s">
        <v>22</v>
      </c>
      <c r="B89" s="4">
        <v>45998</v>
      </c>
      <c r="C89" s="6">
        <v>0.61756944444444439</v>
      </c>
      <c r="D89" s="7" t="s">
        <v>289</v>
      </c>
      <c r="E89" t="s">
        <v>5263</v>
      </c>
      <c r="F89" t="s">
        <v>5093</v>
      </c>
      <c r="I89" t="s">
        <v>5151</v>
      </c>
      <c r="J89" t="s">
        <v>2982</v>
      </c>
      <c r="K89" t="s">
        <v>5152</v>
      </c>
      <c r="L89" t="s">
        <v>5153</v>
      </c>
      <c r="M89" s="3" t="str">
        <f>HYPERLINK(СторонТрансп[[#This Row],[RelativePath]])</f>
        <v>5 Крыльцо общага\K07156189_22_20251207T144918Z.jpg</v>
      </c>
    </row>
    <row r="90" spans="1:13" x14ac:dyDescent="0.25">
      <c r="A90" t="s">
        <v>22</v>
      </c>
      <c r="B90" s="4">
        <v>45998</v>
      </c>
      <c r="C90" s="6">
        <v>0.62668981481481478</v>
      </c>
      <c r="D90" s="7" t="s">
        <v>289</v>
      </c>
      <c r="E90" t="s">
        <v>5263</v>
      </c>
      <c r="F90" t="s">
        <v>5093</v>
      </c>
      <c r="H90" t="s">
        <v>2936</v>
      </c>
      <c r="I90" t="s">
        <v>5160</v>
      </c>
      <c r="J90" t="s">
        <v>2982</v>
      </c>
      <c r="K90" t="s">
        <v>5161</v>
      </c>
      <c r="L90" t="s">
        <v>5162</v>
      </c>
      <c r="M90" s="3" t="str">
        <f>HYPERLINK(СторонТрансп[[#This Row],[RelativePath]])</f>
        <v>5 Крыльцо общага\K07156189_22_20251207T150226Z.jpg</v>
      </c>
    </row>
    <row r="91" spans="1:13" x14ac:dyDescent="0.25">
      <c r="A91" t="s">
        <v>22</v>
      </c>
      <c r="B91" s="4">
        <v>45998</v>
      </c>
      <c r="C91" s="6">
        <v>0.62306712962962962</v>
      </c>
      <c r="D91" s="7" t="s">
        <v>289</v>
      </c>
      <c r="E91" t="s">
        <v>5263</v>
      </c>
      <c r="F91" t="s">
        <v>5093</v>
      </c>
      <c r="H91" t="s">
        <v>2936</v>
      </c>
      <c r="I91" t="s">
        <v>5157</v>
      </c>
      <c r="J91" t="s">
        <v>2982</v>
      </c>
      <c r="K91" t="s">
        <v>5158</v>
      </c>
      <c r="L91" t="s">
        <v>5159</v>
      </c>
      <c r="M91" s="3" t="str">
        <f>HYPERLINK(СторонТрансп[[#This Row],[RelativePath]])</f>
        <v>5 Крыльцо общага\K07156189_22_20251207T145713Z.jpg</v>
      </c>
    </row>
    <row r="92" spans="1:13" x14ac:dyDescent="0.25">
      <c r="A92" t="s">
        <v>18</v>
      </c>
      <c r="B92" s="4">
        <v>46004</v>
      </c>
      <c r="C92" s="6">
        <v>0.39291666666666669</v>
      </c>
      <c r="D92" s="7" t="s">
        <v>289</v>
      </c>
      <c r="E92" t="s">
        <v>6167</v>
      </c>
      <c r="F92" t="s">
        <v>6188</v>
      </c>
      <c r="H92" t="s">
        <v>2936</v>
      </c>
      <c r="I92" t="s">
        <v>6113</v>
      </c>
      <c r="J92" t="s">
        <v>5633</v>
      </c>
      <c r="K92" t="s">
        <v>6114</v>
      </c>
      <c r="L92" t="s">
        <v>6115</v>
      </c>
      <c r="M92" s="3" t="str">
        <f>HYPERLINK(СторонТрансп[[#This Row],[RelativePath]])</f>
        <v>11 С ангара на базу\E33149364_4_20251213T092548Z.jpg</v>
      </c>
    </row>
    <row r="93" spans="1:13" x14ac:dyDescent="0.25">
      <c r="A93" t="s">
        <v>18</v>
      </c>
      <c r="B93" s="4">
        <v>46004</v>
      </c>
      <c r="C93" s="6">
        <v>0.39643518518518517</v>
      </c>
      <c r="D93" s="7" t="s">
        <v>289</v>
      </c>
      <c r="E93" t="s">
        <v>6167</v>
      </c>
      <c r="F93" t="s">
        <v>6188</v>
      </c>
      <c r="H93" t="s">
        <v>2936</v>
      </c>
      <c r="I93" t="s">
        <v>6116</v>
      </c>
      <c r="J93" t="s">
        <v>5633</v>
      </c>
      <c r="K93" t="s">
        <v>6117</v>
      </c>
      <c r="L93" t="s">
        <v>6118</v>
      </c>
      <c r="M93" s="3" t="str">
        <f>HYPERLINK(СторонТрансп[[#This Row],[RelativePath]])</f>
        <v>11 С ангара на базу\E33149364_4_20251213T093052Z.jpg</v>
      </c>
    </row>
    <row r="94" spans="1:13" x14ac:dyDescent="0.25">
      <c r="A94" t="s">
        <v>18</v>
      </c>
      <c r="B94" s="4">
        <v>46004</v>
      </c>
      <c r="C94" s="6">
        <v>0.39685185185185184</v>
      </c>
      <c r="D94" s="7" t="s">
        <v>289</v>
      </c>
      <c r="E94" t="s">
        <v>6167</v>
      </c>
      <c r="F94" t="s">
        <v>6188</v>
      </c>
      <c r="H94" t="s">
        <v>2936</v>
      </c>
      <c r="I94" t="s">
        <v>6119</v>
      </c>
      <c r="J94" t="s">
        <v>5633</v>
      </c>
      <c r="K94" t="s">
        <v>6120</v>
      </c>
      <c r="L94" t="s">
        <v>6121</v>
      </c>
      <c r="M94" s="3" t="str">
        <f>HYPERLINK(СторонТрансп[[#This Row],[RelativePath]])</f>
        <v>11 С ангара на базу\E33149364_4_20251213T093128Z.jpg</v>
      </c>
    </row>
    <row r="95" spans="1:13" x14ac:dyDescent="0.25">
      <c r="A95" t="s">
        <v>18</v>
      </c>
      <c r="B95" s="4">
        <v>46004</v>
      </c>
      <c r="C95" s="6">
        <v>0.3972222222222222</v>
      </c>
      <c r="D95" s="7" t="s">
        <v>289</v>
      </c>
      <c r="E95" t="s">
        <v>6167</v>
      </c>
      <c r="F95" t="s">
        <v>6188</v>
      </c>
      <c r="H95" t="s">
        <v>2936</v>
      </c>
      <c r="I95" t="s">
        <v>6122</v>
      </c>
      <c r="J95" t="s">
        <v>5633</v>
      </c>
      <c r="K95" t="s">
        <v>6123</v>
      </c>
      <c r="L95" t="s">
        <v>6124</v>
      </c>
      <c r="M95" s="3" t="str">
        <f>HYPERLINK(СторонТрансп[[#This Row],[RelativePath]])</f>
        <v>11 С ангара на базу\E33149364_4_20251213T093200Z.jpg</v>
      </c>
    </row>
    <row r="96" spans="1:13" x14ac:dyDescent="0.25">
      <c r="A96" t="s">
        <v>18</v>
      </c>
      <c r="B96" s="4">
        <v>46004</v>
      </c>
      <c r="C96" s="6">
        <v>0.39961805555555557</v>
      </c>
      <c r="D96" s="7" t="s">
        <v>289</v>
      </c>
      <c r="E96" t="s">
        <v>6167</v>
      </c>
      <c r="F96" t="s">
        <v>6188</v>
      </c>
      <c r="H96" t="s">
        <v>2936</v>
      </c>
      <c r="I96" t="s">
        <v>6125</v>
      </c>
      <c r="J96" t="s">
        <v>5633</v>
      </c>
      <c r="K96" t="s">
        <v>6126</v>
      </c>
      <c r="L96" t="s">
        <v>6127</v>
      </c>
      <c r="M96" s="3" t="str">
        <f>HYPERLINK(СторонТрансп[[#This Row],[RelativePath]])</f>
        <v>11 С ангара на базу\E33149364_4_20251213T093527Z.jpg</v>
      </c>
    </row>
    <row r="97" spans="1:13" x14ac:dyDescent="0.25">
      <c r="A97" t="s">
        <v>18</v>
      </c>
      <c r="B97" s="4">
        <v>46004</v>
      </c>
      <c r="C97" s="6">
        <v>0.39997685185185183</v>
      </c>
      <c r="D97" s="7" t="s">
        <v>289</v>
      </c>
      <c r="E97" t="s">
        <v>6167</v>
      </c>
      <c r="F97" t="s">
        <v>6188</v>
      </c>
      <c r="H97" t="s">
        <v>2936</v>
      </c>
      <c r="I97" t="s">
        <v>6128</v>
      </c>
      <c r="J97" t="s">
        <v>5633</v>
      </c>
      <c r="K97" t="s">
        <v>6129</v>
      </c>
      <c r="L97" t="s">
        <v>6130</v>
      </c>
      <c r="M97" s="3" t="str">
        <f>HYPERLINK(СторонТрансп[[#This Row],[RelativePath]])</f>
        <v>11 С ангара на базу\E33149364_4_20251213T093558Z.jpg</v>
      </c>
    </row>
    <row r="98" spans="1:13" x14ac:dyDescent="0.25">
      <c r="A98" t="s">
        <v>18</v>
      </c>
      <c r="B98" s="4">
        <v>46004</v>
      </c>
      <c r="C98" s="6">
        <v>0.40167824074074077</v>
      </c>
      <c r="D98" s="7" t="s">
        <v>289</v>
      </c>
      <c r="E98" t="s">
        <v>6167</v>
      </c>
      <c r="F98" t="s">
        <v>6188</v>
      </c>
      <c r="H98" t="s">
        <v>2936</v>
      </c>
      <c r="I98" t="s">
        <v>6131</v>
      </c>
      <c r="J98" t="s">
        <v>5633</v>
      </c>
      <c r="K98" t="s">
        <v>6132</v>
      </c>
      <c r="L98" t="s">
        <v>6133</v>
      </c>
      <c r="M98" s="3" t="str">
        <f>HYPERLINK(СторонТрансп[[#This Row],[RelativePath]])</f>
        <v>11 С ангара на базу\E33149364_4_20251213T093825Z.jpg</v>
      </c>
    </row>
    <row r="99" spans="1:13" x14ac:dyDescent="0.25">
      <c r="A99" t="s">
        <v>18</v>
      </c>
      <c r="B99" s="4">
        <v>46004</v>
      </c>
      <c r="C99" s="6">
        <v>0.40229166666666666</v>
      </c>
      <c r="D99" s="7" t="s">
        <v>289</v>
      </c>
      <c r="E99" t="s">
        <v>6167</v>
      </c>
      <c r="F99" t="s">
        <v>6188</v>
      </c>
      <c r="H99" t="s">
        <v>2936</v>
      </c>
      <c r="I99" t="s">
        <v>6134</v>
      </c>
      <c r="J99" t="s">
        <v>5633</v>
      </c>
      <c r="K99" t="s">
        <v>6135</v>
      </c>
      <c r="L99" t="s">
        <v>6136</v>
      </c>
      <c r="M99" s="3" t="str">
        <f>HYPERLINK(СторонТрансп[[#This Row],[RelativePath]])</f>
        <v>11 С ангара на базу\E33149364_4_20251213T093918Z.jpg</v>
      </c>
    </row>
    <row r="100" spans="1:13" x14ac:dyDescent="0.25">
      <c r="A100" t="s">
        <v>14</v>
      </c>
      <c r="B100" s="4">
        <v>45972</v>
      </c>
      <c r="C100" s="6">
        <v>0.39128472222222221</v>
      </c>
      <c r="D100" s="7" t="s">
        <v>91</v>
      </c>
      <c r="E100" t="s">
        <v>67</v>
      </c>
      <c r="F100" t="s">
        <v>51</v>
      </c>
      <c r="I100" t="s">
        <v>33</v>
      </c>
      <c r="J100" t="s">
        <v>2981</v>
      </c>
      <c r="K100" t="s">
        <v>3117</v>
      </c>
      <c r="L100" t="s">
        <v>3118</v>
      </c>
      <c r="M100" s="3" t="str">
        <f>HYPERLINK(СторонТрансп[[#This Row],[RelativePath]])</f>
        <v>1 Ангар Склад 2 въезд\E33149364_6_20251111T092327Z.jpg</v>
      </c>
    </row>
    <row r="101" spans="1:13" x14ac:dyDescent="0.25">
      <c r="A101" t="s">
        <v>14</v>
      </c>
      <c r="B101" s="4">
        <v>45972</v>
      </c>
      <c r="C101" s="6">
        <v>0.44765046296296296</v>
      </c>
      <c r="D101" s="7" t="s">
        <v>62</v>
      </c>
      <c r="E101" t="s">
        <v>67</v>
      </c>
      <c r="F101" t="s">
        <v>468</v>
      </c>
      <c r="I101" t="s">
        <v>34</v>
      </c>
      <c r="J101" t="s">
        <v>2981</v>
      </c>
      <c r="K101" t="s">
        <v>3119</v>
      </c>
      <c r="L101" t="s">
        <v>3120</v>
      </c>
      <c r="M101" s="3" t="str">
        <f>HYPERLINK(СторонТрансп[[#This Row],[RelativePath]])</f>
        <v>1 Ангар Склад 2 въезд\E33149364_6_20251111T104437Z.jpg</v>
      </c>
    </row>
    <row r="102" spans="1:13" x14ac:dyDescent="0.25">
      <c r="A102" t="s">
        <v>14</v>
      </c>
      <c r="B102" s="4">
        <v>45972</v>
      </c>
      <c r="C102" s="6">
        <v>0.44944444444444442</v>
      </c>
      <c r="D102" s="7" t="s">
        <v>91</v>
      </c>
      <c r="E102" t="s">
        <v>63</v>
      </c>
      <c r="F102" t="s">
        <v>51</v>
      </c>
      <c r="I102" t="s">
        <v>35</v>
      </c>
      <c r="J102" t="s">
        <v>2981</v>
      </c>
      <c r="K102" t="s">
        <v>3121</v>
      </c>
      <c r="L102" t="s">
        <v>3122</v>
      </c>
      <c r="M102" s="3" t="str">
        <f>HYPERLINK(СторонТрансп[[#This Row],[RelativePath]])</f>
        <v>1 Ангар Склад 2 въезд\E33149364_6_20251111T104712Z.jpg</v>
      </c>
    </row>
    <row r="103" spans="1:13" x14ac:dyDescent="0.25">
      <c r="A103" t="s">
        <v>14</v>
      </c>
      <c r="B103" s="4">
        <v>45972</v>
      </c>
      <c r="C103" s="6">
        <v>0.45118055555555553</v>
      </c>
      <c r="D103" s="7" t="s">
        <v>89</v>
      </c>
      <c r="E103" t="s">
        <v>63</v>
      </c>
      <c r="F103" t="s">
        <v>51</v>
      </c>
      <c r="I103" t="s">
        <v>36</v>
      </c>
      <c r="J103" t="s">
        <v>2981</v>
      </c>
      <c r="K103" t="s">
        <v>3123</v>
      </c>
      <c r="L103" t="s">
        <v>3124</v>
      </c>
      <c r="M103" s="3" t="str">
        <f>HYPERLINK(СторонТрансп[[#This Row],[RelativePath]])</f>
        <v>1 Ангар Склад 2 въезд\E33149364_6_20251111T104942Z.jpg</v>
      </c>
    </row>
    <row r="104" spans="1:13" x14ac:dyDescent="0.25">
      <c r="A104" t="s">
        <v>14</v>
      </c>
      <c r="B104" s="4">
        <v>45972</v>
      </c>
      <c r="C104" s="6">
        <v>0.45136574074074076</v>
      </c>
      <c r="D104" s="7" t="s">
        <v>64</v>
      </c>
      <c r="E104" t="s">
        <v>63</v>
      </c>
      <c r="F104" t="s">
        <v>51</v>
      </c>
      <c r="I104" t="s">
        <v>37</v>
      </c>
      <c r="J104" t="s">
        <v>2981</v>
      </c>
      <c r="K104" t="s">
        <v>3125</v>
      </c>
      <c r="L104" t="s">
        <v>3126</v>
      </c>
      <c r="M104" s="3" t="str">
        <f>HYPERLINK(СторонТрансп[[#This Row],[RelativePath]])</f>
        <v>1 Ангар Склад 2 въезд\E33149364_6_20251111T104958Z.jpg</v>
      </c>
    </row>
    <row r="105" spans="1:13" x14ac:dyDescent="0.25">
      <c r="A105" t="s">
        <v>14</v>
      </c>
      <c r="B105" s="4">
        <v>45972</v>
      </c>
      <c r="C105" s="6">
        <v>0.48476851851851854</v>
      </c>
      <c r="D105" s="7" t="s">
        <v>62</v>
      </c>
      <c r="E105" t="s">
        <v>63</v>
      </c>
      <c r="F105" t="s">
        <v>58</v>
      </c>
      <c r="I105" t="s">
        <v>38</v>
      </c>
      <c r="J105" t="s">
        <v>2981</v>
      </c>
      <c r="K105" t="s">
        <v>3127</v>
      </c>
      <c r="L105" t="s">
        <v>3128</v>
      </c>
      <c r="M105" s="3" t="str">
        <f>HYPERLINK(СторонТрансп[[#This Row],[RelativePath]])</f>
        <v>1 Ангар Склад 2 въезд\E33149364_6_20251111T113804Z.jpg</v>
      </c>
    </row>
    <row r="106" spans="1:13" x14ac:dyDescent="0.25">
      <c r="A106" t="s">
        <v>15</v>
      </c>
      <c r="B106" s="4">
        <v>45973</v>
      </c>
      <c r="C106" s="6">
        <v>0.67682870370370374</v>
      </c>
      <c r="D106" s="7" t="s">
        <v>91</v>
      </c>
      <c r="E106" t="s">
        <v>66</v>
      </c>
      <c r="F106" t="s">
        <v>68</v>
      </c>
      <c r="I106" t="s">
        <v>41</v>
      </c>
      <c r="J106" t="s">
        <v>2981</v>
      </c>
      <c r="K106" t="s">
        <v>3133</v>
      </c>
      <c r="L106" t="s">
        <v>3134</v>
      </c>
      <c r="M106" s="3" t="str">
        <f>HYPERLINK(СторонТрансп[[#This Row],[RelativePath]])</f>
        <v>1 Ангар Склад 2 въезд\E33149364_6_20251112T161438Z.jpg</v>
      </c>
    </row>
    <row r="107" spans="1:13" x14ac:dyDescent="0.25">
      <c r="A107" t="s">
        <v>15</v>
      </c>
      <c r="B107" s="4">
        <v>45973</v>
      </c>
      <c r="C107" s="6">
        <v>0.71020833333333333</v>
      </c>
      <c r="D107" s="7" t="s">
        <v>62</v>
      </c>
      <c r="E107" t="s">
        <v>66</v>
      </c>
      <c r="F107" t="s">
        <v>69</v>
      </c>
      <c r="I107" t="s">
        <v>42</v>
      </c>
      <c r="J107" t="s">
        <v>2981</v>
      </c>
      <c r="K107" t="s">
        <v>3135</v>
      </c>
      <c r="L107" t="s">
        <v>3136</v>
      </c>
      <c r="M107" s="3" t="str">
        <f>HYPERLINK(СторонТрансп[[#This Row],[RelativePath]])</f>
        <v>1 Ангар Склад 2 въезд\E33149364_6_20251112T170242Z.jpg</v>
      </c>
    </row>
    <row r="108" spans="1:13" x14ac:dyDescent="0.25">
      <c r="A108" t="s">
        <v>17</v>
      </c>
      <c r="B108" s="4">
        <v>45975</v>
      </c>
      <c r="C108" s="6">
        <v>0.53960648148148149</v>
      </c>
      <c r="D108" s="7" t="s">
        <v>89</v>
      </c>
      <c r="E108" t="s">
        <v>66</v>
      </c>
      <c r="F108" t="s">
        <v>88</v>
      </c>
      <c r="G108">
        <v>1</v>
      </c>
      <c r="I108" t="s">
        <v>75</v>
      </c>
      <c r="J108" t="s">
        <v>2981</v>
      </c>
      <c r="K108" t="s">
        <v>3159</v>
      </c>
      <c r="L108" t="s">
        <v>3160</v>
      </c>
      <c r="M108" s="3" t="str">
        <f>HYPERLINK(СторонТрансп[[#This Row],[RelativePath]])</f>
        <v>1 Ангар Склад 2 въезд\E33149364_6_20251114T125702Z.jpg</v>
      </c>
    </row>
    <row r="109" spans="1:13" x14ac:dyDescent="0.25">
      <c r="A109" t="s">
        <v>17</v>
      </c>
      <c r="B109" s="4">
        <v>45975</v>
      </c>
      <c r="C109" s="6">
        <v>0.54204861111111113</v>
      </c>
      <c r="D109" s="7" t="s">
        <v>62</v>
      </c>
      <c r="E109" t="s">
        <v>66</v>
      </c>
      <c r="F109" t="s">
        <v>51</v>
      </c>
      <c r="I109" t="s">
        <v>77</v>
      </c>
      <c r="J109" t="s">
        <v>2981</v>
      </c>
      <c r="K109" t="s">
        <v>3163</v>
      </c>
      <c r="L109" t="s">
        <v>3164</v>
      </c>
      <c r="M109" s="3" t="str">
        <f>HYPERLINK(СторонТрансп[[#This Row],[RelativePath]])</f>
        <v>1 Ангар Склад 2 въезд\E33149364_6_20251114T130033Z.jpg</v>
      </c>
    </row>
    <row r="110" spans="1:13" x14ac:dyDescent="0.25">
      <c r="A110" t="s">
        <v>17</v>
      </c>
      <c r="B110" s="4">
        <v>45975</v>
      </c>
      <c r="C110" s="6">
        <v>0.55090277777777774</v>
      </c>
      <c r="D110" s="7" t="s">
        <v>89</v>
      </c>
      <c r="E110" t="s">
        <v>66</v>
      </c>
      <c r="F110" t="s">
        <v>88</v>
      </c>
      <c r="G110">
        <v>1</v>
      </c>
      <c r="I110" t="s">
        <v>78</v>
      </c>
      <c r="J110" t="s">
        <v>2981</v>
      </c>
      <c r="K110" t="s">
        <v>3165</v>
      </c>
      <c r="L110" t="s">
        <v>3166</v>
      </c>
      <c r="M110" s="3" t="str">
        <f>HYPERLINK(СторонТрансп[[#This Row],[RelativePath]])</f>
        <v>1 Ангар Склад 2 въезд\E33149364_6_20251114T131318Z.jpg</v>
      </c>
    </row>
    <row r="111" spans="1:13" x14ac:dyDescent="0.25">
      <c r="A111" t="s">
        <v>17</v>
      </c>
      <c r="B111" s="4">
        <v>45975</v>
      </c>
      <c r="C111" s="6">
        <v>0.55299768518518522</v>
      </c>
      <c r="D111" s="7" t="s">
        <v>62</v>
      </c>
      <c r="E111" t="s">
        <v>66</v>
      </c>
      <c r="F111" t="s">
        <v>51</v>
      </c>
      <c r="I111" t="s">
        <v>79</v>
      </c>
      <c r="J111" t="s">
        <v>2981</v>
      </c>
      <c r="K111" t="s">
        <v>3167</v>
      </c>
      <c r="L111" t="s">
        <v>3168</v>
      </c>
      <c r="M111" s="3" t="str">
        <f>HYPERLINK(СторонТрансп[[#This Row],[RelativePath]])</f>
        <v>1 Ангар Склад 2 въезд\E33149364_6_20251114T131619Z.jpg</v>
      </c>
    </row>
    <row r="112" spans="1:13" x14ac:dyDescent="0.25">
      <c r="A112" t="s">
        <v>17</v>
      </c>
      <c r="B112" s="4">
        <v>45975</v>
      </c>
      <c r="C112" s="6">
        <v>0.56123842592592588</v>
      </c>
      <c r="D112" s="7" t="s">
        <v>89</v>
      </c>
      <c r="E112" t="s">
        <v>66</v>
      </c>
      <c r="F112" t="s">
        <v>88</v>
      </c>
      <c r="G112">
        <v>1</v>
      </c>
      <c r="I112" t="s">
        <v>80</v>
      </c>
      <c r="J112" t="s">
        <v>2981</v>
      </c>
      <c r="K112" t="s">
        <v>3169</v>
      </c>
      <c r="L112" t="s">
        <v>3170</v>
      </c>
      <c r="M112" s="3" t="str">
        <f>HYPERLINK(СторонТрансп[[#This Row],[RelativePath]])</f>
        <v>1 Ангар Склад 2 въезд\E33149364_6_20251114T132811Z.jpg</v>
      </c>
    </row>
    <row r="113" spans="1:13" x14ac:dyDescent="0.25">
      <c r="A113" t="s">
        <v>17</v>
      </c>
      <c r="B113" s="4">
        <v>45975</v>
      </c>
      <c r="C113" s="6">
        <v>0.56293981481481481</v>
      </c>
      <c r="D113" s="7" t="s">
        <v>62</v>
      </c>
      <c r="E113" t="s">
        <v>66</v>
      </c>
      <c r="F113" t="s">
        <v>51</v>
      </c>
      <c r="I113" t="s">
        <v>81</v>
      </c>
      <c r="J113" t="s">
        <v>2981</v>
      </c>
      <c r="K113" t="s">
        <v>3171</v>
      </c>
      <c r="L113" t="s">
        <v>3172</v>
      </c>
      <c r="M113" s="3" t="str">
        <f>HYPERLINK(СторонТрансп[[#This Row],[RelativePath]])</f>
        <v>1 Ангар Склад 2 въезд\E33149364_6_20251114T133038Z.jpg</v>
      </c>
    </row>
    <row r="114" spans="1:13" x14ac:dyDescent="0.25">
      <c r="A114" t="s">
        <v>17</v>
      </c>
      <c r="B114" s="4">
        <v>45975</v>
      </c>
      <c r="C114" s="6">
        <v>0.57114583333333335</v>
      </c>
      <c r="D114" s="7" t="s">
        <v>89</v>
      </c>
      <c r="E114" t="s">
        <v>66</v>
      </c>
      <c r="F114" t="s">
        <v>88</v>
      </c>
      <c r="G114">
        <v>1</v>
      </c>
      <c r="I114" t="s">
        <v>82</v>
      </c>
      <c r="J114" t="s">
        <v>2981</v>
      </c>
      <c r="K114" t="s">
        <v>3173</v>
      </c>
      <c r="L114" t="s">
        <v>3174</v>
      </c>
      <c r="M114" s="3" t="str">
        <f>HYPERLINK(СторонТрансп[[#This Row],[RelativePath]])</f>
        <v>1 Ангар Склад 2 въезд\E33149364_6_20251114T134227Z.jpg</v>
      </c>
    </row>
    <row r="115" spans="1:13" x14ac:dyDescent="0.25">
      <c r="A115" t="s">
        <v>17</v>
      </c>
      <c r="B115" s="4">
        <v>45975</v>
      </c>
      <c r="C115" s="6">
        <v>0.57406250000000003</v>
      </c>
      <c r="D115" s="7" t="s">
        <v>62</v>
      </c>
      <c r="E115" t="s">
        <v>66</v>
      </c>
      <c r="F115" t="s">
        <v>51</v>
      </c>
      <c r="I115" t="s">
        <v>83</v>
      </c>
      <c r="J115" t="s">
        <v>2981</v>
      </c>
      <c r="K115" t="s">
        <v>3175</v>
      </c>
      <c r="L115" t="s">
        <v>3176</v>
      </c>
      <c r="M115" s="3" t="str">
        <f>HYPERLINK(СторонТрансп[[#This Row],[RelativePath]])</f>
        <v>1 Ангар Склад 2 въезд\E33149364_6_20251114T134639Z.jpg</v>
      </c>
    </row>
    <row r="116" spans="1:13" x14ac:dyDescent="0.25">
      <c r="A116" t="s">
        <v>18</v>
      </c>
      <c r="B116" s="4">
        <v>45976</v>
      </c>
      <c r="C116" s="6">
        <v>0.46813657407407405</v>
      </c>
      <c r="D116" s="7" t="s">
        <v>91</v>
      </c>
      <c r="E116" t="s">
        <v>2001</v>
      </c>
      <c r="I116" t="s">
        <v>1110</v>
      </c>
      <c r="J116" t="s">
        <v>2981</v>
      </c>
      <c r="K116" t="s">
        <v>3183</v>
      </c>
      <c r="L116" t="s">
        <v>3184</v>
      </c>
      <c r="M116" s="3" t="str">
        <f>HYPERLINK(СторонТрансп[[#This Row],[RelativePath]])</f>
        <v>1 Ангар Склад 2 въезд\E33149364_6_20251115T111407Z.jpg</v>
      </c>
    </row>
    <row r="117" spans="1:13" x14ac:dyDescent="0.25">
      <c r="A117" t="s">
        <v>18</v>
      </c>
      <c r="B117" s="4">
        <v>45976</v>
      </c>
      <c r="C117" s="6">
        <v>0.49760416666666668</v>
      </c>
      <c r="D117" s="7" t="s">
        <v>62</v>
      </c>
      <c r="E117" t="s">
        <v>2001</v>
      </c>
      <c r="I117" t="s">
        <v>1111</v>
      </c>
      <c r="J117" t="s">
        <v>2981</v>
      </c>
      <c r="K117" t="s">
        <v>3185</v>
      </c>
      <c r="L117" t="s">
        <v>3186</v>
      </c>
      <c r="M117" s="3" t="str">
        <f>HYPERLINK(СторонТрансп[[#This Row],[RelativePath]])</f>
        <v>1 Ангар Склад 2 въезд\E33149364_6_20251115T115633Z.jpg</v>
      </c>
    </row>
    <row r="118" spans="1:13" x14ac:dyDescent="0.25">
      <c r="A118" t="s">
        <v>15</v>
      </c>
      <c r="B118" s="4">
        <v>45987</v>
      </c>
      <c r="C118" s="6">
        <v>0.43335648148148148</v>
      </c>
      <c r="D118" s="7" t="s">
        <v>4190</v>
      </c>
      <c r="E118" t="s">
        <v>4192</v>
      </c>
      <c r="F118" t="s">
        <v>51</v>
      </c>
      <c r="I118" t="s">
        <v>3225</v>
      </c>
      <c r="J118" t="s">
        <v>2981</v>
      </c>
      <c r="K118" t="s">
        <v>3226</v>
      </c>
      <c r="L118" t="s">
        <v>3227</v>
      </c>
      <c r="M118" s="3" t="str">
        <f>HYPERLINK(СторонТрансп[[#This Row],[RelativePath]])</f>
        <v>1 Ангар Склад 2 въезд\E33149364_6_20251126T102402Z.jpg</v>
      </c>
    </row>
    <row r="119" spans="1:13" x14ac:dyDescent="0.25">
      <c r="A119" t="s">
        <v>15</v>
      </c>
      <c r="B119" s="4">
        <v>45987</v>
      </c>
      <c r="C119" s="6">
        <v>0.45240740740740742</v>
      </c>
      <c r="D119" s="7" t="s">
        <v>85</v>
      </c>
      <c r="E119" t="s">
        <v>4192</v>
      </c>
      <c r="F119" t="s">
        <v>58</v>
      </c>
      <c r="I119" t="s">
        <v>3228</v>
      </c>
      <c r="J119" t="s">
        <v>2981</v>
      </c>
      <c r="K119" t="s">
        <v>3229</v>
      </c>
      <c r="L119" t="s">
        <v>3230</v>
      </c>
      <c r="M119" s="3" t="str">
        <f>HYPERLINK(СторонТрансп[[#This Row],[RelativePath]])</f>
        <v>1 Ангар Склад 2 въезд\E33149364_6_20251126T105128Z.jpg</v>
      </c>
    </row>
    <row r="120" spans="1:13" x14ac:dyDescent="0.25">
      <c r="A120" t="s">
        <v>15</v>
      </c>
      <c r="B120" s="4">
        <v>45987</v>
      </c>
      <c r="C120" s="6">
        <v>0.45245370370370369</v>
      </c>
      <c r="D120" s="7" t="s">
        <v>91</v>
      </c>
      <c r="E120" t="s">
        <v>4192</v>
      </c>
      <c r="F120" t="s">
        <v>58</v>
      </c>
      <c r="I120" t="s">
        <v>3231</v>
      </c>
      <c r="J120" t="s">
        <v>2981</v>
      </c>
      <c r="K120" t="s">
        <v>3232</v>
      </c>
      <c r="L120" t="s">
        <v>3233</v>
      </c>
      <c r="M120" s="3" t="str">
        <f>HYPERLINK(СторонТрансп[[#This Row],[RelativePath]])</f>
        <v>1 Ангар Склад 2 въезд\E33149364_6_20251126T105132Z.jpg</v>
      </c>
    </row>
    <row r="121" spans="1:13" x14ac:dyDescent="0.25">
      <c r="A121" t="s">
        <v>15</v>
      </c>
      <c r="B121" s="4">
        <v>45987</v>
      </c>
      <c r="C121" s="6">
        <v>0.45469907407407406</v>
      </c>
      <c r="D121" s="7" t="s">
        <v>62</v>
      </c>
      <c r="E121" t="s">
        <v>4192</v>
      </c>
      <c r="F121" t="s">
        <v>58</v>
      </c>
      <c r="I121" t="s">
        <v>3234</v>
      </c>
      <c r="J121" t="s">
        <v>2981</v>
      </c>
      <c r="K121" t="s">
        <v>3235</v>
      </c>
      <c r="L121" t="s">
        <v>3236</v>
      </c>
      <c r="M121" s="3" t="str">
        <f>HYPERLINK(СторонТрансп[[#This Row],[RelativePath]])</f>
        <v>1 Ангар Склад 2 въезд\E33149364_6_20251126T105446Z.jpg</v>
      </c>
    </row>
    <row r="122" spans="1:13" x14ac:dyDescent="0.25">
      <c r="A122" t="s">
        <v>17</v>
      </c>
      <c r="B122" s="4">
        <v>45989</v>
      </c>
      <c r="C122" s="6">
        <v>0.45510416666666664</v>
      </c>
      <c r="D122" s="7" t="s">
        <v>64</v>
      </c>
      <c r="E122" t="s">
        <v>4193</v>
      </c>
      <c r="I122" t="s">
        <v>3243</v>
      </c>
      <c r="J122" t="s">
        <v>2981</v>
      </c>
      <c r="K122" t="s">
        <v>3244</v>
      </c>
      <c r="L122" t="s">
        <v>3245</v>
      </c>
      <c r="M122" s="3" t="str">
        <f>HYPERLINK(СторонТрансп[[#This Row],[RelativePath]])</f>
        <v>1 Ангар Склад 2 въезд\E33149364_6_20251128T105521Z.jpg</v>
      </c>
    </row>
    <row r="123" spans="1:13" x14ac:dyDescent="0.25">
      <c r="A123" t="s">
        <v>17</v>
      </c>
      <c r="B123" s="4">
        <v>45989</v>
      </c>
      <c r="C123" s="6">
        <v>0.50700231481481484</v>
      </c>
      <c r="D123" s="7" t="s">
        <v>85</v>
      </c>
      <c r="E123" t="s">
        <v>4193</v>
      </c>
      <c r="I123" t="s">
        <v>3246</v>
      </c>
      <c r="J123" t="s">
        <v>2981</v>
      </c>
      <c r="K123" t="s">
        <v>3247</v>
      </c>
      <c r="L123" t="s">
        <v>3248</v>
      </c>
      <c r="M123" s="3" t="str">
        <f>HYPERLINK(СторонТрансп[[#This Row],[RelativePath]])</f>
        <v>1 Ангар Склад 2 въезд\E33149364_6_20251128T121005Z.jpg</v>
      </c>
    </row>
    <row r="124" spans="1:13" x14ac:dyDescent="0.25">
      <c r="A124" t="s">
        <v>18</v>
      </c>
      <c r="B124" s="4">
        <v>45990</v>
      </c>
      <c r="C124" s="6">
        <v>0.53762731481481485</v>
      </c>
      <c r="D124" s="7" t="s">
        <v>91</v>
      </c>
      <c r="E124" t="s">
        <v>4194</v>
      </c>
      <c r="F124" t="s">
        <v>51</v>
      </c>
      <c r="I124" t="s">
        <v>3249</v>
      </c>
      <c r="J124" t="s">
        <v>2981</v>
      </c>
      <c r="K124" t="s">
        <v>3250</v>
      </c>
      <c r="L124" t="s">
        <v>3251</v>
      </c>
      <c r="M124" s="3" t="str">
        <f>HYPERLINK(СторонТрансп[[#This Row],[RelativePath]])</f>
        <v>1 Ангар Склад 2 въезд\E33149364_6_20251129T125411Z.jpg</v>
      </c>
    </row>
    <row r="125" spans="1:13" x14ac:dyDescent="0.25">
      <c r="A125" t="s">
        <v>18</v>
      </c>
      <c r="B125" s="4">
        <v>45990</v>
      </c>
      <c r="C125" s="6">
        <v>0.64861111111111114</v>
      </c>
      <c r="D125" s="7" t="s">
        <v>91</v>
      </c>
      <c r="E125" t="s">
        <v>4195</v>
      </c>
      <c r="F125" t="s">
        <v>51</v>
      </c>
      <c r="I125" t="s">
        <v>3252</v>
      </c>
      <c r="J125" t="s">
        <v>2981</v>
      </c>
      <c r="K125" t="s">
        <v>3253</v>
      </c>
      <c r="L125" t="s">
        <v>3254</v>
      </c>
      <c r="M125" s="3" t="str">
        <f>HYPERLINK(СторонТрансп[[#This Row],[RelativePath]])</f>
        <v>1 Ангар Склад 2 въезд\E33149364_6_20251129T153400Z.jpg</v>
      </c>
    </row>
    <row r="126" spans="1:13" x14ac:dyDescent="0.25">
      <c r="A126" t="s">
        <v>18</v>
      </c>
      <c r="B126" s="4">
        <v>45990</v>
      </c>
      <c r="C126" s="6">
        <v>0.70343750000000005</v>
      </c>
      <c r="D126" s="7" t="s">
        <v>91</v>
      </c>
      <c r="E126" t="s">
        <v>4194</v>
      </c>
      <c r="F126" t="s">
        <v>4196</v>
      </c>
      <c r="H126" t="s">
        <v>4197</v>
      </c>
      <c r="I126" t="s">
        <v>3255</v>
      </c>
      <c r="J126" t="s">
        <v>2981</v>
      </c>
      <c r="K126" t="s">
        <v>3256</v>
      </c>
      <c r="L126" t="s">
        <v>3257</v>
      </c>
      <c r="M126" s="3" t="str">
        <f>HYPERLINK(СторонТрансп[[#This Row],[RelativePath]])</f>
        <v>1 Ангар Склад 2 въезд\E33149364_6_20251129T165257Z.jpg</v>
      </c>
    </row>
    <row r="127" spans="1:13" x14ac:dyDescent="0.25">
      <c r="A127" t="s">
        <v>18</v>
      </c>
      <c r="B127" s="4">
        <v>45990</v>
      </c>
      <c r="C127" s="6">
        <v>0.73475694444444439</v>
      </c>
      <c r="D127" s="7" t="s">
        <v>62</v>
      </c>
      <c r="E127" t="s">
        <v>4194</v>
      </c>
      <c r="F127" t="s">
        <v>4196</v>
      </c>
      <c r="I127" t="s">
        <v>3258</v>
      </c>
      <c r="J127" t="s">
        <v>2981</v>
      </c>
      <c r="K127" t="s">
        <v>3259</v>
      </c>
      <c r="L127" t="s">
        <v>3260</v>
      </c>
      <c r="M127" s="3" t="str">
        <f>HYPERLINK(СторонТрансп[[#This Row],[RelativePath]])</f>
        <v>1 Ангар Склад 2 въезд\E33149364_6_20251129T173803Z.jpg</v>
      </c>
    </row>
    <row r="128" spans="1:13" x14ac:dyDescent="0.25">
      <c r="A128" t="s">
        <v>13</v>
      </c>
      <c r="B128" s="4">
        <v>45992</v>
      </c>
      <c r="C128" s="6">
        <v>0.86784722222222221</v>
      </c>
      <c r="D128" s="7" t="s">
        <v>91</v>
      </c>
      <c r="E128" t="s">
        <v>4194</v>
      </c>
      <c r="F128" t="s">
        <v>1609</v>
      </c>
      <c r="H128" t="s">
        <v>5074</v>
      </c>
      <c r="I128" t="s">
        <v>4402</v>
      </c>
      <c r="J128" t="s">
        <v>2981</v>
      </c>
      <c r="K128" t="s">
        <v>4403</v>
      </c>
      <c r="L128" t="s">
        <v>4404</v>
      </c>
      <c r="M128" s="3" t="str">
        <f>HYPERLINK(СторонТрансп[[#This Row],[RelativePath]])</f>
        <v>1 Ангар Склад 2 въезд\E33149364_6_20251201T204942Z.jpg</v>
      </c>
    </row>
    <row r="129" spans="1:13" x14ac:dyDescent="0.25">
      <c r="A129" t="s">
        <v>13</v>
      </c>
      <c r="B129" s="4">
        <v>45992</v>
      </c>
      <c r="C129" s="6">
        <v>0.87302083333333336</v>
      </c>
      <c r="D129" s="7" t="s">
        <v>62</v>
      </c>
      <c r="E129" t="s">
        <v>4194</v>
      </c>
      <c r="F129" t="s">
        <v>51</v>
      </c>
      <c r="H129" t="s">
        <v>5075</v>
      </c>
      <c r="I129" t="s">
        <v>4405</v>
      </c>
      <c r="J129" t="s">
        <v>2981</v>
      </c>
      <c r="K129" t="s">
        <v>4406</v>
      </c>
      <c r="L129" t="s">
        <v>4407</v>
      </c>
      <c r="M129" s="3" t="str">
        <f>HYPERLINK(СторонТрансп[[#This Row],[RelativePath]])</f>
        <v>1 Ангар Склад 2 въезд\E33149364_6_20251201T205709Z.jpg</v>
      </c>
    </row>
    <row r="130" spans="1:13" x14ac:dyDescent="0.25">
      <c r="A130" t="s">
        <v>22</v>
      </c>
      <c r="B130" s="4">
        <v>45998</v>
      </c>
      <c r="C130" s="6">
        <v>0.57973379629629629</v>
      </c>
      <c r="D130" s="7" t="s">
        <v>91</v>
      </c>
      <c r="E130" t="s">
        <v>5259</v>
      </c>
      <c r="F130" t="s">
        <v>51</v>
      </c>
      <c r="I130" t="s">
        <v>5144</v>
      </c>
      <c r="J130" t="s">
        <v>2981</v>
      </c>
      <c r="K130" t="s">
        <v>5300</v>
      </c>
      <c r="L130" t="s">
        <v>5145</v>
      </c>
      <c r="M130" s="3" t="str">
        <f>HYPERLINK(СторонТрансп[[#This Row],[RelativePath]])</f>
        <v>1 Ангар Склад 2 въезд\E33149364_6_20251207T135449Z.jpg</v>
      </c>
    </row>
    <row r="131" spans="1:13" x14ac:dyDescent="0.25">
      <c r="A131" t="s">
        <v>22</v>
      </c>
      <c r="B131" s="4">
        <v>45998</v>
      </c>
      <c r="C131" s="6">
        <v>0.67327546296296292</v>
      </c>
      <c r="D131" s="7" t="s">
        <v>62</v>
      </c>
      <c r="E131" t="s">
        <v>5259</v>
      </c>
      <c r="F131" t="s">
        <v>5260</v>
      </c>
      <c r="H131" t="s">
        <v>5261</v>
      </c>
      <c r="I131" t="s">
        <v>5146</v>
      </c>
      <c r="J131" t="s">
        <v>2981</v>
      </c>
      <c r="K131" t="s">
        <v>5301</v>
      </c>
      <c r="L131" t="s">
        <v>5147</v>
      </c>
      <c r="M131" s="3" t="str">
        <f>HYPERLINK(СторонТрансп[[#This Row],[RelativePath]])</f>
        <v>1 Ангар Склад 2 въезд\E33149364_6_20251207T160931Z.jpg</v>
      </c>
    </row>
    <row r="132" spans="1:13" x14ac:dyDescent="0.25">
      <c r="A132" t="s">
        <v>13</v>
      </c>
      <c r="B132" s="4">
        <v>45999</v>
      </c>
      <c r="C132" s="6">
        <v>0.59879629629629627</v>
      </c>
      <c r="D132" s="7" t="s">
        <v>64</v>
      </c>
      <c r="E132" t="s">
        <v>4193</v>
      </c>
      <c r="F132" t="s">
        <v>5076</v>
      </c>
      <c r="I132" t="s">
        <v>5272</v>
      </c>
      <c r="J132" t="s">
        <v>2981</v>
      </c>
      <c r="K132" t="s">
        <v>5302</v>
      </c>
      <c r="L132" t="s">
        <v>5273</v>
      </c>
      <c r="M132" s="3" t="str">
        <f>HYPERLINK(СторонТрансп[[#This Row],[RelativePath]])</f>
        <v>1 Ангар Склад 2 въезд\E33149364_6_20251208T142216Z.jpg</v>
      </c>
    </row>
    <row r="133" spans="1:13" x14ac:dyDescent="0.25">
      <c r="A133" t="s">
        <v>13</v>
      </c>
      <c r="B133" s="4">
        <v>45999</v>
      </c>
      <c r="C133" s="6">
        <v>0.66584490740740743</v>
      </c>
      <c r="D133" s="7" t="s">
        <v>85</v>
      </c>
      <c r="E133" t="s">
        <v>4193</v>
      </c>
      <c r="F133" t="s">
        <v>5076</v>
      </c>
      <c r="I133" t="s">
        <v>5274</v>
      </c>
      <c r="J133" t="s">
        <v>2981</v>
      </c>
      <c r="K133" t="s">
        <v>5303</v>
      </c>
      <c r="L133" t="s">
        <v>5275</v>
      </c>
      <c r="M133" s="3" t="str">
        <f>HYPERLINK(СторонТрансп[[#This Row],[RelativePath]])</f>
        <v>1 Ангар Склад 2 въезд\E33149364_6_20251208T155849Z.jpg</v>
      </c>
    </row>
    <row r="134" spans="1:13" x14ac:dyDescent="0.25">
      <c r="A134" t="s">
        <v>14</v>
      </c>
      <c r="B134" s="4">
        <v>46000</v>
      </c>
      <c r="C134" s="6">
        <v>0.42645833333333333</v>
      </c>
      <c r="D134" s="7" t="s">
        <v>64</v>
      </c>
      <c r="E134" t="s">
        <v>4193</v>
      </c>
      <c r="F134" t="s">
        <v>5076</v>
      </c>
      <c r="I134" t="s">
        <v>5481</v>
      </c>
      <c r="J134" t="s">
        <v>2981</v>
      </c>
      <c r="K134" t="s">
        <v>5482</v>
      </c>
      <c r="L134" t="s">
        <v>5483</v>
      </c>
      <c r="M134" s="3" t="str">
        <f>HYPERLINK(СторонТрансп[[#This Row],[RelativePath]])</f>
        <v>1 Ангар Склад 2 въезд\E33149364_6_20251209T101406Z.jpg</v>
      </c>
    </row>
    <row r="135" spans="1:13" x14ac:dyDescent="0.25">
      <c r="A135" t="s">
        <v>14</v>
      </c>
      <c r="B135" s="4">
        <v>46000</v>
      </c>
      <c r="C135" s="6">
        <v>0.47930555555555554</v>
      </c>
      <c r="D135" s="7" t="s">
        <v>85</v>
      </c>
      <c r="E135" t="s">
        <v>4193</v>
      </c>
      <c r="F135" t="s">
        <v>5076</v>
      </c>
      <c r="I135" t="s">
        <v>5484</v>
      </c>
      <c r="J135" t="s">
        <v>2981</v>
      </c>
      <c r="K135" t="s">
        <v>5485</v>
      </c>
      <c r="L135" t="s">
        <v>5486</v>
      </c>
      <c r="M135" s="3" t="str">
        <f>HYPERLINK(СторонТрансп[[#This Row],[RelativePath]])</f>
        <v>1 Ангар Склад 2 въезд\E33149364_6_20251209T113012Z.jpg</v>
      </c>
    </row>
    <row r="136" spans="1:13" x14ac:dyDescent="0.25">
      <c r="A136" t="s">
        <v>14</v>
      </c>
      <c r="B136" s="4">
        <v>46000</v>
      </c>
      <c r="C136" s="6">
        <v>0.510625</v>
      </c>
      <c r="D136" s="7" t="s">
        <v>91</v>
      </c>
      <c r="E136" t="s">
        <v>5505</v>
      </c>
      <c r="F136" t="s">
        <v>51</v>
      </c>
      <c r="I136" t="s">
        <v>5487</v>
      </c>
      <c r="J136" t="s">
        <v>2981</v>
      </c>
      <c r="K136" t="s">
        <v>5488</v>
      </c>
      <c r="L136" t="s">
        <v>5489</v>
      </c>
      <c r="M136" s="3" t="str">
        <f>HYPERLINK(СторонТрансп[[#This Row],[RelativePath]])</f>
        <v>1 Ангар Склад 2 въезд\E33149364_6_20251209T121518Z.jpg</v>
      </c>
    </row>
    <row r="137" spans="1:13" x14ac:dyDescent="0.25">
      <c r="A137" t="s">
        <v>14</v>
      </c>
      <c r="B137" s="4">
        <v>46000</v>
      </c>
      <c r="C137" s="6">
        <v>0.51658564814814811</v>
      </c>
      <c r="D137" s="7" t="s">
        <v>3019</v>
      </c>
      <c r="E137" t="s">
        <v>5505</v>
      </c>
      <c r="F137" t="s">
        <v>51</v>
      </c>
      <c r="I137" t="s">
        <v>5490</v>
      </c>
      <c r="J137" t="s">
        <v>2981</v>
      </c>
      <c r="K137" t="s">
        <v>5491</v>
      </c>
      <c r="L137" t="s">
        <v>5492</v>
      </c>
      <c r="M137" s="3" t="str">
        <f>HYPERLINK(СторонТрансп[[#This Row],[RelativePath]])</f>
        <v>1 Ангар Склад 2 въезд\E33149364_6_20251209T122353Z.jpg</v>
      </c>
    </row>
    <row r="138" spans="1:13" x14ac:dyDescent="0.25">
      <c r="A138" t="s">
        <v>14</v>
      </c>
      <c r="B138" s="4">
        <v>46000</v>
      </c>
      <c r="C138" s="6">
        <v>0.6348611111111111</v>
      </c>
      <c r="D138" s="7" t="s">
        <v>64</v>
      </c>
      <c r="E138" t="s">
        <v>4193</v>
      </c>
      <c r="F138" t="s">
        <v>5076</v>
      </c>
      <c r="I138" t="s">
        <v>5493</v>
      </c>
      <c r="J138" t="s">
        <v>2981</v>
      </c>
      <c r="K138" t="s">
        <v>5494</v>
      </c>
      <c r="L138" t="s">
        <v>5495</v>
      </c>
      <c r="M138" s="3" t="str">
        <f>HYPERLINK(СторонТрансп[[#This Row],[RelativePath]])</f>
        <v>1 Ангар Склад 2 въезд\E33149364_6_20251209T151412Z.jpg</v>
      </c>
    </row>
    <row r="139" spans="1:13" x14ac:dyDescent="0.25">
      <c r="A139" t="s">
        <v>14</v>
      </c>
      <c r="B139" s="4">
        <v>46000</v>
      </c>
      <c r="C139" s="6">
        <v>0.69473379629629628</v>
      </c>
      <c r="D139" s="7" t="s">
        <v>85</v>
      </c>
      <c r="E139" t="s">
        <v>4193</v>
      </c>
      <c r="F139" t="s">
        <v>5076</v>
      </c>
      <c r="I139" t="s">
        <v>5496</v>
      </c>
      <c r="J139" t="s">
        <v>2981</v>
      </c>
      <c r="K139" t="s">
        <v>5497</v>
      </c>
      <c r="L139" t="s">
        <v>5498</v>
      </c>
      <c r="M139" s="3" t="str">
        <f>HYPERLINK(СторонТрансп[[#This Row],[RelativePath]])</f>
        <v>1 Ангар Склад 2 въезд\E33149364_6_20251209T164025Z.jpg</v>
      </c>
    </row>
    <row r="140" spans="1:13" x14ac:dyDescent="0.25">
      <c r="A140" t="s">
        <v>15</v>
      </c>
      <c r="B140" s="4">
        <v>46001</v>
      </c>
      <c r="C140" s="6">
        <v>0.53234953703703702</v>
      </c>
      <c r="D140" s="7" t="s">
        <v>64</v>
      </c>
      <c r="E140" t="s">
        <v>4193</v>
      </c>
      <c r="F140" t="s">
        <v>5076</v>
      </c>
      <c r="I140" t="s">
        <v>5499</v>
      </c>
      <c r="J140" t="s">
        <v>2981</v>
      </c>
      <c r="K140" t="s">
        <v>5500</v>
      </c>
      <c r="L140" t="s">
        <v>5501</v>
      </c>
      <c r="M140" s="3" t="str">
        <f>HYPERLINK(СторонТрансп[[#This Row],[RelativePath]])</f>
        <v>1 Ангар Склад 2 въезд\E33149364_6_20251210T124635Z.jpg</v>
      </c>
    </row>
    <row r="141" spans="1:13" x14ac:dyDescent="0.25">
      <c r="A141" t="s">
        <v>15</v>
      </c>
      <c r="B141" s="4">
        <v>46001</v>
      </c>
      <c r="C141" s="6">
        <v>0.63895833333333329</v>
      </c>
      <c r="D141" s="7" t="s">
        <v>85</v>
      </c>
      <c r="E141" t="s">
        <v>4193</v>
      </c>
      <c r="F141" t="s">
        <v>5076</v>
      </c>
      <c r="I141" t="s">
        <v>5502</v>
      </c>
      <c r="J141" t="s">
        <v>2981</v>
      </c>
      <c r="K141" t="s">
        <v>5503</v>
      </c>
      <c r="L141" t="s">
        <v>5504</v>
      </c>
      <c r="M141" s="3" t="str">
        <f>HYPERLINK(СторонТрансп[[#This Row],[RelativePath]])</f>
        <v>1 Ангар Склад 2 въезд\E33149364_6_20251210T152006Z.jpg</v>
      </c>
    </row>
    <row r="142" spans="1:13" x14ac:dyDescent="0.25">
      <c r="A142" t="s">
        <v>18</v>
      </c>
      <c r="B142" s="4">
        <v>46004</v>
      </c>
      <c r="C142" s="6">
        <v>0.41039351851851852</v>
      </c>
      <c r="D142" s="7" t="s">
        <v>62</v>
      </c>
      <c r="E142" t="s">
        <v>6167</v>
      </c>
      <c r="F142" t="s">
        <v>58</v>
      </c>
      <c r="H142" t="s">
        <v>6164</v>
      </c>
      <c r="I142" t="s">
        <v>6023</v>
      </c>
      <c r="J142" t="s">
        <v>2981</v>
      </c>
      <c r="K142" t="s">
        <v>6024</v>
      </c>
      <c r="L142" t="s">
        <v>6025</v>
      </c>
      <c r="M142" s="3" t="str">
        <f>HYPERLINK(СторонТрансп[[#This Row],[RelativePath]])</f>
        <v>1 Ангар Склад 2 въезд\E33149364_6_20251213T095058Z.jpg</v>
      </c>
    </row>
    <row r="143" spans="1:13" x14ac:dyDescent="0.25">
      <c r="A143" t="s">
        <v>18</v>
      </c>
      <c r="B143" s="4">
        <v>46004</v>
      </c>
      <c r="C143" s="6">
        <v>0.52951388888888884</v>
      </c>
      <c r="D143" s="7" t="s">
        <v>91</v>
      </c>
      <c r="E143" t="s">
        <v>6166</v>
      </c>
      <c r="F143" t="s">
        <v>51</v>
      </c>
      <c r="I143" t="s">
        <v>6026</v>
      </c>
      <c r="J143" t="s">
        <v>2981</v>
      </c>
      <c r="K143" t="s">
        <v>6027</v>
      </c>
      <c r="L143" t="s">
        <v>6028</v>
      </c>
      <c r="M143" s="3" t="str">
        <f>HYPERLINK(СторонТрансп[[#This Row],[RelativePath]])</f>
        <v>1 Ангар Склад 2 въезд\E33149364_6_20251213T124230Z.jpg</v>
      </c>
    </row>
    <row r="144" spans="1:13" x14ac:dyDescent="0.25">
      <c r="A144" t="s">
        <v>18</v>
      </c>
      <c r="B144" s="4">
        <v>46004</v>
      </c>
      <c r="C144" s="6">
        <v>0.52979166666666666</v>
      </c>
      <c r="D144" s="7" t="s">
        <v>91</v>
      </c>
      <c r="E144" t="s">
        <v>6165</v>
      </c>
      <c r="F144" t="s">
        <v>51</v>
      </c>
      <c r="I144" t="s">
        <v>6029</v>
      </c>
      <c r="J144" t="s">
        <v>2981</v>
      </c>
      <c r="K144" t="s">
        <v>6030</v>
      </c>
      <c r="L144" t="s">
        <v>6031</v>
      </c>
      <c r="M144" s="3" t="str">
        <f>HYPERLINK(СторонТрансп[[#This Row],[RelativePath]])</f>
        <v>1 Ангар Склад 2 въезд\E33149364_6_20251213T124254Z.jpg</v>
      </c>
    </row>
    <row r="145" spans="1:13" x14ac:dyDescent="0.25">
      <c r="A145" t="s">
        <v>18</v>
      </c>
      <c r="B145" s="4">
        <v>46004</v>
      </c>
      <c r="C145" s="6">
        <v>0.53692129629629626</v>
      </c>
      <c r="D145" s="7" t="s">
        <v>62</v>
      </c>
      <c r="E145" t="s">
        <v>6166</v>
      </c>
      <c r="F145" t="s">
        <v>51</v>
      </c>
      <c r="I145" t="s">
        <v>6032</v>
      </c>
      <c r="J145" t="s">
        <v>2981</v>
      </c>
      <c r="K145" t="s">
        <v>6033</v>
      </c>
      <c r="L145" t="s">
        <v>6034</v>
      </c>
      <c r="M145" s="3" t="str">
        <f>HYPERLINK(СторонТрансп[[#This Row],[RelativePath]])</f>
        <v>1 Ангар Склад 2 въезд\E33149364_6_20251213T125310Z.jpg</v>
      </c>
    </row>
    <row r="146" spans="1:13" x14ac:dyDescent="0.25">
      <c r="A146" t="s">
        <v>18</v>
      </c>
      <c r="B146" s="4">
        <v>46004</v>
      </c>
      <c r="C146" s="6">
        <v>0.53726851851851853</v>
      </c>
      <c r="D146" s="7" t="s">
        <v>3019</v>
      </c>
      <c r="E146" t="s">
        <v>6165</v>
      </c>
      <c r="F146" t="s">
        <v>51</v>
      </c>
      <c r="I146" t="s">
        <v>6035</v>
      </c>
      <c r="J146" t="s">
        <v>2981</v>
      </c>
      <c r="K146" t="s">
        <v>6036</v>
      </c>
      <c r="L146" t="s">
        <v>6037</v>
      </c>
      <c r="M146" s="3" t="str">
        <f>HYPERLINK(СторонТрансп[[#This Row],[RelativePath]])</f>
        <v>1 Ангар Склад 2 въезд\E33149364_6_20251213T125340Z.jpg</v>
      </c>
    </row>
    <row r="147" spans="1:13" x14ac:dyDescent="0.25">
      <c r="A147" t="s">
        <v>18</v>
      </c>
      <c r="B147" s="4">
        <v>46004</v>
      </c>
      <c r="C147" s="6">
        <v>0.53954861111111108</v>
      </c>
      <c r="D147" s="7" t="s">
        <v>91</v>
      </c>
      <c r="E147" t="s">
        <v>6167</v>
      </c>
      <c r="F147" t="s">
        <v>58</v>
      </c>
      <c r="I147" t="s">
        <v>6038</v>
      </c>
      <c r="J147" t="s">
        <v>2981</v>
      </c>
      <c r="K147" t="s">
        <v>6039</v>
      </c>
      <c r="L147" t="s">
        <v>6040</v>
      </c>
      <c r="M147" s="3" t="str">
        <f>HYPERLINK(СторонТрансп[[#This Row],[RelativePath]])</f>
        <v>1 Ангар Склад 2 въезд\E33149364_6_20251213T125657Z.jpg</v>
      </c>
    </row>
    <row r="148" spans="1:13" x14ac:dyDescent="0.25">
      <c r="A148" t="s">
        <v>18</v>
      </c>
      <c r="B148" s="4">
        <v>46004</v>
      </c>
      <c r="C148" s="6">
        <v>0.56135416666666671</v>
      </c>
      <c r="D148" s="7" t="s">
        <v>62</v>
      </c>
      <c r="E148" t="s">
        <v>6167</v>
      </c>
      <c r="F148" t="s">
        <v>6168</v>
      </c>
      <c r="H148" t="s">
        <v>6169</v>
      </c>
      <c r="I148" t="s">
        <v>6041</v>
      </c>
      <c r="J148" t="s">
        <v>2981</v>
      </c>
      <c r="K148" t="s">
        <v>6042</v>
      </c>
      <c r="L148" t="s">
        <v>6043</v>
      </c>
      <c r="M148" s="3" t="str">
        <f>HYPERLINK(СторонТрансп[[#This Row],[RelativePath]])</f>
        <v>1 Ангар Склад 2 въезд\E33149364_6_20251213T132821Z.jpg</v>
      </c>
    </row>
    <row r="149" spans="1:13" x14ac:dyDescent="0.25">
      <c r="A149" t="s">
        <v>13</v>
      </c>
      <c r="B149" s="4">
        <v>46006</v>
      </c>
      <c r="C149" s="6">
        <v>0.43730324074074073</v>
      </c>
      <c r="D149" s="7" t="s">
        <v>64</v>
      </c>
      <c r="E149" t="s">
        <v>4193</v>
      </c>
      <c r="F149" t="s">
        <v>5076</v>
      </c>
      <c r="I149" t="s">
        <v>6263</v>
      </c>
      <c r="J149" t="s">
        <v>2981</v>
      </c>
      <c r="K149" t="s">
        <v>6264</v>
      </c>
      <c r="L149" t="s">
        <v>6265</v>
      </c>
      <c r="M149" s="3" t="str">
        <f>HYPERLINK(СторонТрансп[[#This Row],[RelativePath]])</f>
        <v>1 Ангар Склад 2 въезд\E33149364_6_20251215T102943Z.jpg</v>
      </c>
    </row>
    <row r="150" spans="1:13" x14ac:dyDescent="0.25">
      <c r="A150" t="s">
        <v>13</v>
      </c>
      <c r="B150" s="4">
        <v>46006</v>
      </c>
      <c r="C150" s="6">
        <v>0.54327546296296292</v>
      </c>
      <c r="D150" s="7" t="s">
        <v>85</v>
      </c>
      <c r="E150" t="s">
        <v>4193</v>
      </c>
      <c r="F150" t="s">
        <v>5076</v>
      </c>
      <c r="I150" t="s">
        <v>6278</v>
      </c>
      <c r="J150" t="s">
        <v>2981</v>
      </c>
      <c r="K150" t="s">
        <v>6279</v>
      </c>
      <c r="L150" t="s">
        <v>6280</v>
      </c>
      <c r="M150" s="3" t="str">
        <f>HYPERLINK(СторонТрансп[[#This Row],[RelativePath]])</f>
        <v>1 Ангар Склад 2 въезд\E33149364_6_20251215T130219Z.jpg</v>
      </c>
    </row>
    <row r="151" spans="1:13" x14ac:dyDescent="0.25">
      <c r="A151" t="s">
        <v>14</v>
      </c>
      <c r="B151" s="4">
        <v>45972</v>
      </c>
      <c r="C151" s="6">
        <v>0.45701388888888889</v>
      </c>
      <c r="D151" s="7" t="s">
        <v>159</v>
      </c>
      <c r="E151" t="s">
        <v>63</v>
      </c>
      <c r="F151" t="s">
        <v>51</v>
      </c>
      <c r="I151" t="s">
        <v>112</v>
      </c>
      <c r="J151" t="s">
        <v>2989</v>
      </c>
      <c r="K151" t="s">
        <v>146</v>
      </c>
      <c r="L151" t="s">
        <v>113</v>
      </c>
      <c r="M151" s="3" t="str">
        <f>HYPERLINK(СторонТрансп[[#This Row],[RelativePath]])</f>
        <v>2 Пилорама поката\E33149364_7_20251111T105806Z.jpg</v>
      </c>
    </row>
    <row r="152" spans="1:13" x14ac:dyDescent="0.25">
      <c r="A152" t="s">
        <v>15</v>
      </c>
      <c r="B152" s="4">
        <v>45987</v>
      </c>
      <c r="C152" s="6">
        <v>0.43495370370370373</v>
      </c>
      <c r="D152" s="7" t="s">
        <v>4198</v>
      </c>
      <c r="E152" t="s">
        <v>4192</v>
      </c>
      <c r="F152" t="s">
        <v>51</v>
      </c>
      <c r="I152" t="s">
        <v>3261</v>
      </c>
      <c r="J152" t="s">
        <v>2989</v>
      </c>
      <c r="K152" t="s">
        <v>3262</v>
      </c>
      <c r="L152" t="s">
        <v>3263</v>
      </c>
      <c r="M152" s="3" t="str">
        <f>HYPERLINK(СторонТрансп[[#This Row],[RelativePath]])</f>
        <v>2 Пилорама поката\E33149364_7_20251126T102620Z.jpg</v>
      </c>
    </row>
    <row r="153" spans="1:13" x14ac:dyDescent="0.25">
      <c r="A153" t="s">
        <v>17</v>
      </c>
      <c r="B153" s="4">
        <v>45989</v>
      </c>
      <c r="C153" s="6">
        <v>0.45557870370370368</v>
      </c>
      <c r="D153" s="7" t="s">
        <v>4202</v>
      </c>
      <c r="E153" t="s">
        <v>4193</v>
      </c>
      <c r="F153" t="s">
        <v>51</v>
      </c>
      <c r="I153" t="s">
        <v>3321</v>
      </c>
      <c r="J153" t="s">
        <v>2989</v>
      </c>
      <c r="K153" t="s">
        <v>3322</v>
      </c>
      <c r="L153" t="s">
        <v>3323</v>
      </c>
      <c r="M153" s="3" t="str">
        <f>HYPERLINK(СторонТрансп[[#This Row],[RelativePath]])</f>
        <v>2 Пилорама поката\E33149364_7_20251128T105602Z.jpg</v>
      </c>
    </row>
    <row r="154" spans="1:13" x14ac:dyDescent="0.25">
      <c r="A154" t="s">
        <v>17</v>
      </c>
      <c r="B154" s="4">
        <v>45989</v>
      </c>
      <c r="C154" s="6">
        <v>0.45584490740740741</v>
      </c>
      <c r="D154" s="7" t="s">
        <v>4202</v>
      </c>
      <c r="E154" t="s">
        <v>4193</v>
      </c>
      <c r="F154" t="s">
        <v>51</v>
      </c>
      <c r="H154" t="s">
        <v>2936</v>
      </c>
      <c r="I154" t="s">
        <v>3324</v>
      </c>
      <c r="J154" t="s">
        <v>2989</v>
      </c>
      <c r="K154" t="s">
        <v>3325</v>
      </c>
      <c r="L154" t="s">
        <v>3326</v>
      </c>
      <c r="M154" s="3" t="str">
        <f>HYPERLINK(СторонТрансп[[#This Row],[RelativePath]])</f>
        <v>2 Пилорама поката\E33149364_7_20251128T105625Z.jpg</v>
      </c>
    </row>
    <row r="155" spans="1:13" x14ac:dyDescent="0.25">
      <c r="A155" t="s">
        <v>17</v>
      </c>
      <c r="B155" s="4">
        <v>45989</v>
      </c>
      <c r="C155" s="6">
        <v>0.49850694444444443</v>
      </c>
      <c r="D155" s="7" t="s">
        <v>4202</v>
      </c>
      <c r="E155" t="s">
        <v>4193</v>
      </c>
      <c r="F155" t="s">
        <v>51</v>
      </c>
      <c r="H155" t="s">
        <v>2936</v>
      </c>
      <c r="I155" t="s">
        <v>3327</v>
      </c>
      <c r="J155" t="s">
        <v>2989</v>
      </c>
      <c r="K155" t="s">
        <v>3328</v>
      </c>
      <c r="L155" t="s">
        <v>3329</v>
      </c>
      <c r="M155" s="3" t="str">
        <f>HYPERLINK(СторонТрансп[[#This Row],[RelativePath]])</f>
        <v>2 Пилорама поката\E33149364_7_20251128T115751Z.jpg</v>
      </c>
    </row>
    <row r="156" spans="1:13" x14ac:dyDescent="0.25">
      <c r="A156" t="s">
        <v>17</v>
      </c>
      <c r="B156" s="4">
        <v>45989</v>
      </c>
      <c r="C156" s="6">
        <v>0.50651620370370365</v>
      </c>
      <c r="D156" s="7" t="s">
        <v>4201</v>
      </c>
      <c r="E156" t="s">
        <v>4193</v>
      </c>
      <c r="I156" t="s">
        <v>3330</v>
      </c>
      <c r="J156" t="s">
        <v>2989</v>
      </c>
      <c r="K156" t="s">
        <v>3331</v>
      </c>
      <c r="L156" t="s">
        <v>3332</v>
      </c>
      <c r="M156" s="3" t="str">
        <f>HYPERLINK(СторонТрансп[[#This Row],[RelativePath]])</f>
        <v>2 Пилорама поката\E33149364_7_20251128T120923Z.jpg</v>
      </c>
    </row>
    <row r="157" spans="1:13" x14ac:dyDescent="0.25">
      <c r="A157" t="s">
        <v>13</v>
      </c>
      <c r="B157" s="4">
        <v>45999</v>
      </c>
      <c r="C157" s="6">
        <v>0.59916666666666663</v>
      </c>
      <c r="D157" s="7" t="s">
        <v>4</v>
      </c>
      <c r="E157" t="s">
        <v>4193</v>
      </c>
      <c r="F157" t="s">
        <v>5076</v>
      </c>
      <c r="I157" t="s">
        <v>5282</v>
      </c>
      <c r="J157" t="s">
        <v>2989</v>
      </c>
      <c r="K157" t="s">
        <v>5283</v>
      </c>
      <c r="L157" t="s">
        <v>5284</v>
      </c>
      <c r="M157" s="3" t="str">
        <f>HYPERLINK(СторонТрансп[[#This Row],[RelativePath]])</f>
        <v>2 Пилорама поката\E33149364_7_20251208T142248Z.jpg</v>
      </c>
    </row>
    <row r="158" spans="1:13" x14ac:dyDescent="0.25">
      <c r="A158" t="s">
        <v>13</v>
      </c>
      <c r="B158" s="4">
        <v>45999</v>
      </c>
      <c r="C158" s="6">
        <v>0.6244791666666667</v>
      </c>
      <c r="D158" s="7" t="s">
        <v>4</v>
      </c>
      <c r="E158" t="s">
        <v>4193</v>
      </c>
      <c r="F158" t="s">
        <v>5076</v>
      </c>
      <c r="H158" t="s">
        <v>5474</v>
      </c>
      <c r="I158" t="s">
        <v>5269</v>
      </c>
      <c r="J158" t="s">
        <v>2989</v>
      </c>
      <c r="K158" t="s">
        <v>5270</v>
      </c>
      <c r="L158" t="s">
        <v>5271</v>
      </c>
      <c r="M158" s="3" t="str">
        <f>HYPERLINK(СторонТрансп[[#This Row],[RelativePath]])</f>
        <v>2 Пилорама поката\E33149364_7_20251208T145915Z.jpg</v>
      </c>
    </row>
    <row r="159" spans="1:13" x14ac:dyDescent="0.25">
      <c r="A159" t="s">
        <v>13</v>
      </c>
      <c r="B159" s="4">
        <v>45999</v>
      </c>
      <c r="C159" s="6">
        <v>0.66174768518518523</v>
      </c>
      <c r="D159" s="7" t="s">
        <v>4</v>
      </c>
      <c r="E159" t="s">
        <v>5475</v>
      </c>
      <c r="F159" t="s">
        <v>5076</v>
      </c>
      <c r="H159" t="s">
        <v>5474</v>
      </c>
      <c r="I159" t="s">
        <v>5291</v>
      </c>
      <c r="J159" t="s">
        <v>2989</v>
      </c>
      <c r="K159" t="s">
        <v>5292</v>
      </c>
      <c r="L159" t="s">
        <v>5293</v>
      </c>
      <c r="M159" s="3" t="str">
        <f>HYPERLINK(СторонТрансп[[#This Row],[RelativePath]])</f>
        <v>2 Пилорама поката\E33149364_7_20251208T155255Z.jpg</v>
      </c>
    </row>
    <row r="160" spans="1:13" x14ac:dyDescent="0.25">
      <c r="A160" t="s">
        <v>14</v>
      </c>
      <c r="B160" s="4">
        <v>46000</v>
      </c>
      <c r="C160" s="6">
        <v>0.43395833333333333</v>
      </c>
      <c r="D160" s="7" t="s">
        <v>1606</v>
      </c>
      <c r="E160" t="s">
        <v>4193</v>
      </c>
      <c r="F160" t="s">
        <v>5076</v>
      </c>
      <c r="I160" t="s">
        <v>5509</v>
      </c>
      <c r="J160" t="s">
        <v>2989</v>
      </c>
      <c r="K160" t="s">
        <v>5510</v>
      </c>
      <c r="L160" t="s">
        <v>5511</v>
      </c>
      <c r="M160" s="3" t="str">
        <f>HYPERLINK(СторонТрансп[[#This Row],[RelativePath]])</f>
        <v>2 Пилорама поката\E33149364_7_20251209T102454Z.jpg</v>
      </c>
    </row>
    <row r="161" spans="1:13" x14ac:dyDescent="0.25">
      <c r="A161" t="s">
        <v>14</v>
      </c>
      <c r="B161" s="4">
        <v>46000</v>
      </c>
      <c r="C161" s="6">
        <v>0.43410879629629628</v>
      </c>
      <c r="D161" s="7" t="s">
        <v>6171</v>
      </c>
      <c r="E161" t="s">
        <v>4193</v>
      </c>
      <c r="F161" t="s">
        <v>5076</v>
      </c>
      <c r="H161" t="s">
        <v>5474</v>
      </c>
      <c r="I161" t="s">
        <v>5512</v>
      </c>
      <c r="J161" t="s">
        <v>2989</v>
      </c>
      <c r="K161" t="s">
        <v>5513</v>
      </c>
      <c r="L161" t="s">
        <v>5514</v>
      </c>
      <c r="M161" s="3" t="str">
        <f>HYPERLINK(СторонТрансп[[#This Row],[RelativePath]])</f>
        <v>2 Пилорама поката\E33149364_7_20251209T102507Z.jpg</v>
      </c>
    </row>
    <row r="162" spans="1:13" x14ac:dyDescent="0.25">
      <c r="A162" t="s">
        <v>14</v>
      </c>
      <c r="B162" s="4">
        <v>46000</v>
      </c>
      <c r="C162" s="6">
        <v>0.63540509259259259</v>
      </c>
      <c r="D162" s="7" t="s">
        <v>1606</v>
      </c>
      <c r="E162" t="s">
        <v>4193</v>
      </c>
      <c r="F162" t="s">
        <v>5076</v>
      </c>
      <c r="I162" t="s">
        <v>5515</v>
      </c>
      <c r="J162" t="s">
        <v>2989</v>
      </c>
      <c r="K162" t="s">
        <v>5516</v>
      </c>
      <c r="L162" t="s">
        <v>5517</v>
      </c>
      <c r="M162" s="3" t="str">
        <f>HYPERLINK(СторонТрансп[[#This Row],[RelativePath]])</f>
        <v>2 Пилорама поката\E33149364_7_20251209T151459Z.jpg</v>
      </c>
    </row>
    <row r="163" spans="1:13" x14ac:dyDescent="0.25">
      <c r="A163" t="s">
        <v>14</v>
      </c>
      <c r="B163" s="4">
        <v>46000</v>
      </c>
      <c r="C163" s="6">
        <v>0.6868171296296296</v>
      </c>
      <c r="D163" s="7" t="s">
        <v>6171</v>
      </c>
      <c r="E163" t="s">
        <v>4193</v>
      </c>
      <c r="F163" t="s">
        <v>5076</v>
      </c>
      <c r="H163" t="s">
        <v>5474</v>
      </c>
      <c r="I163" t="s">
        <v>5518</v>
      </c>
      <c r="J163" t="s">
        <v>2989</v>
      </c>
      <c r="K163" t="s">
        <v>5519</v>
      </c>
      <c r="L163" t="s">
        <v>5520</v>
      </c>
      <c r="M163" s="3" t="str">
        <f>HYPERLINK(СторонТрансп[[#This Row],[RelativePath]])</f>
        <v>2 Пилорама поката\E33149364_7_20251209T162901Z.jpg</v>
      </c>
    </row>
    <row r="164" spans="1:13" x14ac:dyDescent="0.25">
      <c r="A164" t="s">
        <v>15</v>
      </c>
      <c r="B164" s="4">
        <v>46001</v>
      </c>
      <c r="C164" s="6">
        <v>0.53289351851851852</v>
      </c>
      <c r="D164" s="7" t="s">
        <v>1606</v>
      </c>
      <c r="E164" t="s">
        <v>4193</v>
      </c>
      <c r="F164" t="s">
        <v>5076</v>
      </c>
      <c r="I164" t="s">
        <v>5533</v>
      </c>
      <c r="J164" t="s">
        <v>2989</v>
      </c>
      <c r="K164" t="s">
        <v>5534</v>
      </c>
      <c r="L164" t="s">
        <v>5535</v>
      </c>
      <c r="M164" s="3" t="str">
        <f>HYPERLINK(СторонТрансп[[#This Row],[RelativePath]])</f>
        <v>2 Пилорама поката\E33149364_7_20251210T124722Z.jpg</v>
      </c>
    </row>
    <row r="165" spans="1:13" x14ac:dyDescent="0.25">
      <c r="A165" t="s">
        <v>15</v>
      </c>
      <c r="B165" s="4">
        <v>46001</v>
      </c>
      <c r="C165" s="6">
        <v>0.57746527777777779</v>
      </c>
      <c r="D165" s="7" t="s">
        <v>6171</v>
      </c>
      <c r="E165" t="s">
        <v>4193</v>
      </c>
      <c r="F165" t="s">
        <v>5076</v>
      </c>
      <c r="H165" t="s">
        <v>5474</v>
      </c>
      <c r="I165" t="s">
        <v>5536</v>
      </c>
      <c r="J165" t="s">
        <v>2989</v>
      </c>
      <c r="K165" t="s">
        <v>5537</v>
      </c>
      <c r="L165" t="s">
        <v>5538</v>
      </c>
      <c r="M165" s="3" t="str">
        <f>HYPERLINK(СторонТрансп[[#This Row],[RelativePath]])</f>
        <v>2 Пилорама поката\E33149364_7_20251210T135133Z.jpg</v>
      </c>
    </row>
    <row r="166" spans="1:13" x14ac:dyDescent="0.25">
      <c r="A166" t="s">
        <v>13</v>
      </c>
      <c r="B166" s="4">
        <v>46006</v>
      </c>
      <c r="C166" s="6">
        <v>0.4377199074074074</v>
      </c>
      <c r="D166" s="7" t="s">
        <v>1606</v>
      </c>
      <c r="E166" t="s">
        <v>4193</v>
      </c>
      <c r="F166" t="s">
        <v>5076</v>
      </c>
      <c r="I166" t="s">
        <v>6290</v>
      </c>
      <c r="J166" t="s">
        <v>2989</v>
      </c>
      <c r="K166" t="s">
        <v>6291</v>
      </c>
      <c r="L166" t="s">
        <v>6292</v>
      </c>
      <c r="M166" s="3" t="str">
        <f>HYPERLINK(СторонТрансп[[#This Row],[RelativePath]])</f>
        <v>2 Пилорама поката\E33149364_7_20251215T103019Z.jpg</v>
      </c>
    </row>
    <row r="167" spans="1:13" x14ac:dyDescent="0.25">
      <c r="A167" t="s">
        <v>13</v>
      </c>
      <c r="B167" s="4">
        <v>46006</v>
      </c>
      <c r="C167" s="6">
        <v>0.44763888888888886</v>
      </c>
      <c r="D167" s="7" t="s">
        <v>6171</v>
      </c>
      <c r="E167" t="s">
        <v>4193</v>
      </c>
      <c r="F167" t="s">
        <v>5076</v>
      </c>
      <c r="H167" t="s">
        <v>5474</v>
      </c>
      <c r="I167" t="s">
        <v>6293</v>
      </c>
      <c r="J167" t="s">
        <v>2989</v>
      </c>
      <c r="K167" t="s">
        <v>6294</v>
      </c>
      <c r="L167" t="s">
        <v>6295</v>
      </c>
      <c r="M167" s="3" t="str">
        <f>HYPERLINK(СторонТрансп[[#This Row],[RelativePath]])</f>
        <v>2 Пилорама поката\E33149364_7_20251215T104436Z.jpg</v>
      </c>
    </row>
    <row r="168" spans="1:13" x14ac:dyDescent="0.25">
      <c r="A168" t="s">
        <v>13</v>
      </c>
      <c r="B168" s="4">
        <v>46006</v>
      </c>
      <c r="C168" s="6">
        <v>0.54278935185185184</v>
      </c>
      <c r="D168" s="7" t="s">
        <v>650</v>
      </c>
      <c r="E168" t="s">
        <v>4193</v>
      </c>
      <c r="F168" t="s">
        <v>5076</v>
      </c>
      <c r="I168" t="s">
        <v>6297</v>
      </c>
      <c r="J168" t="s">
        <v>2989</v>
      </c>
      <c r="K168" t="s">
        <v>6298</v>
      </c>
      <c r="L168" t="s">
        <v>6299</v>
      </c>
      <c r="M168" s="3" t="str">
        <f>HYPERLINK(СторонТрансп[[#This Row],[RelativePath]])</f>
        <v>2 Пилорама поката\E33149364_7_20251215T130137Z.jpg</v>
      </c>
    </row>
    <row r="169" spans="1:13" x14ac:dyDescent="0.25">
      <c r="A169" t="s">
        <v>15</v>
      </c>
      <c r="B169" s="4">
        <v>45973</v>
      </c>
      <c r="C169" s="6">
        <v>0.6857523148148148</v>
      </c>
      <c r="D169" s="7" t="s">
        <v>289</v>
      </c>
      <c r="E169" t="s">
        <v>66</v>
      </c>
      <c r="F169" t="s">
        <v>288</v>
      </c>
      <c r="I169" t="s">
        <v>249</v>
      </c>
      <c r="J169" t="s">
        <v>2990</v>
      </c>
      <c r="K169" t="s">
        <v>250</v>
      </c>
      <c r="L169" t="s">
        <v>251</v>
      </c>
      <c r="M169" s="3" t="str">
        <f>HYPERLINK(СторонТрансп[[#This Row],[RelativePath]])</f>
        <v>3 Въезд на базу\E33149364_8_20251112T162729Z.jpg</v>
      </c>
    </row>
    <row r="170" spans="1:13" x14ac:dyDescent="0.25">
      <c r="A170" t="s">
        <v>17</v>
      </c>
      <c r="B170" s="4">
        <v>45975</v>
      </c>
      <c r="C170" s="6">
        <v>0.5526388888888889</v>
      </c>
      <c r="D170" s="7" t="s">
        <v>290</v>
      </c>
      <c r="E170" t="s">
        <v>66</v>
      </c>
      <c r="F170" t="s">
        <v>88</v>
      </c>
      <c r="I170" t="s">
        <v>279</v>
      </c>
      <c r="J170" t="s">
        <v>2990</v>
      </c>
      <c r="K170" t="s">
        <v>280</v>
      </c>
      <c r="L170" t="s">
        <v>281</v>
      </c>
      <c r="M170" s="3" t="str">
        <f>HYPERLINK(СторонТрансп[[#This Row],[RelativePath]])</f>
        <v>3 Въезд на базу\E33149364_8_20251114T131548Z.jpg</v>
      </c>
    </row>
    <row r="171" spans="1:13" x14ac:dyDescent="0.25">
      <c r="A171" t="s">
        <v>15</v>
      </c>
      <c r="B171" s="4">
        <v>45987</v>
      </c>
      <c r="C171" s="6">
        <v>0.45251157407407405</v>
      </c>
      <c r="D171" s="7" t="s">
        <v>4</v>
      </c>
      <c r="E171" t="s">
        <v>4192</v>
      </c>
      <c r="F171" t="s">
        <v>58</v>
      </c>
      <c r="I171" t="s">
        <v>3354</v>
      </c>
      <c r="J171" t="s">
        <v>2990</v>
      </c>
      <c r="K171" t="s">
        <v>3355</v>
      </c>
      <c r="L171" t="s">
        <v>3356</v>
      </c>
      <c r="M171" s="3" t="str">
        <f>HYPERLINK(СторонТрансп[[#This Row],[RelativePath]])</f>
        <v>3 Въезд на базу\E33149364_8_20251126T105137Z.jpg</v>
      </c>
    </row>
    <row r="172" spans="1:13" x14ac:dyDescent="0.25">
      <c r="A172" t="s">
        <v>18</v>
      </c>
      <c r="B172" s="4">
        <v>45990</v>
      </c>
      <c r="C172" s="6">
        <v>0.71567129629629633</v>
      </c>
      <c r="D172" s="7" t="s">
        <v>4</v>
      </c>
      <c r="E172" t="s">
        <v>4194</v>
      </c>
      <c r="F172" t="s">
        <v>4196</v>
      </c>
      <c r="I172" t="s">
        <v>3378</v>
      </c>
      <c r="J172" t="s">
        <v>2990</v>
      </c>
      <c r="K172" t="s">
        <v>3379</v>
      </c>
      <c r="L172" t="s">
        <v>3380</v>
      </c>
      <c r="M172" s="3" t="str">
        <f>HYPERLINK(СторонТрансп[[#This Row],[RelativePath]])</f>
        <v>3 Въезд на базу\E33149364_8_20251129T171034Z.jpg</v>
      </c>
    </row>
    <row r="173" spans="1:13" x14ac:dyDescent="0.25">
      <c r="A173" t="s">
        <v>13</v>
      </c>
      <c r="B173" s="4">
        <v>45992</v>
      </c>
      <c r="C173" s="6">
        <v>0.86937500000000001</v>
      </c>
      <c r="D173" s="7" t="s">
        <v>4</v>
      </c>
      <c r="E173" t="s">
        <v>4194</v>
      </c>
      <c r="H173" t="s">
        <v>5089</v>
      </c>
      <c r="I173" t="s">
        <v>4561</v>
      </c>
      <c r="J173" t="s">
        <v>2990</v>
      </c>
      <c r="K173" t="s">
        <v>4562</v>
      </c>
      <c r="L173" t="s">
        <v>4563</v>
      </c>
      <c r="M173" s="3" t="str">
        <f>HYPERLINK(СторонТрансп[[#This Row],[RelativePath]])</f>
        <v>3 Въезд на базу\E33149364_8_20251201T205154Z.jpg</v>
      </c>
    </row>
    <row r="174" spans="1:13" x14ac:dyDescent="0.25">
      <c r="A174" t="s">
        <v>22</v>
      </c>
      <c r="B174" s="4">
        <v>45998</v>
      </c>
      <c r="C174" s="6">
        <v>0.6731597222222222</v>
      </c>
      <c r="D174" s="7" t="s">
        <v>4</v>
      </c>
      <c r="E174" t="s">
        <v>5262</v>
      </c>
      <c r="F174" t="s">
        <v>1609</v>
      </c>
      <c r="I174" t="s">
        <v>5141</v>
      </c>
      <c r="J174" t="s">
        <v>2990</v>
      </c>
      <c r="K174" t="s">
        <v>5142</v>
      </c>
      <c r="L174" t="s">
        <v>5143</v>
      </c>
      <c r="M174" s="3" t="str">
        <f>HYPERLINK(СторонТрансп[[#This Row],[RelativePath]])</f>
        <v>3 Въезд на базу\E33149364_8_20251207T160921Z.jpg</v>
      </c>
    </row>
    <row r="175" spans="1:13" x14ac:dyDescent="0.25">
      <c r="A175" t="s">
        <v>18</v>
      </c>
      <c r="B175" s="4">
        <v>45976</v>
      </c>
      <c r="C175" s="6">
        <v>0.46825231481481483</v>
      </c>
      <c r="D175" s="7" t="s">
        <v>1606</v>
      </c>
      <c r="E175" t="s">
        <v>2001</v>
      </c>
      <c r="I175" t="s">
        <v>1253</v>
      </c>
      <c r="J175" t="s">
        <v>2991</v>
      </c>
      <c r="K175" t="s">
        <v>1254</v>
      </c>
      <c r="L175" t="s">
        <v>1255</v>
      </c>
      <c r="M175" s="3" t="str">
        <f>HYPERLINK(СторонТрансп[[#This Row],[RelativePath]])</f>
        <v>4 Крыльцо офиса\K07156189_21_20251115T111417Z.jpg</v>
      </c>
    </row>
    <row r="176" spans="1:13" x14ac:dyDescent="0.25">
      <c r="A176" t="s">
        <v>18</v>
      </c>
      <c r="B176" s="4">
        <v>45976</v>
      </c>
      <c r="C176" s="6">
        <v>0.49733796296296295</v>
      </c>
      <c r="D176" s="7" t="s">
        <v>650</v>
      </c>
      <c r="E176" t="s">
        <v>2001</v>
      </c>
      <c r="I176" t="s">
        <v>1256</v>
      </c>
      <c r="J176" t="s">
        <v>2991</v>
      </c>
      <c r="K176" t="s">
        <v>1257</v>
      </c>
      <c r="L176" t="s">
        <v>1258</v>
      </c>
      <c r="M176" s="3" t="str">
        <f>HYPERLINK(СторонТрансп[[#This Row],[RelativePath]])</f>
        <v>4 Крыльцо офиса\K07156189_21_20251115T115610Z.jpg</v>
      </c>
    </row>
    <row r="177" spans="1:13" x14ac:dyDescent="0.25">
      <c r="A177" t="s">
        <v>18</v>
      </c>
      <c r="B177" s="4">
        <v>45990</v>
      </c>
      <c r="C177" s="6">
        <v>0.71454861111111112</v>
      </c>
      <c r="D177" s="7" t="s">
        <v>4</v>
      </c>
      <c r="E177" t="s">
        <v>4194</v>
      </c>
      <c r="F177" t="s">
        <v>4196</v>
      </c>
      <c r="H177" t="s">
        <v>4205</v>
      </c>
      <c r="I177" t="s">
        <v>3402</v>
      </c>
      <c r="J177" t="s">
        <v>2991</v>
      </c>
      <c r="K177" t="s">
        <v>3403</v>
      </c>
      <c r="L177" t="s">
        <v>3404</v>
      </c>
      <c r="M177" s="3" t="str">
        <f>HYPERLINK(СторонТрансп[[#This Row],[RelativePath]])</f>
        <v>4 Крыльцо офиса\K07156189_21_20251129T170857Z.jpg</v>
      </c>
    </row>
    <row r="178" spans="1:13" x14ac:dyDescent="0.25">
      <c r="A178" t="s">
        <v>13</v>
      </c>
      <c r="B178" s="4">
        <v>45992</v>
      </c>
      <c r="C178" s="6">
        <v>0.86984953703703705</v>
      </c>
      <c r="D178" s="7" t="s">
        <v>290</v>
      </c>
      <c r="E178" t="s">
        <v>4194</v>
      </c>
      <c r="F178" t="s">
        <v>5093</v>
      </c>
      <c r="I178" t="s">
        <v>4450</v>
      </c>
      <c r="J178" t="s">
        <v>2991</v>
      </c>
      <c r="K178" t="s">
        <v>4451</v>
      </c>
      <c r="L178" t="s">
        <v>4452</v>
      </c>
      <c r="M178" s="3" t="str">
        <f>HYPERLINK(СторонТрансп[[#This Row],[RelativePath]])</f>
        <v>4 Крыльцо офиса\K07156189_21_20251201T205235Z.jpg</v>
      </c>
    </row>
    <row r="179" spans="1:13" x14ac:dyDescent="0.25">
      <c r="A179" t="s">
        <v>13</v>
      </c>
      <c r="B179" s="4">
        <v>45992</v>
      </c>
      <c r="C179" s="6">
        <v>0.87006944444444445</v>
      </c>
      <c r="D179" s="7" t="s">
        <v>290</v>
      </c>
      <c r="E179" t="s">
        <v>4194</v>
      </c>
      <c r="F179" t="s">
        <v>5093</v>
      </c>
      <c r="I179" t="s">
        <v>4453</v>
      </c>
      <c r="J179" t="s">
        <v>2991</v>
      </c>
      <c r="K179" t="s">
        <v>4454</v>
      </c>
      <c r="L179" t="s">
        <v>4455</v>
      </c>
      <c r="M179" s="3" t="str">
        <f>HYPERLINK(СторонТрансп[[#This Row],[RelativePath]])</f>
        <v>4 Крыльцо офиса\K07156189_21_20251201T205254Z.jpg</v>
      </c>
    </row>
    <row r="180" spans="1:13" x14ac:dyDescent="0.25">
      <c r="A180" t="s">
        <v>13</v>
      </c>
      <c r="B180" s="4">
        <v>45992</v>
      </c>
      <c r="C180" s="6">
        <v>0.87283564814814818</v>
      </c>
      <c r="D180" s="7" t="s">
        <v>650</v>
      </c>
      <c r="E180" t="s">
        <v>4194</v>
      </c>
      <c r="I180" t="s">
        <v>4456</v>
      </c>
      <c r="J180" t="s">
        <v>2991</v>
      </c>
      <c r="K180" t="s">
        <v>4457</v>
      </c>
      <c r="L180" t="s">
        <v>4458</v>
      </c>
      <c r="M180" s="3" t="str">
        <f>HYPERLINK(СторонТрансп[[#This Row],[RelativePath]])</f>
        <v>4 Крыльцо офиса\K07156189_21_20251201T205653Z.jpg</v>
      </c>
    </row>
    <row r="181" spans="1:13" x14ac:dyDescent="0.25">
      <c r="A181" t="s">
        <v>14</v>
      </c>
      <c r="B181" s="4">
        <v>46000</v>
      </c>
      <c r="C181" s="6">
        <v>0.51223379629629628</v>
      </c>
      <c r="D181" s="7" t="s">
        <v>290</v>
      </c>
      <c r="E181" t="s">
        <v>5505</v>
      </c>
      <c r="F181" t="s">
        <v>6173</v>
      </c>
      <c r="I181" t="s">
        <v>5696</v>
      </c>
      <c r="J181" t="s">
        <v>2991</v>
      </c>
      <c r="K181" t="s">
        <v>5697</v>
      </c>
      <c r="L181" t="s">
        <v>5698</v>
      </c>
      <c r="M181" s="3" t="str">
        <f>HYPERLINK(СторонТрансп[[#This Row],[RelativePath]])</f>
        <v>4 Крыльцо офиса\K07156189_21_20251209T121737Z.jpg</v>
      </c>
    </row>
    <row r="182" spans="1:13" x14ac:dyDescent="0.25">
      <c r="A182" t="s">
        <v>14</v>
      </c>
      <c r="B182" s="4">
        <v>46000</v>
      </c>
      <c r="C182" s="6">
        <v>0.51232638888888893</v>
      </c>
      <c r="D182" s="7" t="s">
        <v>290</v>
      </c>
      <c r="E182" t="s">
        <v>5505</v>
      </c>
      <c r="F182" t="s">
        <v>6173</v>
      </c>
      <c r="H182" t="s">
        <v>2936</v>
      </c>
      <c r="I182" t="s">
        <v>5699</v>
      </c>
      <c r="J182" t="s">
        <v>2991</v>
      </c>
      <c r="K182" t="s">
        <v>5700</v>
      </c>
      <c r="L182" t="s">
        <v>5701</v>
      </c>
      <c r="M182" s="3" t="str">
        <f>HYPERLINK(СторонТрансп[[#This Row],[RelativePath]])</f>
        <v>4 Крыльцо офиса\K07156189_21_20251209T121745Z.jpg</v>
      </c>
    </row>
    <row r="183" spans="1:13" x14ac:dyDescent="0.25">
      <c r="A183" t="s">
        <v>14</v>
      </c>
      <c r="B183" s="4">
        <v>46000</v>
      </c>
      <c r="C183" s="6">
        <v>0.51336805555555554</v>
      </c>
      <c r="D183" s="7" t="s">
        <v>290</v>
      </c>
      <c r="E183" t="s">
        <v>5505</v>
      </c>
      <c r="F183" t="s">
        <v>6173</v>
      </c>
      <c r="H183" t="s">
        <v>2936</v>
      </c>
      <c r="I183" t="s">
        <v>5702</v>
      </c>
      <c r="J183" t="s">
        <v>2991</v>
      </c>
      <c r="K183" t="s">
        <v>5703</v>
      </c>
      <c r="L183" t="s">
        <v>5704</v>
      </c>
      <c r="M183" s="3" t="str">
        <f>HYPERLINK(СторонТрансп[[#This Row],[RelativePath]])</f>
        <v>4 Крыльцо офиса\K07156189_21_20251209T121915Z.jpg</v>
      </c>
    </row>
    <row r="184" spans="1:13" x14ac:dyDescent="0.25">
      <c r="A184" t="s">
        <v>18</v>
      </c>
      <c r="B184" s="4">
        <v>46004</v>
      </c>
      <c r="C184" s="6">
        <v>0.40708333333333335</v>
      </c>
      <c r="D184" s="7" t="s">
        <v>4</v>
      </c>
      <c r="E184" t="s">
        <v>6167</v>
      </c>
      <c r="F184" t="s">
        <v>58</v>
      </c>
      <c r="I184" t="s">
        <v>6044</v>
      </c>
      <c r="J184" t="s">
        <v>2991</v>
      </c>
      <c r="K184" t="s">
        <v>6045</v>
      </c>
      <c r="L184" t="s">
        <v>6046</v>
      </c>
      <c r="M184" s="3" t="str">
        <f>HYPERLINK(СторонТрансп[[#This Row],[RelativePath]])</f>
        <v>4 Крыльцо офиса\K07156189_21_20251213T094612Z.jpg</v>
      </c>
    </row>
    <row r="185" spans="1:13" x14ac:dyDescent="0.25">
      <c r="A185" t="s">
        <v>18</v>
      </c>
      <c r="B185" s="4">
        <v>46004</v>
      </c>
      <c r="C185" s="6">
        <v>0.40886574074074072</v>
      </c>
      <c r="D185" s="7" t="s">
        <v>4</v>
      </c>
      <c r="E185" t="s">
        <v>6167</v>
      </c>
      <c r="F185" t="s">
        <v>58</v>
      </c>
      <c r="H185" t="s">
        <v>4205</v>
      </c>
      <c r="I185" t="s">
        <v>6047</v>
      </c>
      <c r="J185" t="s">
        <v>2991</v>
      </c>
      <c r="K185" t="s">
        <v>6048</v>
      </c>
      <c r="L185" t="s">
        <v>6049</v>
      </c>
      <c r="M185" s="3" t="str">
        <f>HYPERLINK(СторонТрансп[[#This Row],[RelativePath]])</f>
        <v>4 Крыльцо офиса\K07156189_21_20251213T094846Z.jpg</v>
      </c>
    </row>
    <row r="186" spans="1:13" x14ac:dyDescent="0.25">
      <c r="A186" t="s">
        <v>18</v>
      </c>
      <c r="B186" s="4">
        <v>46004</v>
      </c>
      <c r="C186" s="6">
        <v>0.52965277777777775</v>
      </c>
      <c r="D186" s="7" t="s">
        <v>1606</v>
      </c>
      <c r="E186" t="s">
        <v>6166</v>
      </c>
      <c r="F186" t="s">
        <v>51</v>
      </c>
      <c r="I186" t="s">
        <v>6050</v>
      </c>
      <c r="J186" t="s">
        <v>2991</v>
      </c>
      <c r="K186" t="s">
        <v>6051</v>
      </c>
      <c r="L186" t="s">
        <v>6052</v>
      </c>
      <c r="M186" s="3" t="str">
        <f>HYPERLINK(СторонТрансп[[#This Row],[RelativePath]])</f>
        <v>4 Крыльцо офиса\K07156189_21_20251213T124242Z.jpg</v>
      </c>
    </row>
    <row r="187" spans="1:13" x14ac:dyDescent="0.25">
      <c r="A187" t="s">
        <v>18</v>
      </c>
      <c r="B187" s="4">
        <v>46004</v>
      </c>
      <c r="C187" s="6">
        <v>0.52991898148148153</v>
      </c>
      <c r="D187" s="7" t="s">
        <v>1606</v>
      </c>
      <c r="E187" t="s">
        <v>6165</v>
      </c>
      <c r="F187" t="s">
        <v>51</v>
      </c>
      <c r="I187" t="s">
        <v>6053</v>
      </c>
      <c r="J187" t="s">
        <v>2991</v>
      </c>
      <c r="K187" t="s">
        <v>6054</v>
      </c>
      <c r="L187" t="s">
        <v>6055</v>
      </c>
      <c r="M187" s="3" t="str">
        <f>HYPERLINK(СторонТрансп[[#This Row],[RelativePath]])</f>
        <v>4 Крыльцо офиса\K07156189_21_20251213T124305Z.jpg</v>
      </c>
    </row>
    <row r="188" spans="1:13" x14ac:dyDescent="0.25">
      <c r="A188" t="s">
        <v>18</v>
      </c>
      <c r="B188" s="4">
        <v>46004</v>
      </c>
      <c r="C188" s="6">
        <v>0.53687499999999999</v>
      </c>
      <c r="D188" s="7" t="s">
        <v>650</v>
      </c>
      <c r="E188" t="s">
        <v>6166</v>
      </c>
      <c r="F188" t="s">
        <v>51</v>
      </c>
      <c r="I188" t="s">
        <v>6056</v>
      </c>
      <c r="J188" t="s">
        <v>2991</v>
      </c>
      <c r="K188" t="s">
        <v>6057</v>
      </c>
      <c r="L188" t="s">
        <v>6058</v>
      </c>
      <c r="M188" s="3" t="str">
        <f>HYPERLINK(СторонТрансп[[#This Row],[RelativePath]])</f>
        <v>4 Крыльцо офиса\K07156189_21_20251213T125306Z.jpg</v>
      </c>
    </row>
    <row r="189" spans="1:13" x14ac:dyDescent="0.25">
      <c r="A189" t="s">
        <v>18</v>
      </c>
      <c r="B189" s="4">
        <v>46004</v>
      </c>
      <c r="C189" s="6">
        <v>0.5370949074074074</v>
      </c>
      <c r="D189" s="7" t="s">
        <v>650</v>
      </c>
      <c r="E189" t="s">
        <v>6165</v>
      </c>
      <c r="F189" t="s">
        <v>51</v>
      </c>
      <c r="I189" t="s">
        <v>6059</v>
      </c>
      <c r="J189" t="s">
        <v>2991</v>
      </c>
      <c r="K189" t="s">
        <v>6060</v>
      </c>
      <c r="L189" t="s">
        <v>6061</v>
      </c>
      <c r="M189" s="3" t="str">
        <f>HYPERLINK(СторонТрансп[[#This Row],[RelativePath]])</f>
        <v>4 Крыльцо офиса\K07156189_21_20251213T125325Z.jpg</v>
      </c>
    </row>
    <row r="190" spans="1:13" x14ac:dyDescent="0.25">
      <c r="A190" t="s">
        <v>18</v>
      </c>
      <c r="B190" s="4">
        <v>46004</v>
      </c>
      <c r="C190" s="6">
        <v>0.5397453703703704</v>
      </c>
      <c r="D190" s="7" t="s">
        <v>1606</v>
      </c>
      <c r="E190" t="s">
        <v>6167</v>
      </c>
      <c r="F190" t="s">
        <v>58</v>
      </c>
      <c r="I190" t="s">
        <v>6062</v>
      </c>
      <c r="J190" t="s">
        <v>2991</v>
      </c>
      <c r="K190" t="s">
        <v>6063</v>
      </c>
      <c r="L190" t="s">
        <v>6064</v>
      </c>
      <c r="M190" s="3" t="str">
        <f>HYPERLINK(СторонТрансп[[#This Row],[RelativePath]])</f>
        <v>4 Крыльцо офиса\K07156189_21_20251213T125714Z.jpg</v>
      </c>
    </row>
    <row r="191" spans="1:13" x14ac:dyDescent="0.25">
      <c r="A191" t="s">
        <v>18</v>
      </c>
      <c r="B191" s="4">
        <v>46004</v>
      </c>
      <c r="C191" s="6">
        <v>0.54593749999999996</v>
      </c>
      <c r="D191" s="7" t="s">
        <v>6174</v>
      </c>
      <c r="E191" t="s">
        <v>6167</v>
      </c>
      <c r="F191" t="s">
        <v>58</v>
      </c>
      <c r="I191" t="s">
        <v>6161</v>
      </c>
      <c r="J191" t="s">
        <v>2991</v>
      </c>
      <c r="K191" t="s">
        <v>6162</v>
      </c>
      <c r="L191" t="s">
        <v>6163</v>
      </c>
      <c r="M191" s="3" t="str">
        <f>HYPERLINK(СторонТрансп[[#This Row],[RelativePath]])</f>
        <v>4 Крыльцо офиса\K07156189_21_20251213T130609Z.jpg</v>
      </c>
    </row>
    <row r="192" spans="1:13" x14ac:dyDescent="0.25">
      <c r="A192" t="s">
        <v>14</v>
      </c>
      <c r="B192" s="4">
        <v>45972</v>
      </c>
      <c r="C192" s="6">
        <v>0.39533564814814814</v>
      </c>
      <c r="D192" s="7" t="s">
        <v>467</v>
      </c>
      <c r="E192" t="s">
        <v>67</v>
      </c>
      <c r="I192" t="s">
        <v>364</v>
      </c>
      <c r="J192" t="s">
        <v>2982</v>
      </c>
      <c r="K192" t="s">
        <v>365</v>
      </c>
      <c r="L192" t="s">
        <v>366</v>
      </c>
      <c r="M192" s="3" t="str">
        <f>HYPERLINK(СторонТрансп[[#This Row],[RelativePath]])</f>
        <v>5 Крыльцо общага\K07156189_22_20251111T092917Z.jpg</v>
      </c>
    </row>
    <row r="193" spans="1:13" x14ac:dyDescent="0.25">
      <c r="A193" t="s">
        <v>14</v>
      </c>
      <c r="B193" s="4">
        <v>45972</v>
      </c>
      <c r="C193" s="6">
        <v>0.39787037037037037</v>
      </c>
      <c r="D193" s="7" t="s">
        <v>289</v>
      </c>
      <c r="E193" t="s">
        <v>67</v>
      </c>
      <c r="F193" t="s">
        <v>468</v>
      </c>
      <c r="I193" t="s">
        <v>367</v>
      </c>
      <c r="J193" t="s">
        <v>2982</v>
      </c>
      <c r="K193" t="s">
        <v>368</v>
      </c>
      <c r="L193" t="s">
        <v>369</v>
      </c>
      <c r="M193" s="3" t="str">
        <f>HYPERLINK(СторонТрансп[[#This Row],[RelativePath]])</f>
        <v>5 Крыльцо общага\K07156189_22_20251111T093256Z.jpg</v>
      </c>
    </row>
    <row r="194" spans="1:13" x14ac:dyDescent="0.25">
      <c r="A194" t="s">
        <v>14</v>
      </c>
      <c r="B194" s="4">
        <v>45972</v>
      </c>
      <c r="C194" s="6">
        <v>0.40370370370370373</v>
      </c>
      <c r="D194" s="7" t="s">
        <v>289</v>
      </c>
      <c r="E194" t="s">
        <v>67</v>
      </c>
      <c r="F194" t="s">
        <v>468</v>
      </c>
      <c r="I194" t="s">
        <v>370</v>
      </c>
      <c r="J194" t="s">
        <v>2982</v>
      </c>
      <c r="K194" t="s">
        <v>371</v>
      </c>
      <c r="L194" t="s">
        <v>372</v>
      </c>
      <c r="M194" s="3" t="str">
        <f>HYPERLINK(СторонТрансп[[#This Row],[RelativePath]])</f>
        <v>5 Крыльцо общага\K07156189_22_20251111T094120Z.jpg</v>
      </c>
    </row>
    <row r="195" spans="1:13" x14ac:dyDescent="0.25">
      <c r="A195" t="s">
        <v>14</v>
      </c>
      <c r="B195" s="4">
        <v>45972</v>
      </c>
      <c r="C195" s="6">
        <v>0.40377314814814813</v>
      </c>
      <c r="D195" s="7" t="s">
        <v>289</v>
      </c>
      <c r="E195" t="s">
        <v>67</v>
      </c>
      <c r="F195" t="s">
        <v>468</v>
      </c>
      <c r="I195" t="s">
        <v>373</v>
      </c>
      <c r="J195" t="s">
        <v>2982</v>
      </c>
      <c r="K195" t="s">
        <v>374</v>
      </c>
      <c r="L195" t="s">
        <v>375</v>
      </c>
      <c r="M195" s="3" t="str">
        <f>HYPERLINK(СторонТрансп[[#This Row],[RelativePath]])</f>
        <v>5 Крыльцо общага\K07156189_22_20251111T094126Z.jpg</v>
      </c>
    </row>
    <row r="196" spans="1:13" x14ac:dyDescent="0.25">
      <c r="A196" t="s">
        <v>14</v>
      </c>
      <c r="B196" s="4">
        <v>45972</v>
      </c>
      <c r="C196" s="6">
        <v>0.40597222222222223</v>
      </c>
      <c r="D196" s="7" t="s">
        <v>289</v>
      </c>
      <c r="E196" t="s">
        <v>67</v>
      </c>
      <c r="F196" t="s">
        <v>468</v>
      </c>
      <c r="I196" t="s">
        <v>376</v>
      </c>
      <c r="J196" t="s">
        <v>2982</v>
      </c>
      <c r="K196" t="s">
        <v>377</v>
      </c>
      <c r="L196" t="s">
        <v>378</v>
      </c>
      <c r="M196" s="3" t="str">
        <f>HYPERLINK(СторонТрансп[[#This Row],[RelativePath]])</f>
        <v>5 Крыльцо общага\K07156189_22_20251111T094436Z.jpg</v>
      </c>
    </row>
    <row r="197" spans="1:13" x14ac:dyDescent="0.25">
      <c r="A197" t="s">
        <v>14</v>
      </c>
      <c r="B197" s="4">
        <v>45972</v>
      </c>
      <c r="C197" s="6">
        <v>0.40881944444444446</v>
      </c>
      <c r="D197" s="7" t="s">
        <v>289</v>
      </c>
      <c r="E197" t="s">
        <v>67</v>
      </c>
      <c r="F197" t="s">
        <v>468</v>
      </c>
      <c r="I197" t="s">
        <v>379</v>
      </c>
      <c r="J197" t="s">
        <v>2982</v>
      </c>
      <c r="K197" t="s">
        <v>380</v>
      </c>
      <c r="L197" t="s">
        <v>381</v>
      </c>
      <c r="M197" s="3" t="str">
        <f>HYPERLINK(СторонТрансп[[#This Row],[RelativePath]])</f>
        <v>5 Крыльцо общага\K07156189_22_20251111T094842Z.jpg</v>
      </c>
    </row>
    <row r="198" spans="1:13" x14ac:dyDescent="0.25">
      <c r="A198" t="s">
        <v>14</v>
      </c>
      <c r="B198" s="4">
        <v>45972</v>
      </c>
      <c r="C198" s="6">
        <v>0.4105787037037037</v>
      </c>
      <c r="D198" s="7" t="s">
        <v>289</v>
      </c>
      <c r="E198" t="s">
        <v>67</v>
      </c>
      <c r="F198" t="s">
        <v>468</v>
      </c>
      <c r="I198" t="s">
        <v>382</v>
      </c>
      <c r="J198" t="s">
        <v>2982</v>
      </c>
      <c r="K198" t="s">
        <v>383</v>
      </c>
      <c r="L198" t="s">
        <v>384</v>
      </c>
      <c r="M198" s="3" t="str">
        <f>HYPERLINK(СторонТрансп[[#This Row],[RelativePath]])</f>
        <v>5 Крыльцо общага\K07156189_22_20251111T095114Z.jpg</v>
      </c>
    </row>
    <row r="199" spans="1:13" x14ac:dyDescent="0.25">
      <c r="A199" t="s">
        <v>14</v>
      </c>
      <c r="B199" s="4">
        <v>45972</v>
      </c>
      <c r="C199" s="6">
        <v>0.41136574074074073</v>
      </c>
      <c r="D199" s="7" t="s">
        <v>289</v>
      </c>
      <c r="E199" t="s">
        <v>67</v>
      </c>
      <c r="F199" t="s">
        <v>468</v>
      </c>
      <c r="I199" t="s">
        <v>385</v>
      </c>
      <c r="J199" t="s">
        <v>2982</v>
      </c>
      <c r="K199" t="s">
        <v>386</v>
      </c>
      <c r="L199" t="s">
        <v>387</v>
      </c>
      <c r="M199" s="3" t="str">
        <f>HYPERLINK(СторонТрансп[[#This Row],[RelativePath]])</f>
        <v>5 Крыльцо общага\K07156189_22_20251111T095222Z.jpg</v>
      </c>
    </row>
    <row r="200" spans="1:13" x14ac:dyDescent="0.25">
      <c r="A200" t="s">
        <v>14</v>
      </c>
      <c r="B200" s="4">
        <v>45972</v>
      </c>
      <c r="C200" s="6">
        <v>0.41312500000000002</v>
      </c>
      <c r="D200" s="7" t="s">
        <v>289</v>
      </c>
      <c r="E200" t="s">
        <v>67</v>
      </c>
      <c r="F200" t="s">
        <v>468</v>
      </c>
      <c r="I200" t="s">
        <v>388</v>
      </c>
      <c r="J200" t="s">
        <v>2982</v>
      </c>
      <c r="K200" t="s">
        <v>389</v>
      </c>
      <c r="L200" t="s">
        <v>390</v>
      </c>
      <c r="M200" s="3" t="str">
        <f>HYPERLINK(СторонТрансп[[#This Row],[RelativePath]])</f>
        <v>5 Крыльцо общага\K07156189_22_20251111T095454Z.jpg</v>
      </c>
    </row>
    <row r="201" spans="1:13" x14ac:dyDescent="0.25">
      <c r="A201" t="s">
        <v>14</v>
      </c>
      <c r="B201" s="4">
        <v>45972</v>
      </c>
      <c r="C201" s="6">
        <v>0.41627314814814814</v>
      </c>
      <c r="D201" s="7" t="s">
        <v>289</v>
      </c>
      <c r="E201" t="s">
        <v>67</v>
      </c>
      <c r="F201" t="s">
        <v>468</v>
      </c>
      <c r="I201" t="s">
        <v>391</v>
      </c>
      <c r="J201" t="s">
        <v>2982</v>
      </c>
      <c r="K201" t="s">
        <v>392</v>
      </c>
      <c r="L201" t="s">
        <v>393</v>
      </c>
      <c r="M201" s="3" t="str">
        <f>HYPERLINK(СторонТрансп[[#This Row],[RelativePath]])</f>
        <v>5 Крыльцо общага\K07156189_22_20251111T095926Z.jpg</v>
      </c>
    </row>
    <row r="202" spans="1:13" x14ac:dyDescent="0.25">
      <c r="A202" t="s">
        <v>14</v>
      </c>
      <c r="B202" s="4">
        <v>45972</v>
      </c>
      <c r="C202" s="6">
        <v>0.4226273148148148</v>
      </c>
      <c r="D202" s="7" t="s">
        <v>289</v>
      </c>
      <c r="E202" t="s">
        <v>67</v>
      </c>
      <c r="F202" t="s">
        <v>468</v>
      </c>
      <c r="I202" t="s">
        <v>394</v>
      </c>
      <c r="J202" t="s">
        <v>2982</v>
      </c>
      <c r="K202" t="s">
        <v>395</v>
      </c>
      <c r="L202" t="s">
        <v>396</v>
      </c>
      <c r="M202" s="3" t="str">
        <f>HYPERLINK(СторонТрансп[[#This Row],[RelativePath]])</f>
        <v>5 Крыльцо общага\K07156189_22_20251111T100835Z.jpg</v>
      </c>
    </row>
    <row r="203" spans="1:13" x14ac:dyDescent="0.25">
      <c r="A203" t="s">
        <v>14</v>
      </c>
      <c r="B203" s="4">
        <v>45972</v>
      </c>
      <c r="C203" s="6">
        <v>0.42736111111111114</v>
      </c>
      <c r="D203" s="7" t="s">
        <v>289</v>
      </c>
      <c r="E203" t="s">
        <v>67</v>
      </c>
      <c r="F203" t="s">
        <v>468</v>
      </c>
      <c r="I203" t="s">
        <v>397</v>
      </c>
      <c r="J203" t="s">
        <v>2982</v>
      </c>
      <c r="K203" t="s">
        <v>398</v>
      </c>
      <c r="L203" t="s">
        <v>399</v>
      </c>
      <c r="M203" s="3" t="str">
        <f>HYPERLINK(СторонТрансп[[#This Row],[RelativePath]])</f>
        <v>5 Крыльцо общага\K07156189_22_20251111T101524Z.jpg</v>
      </c>
    </row>
    <row r="204" spans="1:13" x14ac:dyDescent="0.25">
      <c r="A204" t="s">
        <v>14</v>
      </c>
      <c r="B204" s="4">
        <v>45972</v>
      </c>
      <c r="C204" s="6">
        <v>0.42944444444444446</v>
      </c>
      <c r="D204" s="7" t="s">
        <v>289</v>
      </c>
      <c r="E204" t="s">
        <v>67</v>
      </c>
      <c r="F204" t="s">
        <v>468</v>
      </c>
      <c r="I204" t="s">
        <v>400</v>
      </c>
      <c r="J204" t="s">
        <v>2982</v>
      </c>
      <c r="K204" t="s">
        <v>401</v>
      </c>
      <c r="L204" t="s">
        <v>402</v>
      </c>
      <c r="M204" s="3" t="str">
        <f>HYPERLINK(СторонТрансп[[#This Row],[RelativePath]])</f>
        <v>5 Крыльцо общага\K07156189_22_20251111T101824Z.jpg</v>
      </c>
    </row>
    <row r="205" spans="1:13" x14ac:dyDescent="0.25">
      <c r="A205" t="s">
        <v>14</v>
      </c>
      <c r="B205" s="4">
        <v>45972</v>
      </c>
      <c r="C205" s="6">
        <v>0.4316550925925926</v>
      </c>
      <c r="D205" s="7" t="s">
        <v>289</v>
      </c>
      <c r="E205" t="s">
        <v>67</v>
      </c>
      <c r="F205" t="s">
        <v>468</v>
      </c>
      <c r="I205" t="s">
        <v>403</v>
      </c>
      <c r="J205" t="s">
        <v>2982</v>
      </c>
      <c r="K205" t="s">
        <v>404</v>
      </c>
      <c r="L205" t="s">
        <v>405</v>
      </c>
      <c r="M205" s="3" t="str">
        <f>HYPERLINK(СторонТрансп[[#This Row],[RelativePath]])</f>
        <v>5 Крыльцо общага\K07156189_22_20251111T102135Z.jpg</v>
      </c>
    </row>
    <row r="206" spans="1:13" x14ac:dyDescent="0.25">
      <c r="A206" t="s">
        <v>14</v>
      </c>
      <c r="B206" s="4">
        <v>45972</v>
      </c>
      <c r="C206" s="6">
        <v>0.43408564814814815</v>
      </c>
      <c r="D206" s="7" t="s">
        <v>289</v>
      </c>
      <c r="E206" t="s">
        <v>67</v>
      </c>
      <c r="F206" t="s">
        <v>468</v>
      </c>
      <c r="I206" t="s">
        <v>406</v>
      </c>
      <c r="J206" t="s">
        <v>2982</v>
      </c>
      <c r="K206" t="s">
        <v>407</v>
      </c>
      <c r="L206" t="s">
        <v>408</v>
      </c>
      <c r="M206" s="3" t="str">
        <f>HYPERLINK(СторонТрансп[[#This Row],[RelativePath]])</f>
        <v>5 Крыльцо общага\K07156189_22_20251111T102505Z.jpg</v>
      </c>
    </row>
    <row r="207" spans="1:13" x14ac:dyDescent="0.25">
      <c r="A207" t="s">
        <v>14</v>
      </c>
      <c r="B207" s="4">
        <v>45972</v>
      </c>
      <c r="C207" s="6">
        <v>0.43606481481481479</v>
      </c>
      <c r="D207" s="7" t="s">
        <v>289</v>
      </c>
      <c r="E207" t="s">
        <v>67</v>
      </c>
      <c r="F207" t="s">
        <v>469</v>
      </c>
      <c r="H207" t="s">
        <v>470</v>
      </c>
      <c r="I207" t="s">
        <v>409</v>
      </c>
      <c r="J207" t="s">
        <v>2982</v>
      </c>
      <c r="K207" t="s">
        <v>410</v>
      </c>
      <c r="L207" t="s">
        <v>411</v>
      </c>
      <c r="M207" s="3" t="str">
        <f>HYPERLINK(СторонТрансп[[#This Row],[RelativePath]])</f>
        <v>5 Крыльцо общага\K07156189_22_20251111T102756Z.jpg</v>
      </c>
    </row>
    <row r="208" spans="1:13" x14ac:dyDescent="0.25">
      <c r="A208" t="s">
        <v>14</v>
      </c>
      <c r="B208" s="4">
        <v>45972</v>
      </c>
      <c r="C208" s="6">
        <v>0.4387847222222222</v>
      </c>
      <c r="D208" s="7" t="s">
        <v>471</v>
      </c>
      <c r="E208" t="s">
        <v>67</v>
      </c>
      <c r="F208" t="s">
        <v>468</v>
      </c>
      <c r="I208" t="s">
        <v>412</v>
      </c>
      <c r="J208" t="s">
        <v>2982</v>
      </c>
      <c r="K208" t="s">
        <v>413</v>
      </c>
      <c r="L208" t="s">
        <v>414</v>
      </c>
      <c r="M208" s="3" t="str">
        <f>HYPERLINK(СторонТрансп[[#This Row],[RelativePath]])</f>
        <v>5 Крыльцо общага\K07156189_22_20251111T103151Z.jpg</v>
      </c>
    </row>
    <row r="209" spans="1:13" x14ac:dyDescent="0.25">
      <c r="A209" t="s">
        <v>14</v>
      </c>
      <c r="B209" s="4">
        <v>45972</v>
      </c>
      <c r="C209" s="6">
        <v>0.44353009259259257</v>
      </c>
      <c r="D209" s="7" t="s">
        <v>472</v>
      </c>
      <c r="E209" t="s">
        <v>67</v>
      </c>
      <c r="F209" t="s">
        <v>468</v>
      </c>
      <c r="I209" t="s">
        <v>415</v>
      </c>
      <c r="J209" t="s">
        <v>2982</v>
      </c>
      <c r="K209" t="s">
        <v>416</v>
      </c>
      <c r="L209" t="s">
        <v>417</v>
      </c>
      <c r="M209" s="3" t="str">
        <f>HYPERLINK(СторонТрансп[[#This Row],[RelativePath]])</f>
        <v>5 Крыльцо общага\K07156189_22_20251111T103841Z.jpg</v>
      </c>
    </row>
    <row r="210" spans="1:13" x14ac:dyDescent="0.25">
      <c r="A210" t="s">
        <v>15</v>
      </c>
      <c r="B210" s="4">
        <v>45973</v>
      </c>
      <c r="C210" s="6">
        <v>0.69714120370370369</v>
      </c>
      <c r="D210" s="7" t="s">
        <v>4</v>
      </c>
      <c r="E210" t="s">
        <v>477</v>
      </c>
      <c r="H210" t="s">
        <v>478</v>
      </c>
      <c r="I210" t="s">
        <v>427</v>
      </c>
      <c r="J210" t="s">
        <v>2982</v>
      </c>
      <c r="K210" t="s">
        <v>428</v>
      </c>
      <c r="L210" t="s">
        <v>429</v>
      </c>
      <c r="M210" s="3" t="str">
        <f>HYPERLINK(СторонТрансп[[#This Row],[RelativePath]])</f>
        <v>5 Крыльцо общага\K07156189_22_20251112T164353Z.jpg</v>
      </c>
    </row>
    <row r="211" spans="1:13" x14ac:dyDescent="0.25">
      <c r="A211" t="s">
        <v>22</v>
      </c>
      <c r="B211" s="4">
        <v>45998</v>
      </c>
      <c r="C211" s="6">
        <v>0.61542824074074076</v>
      </c>
      <c r="D211" s="7" t="s">
        <v>1606</v>
      </c>
      <c r="E211" t="s">
        <v>5263</v>
      </c>
      <c r="F211" t="s">
        <v>4233</v>
      </c>
      <c r="I211" t="s">
        <v>5148</v>
      </c>
      <c r="J211" t="s">
        <v>2982</v>
      </c>
      <c r="K211" t="s">
        <v>5149</v>
      </c>
      <c r="L211" t="s">
        <v>5150</v>
      </c>
      <c r="M211" s="3" t="str">
        <f>HYPERLINK(СторонТрансп[[#This Row],[RelativePath]])</f>
        <v>5 Крыльцо общага\K07156189_22_20251207T144613Z.jpg</v>
      </c>
    </row>
    <row r="212" spans="1:13" x14ac:dyDescent="0.25">
      <c r="A212" t="s">
        <v>22</v>
      </c>
      <c r="B212" s="4">
        <v>45998</v>
      </c>
      <c r="C212" s="6">
        <v>0.61756944444444439</v>
      </c>
      <c r="D212" s="7" t="s">
        <v>289</v>
      </c>
      <c r="E212" t="s">
        <v>5263</v>
      </c>
      <c r="F212" t="s">
        <v>5093</v>
      </c>
      <c r="I212" t="s">
        <v>5151</v>
      </c>
      <c r="J212" t="s">
        <v>2982</v>
      </c>
      <c r="K212" t="s">
        <v>5152</v>
      </c>
      <c r="L212" t="s">
        <v>5153</v>
      </c>
      <c r="M212" s="3" t="str">
        <f>HYPERLINK(СторонТрансп[[#This Row],[RelativePath]])</f>
        <v>5 Крыльцо общага\K07156189_22_20251207T144918Z.jpg</v>
      </c>
    </row>
    <row r="213" spans="1:13" x14ac:dyDescent="0.25">
      <c r="A213" t="s">
        <v>22</v>
      </c>
      <c r="B213" s="4">
        <v>45998</v>
      </c>
      <c r="C213" s="6">
        <v>0.62070601851851848</v>
      </c>
      <c r="D213" s="7" t="s">
        <v>289</v>
      </c>
      <c r="E213" t="s">
        <v>5263</v>
      </c>
      <c r="F213" t="s">
        <v>5093</v>
      </c>
      <c r="H213" t="s">
        <v>2936</v>
      </c>
      <c r="I213" t="s">
        <v>5154</v>
      </c>
      <c r="J213" t="s">
        <v>2982</v>
      </c>
      <c r="K213" t="s">
        <v>5155</v>
      </c>
      <c r="L213" t="s">
        <v>5156</v>
      </c>
      <c r="M213" s="3" t="str">
        <f>HYPERLINK(СторонТрансп[[#This Row],[RelativePath]])</f>
        <v>5 Крыльцо общага\K07156189_22_20251207T145349Z.jpg</v>
      </c>
    </row>
    <row r="214" spans="1:13" x14ac:dyDescent="0.25">
      <c r="A214" t="s">
        <v>22</v>
      </c>
      <c r="B214" s="4">
        <v>45998</v>
      </c>
      <c r="C214" s="6">
        <v>0.62306712962962962</v>
      </c>
      <c r="D214" s="7" t="s">
        <v>289</v>
      </c>
      <c r="E214" t="s">
        <v>5263</v>
      </c>
      <c r="F214" t="s">
        <v>5093</v>
      </c>
      <c r="H214" t="s">
        <v>2936</v>
      </c>
      <c r="I214" t="s">
        <v>5157</v>
      </c>
      <c r="J214" t="s">
        <v>2982</v>
      </c>
      <c r="K214" t="s">
        <v>5158</v>
      </c>
      <c r="L214" t="s">
        <v>5159</v>
      </c>
      <c r="M214" s="3" t="str">
        <f>HYPERLINK(СторонТрансп[[#This Row],[RelativePath]])</f>
        <v>5 Крыльцо общага\K07156189_22_20251207T145713Z.jpg</v>
      </c>
    </row>
    <row r="215" spans="1:13" x14ac:dyDescent="0.25">
      <c r="A215" t="s">
        <v>22</v>
      </c>
      <c r="B215" s="4">
        <v>45998</v>
      </c>
      <c r="C215" s="6">
        <v>0.62668981481481478</v>
      </c>
      <c r="D215" s="7" t="s">
        <v>289</v>
      </c>
      <c r="E215" t="s">
        <v>5263</v>
      </c>
      <c r="F215" t="s">
        <v>5093</v>
      </c>
      <c r="H215" t="s">
        <v>2936</v>
      </c>
      <c r="I215" t="s">
        <v>5160</v>
      </c>
      <c r="J215" t="s">
        <v>2982</v>
      </c>
      <c r="K215" t="s">
        <v>5161</v>
      </c>
      <c r="L215" t="s">
        <v>5162</v>
      </c>
      <c r="M215" s="3" t="str">
        <f>HYPERLINK(СторонТрансп[[#This Row],[RelativePath]])</f>
        <v>5 Крыльцо общага\K07156189_22_20251207T150226Z.jpg</v>
      </c>
    </row>
    <row r="216" spans="1:13" x14ac:dyDescent="0.25">
      <c r="A216" t="s">
        <v>22</v>
      </c>
      <c r="B216" s="4">
        <v>45998</v>
      </c>
      <c r="C216" s="6">
        <v>0.62921296296296292</v>
      </c>
      <c r="D216" s="7" t="s">
        <v>289</v>
      </c>
      <c r="E216" t="s">
        <v>5263</v>
      </c>
      <c r="F216" t="s">
        <v>5093</v>
      </c>
      <c r="H216" t="s">
        <v>2936</v>
      </c>
      <c r="I216" t="s">
        <v>5163</v>
      </c>
      <c r="J216" t="s">
        <v>2982</v>
      </c>
      <c r="K216" t="s">
        <v>5164</v>
      </c>
      <c r="L216" t="s">
        <v>5165</v>
      </c>
      <c r="M216" s="3" t="str">
        <f>HYPERLINK(СторонТрансп[[#This Row],[RelativePath]])</f>
        <v>5 Крыльцо общага\K07156189_22_20251207T150604Z.jpg</v>
      </c>
    </row>
    <row r="217" spans="1:13" x14ac:dyDescent="0.25">
      <c r="A217" t="s">
        <v>22</v>
      </c>
      <c r="B217" s="4">
        <v>45998</v>
      </c>
      <c r="C217" s="6">
        <v>0.63689814814814816</v>
      </c>
      <c r="D217" s="7" t="s">
        <v>289</v>
      </c>
      <c r="E217" t="s">
        <v>5263</v>
      </c>
      <c r="F217" t="s">
        <v>5093</v>
      </c>
      <c r="H217" t="s">
        <v>2936</v>
      </c>
      <c r="I217" t="s">
        <v>5166</v>
      </c>
      <c r="J217" t="s">
        <v>2982</v>
      </c>
      <c r="K217" t="s">
        <v>5167</v>
      </c>
      <c r="L217" t="s">
        <v>5168</v>
      </c>
      <c r="M217" s="3" t="str">
        <f>HYPERLINK(СторонТрансп[[#This Row],[RelativePath]])</f>
        <v>5 Крыльцо общага\K07156189_22_20251207T151708Z.jpg</v>
      </c>
    </row>
    <row r="218" spans="1:13" x14ac:dyDescent="0.25">
      <c r="A218" t="s">
        <v>22</v>
      </c>
      <c r="B218" s="4">
        <v>45998</v>
      </c>
      <c r="C218" s="6">
        <v>0.6521527777777778</v>
      </c>
      <c r="D218" s="7" t="s">
        <v>4232</v>
      </c>
      <c r="E218" t="s">
        <v>5263</v>
      </c>
      <c r="F218" t="s">
        <v>1609</v>
      </c>
      <c r="I218" t="s">
        <v>5169</v>
      </c>
      <c r="J218" t="s">
        <v>2982</v>
      </c>
      <c r="K218" t="s">
        <v>5170</v>
      </c>
      <c r="L218" t="s">
        <v>5171</v>
      </c>
      <c r="M218" s="3" t="str">
        <f>HYPERLINK(СторонТрансп[[#This Row],[RelativePath]])</f>
        <v>5 Крыльцо общага\K07156189_22_20251207T153906Z.jpg</v>
      </c>
    </row>
    <row r="219" spans="1:13" x14ac:dyDescent="0.25">
      <c r="A219" t="s">
        <v>22</v>
      </c>
      <c r="B219" s="4">
        <v>45998</v>
      </c>
      <c r="C219" s="6">
        <v>0.67266203703703709</v>
      </c>
      <c r="D219" s="7" t="s">
        <v>650</v>
      </c>
      <c r="E219" t="s">
        <v>5263</v>
      </c>
      <c r="F219" t="s">
        <v>1609</v>
      </c>
      <c r="I219" t="s">
        <v>5172</v>
      </c>
      <c r="J219" t="s">
        <v>2982</v>
      </c>
      <c r="K219" t="s">
        <v>5173</v>
      </c>
      <c r="L219" t="s">
        <v>5174</v>
      </c>
      <c r="M219" s="3" t="str">
        <f>HYPERLINK(СторонТрансп[[#This Row],[RelativePath]])</f>
        <v>5 Крыльцо общага\K07156189_22_20251207T160838Z.jpg</v>
      </c>
    </row>
    <row r="220" spans="1:13" x14ac:dyDescent="0.25">
      <c r="A220" t="s">
        <v>18</v>
      </c>
      <c r="B220" s="4">
        <v>45990</v>
      </c>
      <c r="C220" s="6">
        <v>0.54023148148148148</v>
      </c>
      <c r="D220" s="7" t="s">
        <v>1606</v>
      </c>
      <c r="E220" t="s">
        <v>4194</v>
      </c>
      <c r="I220" t="s">
        <v>3561</v>
      </c>
      <c r="J220" t="s">
        <v>2984</v>
      </c>
      <c r="K220" t="s">
        <v>3562</v>
      </c>
      <c r="L220" t="s">
        <v>3563</v>
      </c>
      <c r="M220" s="3" t="str">
        <f>HYPERLINK(СторонТрансп[[#This Row],[RelativePath]])</f>
        <v>7 Площадка 2 бетонщики\K07156189_18_20251129T125756Z.jpg</v>
      </c>
    </row>
    <row r="221" spans="1:13" x14ac:dyDescent="0.25">
      <c r="A221" t="s">
        <v>18</v>
      </c>
      <c r="B221" s="4">
        <v>45990</v>
      </c>
      <c r="C221" s="6">
        <v>0.54586805555555551</v>
      </c>
      <c r="D221" s="7" t="s">
        <v>1606</v>
      </c>
      <c r="E221" t="s">
        <v>4217</v>
      </c>
      <c r="I221" t="s">
        <v>3564</v>
      </c>
      <c r="J221" t="s">
        <v>2984</v>
      </c>
      <c r="K221" t="s">
        <v>3565</v>
      </c>
      <c r="L221" t="s">
        <v>3566</v>
      </c>
      <c r="M221" s="3" t="str">
        <f>HYPERLINK(СторонТрансп[[#This Row],[RelativePath]])</f>
        <v>7 Площадка 2 бетонщики\K07156189_18_20251129T130603Z.jpg</v>
      </c>
    </row>
    <row r="222" spans="1:13" x14ac:dyDescent="0.25">
      <c r="A222" t="s">
        <v>18</v>
      </c>
      <c r="B222" s="4">
        <v>45990</v>
      </c>
      <c r="C222" s="6">
        <v>0.55248842592592595</v>
      </c>
      <c r="D222" s="7" t="s">
        <v>289</v>
      </c>
      <c r="E222" t="s">
        <v>4217</v>
      </c>
      <c r="F222" t="s">
        <v>4211</v>
      </c>
      <c r="I222" t="s">
        <v>3567</v>
      </c>
      <c r="J222" t="s">
        <v>2984</v>
      </c>
      <c r="K222" t="s">
        <v>3568</v>
      </c>
      <c r="L222" t="s">
        <v>3569</v>
      </c>
      <c r="M222" s="3" t="str">
        <f>HYPERLINK(СторонТрансп[[#This Row],[RelativePath]])</f>
        <v>7 Площадка 2 бетонщики\K07156189_18_20251129T131535Z.jpg</v>
      </c>
    </row>
    <row r="223" spans="1:13" x14ac:dyDescent="0.25">
      <c r="A223" t="s">
        <v>18</v>
      </c>
      <c r="B223" s="4">
        <v>45990</v>
      </c>
      <c r="C223" s="6">
        <v>0.55314814814814817</v>
      </c>
      <c r="D223" s="7" t="s">
        <v>289</v>
      </c>
      <c r="E223" t="s">
        <v>4217</v>
      </c>
      <c r="F223" t="s">
        <v>4211</v>
      </c>
      <c r="H223" t="s">
        <v>2936</v>
      </c>
      <c r="I223" t="s">
        <v>3570</v>
      </c>
      <c r="J223" t="s">
        <v>2984</v>
      </c>
      <c r="K223" t="s">
        <v>3571</v>
      </c>
      <c r="L223" t="s">
        <v>3572</v>
      </c>
      <c r="M223" s="3" t="str">
        <f>HYPERLINK(СторонТрансп[[#This Row],[RelativePath]])</f>
        <v>7 Площадка 2 бетонщики\K07156189_18_20251129T131632Z.jpg</v>
      </c>
    </row>
    <row r="224" spans="1:13" x14ac:dyDescent="0.25">
      <c r="A224" t="s">
        <v>18</v>
      </c>
      <c r="B224" s="4">
        <v>45990</v>
      </c>
      <c r="C224" s="6">
        <v>0.55888888888888888</v>
      </c>
      <c r="D224" s="7" t="s">
        <v>289</v>
      </c>
      <c r="E224" t="s">
        <v>4217</v>
      </c>
      <c r="F224" t="s">
        <v>4211</v>
      </c>
      <c r="H224" t="s">
        <v>2936</v>
      </c>
      <c r="I224" t="s">
        <v>3573</v>
      </c>
      <c r="J224" t="s">
        <v>2984</v>
      </c>
      <c r="K224" t="s">
        <v>3574</v>
      </c>
      <c r="L224" t="s">
        <v>3575</v>
      </c>
      <c r="M224" s="3" t="str">
        <f>HYPERLINK(СторонТрансп[[#This Row],[RelativePath]])</f>
        <v>7 Площадка 2 бетонщики\K07156189_18_20251129T132448Z.jpg</v>
      </c>
    </row>
    <row r="225" spans="1:13" x14ac:dyDescent="0.25">
      <c r="A225" t="s">
        <v>18</v>
      </c>
      <c r="B225" s="4">
        <v>45990</v>
      </c>
      <c r="C225" s="6">
        <v>0.5607523148148148</v>
      </c>
      <c r="D225" s="7" t="s">
        <v>289</v>
      </c>
      <c r="E225" t="s">
        <v>4217</v>
      </c>
      <c r="F225" t="s">
        <v>4211</v>
      </c>
      <c r="H225" t="s">
        <v>2936</v>
      </c>
      <c r="I225" t="s">
        <v>3576</v>
      </c>
      <c r="J225" t="s">
        <v>2984</v>
      </c>
      <c r="K225" t="s">
        <v>3577</v>
      </c>
      <c r="L225" t="s">
        <v>3578</v>
      </c>
      <c r="M225" s="3" t="str">
        <f>HYPERLINK(СторонТрансп[[#This Row],[RelativePath]])</f>
        <v>7 Площадка 2 бетонщики\K07156189_18_20251129T132729Z.jpg</v>
      </c>
    </row>
    <row r="226" spans="1:13" x14ac:dyDescent="0.25">
      <c r="A226" t="s">
        <v>18</v>
      </c>
      <c r="B226" s="4">
        <v>45990</v>
      </c>
      <c r="C226" s="6">
        <v>0.56593749999999998</v>
      </c>
      <c r="D226" s="7" t="s">
        <v>289</v>
      </c>
      <c r="E226" t="s">
        <v>4217</v>
      </c>
      <c r="F226" t="s">
        <v>4211</v>
      </c>
      <c r="H226" t="s">
        <v>2936</v>
      </c>
      <c r="I226" t="s">
        <v>3579</v>
      </c>
      <c r="J226" t="s">
        <v>2984</v>
      </c>
      <c r="K226" t="s">
        <v>3580</v>
      </c>
      <c r="L226" t="s">
        <v>3581</v>
      </c>
      <c r="M226" s="3" t="str">
        <f>HYPERLINK(СторонТрансп[[#This Row],[RelativePath]])</f>
        <v>7 Площадка 2 бетонщики\K07156189_18_20251129T133457Z.jpg</v>
      </c>
    </row>
    <row r="227" spans="1:13" x14ac:dyDescent="0.25">
      <c r="A227" t="s">
        <v>18</v>
      </c>
      <c r="B227" s="4">
        <v>45990</v>
      </c>
      <c r="C227" s="6">
        <v>0.56846064814814812</v>
      </c>
      <c r="D227" s="7" t="s">
        <v>289</v>
      </c>
      <c r="E227" t="s">
        <v>4217</v>
      </c>
      <c r="F227" t="s">
        <v>4211</v>
      </c>
      <c r="H227" t="s">
        <v>2936</v>
      </c>
      <c r="I227" t="s">
        <v>3582</v>
      </c>
      <c r="J227" t="s">
        <v>2984</v>
      </c>
      <c r="K227" t="s">
        <v>3583</v>
      </c>
      <c r="L227" t="s">
        <v>3584</v>
      </c>
      <c r="M227" s="3" t="str">
        <f>HYPERLINK(СторонТрансп[[#This Row],[RelativePath]])</f>
        <v>7 Площадка 2 бетонщики\K07156189_18_20251129T133835Z.jpg</v>
      </c>
    </row>
    <row r="228" spans="1:13" x14ac:dyDescent="0.25">
      <c r="A228" t="s">
        <v>18</v>
      </c>
      <c r="B228" s="4">
        <v>45990</v>
      </c>
      <c r="C228" s="6">
        <v>0.57168981481481485</v>
      </c>
      <c r="D228" s="7" t="s">
        <v>289</v>
      </c>
      <c r="E228" t="s">
        <v>4217</v>
      </c>
      <c r="F228" t="s">
        <v>4211</v>
      </c>
      <c r="H228" t="s">
        <v>2936</v>
      </c>
      <c r="I228" t="s">
        <v>3585</v>
      </c>
      <c r="J228" t="s">
        <v>2984</v>
      </c>
      <c r="K228" t="s">
        <v>3586</v>
      </c>
      <c r="L228" t="s">
        <v>3587</v>
      </c>
      <c r="M228" s="3" t="str">
        <f>HYPERLINK(СторонТрансп[[#This Row],[RelativePath]])</f>
        <v>7 Площадка 2 бетонщики\K07156189_18_20251129T134314Z.jpg</v>
      </c>
    </row>
    <row r="229" spans="1:13" x14ac:dyDescent="0.25">
      <c r="A229" t="s">
        <v>18</v>
      </c>
      <c r="B229" s="4">
        <v>45990</v>
      </c>
      <c r="C229" s="6">
        <v>0.57275462962962964</v>
      </c>
      <c r="D229" s="7" t="s">
        <v>289</v>
      </c>
      <c r="E229" t="s">
        <v>4217</v>
      </c>
      <c r="F229" t="s">
        <v>4211</v>
      </c>
      <c r="H229" t="s">
        <v>2936</v>
      </c>
      <c r="I229" t="s">
        <v>3588</v>
      </c>
      <c r="J229" t="s">
        <v>2984</v>
      </c>
      <c r="K229" t="s">
        <v>3589</v>
      </c>
      <c r="L229" t="s">
        <v>3590</v>
      </c>
      <c r="M229" s="3" t="str">
        <f>HYPERLINK(СторонТрансп[[#This Row],[RelativePath]])</f>
        <v>7 Площадка 2 бетонщики\K07156189_18_20251129T134446Z.jpg</v>
      </c>
    </row>
    <row r="230" spans="1:13" x14ac:dyDescent="0.25">
      <c r="A230" t="s">
        <v>18</v>
      </c>
      <c r="B230" s="4">
        <v>45990</v>
      </c>
      <c r="C230" s="6">
        <v>0.57449074074074069</v>
      </c>
      <c r="D230" s="7" t="s">
        <v>289</v>
      </c>
      <c r="E230" t="s">
        <v>4217</v>
      </c>
      <c r="F230" t="s">
        <v>4211</v>
      </c>
      <c r="H230" t="s">
        <v>2936</v>
      </c>
      <c r="I230" t="s">
        <v>3591</v>
      </c>
      <c r="J230" t="s">
        <v>2984</v>
      </c>
      <c r="K230" t="s">
        <v>3592</v>
      </c>
      <c r="L230" t="s">
        <v>3593</v>
      </c>
      <c r="M230" s="3" t="str">
        <f>HYPERLINK(СторонТрансп[[#This Row],[RelativePath]])</f>
        <v>7 Площадка 2 бетонщики\K07156189_18_20251129T134716Z.jpg</v>
      </c>
    </row>
    <row r="231" spans="1:13" x14ac:dyDescent="0.25">
      <c r="A231" t="s">
        <v>18</v>
      </c>
      <c r="B231" s="4">
        <v>45990</v>
      </c>
      <c r="C231" s="6">
        <v>0.57677083333333334</v>
      </c>
      <c r="D231" s="7" t="s">
        <v>289</v>
      </c>
      <c r="E231" t="s">
        <v>4217</v>
      </c>
      <c r="F231" t="s">
        <v>4211</v>
      </c>
      <c r="H231" t="s">
        <v>2936</v>
      </c>
      <c r="I231" t="s">
        <v>3594</v>
      </c>
      <c r="J231" t="s">
        <v>2984</v>
      </c>
      <c r="K231" t="s">
        <v>3595</v>
      </c>
      <c r="L231" t="s">
        <v>3596</v>
      </c>
      <c r="M231" s="3" t="str">
        <f>HYPERLINK(СторонТрансп[[#This Row],[RelativePath]])</f>
        <v>7 Площадка 2 бетонщики\K07156189_18_20251129T135033Z.jpg</v>
      </c>
    </row>
    <row r="232" spans="1:13" x14ac:dyDescent="0.25">
      <c r="A232" t="s">
        <v>18</v>
      </c>
      <c r="B232" s="4">
        <v>45990</v>
      </c>
      <c r="C232" s="6">
        <v>0.57995370370370369</v>
      </c>
      <c r="D232" s="7" t="s">
        <v>289</v>
      </c>
      <c r="E232" t="s">
        <v>4217</v>
      </c>
      <c r="F232" t="s">
        <v>4211</v>
      </c>
      <c r="H232" t="s">
        <v>2936</v>
      </c>
      <c r="I232" t="s">
        <v>3597</v>
      </c>
      <c r="J232" t="s">
        <v>2984</v>
      </c>
      <c r="K232" t="s">
        <v>3598</v>
      </c>
      <c r="L232" t="s">
        <v>3599</v>
      </c>
      <c r="M232" s="3" t="str">
        <f>HYPERLINK(СторонТрансп[[#This Row],[RelativePath]])</f>
        <v>7 Площадка 2 бетонщики\K07156189_18_20251129T135508Z.jpg</v>
      </c>
    </row>
    <row r="233" spans="1:13" x14ac:dyDescent="0.25">
      <c r="A233" t="s">
        <v>18</v>
      </c>
      <c r="B233" s="4">
        <v>45990</v>
      </c>
      <c r="C233" s="6">
        <v>0.58212962962962966</v>
      </c>
      <c r="D233" s="7" t="s">
        <v>289</v>
      </c>
      <c r="E233" t="s">
        <v>4217</v>
      </c>
      <c r="F233" t="s">
        <v>4211</v>
      </c>
      <c r="H233" t="s">
        <v>2936</v>
      </c>
      <c r="I233" t="s">
        <v>3600</v>
      </c>
      <c r="J233" t="s">
        <v>2984</v>
      </c>
      <c r="K233" t="s">
        <v>3601</v>
      </c>
      <c r="L233" t="s">
        <v>3602</v>
      </c>
      <c r="M233" s="3" t="str">
        <f>HYPERLINK(СторонТрансп[[#This Row],[RelativePath]])</f>
        <v>7 Площадка 2 бетонщики\K07156189_18_20251129T135816Z.jpg</v>
      </c>
    </row>
    <row r="234" spans="1:13" x14ac:dyDescent="0.25">
      <c r="A234" t="s">
        <v>18</v>
      </c>
      <c r="B234" s="4">
        <v>45990</v>
      </c>
      <c r="C234" s="6">
        <v>0.58278935185185188</v>
      </c>
      <c r="D234" s="7" t="s">
        <v>289</v>
      </c>
      <c r="E234" t="s">
        <v>4217</v>
      </c>
      <c r="F234" t="s">
        <v>4211</v>
      </c>
      <c r="H234" t="s">
        <v>2936</v>
      </c>
      <c r="I234" t="s">
        <v>3603</v>
      </c>
      <c r="J234" t="s">
        <v>2984</v>
      </c>
      <c r="K234" t="s">
        <v>3604</v>
      </c>
      <c r="L234" t="s">
        <v>3605</v>
      </c>
      <c r="M234" s="3" t="str">
        <f>HYPERLINK(СторонТрансп[[#This Row],[RelativePath]])</f>
        <v>7 Площадка 2 бетонщики\K07156189_18_20251129T135913Z.jpg</v>
      </c>
    </row>
    <row r="235" spans="1:13" x14ac:dyDescent="0.25">
      <c r="A235" t="s">
        <v>18</v>
      </c>
      <c r="B235" s="4">
        <v>45990</v>
      </c>
      <c r="C235" s="6">
        <v>0.58450231481481485</v>
      </c>
      <c r="D235" s="7" t="s">
        <v>289</v>
      </c>
      <c r="E235" t="s">
        <v>4217</v>
      </c>
      <c r="F235" t="s">
        <v>4211</v>
      </c>
      <c r="H235" t="s">
        <v>2936</v>
      </c>
      <c r="I235" t="s">
        <v>3606</v>
      </c>
      <c r="J235" t="s">
        <v>2984</v>
      </c>
      <c r="K235" t="s">
        <v>3607</v>
      </c>
      <c r="L235" t="s">
        <v>3608</v>
      </c>
      <c r="M235" s="3" t="str">
        <f>HYPERLINK(СторонТрансп[[#This Row],[RelativePath]])</f>
        <v>7 Площадка 2 бетонщики\K07156189_18_20251129T140141Z.jpg</v>
      </c>
    </row>
    <row r="236" spans="1:13" x14ac:dyDescent="0.25">
      <c r="A236" t="s">
        <v>18</v>
      </c>
      <c r="B236" s="4">
        <v>45990</v>
      </c>
      <c r="C236" s="6">
        <v>0.59234953703703708</v>
      </c>
      <c r="D236" s="7" t="s">
        <v>650</v>
      </c>
      <c r="E236" t="s">
        <v>4217</v>
      </c>
      <c r="F236" t="s">
        <v>4211</v>
      </c>
      <c r="H236" t="s">
        <v>4218</v>
      </c>
      <c r="I236" t="s">
        <v>3609</v>
      </c>
      <c r="J236" t="s">
        <v>2984</v>
      </c>
      <c r="K236" t="s">
        <v>3610</v>
      </c>
      <c r="L236" t="s">
        <v>3611</v>
      </c>
      <c r="M236" s="3" t="str">
        <f>HYPERLINK(СторонТрансп[[#This Row],[RelativePath]])</f>
        <v>7 Площадка 2 бетонщики\K07156189_18_20251129T141259Z.jpg</v>
      </c>
    </row>
    <row r="237" spans="1:13" x14ac:dyDescent="0.25">
      <c r="A237" t="s">
        <v>18</v>
      </c>
      <c r="B237" s="4">
        <v>45990</v>
      </c>
      <c r="C237" s="6">
        <v>0.61375000000000002</v>
      </c>
      <c r="D237" s="7" t="s">
        <v>289</v>
      </c>
      <c r="E237" t="s">
        <v>4194</v>
      </c>
      <c r="F237" t="s">
        <v>4211</v>
      </c>
      <c r="I237" t="s">
        <v>3612</v>
      </c>
      <c r="J237" t="s">
        <v>2984</v>
      </c>
      <c r="K237" t="s">
        <v>3613</v>
      </c>
      <c r="L237" t="s">
        <v>3614</v>
      </c>
      <c r="M237" s="3" t="str">
        <f>HYPERLINK(СторонТрансп[[#This Row],[RelativePath]])</f>
        <v>7 Площадка 2 бетонщики\K07156189_18_20251129T144348Z.jpg</v>
      </c>
    </row>
    <row r="238" spans="1:13" x14ac:dyDescent="0.25">
      <c r="A238" t="s">
        <v>18</v>
      </c>
      <c r="B238" s="4">
        <v>45990</v>
      </c>
      <c r="C238" s="6">
        <v>0.61790509259259263</v>
      </c>
      <c r="D238" s="7" t="s">
        <v>289</v>
      </c>
      <c r="E238" t="s">
        <v>4194</v>
      </c>
      <c r="F238" t="s">
        <v>4211</v>
      </c>
      <c r="H238" t="s">
        <v>2936</v>
      </c>
      <c r="I238" t="s">
        <v>3615</v>
      </c>
      <c r="J238" t="s">
        <v>2984</v>
      </c>
      <c r="K238" t="s">
        <v>3616</v>
      </c>
      <c r="L238" t="s">
        <v>3617</v>
      </c>
      <c r="M238" s="3" t="str">
        <f>HYPERLINK(СторонТрансп[[#This Row],[RelativePath]])</f>
        <v>7 Площадка 2 бетонщики\K07156189_18_20251129T144947Z.jpg</v>
      </c>
    </row>
    <row r="239" spans="1:13" x14ac:dyDescent="0.25">
      <c r="A239" t="s">
        <v>18</v>
      </c>
      <c r="B239" s="4">
        <v>45990</v>
      </c>
      <c r="C239" s="6">
        <v>0.61982638888888886</v>
      </c>
      <c r="D239" s="7" t="s">
        <v>289</v>
      </c>
      <c r="E239" t="s">
        <v>4194</v>
      </c>
      <c r="F239" t="s">
        <v>4211</v>
      </c>
      <c r="H239" t="s">
        <v>2936</v>
      </c>
      <c r="I239" t="s">
        <v>3618</v>
      </c>
      <c r="J239" t="s">
        <v>2984</v>
      </c>
      <c r="K239" t="s">
        <v>3619</v>
      </c>
      <c r="L239" t="s">
        <v>3620</v>
      </c>
      <c r="M239" s="3" t="str">
        <f>HYPERLINK(СторонТрансп[[#This Row],[RelativePath]])</f>
        <v>7 Площадка 2 бетонщики\K07156189_18_20251129T145233Z.jpg</v>
      </c>
    </row>
    <row r="240" spans="1:13" x14ac:dyDescent="0.25">
      <c r="A240" t="s">
        <v>18</v>
      </c>
      <c r="B240" s="4">
        <v>45990</v>
      </c>
      <c r="C240" s="6">
        <v>0.6216666666666667</v>
      </c>
      <c r="D240" s="7" t="s">
        <v>289</v>
      </c>
      <c r="E240" t="s">
        <v>4194</v>
      </c>
      <c r="F240" t="s">
        <v>4211</v>
      </c>
      <c r="H240" t="s">
        <v>2936</v>
      </c>
      <c r="I240" t="s">
        <v>3621</v>
      </c>
      <c r="J240" t="s">
        <v>2984</v>
      </c>
      <c r="K240" t="s">
        <v>3622</v>
      </c>
      <c r="L240" t="s">
        <v>3623</v>
      </c>
      <c r="M240" s="3" t="str">
        <f>HYPERLINK(СторонТрансп[[#This Row],[RelativePath]])</f>
        <v>7 Площадка 2 бетонщики\K07156189_18_20251129T145512Z.jpg</v>
      </c>
    </row>
    <row r="241" spans="1:13" x14ac:dyDescent="0.25">
      <c r="A241" t="s">
        <v>18</v>
      </c>
      <c r="B241" s="4">
        <v>45990</v>
      </c>
      <c r="C241" s="6">
        <v>0.62410879629629634</v>
      </c>
      <c r="D241" s="7" t="s">
        <v>289</v>
      </c>
      <c r="E241" t="s">
        <v>4194</v>
      </c>
      <c r="F241" t="s">
        <v>4211</v>
      </c>
      <c r="H241" t="s">
        <v>2936</v>
      </c>
      <c r="I241" t="s">
        <v>3624</v>
      </c>
      <c r="J241" t="s">
        <v>2984</v>
      </c>
      <c r="K241" t="s">
        <v>3625</v>
      </c>
      <c r="L241" t="s">
        <v>3626</v>
      </c>
      <c r="M241" s="3" t="str">
        <f>HYPERLINK(СторонТрансп[[#This Row],[RelativePath]])</f>
        <v>7 Площадка 2 бетонщики\K07156189_18_20251129T145843Z.jpg</v>
      </c>
    </row>
    <row r="242" spans="1:13" x14ac:dyDescent="0.25">
      <c r="A242" t="s">
        <v>18</v>
      </c>
      <c r="B242" s="4">
        <v>45990</v>
      </c>
      <c r="C242" s="6">
        <v>0.62604166666666672</v>
      </c>
      <c r="D242" s="7" t="s">
        <v>289</v>
      </c>
      <c r="E242" t="s">
        <v>4194</v>
      </c>
      <c r="F242" t="s">
        <v>4211</v>
      </c>
      <c r="H242" t="s">
        <v>2936</v>
      </c>
      <c r="I242" t="s">
        <v>3627</v>
      </c>
      <c r="J242" t="s">
        <v>2984</v>
      </c>
      <c r="K242" t="s">
        <v>3628</v>
      </c>
      <c r="L242" t="s">
        <v>3629</v>
      </c>
      <c r="M242" s="3" t="str">
        <f>HYPERLINK(СторонТрансп[[#This Row],[RelativePath]])</f>
        <v>7 Площадка 2 бетонщики\K07156189_18_20251129T150130Z.jpg</v>
      </c>
    </row>
    <row r="243" spans="1:13" x14ac:dyDescent="0.25">
      <c r="A243" t="s">
        <v>18</v>
      </c>
      <c r="B243" s="4">
        <v>45990</v>
      </c>
      <c r="C243" s="6">
        <v>0.63124999999999998</v>
      </c>
      <c r="D243" s="7" t="s">
        <v>289</v>
      </c>
      <c r="E243" t="s">
        <v>4194</v>
      </c>
      <c r="F243" t="s">
        <v>4211</v>
      </c>
      <c r="H243" t="s">
        <v>2936</v>
      </c>
      <c r="I243" t="s">
        <v>3630</v>
      </c>
      <c r="J243" t="s">
        <v>2984</v>
      </c>
      <c r="K243" t="s">
        <v>3631</v>
      </c>
      <c r="L243" t="s">
        <v>3632</v>
      </c>
      <c r="M243" s="3" t="str">
        <f>HYPERLINK(СторонТрансп[[#This Row],[RelativePath]])</f>
        <v>7 Площадка 2 бетонщики\K07156189_18_20251129T150900Z.jpg</v>
      </c>
    </row>
    <row r="244" spans="1:13" x14ac:dyDescent="0.25">
      <c r="A244" t="s">
        <v>18</v>
      </c>
      <c r="B244" s="4">
        <v>45990</v>
      </c>
      <c r="C244" s="6">
        <v>0.6338773148148148</v>
      </c>
      <c r="D244" s="7" t="s">
        <v>289</v>
      </c>
      <c r="E244" t="s">
        <v>4194</v>
      </c>
      <c r="F244" t="s">
        <v>4211</v>
      </c>
      <c r="H244" t="s">
        <v>2936</v>
      </c>
      <c r="I244" t="s">
        <v>3633</v>
      </c>
      <c r="J244" t="s">
        <v>2984</v>
      </c>
      <c r="K244" t="s">
        <v>3634</v>
      </c>
      <c r="L244" t="s">
        <v>3635</v>
      </c>
      <c r="M244" s="3" t="str">
        <f>HYPERLINK(СторонТрансп[[#This Row],[RelativePath]])</f>
        <v>7 Площадка 2 бетонщики\K07156189_18_20251129T151247Z.jpg</v>
      </c>
    </row>
    <row r="245" spans="1:13" x14ac:dyDescent="0.25">
      <c r="A245" t="s">
        <v>18</v>
      </c>
      <c r="B245" s="4">
        <v>45990</v>
      </c>
      <c r="C245" s="6">
        <v>0.63736111111111116</v>
      </c>
      <c r="D245" s="7" t="s">
        <v>289</v>
      </c>
      <c r="E245" t="s">
        <v>4194</v>
      </c>
      <c r="F245" t="s">
        <v>4211</v>
      </c>
      <c r="H245" t="s">
        <v>2936</v>
      </c>
      <c r="I245" t="s">
        <v>3636</v>
      </c>
      <c r="J245" t="s">
        <v>2984</v>
      </c>
      <c r="K245" t="s">
        <v>3637</v>
      </c>
      <c r="L245" t="s">
        <v>3638</v>
      </c>
      <c r="M245" s="3" t="str">
        <f>HYPERLINK(СторонТрансп[[#This Row],[RelativePath]])</f>
        <v>7 Площадка 2 бетонщики\K07156189_18_20251129T151748Z.jpg</v>
      </c>
    </row>
    <row r="246" spans="1:13" x14ac:dyDescent="0.25">
      <c r="A246" t="s">
        <v>18</v>
      </c>
      <c r="B246" s="4">
        <v>45990</v>
      </c>
      <c r="C246" s="6">
        <v>0.63914351851851847</v>
      </c>
      <c r="D246" s="7" t="s">
        <v>289</v>
      </c>
      <c r="E246" t="s">
        <v>4194</v>
      </c>
      <c r="F246" t="s">
        <v>4211</v>
      </c>
      <c r="H246" t="s">
        <v>2936</v>
      </c>
      <c r="I246" t="s">
        <v>3639</v>
      </c>
      <c r="J246" t="s">
        <v>2984</v>
      </c>
      <c r="K246" t="s">
        <v>3640</v>
      </c>
      <c r="L246" t="s">
        <v>3641</v>
      </c>
      <c r="M246" s="3" t="str">
        <f>HYPERLINK(СторонТрансп[[#This Row],[RelativePath]])</f>
        <v>7 Площадка 2 бетонщики\K07156189_18_20251129T152022Z.jpg</v>
      </c>
    </row>
    <row r="247" spans="1:13" x14ac:dyDescent="0.25">
      <c r="A247" t="s">
        <v>18</v>
      </c>
      <c r="B247" s="4">
        <v>45990</v>
      </c>
      <c r="C247" s="6">
        <v>0.64195601851851847</v>
      </c>
      <c r="D247" s="7" t="s">
        <v>289</v>
      </c>
      <c r="E247" t="s">
        <v>4194</v>
      </c>
      <c r="F247" t="s">
        <v>4211</v>
      </c>
      <c r="H247" t="s">
        <v>2936</v>
      </c>
      <c r="I247" t="s">
        <v>3642</v>
      </c>
      <c r="J247" t="s">
        <v>2984</v>
      </c>
      <c r="K247" t="s">
        <v>3643</v>
      </c>
      <c r="L247" t="s">
        <v>3644</v>
      </c>
      <c r="M247" s="3" t="str">
        <f>HYPERLINK(СторонТрансп[[#This Row],[RelativePath]])</f>
        <v>7 Площадка 2 бетонщики\K07156189_18_20251129T152425Z.jpg</v>
      </c>
    </row>
    <row r="248" spans="1:13" x14ac:dyDescent="0.25">
      <c r="A248" t="s">
        <v>18</v>
      </c>
      <c r="B248" s="4">
        <v>45990</v>
      </c>
      <c r="C248" s="6">
        <v>0.64386574074074077</v>
      </c>
      <c r="D248" s="7" t="s">
        <v>289</v>
      </c>
      <c r="E248" t="s">
        <v>4194</v>
      </c>
      <c r="F248" t="s">
        <v>87</v>
      </c>
      <c r="I248" t="s">
        <v>3645</v>
      </c>
      <c r="J248" t="s">
        <v>2984</v>
      </c>
      <c r="K248" t="s">
        <v>3646</v>
      </c>
      <c r="L248" t="s">
        <v>3647</v>
      </c>
      <c r="M248" s="3" t="str">
        <f>HYPERLINK(СторонТрансп[[#This Row],[RelativePath]])</f>
        <v>7 Площадка 2 бетонщики\K07156189_18_20251129T152710Z.jpg</v>
      </c>
    </row>
    <row r="249" spans="1:13" x14ac:dyDescent="0.25">
      <c r="A249" t="s">
        <v>18</v>
      </c>
      <c r="B249" s="4">
        <v>45990</v>
      </c>
      <c r="C249" s="6">
        <v>0.64961805555555552</v>
      </c>
      <c r="D249" s="7" t="s">
        <v>1606</v>
      </c>
      <c r="E249" t="s">
        <v>4195</v>
      </c>
      <c r="I249" t="s">
        <v>3648</v>
      </c>
      <c r="J249" t="s">
        <v>2984</v>
      </c>
      <c r="K249" t="s">
        <v>3649</v>
      </c>
      <c r="L249" t="s">
        <v>3377</v>
      </c>
      <c r="M249" s="3" t="str">
        <f>HYPERLINK(СторонТрансп[[#This Row],[RelativePath]])</f>
        <v>7 Площадка 2 бетонщики\K07156189_18_20251129T153527Z.jpg</v>
      </c>
    </row>
    <row r="250" spans="1:13" x14ac:dyDescent="0.25">
      <c r="A250" t="s">
        <v>18</v>
      </c>
      <c r="B250" s="4">
        <v>45990</v>
      </c>
      <c r="C250" s="6">
        <v>0.64981481481481485</v>
      </c>
      <c r="D250" s="7" t="s">
        <v>1606</v>
      </c>
      <c r="E250" t="s">
        <v>4195</v>
      </c>
      <c r="H250" t="s">
        <v>2936</v>
      </c>
      <c r="I250" t="s">
        <v>3650</v>
      </c>
      <c r="J250" t="s">
        <v>2984</v>
      </c>
      <c r="K250" t="s">
        <v>3651</v>
      </c>
      <c r="L250" t="s">
        <v>3652</v>
      </c>
      <c r="M250" s="3" t="str">
        <f>HYPERLINK(СторонТрансп[[#This Row],[RelativePath]])</f>
        <v>7 Площадка 2 бетонщики\K07156189_18_20251129T153544Z.jpg</v>
      </c>
    </row>
    <row r="251" spans="1:13" x14ac:dyDescent="0.25">
      <c r="A251" t="s">
        <v>18</v>
      </c>
      <c r="B251" s="4">
        <v>45990</v>
      </c>
      <c r="C251" s="6">
        <v>0.65312499999999996</v>
      </c>
      <c r="D251" s="7" t="s">
        <v>289</v>
      </c>
      <c r="E251" t="s">
        <v>4195</v>
      </c>
      <c r="F251" t="s">
        <v>4211</v>
      </c>
      <c r="I251" t="s">
        <v>3653</v>
      </c>
      <c r="J251" t="s">
        <v>2984</v>
      </c>
      <c r="K251" t="s">
        <v>3654</v>
      </c>
      <c r="L251" t="s">
        <v>3655</v>
      </c>
      <c r="M251" s="3" t="str">
        <f>HYPERLINK(СторонТрансп[[#This Row],[RelativePath]])</f>
        <v>7 Площадка 2 бетонщики\K07156189_18_20251129T154030Z.jpg</v>
      </c>
    </row>
    <row r="252" spans="1:13" x14ac:dyDescent="0.25">
      <c r="A252" t="s">
        <v>18</v>
      </c>
      <c r="B252" s="4">
        <v>45990</v>
      </c>
      <c r="C252" s="6">
        <v>0.65543981481481484</v>
      </c>
      <c r="D252" s="7" t="s">
        <v>289</v>
      </c>
      <c r="E252" t="s">
        <v>4195</v>
      </c>
      <c r="F252" t="s">
        <v>4211</v>
      </c>
      <c r="H252" t="s">
        <v>2936</v>
      </c>
      <c r="I252" t="s">
        <v>3656</v>
      </c>
      <c r="J252" t="s">
        <v>2984</v>
      </c>
      <c r="K252" t="s">
        <v>3657</v>
      </c>
      <c r="L252" t="s">
        <v>3658</v>
      </c>
      <c r="M252" s="3" t="str">
        <f>HYPERLINK(СторонТрансп[[#This Row],[RelativePath]])</f>
        <v>7 Площадка 2 бетонщики\K07156189_18_20251129T154350Z.jpg</v>
      </c>
    </row>
    <row r="253" spans="1:13" x14ac:dyDescent="0.25">
      <c r="A253" t="s">
        <v>18</v>
      </c>
      <c r="B253" s="4">
        <v>45990</v>
      </c>
      <c r="C253" s="6">
        <v>0.65699074074074071</v>
      </c>
      <c r="D253" s="7" t="s">
        <v>289</v>
      </c>
      <c r="E253" t="s">
        <v>4195</v>
      </c>
      <c r="F253" t="s">
        <v>4211</v>
      </c>
      <c r="H253" t="s">
        <v>2936</v>
      </c>
      <c r="I253" t="s">
        <v>3659</v>
      </c>
      <c r="J253" t="s">
        <v>2984</v>
      </c>
      <c r="K253" t="s">
        <v>3660</v>
      </c>
      <c r="L253" t="s">
        <v>3661</v>
      </c>
      <c r="M253" s="3" t="str">
        <f>HYPERLINK(СторонТрансп[[#This Row],[RelativePath]])</f>
        <v>7 Площадка 2 бетонщики\K07156189_18_20251129T154604Z.jpg</v>
      </c>
    </row>
    <row r="254" spans="1:13" x14ac:dyDescent="0.25">
      <c r="A254" t="s">
        <v>18</v>
      </c>
      <c r="B254" s="4">
        <v>45990</v>
      </c>
      <c r="C254" s="6">
        <v>0.65927083333333336</v>
      </c>
      <c r="D254" s="7" t="s">
        <v>289</v>
      </c>
      <c r="E254" t="s">
        <v>4195</v>
      </c>
      <c r="F254" t="s">
        <v>4211</v>
      </c>
      <c r="H254" t="s">
        <v>2936</v>
      </c>
      <c r="I254" t="s">
        <v>3662</v>
      </c>
      <c r="J254" t="s">
        <v>2984</v>
      </c>
      <c r="K254" t="s">
        <v>3663</v>
      </c>
      <c r="L254" t="s">
        <v>3664</v>
      </c>
      <c r="M254" s="3" t="str">
        <f>HYPERLINK(СторонТрансп[[#This Row],[RelativePath]])</f>
        <v>7 Площадка 2 бетонщики\K07156189_18_20251129T154921Z.jpg</v>
      </c>
    </row>
    <row r="255" spans="1:13" x14ac:dyDescent="0.25">
      <c r="A255" t="s">
        <v>18</v>
      </c>
      <c r="B255" s="4">
        <v>45990</v>
      </c>
      <c r="C255" s="6">
        <v>0.66106481481481483</v>
      </c>
      <c r="D255" s="7" t="s">
        <v>289</v>
      </c>
      <c r="E255" t="s">
        <v>4195</v>
      </c>
      <c r="F255" t="s">
        <v>4211</v>
      </c>
      <c r="H255" t="s">
        <v>2936</v>
      </c>
      <c r="I255" t="s">
        <v>3665</v>
      </c>
      <c r="J255" t="s">
        <v>2984</v>
      </c>
      <c r="K255" t="s">
        <v>3666</v>
      </c>
      <c r="L255" t="s">
        <v>3667</v>
      </c>
      <c r="M255" s="3" t="str">
        <f>HYPERLINK(СторонТрансп[[#This Row],[RelativePath]])</f>
        <v>7 Площадка 2 бетонщики\K07156189_18_20251129T155156Z.jpg</v>
      </c>
    </row>
    <row r="256" spans="1:13" x14ac:dyDescent="0.25">
      <c r="A256" t="s">
        <v>18</v>
      </c>
      <c r="B256" s="4">
        <v>45990</v>
      </c>
      <c r="C256" s="6">
        <v>0.66378472222222218</v>
      </c>
      <c r="D256" s="7" t="s">
        <v>289</v>
      </c>
      <c r="E256" t="s">
        <v>4195</v>
      </c>
      <c r="F256" t="s">
        <v>4211</v>
      </c>
      <c r="H256" t="s">
        <v>2936</v>
      </c>
      <c r="I256" t="s">
        <v>3668</v>
      </c>
      <c r="J256" t="s">
        <v>2984</v>
      </c>
      <c r="K256" t="s">
        <v>3669</v>
      </c>
      <c r="L256" t="s">
        <v>3670</v>
      </c>
      <c r="M256" s="3" t="str">
        <f>HYPERLINK(СторонТрансп[[#This Row],[RelativePath]])</f>
        <v>7 Площадка 2 бетонщики\K07156189_18_20251129T155551Z.jpg</v>
      </c>
    </row>
    <row r="257" spans="1:13" x14ac:dyDescent="0.25">
      <c r="A257" t="s">
        <v>18</v>
      </c>
      <c r="B257" s="4">
        <v>45990</v>
      </c>
      <c r="C257" s="6">
        <v>0.66733796296296299</v>
      </c>
      <c r="D257" s="7" t="s">
        <v>289</v>
      </c>
      <c r="E257" t="s">
        <v>4195</v>
      </c>
      <c r="F257" t="s">
        <v>4211</v>
      </c>
      <c r="H257" t="s">
        <v>2936</v>
      </c>
      <c r="I257" t="s">
        <v>3671</v>
      </c>
      <c r="J257" t="s">
        <v>2984</v>
      </c>
      <c r="K257" t="s">
        <v>3672</v>
      </c>
      <c r="L257" t="s">
        <v>3673</v>
      </c>
      <c r="M257" s="3" t="str">
        <f>HYPERLINK(СторонТрансп[[#This Row],[RelativePath]])</f>
        <v>7 Площадка 2 бетонщики\K07156189_18_20251129T160058Z.jpg</v>
      </c>
    </row>
    <row r="258" spans="1:13" x14ac:dyDescent="0.25">
      <c r="A258" t="s">
        <v>18</v>
      </c>
      <c r="B258" s="4">
        <v>45990</v>
      </c>
      <c r="C258" s="6">
        <v>0.66971064814814818</v>
      </c>
      <c r="D258" s="7" t="s">
        <v>289</v>
      </c>
      <c r="E258" t="s">
        <v>4195</v>
      </c>
      <c r="F258" t="s">
        <v>4211</v>
      </c>
      <c r="H258" t="s">
        <v>2936</v>
      </c>
      <c r="I258" t="s">
        <v>3674</v>
      </c>
      <c r="J258" t="s">
        <v>2984</v>
      </c>
      <c r="K258" t="s">
        <v>3675</v>
      </c>
      <c r="L258" t="s">
        <v>3676</v>
      </c>
      <c r="M258" s="3" t="str">
        <f>HYPERLINK(СторонТрансп[[#This Row],[RelativePath]])</f>
        <v>7 Площадка 2 бетонщики\K07156189_18_20251129T160423Z.jpg</v>
      </c>
    </row>
    <row r="259" spans="1:13" x14ac:dyDescent="0.25">
      <c r="A259" t="s">
        <v>18</v>
      </c>
      <c r="B259" s="4">
        <v>45990</v>
      </c>
      <c r="C259" s="6">
        <v>0.67155092592592591</v>
      </c>
      <c r="D259" s="7" t="s">
        <v>289</v>
      </c>
      <c r="E259" t="s">
        <v>4195</v>
      </c>
      <c r="F259" t="s">
        <v>4211</v>
      </c>
      <c r="H259" t="s">
        <v>2936</v>
      </c>
      <c r="I259" t="s">
        <v>3677</v>
      </c>
      <c r="J259" t="s">
        <v>2984</v>
      </c>
      <c r="K259" t="s">
        <v>3678</v>
      </c>
      <c r="L259" t="s">
        <v>3679</v>
      </c>
      <c r="M259" s="3" t="str">
        <f>HYPERLINK(СторонТрансп[[#This Row],[RelativePath]])</f>
        <v>7 Площадка 2 бетонщики\K07156189_18_20251129T160702Z.jpg</v>
      </c>
    </row>
    <row r="260" spans="1:13" x14ac:dyDescent="0.25">
      <c r="A260" t="s">
        <v>18</v>
      </c>
      <c r="B260" s="4">
        <v>45990</v>
      </c>
      <c r="C260" s="6">
        <v>0.67405092592592597</v>
      </c>
      <c r="D260" s="7" t="s">
        <v>289</v>
      </c>
      <c r="E260" t="s">
        <v>4195</v>
      </c>
      <c r="F260" t="s">
        <v>4211</v>
      </c>
      <c r="H260" t="s">
        <v>2936</v>
      </c>
      <c r="I260" t="s">
        <v>3680</v>
      </c>
      <c r="J260" t="s">
        <v>2984</v>
      </c>
      <c r="K260" t="s">
        <v>3681</v>
      </c>
      <c r="L260" t="s">
        <v>3682</v>
      </c>
      <c r="M260" s="3" t="str">
        <f>HYPERLINK(СторонТрансп[[#This Row],[RelativePath]])</f>
        <v>7 Площадка 2 бетонщики\K07156189_18_20251129T161038Z.jpg</v>
      </c>
    </row>
    <row r="261" spans="1:13" x14ac:dyDescent="0.25">
      <c r="A261" t="s">
        <v>18</v>
      </c>
      <c r="B261" s="4">
        <v>45990</v>
      </c>
      <c r="C261" s="6">
        <v>0.67570601851851853</v>
      </c>
      <c r="D261" s="7" t="s">
        <v>289</v>
      </c>
      <c r="E261" t="s">
        <v>4195</v>
      </c>
      <c r="F261" t="s">
        <v>4211</v>
      </c>
      <c r="H261" t="s">
        <v>2936</v>
      </c>
      <c r="I261" t="s">
        <v>3683</v>
      </c>
      <c r="J261" t="s">
        <v>2984</v>
      </c>
      <c r="K261" t="s">
        <v>3684</v>
      </c>
      <c r="L261" t="s">
        <v>3685</v>
      </c>
      <c r="M261" s="3" t="str">
        <f>HYPERLINK(СторонТрансп[[#This Row],[RelativePath]])</f>
        <v>7 Площадка 2 бетонщики\K07156189_18_20251129T161301Z.jpg</v>
      </c>
    </row>
    <row r="262" spans="1:13" x14ac:dyDescent="0.25">
      <c r="A262" t="s">
        <v>18</v>
      </c>
      <c r="B262" s="4">
        <v>45990</v>
      </c>
      <c r="C262" s="6">
        <v>0.67623842592592598</v>
      </c>
      <c r="D262" s="7" t="s">
        <v>289</v>
      </c>
      <c r="E262" t="s">
        <v>4195</v>
      </c>
      <c r="F262" t="s">
        <v>4211</v>
      </c>
      <c r="H262" t="s">
        <v>2936</v>
      </c>
      <c r="I262" t="s">
        <v>3686</v>
      </c>
      <c r="J262" t="s">
        <v>2984</v>
      </c>
      <c r="K262" t="s">
        <v>3687</v>
      </c>
      <c r="L262" t="s">
        <v>3688</v>
      </c>
      <c r="M262" s="3" t="str">
        <f>HYPERLINK(СторонТрансп[[#This Row],[RelativePath]])</f>
        <v>7 Площадка 2 бетонщики\K07156189_18_20251129T161347Z.jpg</v>
      </c>
    </row>
    <row r="263" spans="1:13" x14ac:dyDescent="0.25">
      <c r="A263" t="s">
        <v>18</v>
      </c>
      <c r="B263" s="4">
        <v>45990</v>
      </c>
      <c r="C263" s="6">
        <v>0.67753472222222222</v>
      </c>
      <c r="D263" s="7" t="s">
        <v>289</v>
      </c>
      <c r="E263" t="s">
        <v>4195</v>
      </c>
      <c r="F263" t="s">
        <v>4211</v>
      </c>
      <c r="H263" t="s">
        <v>2936</v>
      </c>
      <c r="I263" t="s">
        <v>3689</v>
      </c>
      <c r="J263" t="s">
        <v>2984</v>
      </c>
      <c r="K263" t="s">
        <v>3690</v>
      </c>
      <c r="L263" t="s">
        <v>3691</v>
      </c>
      <c r="M263" s="3" t="str">
        <f>HYPERLINK(СторонТрансп[[#This Row],[RelativePath]])</f>
        <v>7 Площадка 2 бетонщики\K07156189_18_20251129T161539Z.jpg</v>
      </c>
    </row>
    <row r="264" spans="1:13" x14ac:dyDescent="0.25">
      <c r="A264" t="s">
        <v>18</v>
      </c>
      <c r="B264" s="4">
        <v>45990</v>
      </c>
      <c r="C264" s="6">
        <v>0.68038194444444444</v>
      </c>
      <c r="D264" s="7" t="s">
        <v>289</v>
      </c>
      <c r="E264" t="s">
        <v>4195</v>
      </c>
      <c r="F264" t="s">
        <v>4211</v>
      </c>
      <c r="H264" t="s">
        <v>2936</v>
      </c>
      <c r="I264" t="s">
        <v>3692</v>
      </c>
      <c r="J264" t="s">
        <v>2984</v>
      </c>
      <c r="K264" t="s">
        <v>3693</v>
      </c>
      <c r="L264" t="s">
        <v>3694</v>
      </c>
      <c r="M264" s="3" t="str">
        <f>HYPERLINK(СторонТрансп[[#This Row],[RelativePath]])</f>
        <v>7 Площадка 2 бетонщики\K07156189_18_20251129T161945Z.jpg</v>
      </c>
    </row>
    <row r="265" spans="1:13" x14ac:dyDescent="0.25">
      <c r="A265" t="s">
        <v>18</v>
      </c>
      <c r="B265" s="4">
        <v>45990</v>
      </c>
      <c r="C265" s="6">
        <v>0.68329861111111112</v>
      </c>
      <c r="D265" s="7" t="s">
        <v>289</v>
      </c>
      <c r="E265" t="s">
        <v>4195</v>
      </c>
      <c r="F265" t="s">
        <v>4211</v>
      </c>
      <c r="H265" t="s">
        <v>2936</v>
      </c>
      <c r="I265" t="s">
        <v>3695</v>
      </c>
      <c r="J265" t="s">
        <v>2984</v>
      </c>
      <c r="K265" t="s">
        <v>3696</v>
      </c>
      <c r="L265" t="s">
        <v>3697</v>
      </c>
      <c r="M265" s="3" t="str">
        <f>HYPERLINK(СторонТрансп[[#This Row],[RelativePath]])</f>
        <v>7 Площадка 2 бетонщики\K07156189_18_20251129T162357Z.jpg</v>
      </c>
    </row>
    <row r="266" spans="1:13" x14ac:dyDescent="0.25">
      <c r="A266" t="s">
        <v>18</v>
      </c>
      <c r="B266" s="4">
        <v>45990</v>
      </c>
      <c r="C266" s="6">
        <v>0.68376157407407412</v>
      </c>
      <c r="D266" s="7" t="s">
        <v>289</v>
      </c>
      <c r="E266" t="s">
        <v>4195</v>
      </c>
      <c r="F266" t="s">
        <v>4211</v>
      </c>
      <c r="H266" t="s">
        <v>2936</v>
      </c>
      <c r="I266" t="s">
        <v>3698</v>
      </c>
      <c r="J266" t="s">
        <v>2984</v>
      </c>
      <c r="K266" t="s">
        <v>3699</v>
      </c>
      <c r="L266" t="s">
        <v>3700</v>
      </c>
      <c r="M266" s="3" t="str">
        <f>HYPERLINK(СторонТрансп[[#This Row],[RelativePath]])</f>
        <v>7 Площадка 2 бетонщики\K07156189_18_20251129T162437Z.jpg</v>
      </c>
    </row>
    <row r="267" spans="1:13" x14ac:dyDescent="0.25">
      <c r="A267" t="s">
        <v>18</v>
      </c>
      <c r="B267" s="4">
        <v>45990</v>
      </c>
      <c r="C267" s="6">
        <v>0.68625000000000003</v>
      </c>
      <c r="D267" s="7" t="s">
        <v>289</v>
      </c>
      <c r="E267" t="s">
        <v>4195</v>
      </c>
      <c r="F267" t="s">
        <v>4211</v>
      </c>
      <c r="H267" t="s">
        <v>2936</v>
      </c>
      <c r="I267" t="s">
        <v>3701</v>
      </c>
      <c r="J267" t="s">
        <v>2984</v>
      </c>
      <c r="K267" t="s">
        <v>3702</v>
      </c>
      <c r="L267" t="s">
        <v>3703</v>
      </c>
      <c r="M267" s="3" t="str">
        <f>HYPERLINK(СторонТрансп[[#This Row],[RelativePath]])</f>
        <v>7 Площадка 2 бетонщики\K07156189_18_20251129T162812Z.jpg</v>
      </c>
    </row>
    <row r="268" spans="1:13" x14ac:dyDescent="0.25">
      <c r="A268" t="s">
        <v>18</v>
      </c>
      <c r="B268" s="4">
        <v>45990</v>
      </c>
      <c r="C268" s="6">
        <v>0.68951388888888887</v>
      </c>
      <c r="D268" s="7" t="s">
        <v>289</v>
      </c>
      <c r="E268" t="s">
        <v>4195</v>
      </c>
      <c r="F268" t="s">
        <v>4211</v>
      </c>
      <c r="H268" t="s">
        <v>2936</v>
      </c>
      <c r="I268" t="s">
        <v>3704</v>
      </c>
      <c r="J268" t="s">
        <v>2984</v>
      </c>
      <c r="K268" t="s">
        <v>3705</v>
      </c>
      <c r="L268" t="s">
        <v>3706</v>
      </c>
      <c r="M268" s="3" t="str">
        <f>HYPERLINK(СторонТрансп[[#This Row],[RelativePath]])</f>
        <v>7 Площадка 2 бетонщики\K07156189_18_20251129T163254Z.jpg</v>
      </c>
    </row>
    <row r="269" spans="1:13" x14ac:dyDescent="0.25">
      <c r="A269" t="s">
        <v>18</v>
      </c>
      <c r="B269" s="4">
        <v>45990</v>
      </c>
      <c r="C269" s="6">
        <v>0.6917592592592593</v>
      </c>
      <c r="D269" s="7" t="s">
        <v>289</v>
      </c>
      <c r="E269" t="s">
        <v>4195</v>
      </c>
      <c r="F269" t="s">
        <v>4211</v>
      </c>
      <c r="H269" t="s">
        <v>2936</v>
      </c>
      <c r="I269" t="s">
        <v>3707</v>
      </c>
      <c r="J269" t="s">
        <v>2984</v>
      </c>
      <c r="K269" t="s">
        <v>3708</v>
      </c>
      <c r="L269" t="s">
        <v>3709</v>
      </c>
      <c r="M269" s="3" t="str">
        <f>HYPERLINK(СторонТрансп[[#This Row],[RelativePath]])</f>
        <v>7 Площадка 2 бетонщики\K07156189_18_20251129T163608Z.jpg</v>
      </c>
    </row>
    <row r="270" spans="1:13" x14ac:dyDescent="0.25">
      <c r="A270" t="s">
        <v>18</v>
      </c>
      <c r="B270" s="4">
        <v>45990</v>
      </c>
      <c r="C270" s="6">
        <v>0.69224537037037037</v>
      </c>
      <c r="D270" s="7" t="s">
        <v>289</v>
      </c>
      <c r="E270" t="s">
        <v>4195</v>
      </c>
      <c r="F270" t="s">
        <v>4211</v>
      </c>
      <c r="H270" t="s">
        <v>2936</v>
      </c>
      <c r="I270" t="s">
        <v>3710</v>
      </c>
      <c r="J270" t="s">
        <v>2984</v>
      </c>
      <c r="K270" t="s">
        <v>3711</v>
      </c>
      <c r="L270" t="s">
        <v>3712</v>
      </c>
      <c r="M270" s="3" t="str">
        <f>HYPERLINK(СторонТрансп[[#This Row],[RelativePath]])</f>
        <v>7 Площадка 2 бетонщики\K07156189_18_20251129T163650Z.jpg</v>
      </c>
    </row>
    <row r="271" spans="1:13" x14ac:dyDescent="0.25">
      <c r="A271" t="s">
        <v>18</v>
      </c>
      <c r="B271" s="4">
        <v>45990</v>
      </c>
      <c r="C271" s="6">
        <v>0.703587962962963</v>
      </c>
      <c r="D271" s="7" t="s">
        <v>471</v>
      </c>
      <c r="E271" t="s">
        <v>4195</v>
      </c>
      <c r="I271" t="s">
        <v>3713</v>
      </c>
      <c r="J271" t="s">
        <v>2984</v>
      </c>
      <c r="K271" t="s">
        <v>3714</v>
      </c>
      <c r="L271" t="s">
        <v>3715</v>
      </c>
      <c r="M271" s="3" t="str">
        <f>HYPERLINK(СторонТрансп[[#This Row],[RelativePath]])</f>
        <v>7 Площадка 2 бетонщики\K07156189_18_20251129T165310Z.jpg</v>
      </c>
    </row>
    <row r="272" spans="1:13" x14ac:dyDescent="0.25">
      <c r="A272" t="s">
        <v>18</v>
      </c>
      <c r="B272" s="4">
        <v>45990</v>
      </c>
      <c r="C272" s="6">
        <v>0.71069444444444441</v>
      </c>
      <c r="D272" s="7" t="s">
        <v>650</v>
      </c>
      <c r="E272" t="s">
        <v>4195</v>
      </c>
      <c r="F272" t="s">
        <v>4211</v>
      </c>
      <c r="H272" t="s">
        <v>4219</v>
      </c>
      <c r="I272" t="s">
        <v>3716</v>
      </c>
      <c r="J272" t="s">
        <v>2984</v>
      </c>
      <c r="K272" t="s">
        <v>3717</v>
      </c>
      <c r="L272" t="s">
        <v>3467</v>
      </c>
      <c r="M272" s="3" t="str">
        <f>HYPERLINK(СторонТрансп[[#This Row],[RelativePath]])</f>
        <v>7 Площадка 2 бетонщики\K07156189_18_20251129T170324Z.jpg</v>
      </c>
    </row>
    <row r="273" spans="1:13" x14ac:dyDescent="0.25">
      <c r="A273" t="s">
        <v>14</v>
      </c>
      <c r="B273" s="4">
        <v>45972</v>
      </c>
      <c r="C273" s="6">
        <v>0.46350694444444446</v>
      </c>
      <c r="D273" s="7" t="s">
        <v>1606</v>
      </c>
      <c r="E273" t="s">
        <v>63</v>
      </c>
      <c r="F273" t="s">
        <v>51</v>
      </c>
      <c r="I273" t="s">
        <v>1453</v>
      </c>
      <c r="J273" t="s">
        <v>2985</v>
      </c>
      <c r="K273" t="s">
        <v>1454</v>
      </c>
      <c r="L273" t="s">
        <v>1455</v>
      </c>
      <c r="M273" s="3" t="str">
        <f>HYPERLINK(СторонТрансп[[#This Row],[RelativePath]])</f>
        <v>10 Сушилка навес\E33149364_3_20251111T110727Z.jpg</v>
      </c>
    </row>
    <row r="274" spans="1:13" x14ac:dyDescent="0.25">
      <c r="A274" t="s">
        <v>14</v>
      </c>
      <c r="B274" s="4">
        <v>45972</v>
      </c>
      <c r="C274" s="6">
        <v>0.46743055555555557</v>
      </c>
      <c r="D274" s="7" t="s">
        <v>289</v>
      </c>
      <c r="E274" t="s">
        <v>63</v>
      </c>
      <c r="F274" t="s">
        <v>58</v>
      </c>
      <c r="H274" t="s">
        <v>1620</v>
      </c>
      <c r="I274" t="s">
        <v>1456</v>
      </c>
      <c r="J274" t="s">
        <v>2985</v>
      </c>
      <c r="K274" t="s">
        <v>1457</v>
      </c>
      <c r="L274" t="s">
        <v>1458</v>
      </c>
      <c r="M274" s="3" t="str">
        <f>HYPERLINK(СторонТрансп[[#This Row],[RelativePath]])</f>
        <v>10 Сушилка навес\E33149364_3_20251111T111306Z.jpg</v>
      </c>
    </row>
    <row r="275" spans="1:13" x14ac:dyDescent="0.25">
      <c r="A275" t="s">
        <v>14</v>
      </c>
      <c r="B275" s="4">
        <v>45972</v>
      </c>
      <c r="C275" s="6">
        <v>0.47805555555555557</v>
      </c>
      <c r="D275" s="7" t="s">
        <v>1999</v>
      </c>
      <c r="E275" t="s">
        <v>63</v>
      </c>
      <c r="F275" t="s">
        <v>58</v>
      </c>
      <c r="H275" t="s">
        <v>1620</v>
      </c>
      <c r="I275" t="s">
        <v>1459</v>
      </c>
      <c r="J275" t="s">
        <v>2985</v>
      </c>
      <c r="K275" t="s">
        <v>1460</v>
      </c>
      <c r="L275" t="s">
        <v>1461</v>
      </c>
      <c r="M275" s="3" t="str">
        <f>HYPERLINK(СторонТрансп[[#This Row],[RelativePath]])</f>
        <v>10 Сушилка навес\E33149364_3_20251111T112824Z.jpg</v>
      </c>
    </row>
    <row r="276" spans="1:13" x14ac:dyDescent="0.25">
      <c r="A276" t="s">
        <v>14</v>
      </c>
      <c r="B276" s="4">
        <v>45972</v>
      </c>
      <c r="C276" s="6">
        <v>0.48200231481481481</v>
      </c>
      <c r="D276" s="7" t="s">
        <v>1999</v>
      </c>
      <c r="E276" t="s">
        <v>63</v>
      </c>
      <c r="F276" t="s">
        <v>58</v>
      </c>
      <c r="H276" t="s">
        <v>1620</v>
      </c>
      <c r="I276" t="s">
        <v>1462</v>
      </c>
      <c r="J276" t="s">
        <v>2985</v>
      </c>
      <c r="K276" t="s">
        <v>1463</v>
      </c>
      <c r="L276" t="s">
        <v>1464</v>
      </c>
      <c r="M276" s="3" t="str">
        <f>HYPERLINK(СторонТрансп[[#This Row],[RelativePath]])</f>
        <v>10 Сушилка навес\E33149364_3_20251111T113405Z.jpg</v>
      </c>
    </row>
    <row r="277" spans="1:13" x14ac:dyDescent="0.25">
      <c r="A277" t="s">
        <v>14</v>
      </c>
      <c r="B277" s="4">
        <v>45972</v>
      </c>
      <c r="C277" s="6">
        <v>0.48243055555555553</v>
      </c>
      <c r="D277" s="7" t="s">
        <v>650</v>
      </c>
      <c r="E277" t="s">
        <v>63</v>
      </c>
      <c r="F277" t="s">
        <v>58</v>
      </c>
      <c r="I277" t="s">
        <v>1465</v>
      </c>
      <c r="J277" t="s">
        <v>2985</v>
      </c>
      <c r="K277" t="s">
        <v>1466</v>
      </c>
      <c r="L277" t="s">
        <v>1467</v>
      </c>
      <c r="M277" s="3" t="str">
        <f>HYPERLINK(СторонТрансп[[#This Row],[RelativePath]])</f>
        <v>10 Сушилка навес\E33149364_3_20251111T113442Z.jpg</v>
      </c>
    </row>
    <row r="278" spans="1:13" x14ac:dyDescent="0.25">
      <c r="A278" t="s">
        <v>15</v>
      </c>
      <c r="B278" s="4">
        <v>45987</v>
      </c>
      <c r="C278" s="6">
        <v>0.43567129629629631</v>
      </c>
      <c r="D278" s="7" t="s">
        <v>1606</v>
      </c>
      <c r="E278" t="s">
        <v>4192</v>
      </c>
      <c r="I278" t="s">
        <v>3962</v>
      </c>
      <c r="J278" t="s">
        <v>2985</v>
      </c>
      <c r="K278" t="s">
        <v>3963</v>
      </c>
      <c r="L278" t="s">
        <v>3964</v>
      </c>
      <c r="M278" s="3" t="str">
        <f>HYPERLINK(СторонТрансп[[#This Row],[RelativePath]])</f>
        <v>10 Сушилка навес\E33149364_3_20251126T102722Z.jpg</v>
      </c>
    </row>
    <row r="279" spans="1:13" x14ac:dyDescent="0.25">
      <c r="A279" t="s">
        <v>15</v>
      </c>
      <c r="B279" s="4">
        <v>45987</v>
      </c>
      <c r="C279" s="6">
        <v>0.44207175925925923</v>
      </c>
      <c r="D279" s="7" t="s">
        <v>289</v>
      </c>
      <c r="E279" t="s">
        <v>4192</v>
      </c>
      <c r="F279" t="s">
        <v>58</v>
      </c>
      <c r="H279" t="s">
        <v>1620</v>
      </c>
      <c r="I279" t="s">
        <v>3965</v>
      </c>
      <c r="J279" t="s">
        <v>2985</v>
      </c>
      <c r="K279" t="s">
        <v>3966</v>
      </c>
      <c r="L279" t="s">
        <v>3967</v>
      </c>
      <c r="M279" s="3" t="str">
        <f>HYPERLINK(СторонТрансп[[#This Row],[RelativePath]])</f>
        <v>10 Сушилка навес\E33149364_3_20251126T103635Z.jpg</v>
      </c>
    </row>
    <row r="280" spans="1:13" x14ac:dyDescent="0.25">
      <c r="A280" t="s">
        <v>15</v>
      </c>
      <c r="B280" s="4">
        <v>45987</v>
      </c>
      <c r="C280" s="6">
        <v>0.44216435185185188</v>
      </c>
      <c r="D280" s="7" t="s">
        <v>289</v>
      </c>
      <c r="E280" t="s">
        <v>4192</v>
      </c>
      <c r="F280" t="s">
        <v>58</v>
      </c>
      <c r="H280" t="s">
        <v>2936</v>
      </c>
      <c r="I280" t="s">
        <v>3968</v>
      </c>
      <c r="J280" t="s">
        <v>2985</v>
      </c>
      <c r="K280" t="s">
        <v>3969</v>
      </c>
      <c r="L280" t="s">
        <v>3970</v>
      </c>
      <c r="M280" s="3" t="str">
        <f>HYPERLINK(СторонТрансп[[#This Row],[RelativePath]])</f>
        <v>10 Сушилка навес\E33149364_3_20251126T103643Z.jpg</v>
      </c>
    </row>
    <row r="281" spans="1:13" x14ac:dyDescent="0.25">
      <c r="A281" t="s">
        <v>15</v>
      </c>
      <c r="B281" s="4">
        <v>45987</v>
      </c>
      <c r="C281" s="6">
        <v>0.44226851851851851</v>
      </c>
      <c r="D281" s="7" t="s">
        <v>289</v>
      </c>
      <c r="E281" t="s">
        <v>4192</v>
      </c>
      <c r="F281" t="s">
        <v>58</v>
      </c>
      <c r="H281" t="s">
        <v>2936</v>
      </c>
      <c r="I281" t="s">
        <v>3971</v>
      </c>
      <c r="J281" t="s">
        <v>2985</v>
      </c>
      <c r="K281" t="s">
        <v>3972</v>
      </c>
      <c r="L281" t="s">
        <v>3973</v>
      </c>
      <c r="M281" s="3" t="str">
        <f>HYPERLINK(СторонТрансп[[#This Row],[RelativePath]])</f>
        <v>10 Сушилка навес\E33149364_3_20251126T103652Z.jpg</v>
      </c>
    </row>
    <row r="282" spans="1:13" x14ac:dyDescent="0.25">
      <c r="A282" t="s">
        <v>15</v>
      </c>
      <c r="B282" s="4">
        <v>45987</v>
      </c>
      <c r="C282" s="6">
        <v>0.44241898148148145</v>
      </c>
      <c r="D282" s="7" t="s">
        <v>289</v>
      </c>
      <c r="E282" t="s">
        <v>4192</v>
      </c>
      <c r="F282" t="s">
        <v>58</v>
      </c>
      <c r="H282" t="s">
        <v>2936</v>
      </c>
      <c r="I282" t="s">
        <v>3974</v>
      </c>
      <c r="J282" t="s">
        <v>2985</v>
      </c>
      <c r="K282" t="s">
        <v>3975</v>
      </c>
      <c r="L282" t="s">
        <v>3976</v>
      </c>
      <c r="M282" s="3" t="str">
        <f>HYPERLINK(СторонТрансп[[#This Row],[RelativePath]])</f>
        <v>10 Сушилка навес\E33149364_3_20251126T103705Z.jpg</v>
      </c>
    </row>
    <row r="283" spans="1:13" x14ac:dyDescent="0.25">
      <c r="A283" t="s">
        <v>15</v>
      </c>
      <c r="B283" s="4">
        <v>45987</v>
      </c>
      <c r="C283" s="6">
        <v>0.44255787037037037</v>
      </c>
      <c r="D283" s="7" t="s">
        <v>289</v>
      </c>
      <c r="E283" t="s">
        <v>4192</v>
      </c>
      <c r="F283" t="s">
        <v>58</v>
      </c>
      <c r="H283" t="s">
        <v>2936</v>
      </c>
      <c r="I283" t="s">
        <v>3977</v>
      </c>
      <c r="J283" t="s">
        <v>2985</v>
      </c>
      <c r="K283" t="s">
        <v>3978</v>
      </c>
      <c r="L283" t="s">
        <v>3979</v>
      </c>
      <c r="M283" s="3" t="str">
        <f>HYPERLINK(СторонТрансп[[#This Row],[RelativePath]])</f>
        <v>10 Сушилка навес\E33149364_3_20251126T103717Z.jpg</v>
      </c>
    </row>
    <row r="284" spans="1:13" x14ac:dyDescent="0.25">
      <c r="A284" t="s">
        <v>15</v>
      </c>
      <c r="B284" s="4">
        <v>45987</v>
      </c>
      <c r="C284" s="6">
        <v>0.44269675925925928</v>
      </c>
      <c r="D284" s="7" t="s">
        <v>289</v>
      </c>
      <c r="E284" t="s">
        <v>4192</v>
      </c>
      <c r="F284" t="s">
        <v>58</v>
      </c>
      <c r="H284" t="s">
        <v>2936</v>
      </c>
      <c r="I284" t="s">
        <v>3980</v>
      </c>
      <c r="J284" t="s">
        <v>2985</v>
      </c>
      <c r="K284" t="s">
        <v>3981</v>
      </c>
      <c r="L284" t="s">
        <v>3982</v>
      </c>
      <c r="M284" s="3" t="str">
        <f>HYPERLINK(СторонТрансп[[#This Row],[RelativePath]])</f>
        <v>10 Сушилка навес\E33149364_3_20251126T103729Z.jpg</v>
      </c>
    </row>
    <row r="285" spans="1:13" x14ac:dyDescent="0.25">
      <c r="A285" t="s">
        <v>15</v>
      </c>
      <c r="B285" s="4">
        <v>45987</v>
      </c>
      <c r="C285" s="6">
        <v>0.44284722222222223</v>
      </c>
      <c r="D285" s="7" t="s">
        <v>289</v>
      </c>
      <c r="E285" t="s">
        <v>4192</v>
      </c>
      <c r="F285" t="s">
        <v>58</v>
      </c>
      <c r="H285" t="s">
        <v>2936</v>
      </c>
      <c r="I285" t="s">
        <v>3983</v>
      </c>
      <c r="J285" t="s">
        <v>2985</v>
      </c>
      <c r="K285" t="s">
        <v>3984</v>
      </c>
      <c r="L285" t="s">
        <v>3985</v>
      </c>
      <c r="M285" s="3" t="str">
        <f>HYPERLINK(СторонТрансп[[#This Row],[RelativePath]])</f>
        <v>10 Сушилка навес\E33149364_3_20251126T103742Z.jpg</v>
      </c>
    </row>
    <row r="286" spans="1:13" x14ac:dyDescent="0.25">
      <c r="A286" t="s">
        <v>15</v>
      </c>
      <c r="B286" s="4">
        <v>45987</v>
      </c>
      <c r="C286" s="6">
        <v>0.44359953703703703</v>
      </c>
      <c r="D286" s="7" t="s">
        <v>2013</v>
      </c>
      <c r="E286" t="s">
        <v>4192</v>
      </c>
      <c r="H286" t="s">
        <v>4236</v>
      </c>
      <c r="I286" t="s">
        <v>3986</v>
      </c>
      <c r="J286" t="s">
        <v>2985</v>
      </c>
      <c r="K286" t="s">
        <v>3987</v>
      </c>
      <c r="L286" t="s">
        <v>3988</v>
      </c>
      <c r="M286" s="3" t="str">
        <f>HYPERLINK(СторонТрансп[[#This Row],[RelativePath]])</f>
        <v>10 Сушилка навес\E33149364_3_20251126T103847Z.jpg</v>
      </c>
    </row>
    <row r="287" spans="1:13" x14ac:dyDescent="0.25">
      <c r="A287" t="s">
        <v>15</v>
      </c>
      <c r="B287" s="4">
        <v>45987</v>
      </c>
      <c r="C287" s="6">
        <v>0.44372685185185184</v>
      </c>
      <c r="D287" s="7" t="s">
        <v>289</v>
      </c>
      <c r="E287" t="s">
        <v>4192</v>
      </c>
      <c r="F287" t="s">
        <v>58</v>
      </c>
      <c r="I287" t="s">
        <v>3989</v>
      </c>
      <c r="J287" t="s">
        <v>2985</v>
      </c>
      <c r="K287" t="s">
        <v>3990</v>
      </c>
      <c r="L287" t="s">
        <v>3991</v>
      </c>
      <c r="M287" s="3" t="str">
        <f>HYPERLINK(СторонТрансп[[#This Row],[RelativePath]])</f>
        <v>10 Сушилка навес\E33149364_3_20251126T103858Z.jpg</v>
      </c>
    </row>
    <row r="288" spans="1:13" x14ac:dyDescent="0.25">
      <c r="A288" t="s">
        <v>15</v>
      </c>
      <c r="B288" s="4">
        <v>45987</v>
      </c>
      <c r="C288" s="6">
        <v>0.44473379629629628</v>
      </c>
      <c r="D288" s="7" t="s">
        <v>289</v>
      </c>
      <c r="E288" t="s">
        <v>4192</v>
      </c>
      <c r="F288" t="s">
        <v>58</v>
      </c>
      <c r="H288" t="s">
        <v>2936</v>
      </c>
      <c r="I288" t="s">
        <v>3992</v>
      </c>
      <c r="J288" t="s">
        <v>2985</v>
      </c>
      <c r="K288" t="s">
        <v>3993</v>
      </c>
      <c r="L288" t="s">
        <v>3994</v>
      </c>
      <c r="M288" s="3" t="str">
        <f>HYPERLINK(СторонТрансп[[#This Row],[RelativePath]])</f>
        <v>10 Сушилка навес\E33149364_3_20251126T104025Z.jpg</v>
      </c>
    </row>
    <row r="289" spans="1:13" x14ac:dyDescent="0.25">
      <c r="A289" t="s">
        <v>15</v>
      </c>
      <c r="B289" s="4">
        <v>45987</v>
      </c>
      <c r="C289" s="6">
        <v>0.44495370370370368</v>
      </c>
      <c r="D289" s="7" t="s">
        <v>289</v>
      </c>
      <c r="E289" t="s">
        <v>4192</v>
      </c>
      <c r="F289" t="s">
        <v>58</v>
      </c>
      <c r="H289" t="s">
        <v>2936</v>
      </c>
      <c r="I289" t="s">
        <v>3995</v>
      </c>
      <c r="J289" t="s">
        <v>2985</v>
      </c>
      <c r="K289" t="s">
        <v>3996</v>
      </c>
      <c r="L289" t="s">
        <v>3997</v>
      </c>
      <c r="M289" s="3" t="str">
        <f>HYPERLINK(СторонТрансп[[#This Row],[RelativePath]])</f>
        <v>10 Сушилка навес\E33149364_3_20251126T104044Z.jpg</v>
      </c>
    </row>
    <row r="290" spans="1:13" x14ac:dyDescent="0.25">
      <c r="A290" t="s">
        <v>15</v>
      </c>
      <c r="B290" s="4">
        <v>45987</v>
      </c>
      <c r="C290" s="6">
        <v>0.44578703703703704</v>
      </c>
      <c r="D290" s="7" t="s">
        <v>4232</v>
      </c>
      <c r="E290" t="s">
        <v>4192</v>
      </c>
      <c r="F290" t="s">
        <v>58</v>
      </c>
      <c r="I290" t="s">
        <v>3998</v>
      </c>
      <c r="J290" t="s">
        <v>2985</v>
      </c>
      <c r="K290" t="s">
        <v>3999</v>
      </c>
      <c r="L290" t="s">
        <v>4000</v>
      </c>
      <c r="M290" s="3" t="str">
        <f>HYPERLINK(СторонТрансп[[#This Row],[RelativePath]])</f>
        <v>10 Сушилка навес\E33149364_3_20251126T104156Z.jpg</v>
      </c>
    </row>
    <row r="291" spans="1:13" x14ac:dyDescent="0.25">
      <c r="A291" t="s">
        <v>15</v>
      </c>
      <c r="B291" s="4">
        <v>45987</v>
      </c>
      <c r="C291" s="6">
        <v>0.44631944444444444</v>
      </c>
      <c r="D291" s="7" t="s">
        <v>2013</v>
      </c>
      <c r="E291" t="s">
        <v>4192</v>
      </c>
      <c r="H291" t="s">
        <v>4237</v>
      </c>
      <c r="I291" t="s">
        <v>4001</v>
      </c>
      <c r="J291" t="s">
        <v>2985</v>
      </c>
      <c r="K291" t="s">
        <v>4002</v>
      </c>
      <c r="L291" t="s">
        <v>4003</v>
      </c>
      <c r="M291" s="3" t="str">
        <f>HYPERLINK(СторонТрансп[[#This Row],[RelativePath]])</f>
        <v>10 Сушилка навес\E33149364_3_20251126T104242Z.jpg</v>
      </c>
    </row>
    <row r="292" spans="1:13" x14ac:dyDescent="0.25">
      <c r="A292" t="s">
        <v>15</v>
      </c>
      <c r="B292" s="4">
        <v>45987</v>
      </c>
      <c r="C292" s="6">
        <v>0.4475925925925926</v>
      </c>
      <c r="D292" s="7" t="s">
        <v>289</v>
      </c>
      <c r="E292" t="s">
        <v>4192</v>
      </c>
      <c r="F292" t="s">
        <v>58</v>
      </c>
      <c r="I292" t="s">
        <v>4004</v>
      </c>
      <c r="J292" t="s">
        <v>2985</v>
      </c>
      <c r="K292" t="s">
        <v>4005</v>
      </c>
      <c r="L292" t="s">
        <v>4006</v>
      </c>
      <c r="M292" s="3" t="str">
        <f>HYPERLINK(СторонТрансп[[#This Row],[RelativePath]])</f>
        <v>10 Сушилка навес\E33149364_3_20251126T104432Z.jpg</v>
      </c>
    </row>
    <row r="293" spans="1:13" x14ac:dyDescent="0.25">
      <c r="A293" t="s">
        <v>15</v>
      </c>
      <c r="B293" s="4">
        <v>45987</v>
      </c>
      <c r="C293" s="6">
        <v>0.44767361111111109</v>
      </c>
      <c r="D293" s="7" t="s">
        <v>289</v>
      </c>
      <c r="E293" t="s">
        <v>4192</v>
      </c>
      <c r="F293" t="s">
        <v>58</v>
      </c>
      <c r="H293" t="s">
        <v>2936</v>
      </c>
      <c r="I293" t="s">
        <v>4007</v>
      </c>
      <c r="J293" t="s">
        <v>2985</v>
      </c>
      <c r="K293" t="s">
        <v>4008</v>
      </c>
      <c r="L293" t="s">
        <v>4009</v>
      </c>
      <c r="M293" s="3" t="str">
        <f>HYPERLINK(СторонТрансп[[#This Row],[RelativePath]])</f>
        <v>10 Сушилка навес\E33149364_3_20251126T104439Z.jpg</v>
      </c>
    </row>
    <row r="294" spans="1:13" x14ac:dyDescent="0.25">
      <c r="A294" t="s">
        <v>15</v>
      </c>
      <c r="B294" s="4">
        <v>45987</v>
      </c>
      <c r="C294" s="6">
        <v>0.4478125</v>
      </c>
      <c r="D294" s="7" t="s">
        <v>289</v>
      </c>
      <c r="E294" t="s">
        <v>4192</v>
      </c>
      <c r="F294" t="s">
        <v>58</v>
      </c>
      <c r="H294" t="s">
        <v>2936</v>
      </c>
      <c r="I294" t="s">
        <v>4010</v>
      </c>
      <c r="J294" t="s">
        <v>2985</v>
      </c>
      <c r="K294" t="s">
        <v>4011</v>
      </c>
      <c r="L294" t="s">
        <v>4012</v>
      </c>
      <c r="M294" s="3" t="str">
        <f>HYPERLINK(СторонТрансп[[#This Row],[RelativePath]])</f>
        <v>10 Сушилка навес\E33149364_3_20251126T104451Z.jpg</v>
      </c>
    </row>
    <row r="295" spans="1:13" x14ac:dyDescent="0.25">
      <c r="A295" t="s">
        <v>15</v>
      </c>
      <c r="B295" s="4">
        <v>45987</v>
      </c>
      <c r="C295" s="6">
        <v>0.45056712962962964</v>
      </c>
      <c r="D295" s="7" t="s">
        <v>289</v>
      </c>
      <c r="E295" t="s">
        <v>4192</v>
      </c>
      <c r="F295" t="s">
        <v>58</v>
      </c>
      <c r="H295" t="s">
        <v>2936</v>
      </c>
      <c r="I295" t="s">
        <v>4013</v>
      </c>
      <c r="J295" t="s">
        <v>2985</v>
      </c>
      <c r="K295" t="s">
        <v>4014</v>
      </c>
      <c r="L295" t="s">
        <v>4015</v>
      </c>
      <c r="M295" s="3" t="str">
        <f>HYPERLINK(СторонТрансп[[#This Row],[RelativePath]])</f>
        <v>10 Сушилка навес\E33149364_3_20251126T104849Z.jpg</v>
      </c>
    </row>
    <row r="296" spans="1:13" x14ac:dyDescent="0.25">
      <c r="A296" t="s">
        <v>15</v>
      </c>
      <c r="B296" s="4">
        <v>45987</v>
      </c>
      <c r="C296" s="6">
        <v>0.45187500000000003</v>
      </c>
      <c r="D296" s="7" t="s">
        <v>4235</v>
      </c>
      <c r="E296" t="s">
        <v>4192</v>
      </c>
      <c r="F296" t="s">
        <v>58</v>
      </c>
      <c r="I296" t="s">
        <v>4016</v>
      </c>
      <c r="J296" t="s">
        <v>2985</v>
      </c>
      <c r="K296" t="s">
        <v>4017</v>
      </c>
      <c r="L296" t="s">
        <v>4018</v>
      </c>
      <c r="M296" s="3" t="str">
        <f>HYPERLINK(СторонТрансп[[#This Row],[RelativePath]])</f>
        <v>10 Сушилка навес\E33149364_3_20251126T105042Z.jpg</v>
      </c>
    </row>
    <row r="297" spans="1:13" x14ac:dyDescent="0.25">
      <c r="A297" t="s">
        <v>22</v>
      </c>
      <c r="B297" s="4">
        <v>45998</v>
      </c>
      <c r="C297" s="6">
        <v>0.59520833333333334</v>
      </c>
      <c r="D297" s="7" t="s">
        <v>1606</v>
      </c>
      <c r="E297" t="s">
        <v>5263</v>
      </c>
      <c r="F297" t="s">
        <v>51</v>
      </c>
      <c r="I297" t="s">
        <v>5184</v>
      </c>
      <c r="J297" t="s">
        <v>2985</v>
      </c>
      <c r="K297" t="s">
        <v>5185</v>
      </c>
      <c r="L297" t="s">
        <v>5186</v>
      </c>
      <c r="M297" s="3" t="str">
        <f>HYPERLINK(СторонТрансп[[#This Row],[RelativePath]])</f>
        <v>10 Сушилка навес\E33149364_3_20251207T141706Z.jpg</v>
      </c>
    </row>
    <row r="298" spans="1:13" x14ac:dyDescent="0.25">
      <c r="A298" t="s">
        <v>22</v>
      </c>
      <c r="B298" s="4">
        <v>45998</v>
      </c>
      <c r="C298" s="6">
        <v>0.60039351851851852</v>
      </c>
      <c r="D298" s="7" t="s">
        <v>289</v>
      </c>
      <c r="E298" t="s">
        <v>5263</v>
      </c>
      <c r="F298" t="s">
        <v>4233</v>
      </c>
      <c r="I298" t="s">
        <v>5187</v>
      </c>
      <c r="J298" t="s">
        <v>2985</v>
      </c>
      <c r="K298" t="s">
        <v>5188</v>
      </c>
      <c r="L298" t="s">
        <v>5189</v>
      </c>
      <c r="M298" s="3" t="str">
        <f>HYPERLINK(СторонТрансп[[#This Row],[RelativePath]])</f>
        <v>10 Сушилка навес\E33149364_3_20251207T142434Z.jpg</v>
      </c>
    </row>
    <row r="299" spans="1:13" x14ac:dyDescent="0.25">
      <c r="A299" t="s">
        <v>22</v>
      </c>
      <c r="B299" s="4">
        <v>45998</v>
      </c>
      <c r="C299" s="6">
        <v>0.60648148148148151</v>
      </c>
      <c r="D299" s="7" t="s">
        <v>289</v>
      </c>
      <c r="E299" t="s">
        <v>5263</v>
      </c>
      <c r="F299" t="s">
        <v>4233</v>
      </c>
      <c r="H299" t="s">
        <v>2936</v>
      </c>
      <c r="I299" t="s">
        <v>5190</v>
      </c>
      <c r="J299" t="s">
        <v>2985</v>
      </c>
      <c r="K299" t="s">
        <v>5191</v>
      </c>
      <c r="L299" t="s">
        <v>5192</v>
      </c>
      <c r="M299" s="3" t="str">
        <f>HYPERLINK(СторонТрансп[[#This Row],[RelativePath]])</f>
        <v>10 Сушилка навес\E33149364_3_20251207T143320Z.jpg</v>
      </c>
    </row>
    <row r="300" spans="1:13" x14ac:dyDescent="0.25">
      <c r="A300" t="s">
        <v>22</v>
      </c>
      <c r="B300" s="4">
        <v>45998</v>
      </c>
      <c r="C300" s="6">
        <v>0.61306712962962961</v>
      </c>
      <c r="D300" s="7" t="s">
        <v>4232</v>
      </c>
      <c r="E300" t="s">
        <v>5263</v>
      </c>
      <c r="F300" t="s">
        <v>4233</v>
      </c>
      <c r="I300" t="s">
        <v>5193</v>
      </c>
      <c r="J300" t="s">
        <v>2985</v>
      </c>
      <c r="K300" t="s">
        <v>5194</v>
      </c>
      <c r="L300" t="s">
        <v>5195</v>
      </c>
      <c r="M300" s="3" t="str">
        <f>HYPERLINK(СторонТрансп[[#This Row],[RelativePath]])</f>
        <v>10 Сушилка навес\E33149364_3_20251207T144249Z.jpg</v>
      </c>
    </row>
    <row r="301" spans="1:13" x14ac:dyDescent="0.25">
      <c r="A301" t="s">
        <v>18</v>
      </c>
      <c r="B301" s="4">
        <v>46004</v>
      </c>
      <c r="C301" s="6">
        <v>0.38762731481481483</v>
      </c>
      <c r="D301" s="7" t="s">
        <v>4</v>
      </c>
      <c r="E301" t="s">
        <v>6167</v>
      </c>
      <c r="I301" t="s">
        <v>6095</v>
      </c>
      <c r="J301" t="s">
        <v>2985</v>
      </c>
      <c r="K301" t="s">
        <v>6096</v>
      </c>
      <c r="L301" t="s">
        <v>6097</v>
      </c>
      <c r="M301" s="3" t="str">
        <f>HYPERLINK(СторонТрансп[[#This Row],[RelativePath]])</f>
        <v>10 Сушилка навес\E33149364_3_20251213T091811Z.jpg</v>
      </c>
    </row>
    <row r="302" spans="1:13" x14ac:dyDescent="0.25">
      <c r="A302" t="s">
        <v>18</v>
      </c>
      <c r="B302" s="4">
        <v>46004</v>
      </c>
      <c r="C302" s="6">
        <v>0.55000000000000004</v>
      </c>
      <c r="D302" s="7" t="s">
        <v>4</v>
      </c>
      <c r="E302" t="s">
        <v>6167</v>
      </c>
      <c r="I302" t="s">
        <v>6101</v>
      </c>
      <c r="J302" t="s">
        <v>2985</v>
      </c>
      <c r="K302" t="s">
        <v>6102</v>
      </c>
      <c r="L302" t="s">
        <v>6103</v>
      </c>
      <c r="M302" s="3" t="str">
        <f>HYPERLINK(СторонТрансп[[#This Row],[RelativePath]])</f>
        <v>10 Сушилка навес\E33149364_3_20251213T131200Z.jpg</v>
      </c>
    </row>
    <row r="303" spans="1:13" x14ac:dyDescent="0.25">
      <c r="A303" t="s">
        <v>15</v>
      </c>
      <c r="B303" s="4">
        <v>45973</v>
      </c>
      <c r="C303" s="6">
        <v>0.69604166666666667</v>
      </c>
      <c r="D303" s="7" t="s">
        <v>1606</v>
      </c>
      <c r="E303" t="s">
        <v>66</v>
      </c>
      <c r="F303" t="s">
        <v>69</v>
      </c>
      <c r="I303" t="s">
        <v>1748</v>
      </c>
      <c r="J303" t="s">
        <v>2986</v>
      </c>
      <c r="K303" t="s">
        <v>1749</v>
      </c>
      <c r="L303" t="s">
        <v>1750</v>
      </c>
      <c r="M303" s="3" t="str">
        <f>HYPERLINK(СторонТрансп[[#This Row],[RelativePath]])</f>
        <v>11 С ангара на базу\E33149364_4_20251112T164218Z.jpg</v>
      </c>
    </row>
    <row r="304" spans="1:13" x14ac:dyDescent="0.25">
      <c r="A304" t="s">
        <v>15</v>
      </c>
      <c r="B304" s="4">
        <v>45973</v>
      </c>
      <c r="C304" s="6">
        <v>0.69677083333333334</v>
      </c>
      <c r="D304" s="7" t="s">
        <v>290</v>
      </c>
      <c r="E304" t="s">
        <v>66</v>
      </c>
      <c r="F304" t="s">
        <v>69</v>
      </c>
      <c r="I304" t="s">
        <v>1751</v>
      </c>
      <c r="J304" t="s">
        <v>2986</v>
      </c>
      <c r="K304" t="s">
        <v>1752</v>
      </c>
      <c r="L304" t="s">
        <v>1753</v>
      </c>
      <c r="M304" s="3" t="str">
        <f>HYPERLINK(СторонТрансп[[#This Row],[RelativePath]])</f>
        <v>11 С ангара на базу\E33149364_4_20251112T164321Z.jpg</v>
      </c>
    </row>
    <row r="305" spans="1:13" x14ac:dyDescent="0.25">
      <c r="A305" t="s">
        <v>15</v>
      </c>
      <c r="B305" s="4">
        <v>45973</v>
      </c>
      <c r="C305" s="6">
        <v>0.70961805555555557</v>
      </c>
      <c r="D305" s="7" t="s">
        <v>650</v>
      </c>
      <c r="E305" t="s">
        <v>66</v>
      </c>
      <c r="F305" t="s">
        <v>51</v>
      </c>
      <c r="I305" t="s">
        <v>1754</v>
      </c>
      <c r="J305" t="s">
        <v>2986</v>
      </c>
      <c r="K305" t="s">
        <v>1755</v>
      </c>
      <c r="L305" t="s">
        <v>1756</v>
      </c>
      <c r="M305" s="3" t="str">
        <f>HYPERLINK(СторонТрансп[[#This Row],[RelativePath]])</f>
        <v>11 С ангара на базу\E33149364_4_20251112T170151Z.jpg</v>
      </c>
    </row>
    <row r="306" spans="1:13" x14ac:dyDescent="0.25">
      <c r="A306" t="s">
        <v>15</v>
      </c>
      <c r="B306" s="4">
        <v>45987</v>
      </c>
      <c r="C306" s="6">
        <v>0.44723379629629628</v>
      </c>
      <c r="D306" s="7" t="s">
        <v>289</v>
      </c>
      <c r="E306" t="s">
        <v>4192</v>
      </c>
      <c r="F306" t="s">
        <v>58</v>
      </c>
      <c r="I306" t="s">
        <v>4094</v>
      </c>
      <c r="J306" t="s">
        <v>2986</v>
      </c>
      <c r="K306" t="s">
        <v>4095</v>
      </c>
      <c r="L306" t="s">
        <v>4096</v>
      </c>
      <c r="M306" s="3" t="str">
        <f>HYPERLINK(СторонТрансп[[#This Row],[RelativePath]])</f>
        <v>11 С ангара на базу\E33149364_4_20251126T104401Z.jpg</v>
      </c>
    </row>
    <row r="307" spans="1:13" x14ac:dyDescent="0.25">
      <c r="A307" t="s">
        <v>15</v>
      </c>
      <c r="B307" s="4">
        <v>45987</v>
      </c>
      <c r="C307" s="6">
        <v>0.44848379629629631</v>
      </c>
      <c r="D307" s="7" t="s">
        <v>289</v>
      </c>
      <c r="E307" t="s">
        <v>4192</v>
      </c>
      <c r="F307" t="s">
        <v>58</v>
      </c>
      <c r="H307" t="s">
        <v>2936</v>
      </c>
      <c r="I307" t="s">
        <v>4097</v>
      </c>
      <c r="J307" t="s">
        <v>2986</v>
      </c>
      <c r="K307" t="s">
        <v>4098</v>
      </c>
      <c r="L307" t="s">
        <v>4099</v>
      </c>
      <c r="M307" s="3" t="str">
        <f>HYPERLINK(СторонТрансп[[#This Row],[RelativePath]])</f>
        <v>11 С ангара на базу\E33149364_4_20251126T104549Z.jpg</v>
      </c>
    </row>
    <row r="308" spans="1:13" x14ac:dyDescent="0.25">
      <c r="A308" t="s">
        <v>15</v>
      </c>
      <c r="B308" s="4">
        <v>45987</v>
      </c>
      <c r="C308" s="6">
        <v>0.44864583333333335</v>
      </c>
      <c r="D308" s="7" t="s">
        <v>289</v>
      </c>
      <c r="E308" t="s">
        <v>4192</v>
      </c>
      <c r="F308" t="s">
        <v>58</v>
      </c>
      <c r="H308" t="s">
        <v>2936</v>
      </c>
      <c r="I308" t="s">
        <v>4100</v>
      </c>
      <c r="J308" t="s">
        <v>2986</v>
      </c>
      <c r="K308" t="s">
        <v>4101</v>
      </c>
      <c r="L308" t="s">
        <v>4102</v>
      </c>
      <c r="M308" s="3" t="str">
        <f>HYPERLINK(СторонТрансп[[#This Row],[RelativePath]])</f>
        <v>11 С ангара на базу\E33149364_4_20251126T104603Z.jpg</v>
      </c>
    </row>
    <row r="309" spans="1:13" x14ac:dyDescent="0.25">
      <c r="A309" t="s">
        <v>15</v>
      </c>
      <c r="B309" s="4">
        <v>45987</v>
      </c>
      <c r="C309" s="6">
        <v>0.44947916666666665</v>
      </c>
      <c r="D309" s="7" t="s">
        <v>289</v>
      </c>
      <c r="E309" t="s">
        <v>4192</v>
      </c>
      <c r="F309" t="s">
        <v>58</v>
      </c>
      <c r="H309" t="s">
        <v>2936</v>
      </c>
      <c r="I309" t="s">
        <v>4103</v>
      </c>
      <c r="J309" t="s">
        <v>2986</v>
      </c>
      <c r="K309" t="s">
        <v>4104</v>
      </c>
      <c r="L309" t="s">
        <v>4105</v>
      </c>
      <c r="M309" s="3" t="str">
        <f>HYPERLINK(СторонТрансп[[#This Row],[RelativePath]])</f>
        <v>11 С ангара на базу\E33149364_4_20251126T104715Z.jpg</v>
      </c>
    </row>
    <row r="310" spans="1:13" x14ac:dyDescent="0.25">
      <c r="A310" t="s">
        <v>22</v>
      </c>
      <c r="B310" s="4">
        <v>45998</v>
      </c>
      <c r="C310" s="6">
        <v>0.59843749999999996</v>
      </c>
      <c r="D310" s="7" t="s">
        <v>5265</v>
      </c>
      <c r="E310" t="s">
        <v>5263</v>
      </c>
      <c r="F310" t="s">
        <v>4233</v>
      </c>
      <c r="I310" t="s">
        <v>5199</v>
      </c>
      <c r="J310" t="s">
        <v>2986</v>
      </c>
      <c r="K310" t="s">
        <v>5200</v>
      </c>
      <c r="L310" t="s">
        <v>5201</v>
      </c>
      <c r="M310" s="3" t="str">
        <f>HYPERLINK(СторонТрансп[[#This Row],[RelativePath]])</f>
        <v>11 С ангара на базу\E33149364_4_20251207T142145Z.jpg</v>
      </c>
    </row>
    <row r="311" spans="1:13" x14ac:dyDescent="0.25">
      <c r="A311" t="s">
        <v>22</v>
      </c>
      <c r="B311" s="4">
        <v>45998</v>
      </c>
      <c r="C311" s="6">
        <v>0.60221064814814818</v>
      </c>
      <c r="D311" s="7" t="s">
        <v>5265</v>
      </c>
      <c r="E311" t="s">
        <v>5263</v>
      </c>
      <c r="F311" t="s">
        <v>4233</v>
      </c>
      <c r="H311" t="s">
        <v>2936</v>
      </c>
      <c r="I311" t="s">
        <v>5202</v>
      </c>
      <c r="J311" t="s">
        <v>2986</v>
      </c>
      <c r="K311" t="s">
        <v>5203</v>
      </c>
      <c r="L311" t="s">
        <v>5204</v>
      </c>
      <c r="M311" s="3" t="str">
        <f>HYPERLINK(СторонТрансп[[#This Row],[RelativePath]])</f>
        <v>11 С ангара на базу\E33149364_4_20251207T142711Z.jpg</v>
      </c>
    </row>
    <row r="312" spans="1:13" x14ac:dyDescent="0.25">
      <c r="A312" t="s">
        <v>22</v>
      </c>
      <c r="B312" s="4">
        <v>45998</v>
      </c>
      <c r="C312" s="6">
        <v>0.60230324074074071</v>
      </c>
      <c r="D312" s="7" t="s">
        <v>5265</v>
      </c>
      <c r="E312" t="s">
        <v>5263</v>
      </c>
      <c r="F312" t="s">
        <v>4233</v>
      </c>
      <c r="H312" t="s">
        <v>2936</v>
      </c>
      <c r="I312" t="s">
        <v>5205</v>
      </c>
      <c r="J312" t="s">
        <v>2986</v>
      </c>
      <c r="K312" t="s">
        <v>5206</v>
      </c>
      <c r="L312" t="s">
        <v>5207</v>
      </c>
      <c r="M312" s="3" t="str">
        <f>HYPERLINK(СторонТрансп[[#This Row],[RelativePath]])</f>
        <v>11 С ангара на базу\E33149364_4_20251207T142719Z.jpg</v>
      </c>
    </row>
    <row r="313" spans="1:13" x14ac:dyDescent="0.25">
      <c r="A313" t="s">
        <v>22</v>
      </c>
      <c r="B313" s="4">
        <v>45998</v>
      </c>
      <c r="C313" s="6">
        <v>0.60530092592592588</v>
      </c>
      <c r="D313" s="7" t="s">
        <v>5265</v>
      </c>
      <c r="E313" t="s">
        <v>5263</v>
      </c>
      <c r="F313" t="s">
        <v>4233</v>
      </c>
      <c r="H313" t="s">
        <v>2936</v>
      </c>
      <c r="I313" t="s">
        <v>5208</v>
      </c>
      <c r="J313" t="s">
        <v>2986</v>
      </c>
      <c r="K313" t="s">
        <v>5209</v>
      </c>
      <c r="L313" t="s">
        <v>5210</v>
      </c>
      <c r="M313" s="3" t="str">
        <f>HYPERLINK(СторонТрансп[[#This Row],[RelativePath]])</f>
        <v>11 С ангара на базу\E33149364_4_20251207T143138Z.jpg</v>
      </c>
    </row>
    <row r="314" spans="1:13" x14ac:dyDescent="0.25">
      <c r="A314" t="s">
        <v>22</v>
      </c>
      <c r="B314" s="4">
        <v>45998</v>
      </c>
      <c r="C314" s="6">
        <v>0.6055787037037037</v>
      </c>
      <c r="D314" s="7" t="s">
        <v>5265</v>
      </c>
      <c r="E314" t="s">
        <v>5263</v>
      </c>
      <c r="F314" t="s">
        <v>4233</v>
      </c>
      <c r="H314" t="s">
        <v>2936</v>
      </c>
      <c r="I314" t="s">
        <v>5211</v>
      </c>
      <c r="J314" t="s">
        <v>2986</v>
      </c>
      <c r="K314" t="s">
        <v>5212</v>
      </c>
      <c r="L314" t="s">
        <v>5213</v>
      </c>
      <c r="M314" s="3" t="str">
        <f>HYPERLINK(СторонТрансп[[#This Row],[RelativePath]])</f>
        <v>11 С ангара на базу\E33149364_4_20251207T143202Z.jpg</v>
      </c>
    </row>
    <row r="315" spans="1:13" x14ac:dyDescent="0.25">
      <c r="A315" t="s">
        <v>22</v>
      </c>
      <c r="B315" s="4">
        <v>45998</v>
      </c>
      <c r="C315" s="6">
        <v>0.6134722222222222</v>
      </c>
      <c r="D315" s="7" t="s">
        <v>4235</v>
      </c>
      <c r="E315" t="s">
        <v>5263</v>
      </c>
      <c r="F315" t="s">
        <v>4233</v>
      </c>
      <c r="I315" t="s">
        <v>5214</v>
      </c>
      <c r="J315" t="s">
        <v>2986</v>
      </c>
      <c r="K315" t="s">
        <v>5215</v>
      </c>
      <c r="L315" t="s">
        <v>5216</v>
      </c>
      <c r="M315" s="3" t="str">
        <f>HYPERLINK(СторонТрансп[[#This Row],[RelativePath]])</f>
        <v>11 С ангара на базу\E33149364_4_20251207T144324Z.jpg</v>
      </c>
    </row>
    <row r="316" spans="1:13" x14ac:dyDescent="0.25">
      <c r="A316" t="s">
        <v>18</v>
      </c>
      <c r="B316" s="4">
        <v>46004</v>
      </c>
      <c r="C316" s="6">
        <v>0.38579861111111113</v>
      </c>
      <c r="D316" s="7" t="s">
        <v>1606</v>
      </c>
      <c r="E316" t="s">
        <v>6167</v>
      </c>
      <c r="F316" t="s">
        <v>6186</v>
      </c>
      <c r="H316" t="s">
        <v>6164</v>
      </c>
      <c r="I316" t="s">
        <v>6107</v>
      </c>
      <c r="J316" t="s">
        <v>2986</v>
      </c>
      <c r="K316" t="s">
        <v>6108</v>
      </c>
      <c r="L316" t="s">
        <v>6109</v>
      </c>
      <c r="M316" s="3" t="str">
        <f>HYPERLINK(СторонТрансп[[#This Row],[RelativePath]])</f>
        <v>11 С ангара на базу\E33149364_4_20251213T091533Z.jpg</v>
      </c>
    </row>
    <row r="317" spans="1:13" x14ac:dyDescent="0.25">
      <c r="A317" t="s">
        <v>18</v>
      </c>
      <c r="B317" s="4">
        <v>46004</v>
      </c>
      <c r="C317" s="6">
        <v>0.38621527777777775</v>
      </c>
      <c r="D317" s="7" t="s">
        <v>6187</v>
      </c>
      <c r="E317" t="s">
        <v>6167</v>
      </c>
      <c r="I317" t="s">
        <v>6110</v>
      </c>
      <c r="J317" t="s">
        <v>2986</v>
      </c>
      <c r="K317" t="s">
        <v>6111</v>
      </c>
      <c r="L317" t="s">
        <v>6112</v>
      </c>
      <c r="M317" s="3" t="str">
        <f>HYPERLINK(СторонТрансп[[#This Row],[RelativePath]])</f>
        <v>11 С ангара на базу\E33149364_4_20251213T091609Z.jpg</v>
      </c>
    </row>
    <row r="318" spans="1:13" x14ac:dyDescent="0.25">
      <c r="A318" t="s">
        <v>18</v>
      </c>
      <c r="B318" s="4">
        <v>46004</v>
      </c>
      <c r="C318" s="6">
        <v>0.39291666666666669</v>
      </c>
      <c r="D318" s="7" t="s">
        <v>289</v>
      </c>
      <c r="E318" t="s">
        <v>6167</v>
      </c>
      <c r="F318" t="s">
        <v>6188</v>
      </c>
      <c r="H318" t="s">
        <v>2936</v>
      </c>
      <c r="I318" t="s">
        <v>6113</v>
      </c>
      <c r="J318" t="s">
        <v>2986</v>
      </c>
      <c r="K318" t="s">
        <v>6114</v>
      </c>
      <c r="L318" t="s">
        <v>6115</v>
      </c>
      <c r="M318" s="3" t="str">
        <f>HYPERLINK(СторонТрансп[[#This Row],[RelativePath]])</f>
        <v>11 С ангара на базу\E33149364_4_20251213T092548Z.jpg</v>
      </c>
    </row>
    <row r="319" spans="1:13" x14ac:dyDescent="0.25">
      <c r="A319" t="s">
        <v>18</v>
      </c>
      <c r="B319" s="4">
        <v>46004</v>
      </c>
      <c r="C319" s="6">
        <v>0.39643518518518517</v>
      </c>
      <c r="D319" s="7" t="s">
        <v>289</v>
      </c>
      <c r="E319" t="s">
        <v>6167</v>
      </c>
      <c r="F319" t="s">
        <v>6188</v>
      </c>
      <c r="H319" t="s">
        <v>2936</v>
      </c>
      <c r="I319" t="s">
        <v>6116</v>
      </c>
      <c r="J319" t="s">
        <v>2986</v>
      </c>
      <c r="K319" t="s">
        <v>6117</v>
      </c>
      <c r="L319" t="s">
        <v>6118</v>
      </c>
      <c r="M319" s="3" t="str">
        <f>HYPERLINK(СторонТрансп[[#This Row],[RelativePath]])</f>
        <v>11 С ангара на базу\E33149364_4_20251213T093052Z.jpg</v>
      </c>
    </row>
    <row r="320" spans="1:13" x14ac:dyDescent="0.25">
      <c r="A320" t="s">
        <v>18</v>
      </c>
      <c r="B320" s="4">
        <v>46004</v>
      </c>
      <c r="C320" s="6">
        <v>0.39685185185185184</v>
      </c>
      <c r="D320" s="7" t="s">
        <v>289</v>
      </c>
      <c r="E320" t="s">
        <v>6167</v>
      </c>
      <c r="F320" t="s">
        <v>6188</v>
      </c>
      <c r="H320" t="s">
        <v>2936</v>
      </c>
      <c r="I320" t="s">
        <v>6119</v>
      </c>
      <c r="J320" t="s">
        <v>2986</v>
      </c>
      <c r="K320" t="s">
        <v>6120</v>
      </c>
      <c r="L320" t="s">
        <v>6121</v>
      </c>
      <c r="M320" s="3" t="str">
        <f>HYPERLINK(СторонТрансп[[#This Row],[RelativePath]])</f>
        <v>11 С ангара на базу\E33149364_4_20251213T093128Z.jpg</v>
      </c>
    </row>
    <row r="321" spans="1:13" x14ac:dyDescent="0.25">
      <c r="A321" t="s">
        <v>18</v>
      </c>
      <c r="B321" s="4">
        <v>46004</v>
      </c>
      <c r="C321" s="6">
        <v>0.3972222222222222</v>
      </c>
      <c r="D321" s="7" t="s">
        <v>289</v>
      </c>
      <c r="E321" t="s">
        <v>6167</v>
      </c>
      <c r="F321" t="s">
        <v>6188</v>
      </c>
      <c r="H321" t="s">
        <v>2936</v>
      </c>
      <c r="I321" t="s">
        <v>6122</v>
      </c>
      <c r="J321" t="s">
        <v>2986</v>
      </c>
      <c r="K321" t="s">
        <v>6123</v>
      </c>
      <c r="L321" t="s">
        <v>6124</v>
      </c>
      <c r="M321" s="3" t="str">
        <f>HYPERLINK(СторонТрансп[[#This Row],[RelativePath]])</f>
        <v>11 С ангара на базу\E33149364_4_20251213T093200Z.jpg</v>
      </c>
    </row>
    <row r="322" spans="1:13" x14ac:dyDescent="0.25">
      <c r="A322" t="s">
        <v>18</v>
      </c>
      <c r="B322" s="4">
        <v>46004</v>
      </c>
      <c r="C322" s="6">
        <v>0.39961805555555557</v>
      </c>
      <c r="D322" s="7" t="s">
        <v>289</v>
      </c>
      <c r="E322" t="s">
        <v>6167</v>
      </c>
      <c r="F322" t="s">
        <v>6188</v>
      </c>
      <c r="H322" t="s">
        <v>2936</v>
      </c>
      <c r="I322" t="s">
        <v>6125</v>
      </c>
      <c r="J322" t="s">
        <v>2986</v>
      </c>
      <c r="K322" t="s">
        <v>6126</v>
      </c>
      <c r="L322" t="s">
        <v>6127</v>
      </c>
      <c r="M322" s="3" t="str">
        <f>HYPERLINK(СторонТрансп[[#This Row],[RelativePath]])</f>
        <v>11 С ангара на базу\E33149364_4_20251213T093527Z.jpg</v>
      </c>
    </row>
    <row r="323" spans="1:13" x14ac:dyDescent="0.25">
      <c r="A323" t="s">
        <v>18</v>
      </c>
      <c r="B323" s="4">
        <v>46004</v>
      </c>
      <c r="C323" s="6">
        <v>0.39997685185185183</v>
      </c>
      <c r="D323" s="7" t="s">
        <v>289</v>
      </c>
      <c r="E323" t="s">
        <v>6167</v>
      </c>
      <c r="F323" t="s">
        <v>6188</v>
      </c>
      <c r="H323" t="s">
        <v>2936</v>
      </c>
      <c r="I323" t="s">
        <v>6128</v>
      </c>
      <c r="J323" t="s">
        <v>2986</v>
      </c>
      <c r="K323" t="s">
        <v>6129</v>
      </c>
      <c r="L323" t="s">
        <v>6130</v>
      </c>
      <c r="M323" s="3" t="str">
        <f>HYPERLINK(СторонТрансп[[#This Row],[RelativePath]])</f>
        <v>11 С ангара на базу\E33149364_4_20251213T093558Z.jpg</v>
      </c>
    </row>
    <row r="324" spans="1:13" x14ac:dyDescent="0.25">
      <c r="A324" t="s">
        <v>18</v>
      </c>
      <c r="B324" s="4">
        <v>46004</v>
      </c>
      <c r="C324" s="6">
        <v>0.40167824074074077</v>
      </c>
      <c r="D324" s="7" t="s">
        <v>289</v>
      </c>
      <c r="E324" t="s">
        <v>6167</v>
      </c>
      <c r="F324" t="s">
        <v>6188</v>
      </c>
      <c r="H324" t="s">
        <v>2936</v>
      </c>
      <c r="I324" t="s">
        <v>6131</v>
      </c>
      <c r="J324" t="s">
        <v>2986</v>
      </c>
      <c r="K324" t="s">
        <v>6132</v>
      </c>
      <c r="L324" t="s">
        <v>6133</v>
      </c>
      <c r="M324" s="3" t="str">
        <f>HYPERLINK(СторонТрансп[[#This Row],[RelativePath]])</f>
        <v>11 С ангара на базу\E33149364_4_20251213T093825Z.jpg</v>
      </c>
    </row>
    <row r="325" spans="1:13" x14ac:dyDescent="0.25">
      <c r="A325" t="s">
        <v>18</v>
      </c>
      <c r="B325" s="4">
        <v>46004</v>
      </c>
      <c r="C325" s="6">
        <v>0.40229166666666666</v>
      </c>
      <c r="D325" s="7" t="s">
        <v>289</v>
      </c>
      <c r="E325" t="s">
        <v>6167</v>
      </c>
      <c r="F325" t="s">
        <v>6188</v>
      </c>
      <c r="H325" t="s">
        <v>2936</v>
      </c>
      <c r="I325" t="s">
        <v>6134</v>
      </c>
      <c r="J325" t="s">
        <v>2986</v>
      </c>
      <c r="K325" t="s">
        <v>6135</v>
      </c>
      <c r="L325" t="s">
        <v>6136</v>
      </c>
      <c r="M325" s="3" t="str">
        <f>HYPERLINK(СторонТрансп[[#This Row],[RelativePath]])</f>
        <v>11 С ангара на базу\E33149364_4_20251213T093918Z.jpg</v>
      </c>
    </row>
    <row r="326" spans="1:13" x14ac:dyDescent="0.25">
      <c r="A326" t="s">
        <v>18</v>
      </c>
      <c r="B326" s="4">
        <v>46004</v>
      </c>
      <c r="C326" s="6">
        <v>0.40465277777777775</v>
      </c>
      <c r="D326" s="7" t="s">
        <v>650</v>
      </c>
      <c r="E326" t="s">
        <v>6167</v>
      </c>
      <c r="F326" t="s">
        <v>6188</v>
      </c>
      <c r="I326" t="s">
        <v>6137</v>
      </c>
      <c r="J326" t="s">
        <v>2986</v>
      </c>
      <c r="K326" t="s">
        <v>6138</v>
      </c>
      <c r="L326" t="s">
        <v>6139</v>
      </c>
      <c r="M326" s="3" t="str">
        <f>HYPERLINK(СторонТрансп[[#This Row],[RelativePath]])</f>
        <v>11 С ангара на базу\E33149364_4_20251213T094242Z.jpg</v>
      </c>
    </row>
    <row r="327" spans="1:13" x14ac:dyDescent="0.25">
      <c r="A327" t="s">
        <v>18</v>
      </c>
      <c r="B327" s="4">
        <v>46004</v>
      </c>
      <c r="C327" s="6">
        <v>0.54765046296296294</v>
      </c>
      <c r="D327" s="7" t="s">
        <v>1606</v>
      </c>
      <c r="E327" t="s">
        <v>6167</v>
      </c>
      <c r="F327" t="s">
        <v>1609</v>
      </c>
      <c r="I327" t="s">
        <v>6140</v>
      </c>
      <c r="J327" t="s">
        <v>2986</v>
      </c>
      <c r="K327" t="s">
        <v>6141</v>
      </c>
      <c r="L327" t="s">
        <v>6142</v>
      </c>
      <c r="M327" s="3" t="str">
        <f>HYPERLINK(СторонТрансп[[#This Row],[RelativePath]])</f>
        <v>11 С ангара на базу\E33149364_4_20251213T130837Z.jpg</v>
      </c>
    </row>
    <row r="328" spans="1:13" x14ac:dyDescent="0.25">
      <c r="A328" t="s">
        <v>18</v>
      </c>
      <c r="B328" s="4">
        <v>46004</v>
      </c>
      <c r="C328" s="6">
        <v>0.54907407407407405</v>
      </c>
      <c r="D328" s="7" t="s">
        <v>290</v>
      </c>
      <c r="E328" t="s">
        <v>6167</v>
      </c>
      <c r="F328" t="s">
        <v>58</v>
      </c>
      <c r="I328" t="s">
        <v>6143</v>
      </c>
      <c r="J328" t="s">
        <v>2986</v>
      </c>
      <c r="K328" t="s">
        <v>6144</v>
      </c>
      <c r="L328" t="s">
        <v>6145</v>
      </c>
      <c r="M328" s="3" t="str">
        <f>HYPERLINK(СторонТрансп[[#This Row],[RelativePath]])</f>
        <v>11 С ангара на базу\E33149364_4_20251213T131040Z.jpg</v>
      </c>
    </row>
    <row r="329" spans="1:13" x14ac:dyDescent="0.25">
      <c r="A329" t="s">
        <v>18</v>
      </c>
      <c r="B329" s="4">
        <v>46004</v>
      </c>
      <c r="C329" s="6">
        <v>0.549224537037037</v>
      </c>
      <c r="D329" s="7" t="s">
        <v>290</v>
      </c>
      <c r="E329" t="s">
        <v>6167</v>
      </c>
      <c r="F329" t="s">
        <v>58</v>
      </c>
      <c r="H329" t="s">
        <v>2936</v>
      </c>
      <c r="I329" t="s">
        <v>6146</v>
      </c>
      <c r="J329" t="s">
        <v>2986</v>
      </c>
      <c r="K329" t="s">
        <v>6147</v>
      </c>
      <c r="L329" t="s">
        <v>6148</v>
      </c>
      <c r="M329" s="3" t="str">
        <f>HYPERLINK(СторонТрансп[[#This Row],[RelativePath]])</f>
        <v>11 С ангара на базу\E33149364_4_20251213T131053Z.jpg</v>
      </c>
    </row>
    <row r="330" spans="1:13" x14ac:dyDescent="0.25">
      <c r="A330" t="s">
        <v>18</v>
      </c>
      <c r="B330" s="4">
        <v>46004</v>
      </c>
      <c r="C330" s="6">
        <v>0.55100694444444442</v>
      </c>
      <c r="D330" s="7" t="s">
        <v>290</v>
      </c>
      <c r="E330" t="s">
        <v>6167</v>
      </c>
      <c r="F330" t="s">
        <v>58</v>
      </c>
      <c r="H330" t="s">
        <v>2936</v>
      </c>
      <c r="I330" t="s">
        <v>6149</v>
      </c>
      <c r="J330" t="s">
        <v>2986</v>
      </c>
      <c r="K330" t="s">
        <v>6150</v>
      </c>
      <c r="L330" t="s">
        <v>6151</v>
      </c>
      <c r="M330" s="3" t="str">
        <f>HYPERLINK(СторонТрансп[[#This Row],[RelativePath]])</f>
        <v>11 С ангара на базу\E33149364_4_20251213T131327Z.jpg</v>
      </c>
    </row>
    <row r="331" spans="1:13" x14ac:dyDescent="0.25">
      <c r="A331" t="s">
        <v>18</v>
      </c>
      <c r="B331" s="4">
        <v>46004</v>
      </c>
      <c r="C331" s="6">
        <v>0.55111111111111111</v>
      </c>
      <c r="D331" s="7" t="s">
        <v>290</v>
      </c>
      <c r="E331" t="s">
        <v>6167</v>
      </c>
      <c r="F331" t="s">
        <v>58</v>
      </c>
      <c r="H331" t="s">
        <v>2936</v>
      </c>
      <c r="I331" t="s">
        <v>6152</v>
      </c>
      <c r="J331" t="s">
        <v>2986</v>
      </c>
      <c r="K331" t="s">
        <v>6153</v>
      </c>
      <c r="L331" t="s">
        <v>6154</v>
      </c>
      <c r="M331" s="3" t="str">
        <f>HYPERLINK(СторонТрансп[[#This Row],[RelativePath]])</f>
        <v>11 С ангара на базу\E33149364_4_20251213T131336Z.jpg</v>
      </c>
    </row>
    <row r="332" spans="1:13" x14ac:dyDescent="0.25">
      <c r="A332" t="s">
        <v>18</v>
      </c>
      <c r="B332" s="4">
        <v>46004</v>
      </c>
      <c r="C332" s="6">
        <v>0.55388888888888888</v>
      </c>
      <c r="D332" s="7" t="s">
        <v>650</v>
      </c>
      <c r="E332" t="s">
        <v>6167</v>
      </c>
      <c r="F332" t="s">
        <v>6189</v>
      </c>
      <c r="I332" t="s">
        <v>6155</v>
      </c>
      <c r="J332" t="s">
        <v>2986</v>
      </c>
      <c r="K332" t="s">
        <v>6156</v>
      </c>
      <c r="L332" t="s">
        <v>6157</v>
      </c>
      <c r="M332" s="3" t="str">
        <f>HYPERLINK(СторонТрансп[[#This Row],[RelativePath]])</f>
        <v>11 С ангара на базу\E33149364_4_20251213T131736Z.jpg</v>
      </c>
    </row>
    <row r="333" spans="1:13" x14ac:dyDescent="0.25">
      <c r="A333" t="s">
        <v>18</v>
      </c>
      <c r="B333" s="4">
        <v>46004</v>
      </c>
      <c r="C333" s="6">
        <v>0.55222222222222217</v>
      </c>
      <c r="D333" s="7" t="s">
        <v>4</v>
      </c>
      <c r="E333" t="s">
        <v>6167</v>
      </c>
      <c r="I333" t="s">
        <v>5999</v>
      </c>
      <c r="J333" t="s">
        <v>2988</v>
      </c>
      <c r="K333" t="s">
        <v>6000</v>
      </c>
      <c r="L333" t="s">
        <v>6001</v>
      </c>
      <c r="M333" s="3" t="str">
        <f>HYPERLINK(СторонТрансп[[#This Row],[RelativePath]])</f>
        <v>13 Склад хол\K07156189_23_20251213T131512Z.jpg</v>
      </c>
    </row>
  </sheetData>
  <conditionalFormatting sqref="E334:E355 D2:E333">
    <cfRule type="containsText" dxfId="15" priority="6" operator="containsText" text="Выезд с территории">
      <formula>NOT(ISERROR(SEARCH("Выезд с территории",D2)))</formula>
    </cfRule>
  </conditionalFormatting>
  <conditionalFormatting sqref="D2:D333">
    <cfRule type="containsText" dxfId="1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3">
    <cfRule type="containsText" dxfId="13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55">
    <cfRule type="containsText" dxfId="12" priority="2" operator="containsText" text="Газель базы">
      <formula>NOT(ISERROR(SEARCH("Газель базы",E2)))</formula>
    </cfRule>
    <cfRule type="containsText" dxfId="11" priority="3" operator="containsText" text="Погрузчик базы">
      <formula>NOT(ISERROR(SEARCH("Погрузчик базы",E2)))</formula>
    </cfRule>
  </conditionalFormatting>
  <conditionalFormatting sqref="E2:E355">
    <cfRule type="containsText" dxfId="1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2025-12-17T04:51:52Z</dcterms:modified>
</cp:coreProperties>
</file>