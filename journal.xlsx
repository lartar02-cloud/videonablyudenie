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82E9AC9-4946-47FD-A620-45368C43DBD6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14 На гаражи" sheetId="41" r:id="rId14"/>
    <sheet name="СпрСобытий" sheetId="20" r:id="rId15"/>
    <sheet name="19 Хронометраж" sheetId="40" r:id="rId16"/>
    <sheet name="Загрузка" sheetId="37" r:id="rId17"/>
    <sheet name="Стороний транспорт" sheetId="38" r:id="rId18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кран'!$A$1:$L$213</definedName>
    <definedName name="ExternalData_1" localSheetId="12" hidden="1">'13 Склад хол'!$A$1:$L$189</definedName>
    <definedName name="ExternalData_1" localSheetId="13" hidden="1">'14 На гаражи'!$A$1:$L$3</definedName>
    <definedName name="ExternalData_1" localSheetId="15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офиса'!$A$1:$L$208</definedName>
    <definedName name="ExternalData_1" localSheetId="4" hidden="1">'5 Крыльцо общага'!$A$1:$L$335</definedName>
    <definedName name="ExternalData_1" localSheetId="5" hidden="1">'6 Площадка 1 общага'!$A$1:$L$155</definedName>
    <definedName name="ExternalData_1" localSheetId="6" hidden="1">'7 Площадка 2 бетонщики'!$A$1:$L$294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6" hidden="1">Загрузка!$A$1:$L$233</definedName>
    <definedName name="ExternalData_1" localSheetId="17" hidden="1">'Стороний транспорт'!$A$1:$L$148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41"/>
  <c r="M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9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0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1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2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3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4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5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6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7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8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<sst xmlns="http://schemas.openxmlformats.org/spreadsheetml/2006/main" count="51570" uniqueCount="12386">
  <si>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</si>
  <si>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</si>
  <si>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</si>
  <si>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</si>
  <si>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</si>
  <si>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</si>
  <si>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</si>
  <si>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</si>
  <si>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</si>
  <si>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</si>
  <si>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</si>
  <si>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</si>
  <si>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</si>
  <si>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</si>
  <si>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</si>
  <si>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</si>
  <si>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</si>
  <si>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</si>
  <si>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</si>
  <si>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</si>
  <si>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</si>
  <si>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</si>
  <si>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</si>
  <si>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</si>
  <si>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</si>
  <si>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</si>
  <si>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</si>
  <si>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</si>
  <si>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</si>
  <si>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</si>
  <si>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</si>
  <si>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</si>
  <si>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</si>
  <si>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</si>
  <si>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</si>
  <si>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</si>
  <si>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</si>
  <si>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</si>
  <si>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</si>
  <si>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</si>
  <si>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</si>
  <si>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</si>
  <si>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</si>
  <si>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</si>
  <si>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</si>
  <si>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</si>
  <si>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</si>
  <si>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</si>
  <si>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</si>
  <si>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</si>
  <si>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</si>
  <si>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</si>
  <si>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</si>
  <si>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</si>
  <si>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</si>
  <si>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</si>
  <si>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</si>
  <si>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</si>
  <si>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</si>
  <si>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</si>
  <si>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</si>
  <si>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</si>
  <si>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</si>
  <si>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</si>
  <si>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</si>
  <si>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</si>
  <si>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</si>
  <si>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</si>
  <si>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</si>
  <si>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</si>
  <si>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</si>
  <si>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</si>
  <si>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</si>
  <si>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</si>
  <si>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</si>
  <si>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</si>
  <si>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</si>
  <si>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</si>
  <si>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</si>
  <si>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</si>
  <si>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</si>
  <si>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</si>
  <si>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</si>
  <si>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</si>
  <si>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</si>
  <si>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</si>
  <si>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</si>
  <si>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</si>
  <si>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</si>
  <si>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</si>
  <si>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</si>
  <si>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</si>
  <si>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</si>
  <si>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</si>
  <si>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</si>
  <si>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</si>
  <si>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</si>
  <si>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</si>
  <si>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</si>
  <si>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</si>
  <si>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</si>
  <si>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</si>
  <si>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</si>
  <si>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</si>
  <si>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</si>
  <si>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</si>
  <si>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</si>
  <si>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</si>
  <si>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</si>
  <si>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</si>
  <si>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</si>
  <si>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</si>
  <si>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</si>
  <si>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</si>
  <si>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</si>
  <si>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</si>
  <si>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</si>
  <si>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</si>
  <si>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</si>
  <si>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</si>
  <si>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</si>
  <si>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</si>
  <si>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</si>
  <si>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</si>
  <si>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</si>
  <si>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</si>
  <si>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</si>
  <si>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</si>
  <si>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</si>
  <si>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</si>
  <si>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</si>
  <si>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</si>
  <si>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</si>
  <si>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</si>
  <si>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</si>
  <si>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</si>
  <si>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</si>
  <si>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</si>
  <si>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</si>
  <si>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</si>
  <si>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</si>
  <si>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</si>
  <si>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</si>
  <si>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</si>
  <si>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</si>
  <si>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</si>
  <si>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</si>
  <si>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</si>
  <si>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</si>
  <si>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</si>
  <si>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</si>
  <si>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</si>
  <si>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</si>
  <si>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</si>
  <si>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</si>
  <si>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</si>
  <si>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</si>
  <si>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</si>
  <si>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</si>
  <si>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</si>
  <si>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</si>
  <si>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</si>
  <si>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</si>
  <si>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</si>
  <si>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</si>
  <si>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</si>
  <si>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</si>
  <si>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</si>
  <si>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</si>
  <si>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</si>
  <si>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</si>
  <si>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</si>
  <si>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</si>
  <si>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</si>
  <si>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</si>
  <si>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</si>
  <si>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</si>
  <si>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</si>
  <si>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</si>
  <si>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</si>
  <si>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</si>
  <si>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</si>
  <si>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</si>
  <si>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</si>
  <si>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</si>
  <si>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</si>
  <si>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</si>
  <si>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</si>
  <si>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</si>
  <si>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</si>
  <si>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</si>
  <si>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</si>
  <si>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</si>
  <si>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</si>
  <si>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</si>
  <si>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</si>
  <si>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</si>
  <si>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</si>
  <si>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</si>
  <si>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</si>
  <si>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</si>
  <si>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</si>
  <si>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</si>
  <si>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</si>
  <si>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</si>
  <si>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</si>
  <si>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</si>
  <si>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</si>
  <si>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</si>
  <si>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</si>
  <si>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</si>
  <si>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</si>
  <si>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</si>
  <si>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</si>
  <si>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</si>
  <si>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</si>
  <si>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</si>
  <si>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</si>
  <si>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</si>
  <si>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</si>
  <si>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</si>
  <si>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</si>
  <si>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</si>
  <si>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</si>
  <si>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</si>
  <si>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</si>
  <si>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</si>
  <si>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</si>
  <si>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</si>
  <si>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</si>
  <si>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</si>
  <si>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</si>
  <si>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</si>
  <si>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</si>
  <si>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</si>
  <si>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</si>
  <si>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</si>
  <si>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</si>
  <si>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</si>
  <si>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</si>
  <si>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</si>
  <si>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</si>
  <si>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</si>
  <si>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</si>
  <si>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</si>
  <si>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</si>
  <si>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</si>
  <si>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</si>
  <si>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</si>
  <si>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</si>
  <si>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</si>
  <si>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</si>
  <si>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</si>
  <si>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</si>
  <si>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</si>
  <si>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</si>
  <si>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</si>
  <si>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</si>
  <si>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</si>
  <si>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</si>
  <si>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</si>
  <si>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</si>
  <si>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</si>
  <si>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</si>
  <si>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</si>
  <si>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</si>
  <si>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</si>
  <si>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</si>
  <si>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</si>
  <si>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</si>
  <si>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</si>
  <si>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</si>
  <si>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</si>
  <si>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</si>
  <si>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</si>
  <si>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</si>
  <si>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</si>
  <si>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</si>
  <si>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</si>
  <si>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</si>
  <si>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</si>
  <si>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</si>
  <si>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</si>
  <si>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</si>
  <si>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</si>
  <si>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</si>
  <si>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</si>
  <si>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</si>
  <si>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</si>
  <si>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</si>
  <si>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</si>
  <si>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</si>
  <si>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</si>
  <si>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</si>
  <si>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</si>
  <si>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</si>
  <si>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</si>
  <si>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</si>
  <si>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</si>
  <si>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</si>
  <si>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</si>
  <si>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</si>
  <si>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</si>
  <si>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</si>
  <si>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</si>
  <si>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</si>
  <si>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</si>
  <si>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</si>
  <si>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</si>
  <si>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</si>
  <si>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</si>
  <si>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</si>
  <si>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</si>
  <si>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</si>
  <si>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</si>
  <si>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</si>
  <si>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</si>
  <si>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</si>
  <si>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</si>
  <si>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</si>
  <si>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</si>
  <si>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</si>
  <si>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</si>
  <si>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</si>
  <si>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</si>
  <si>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</si>
  <si>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</si>
  <si>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</si>
  <si>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</si>
  <si>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</si>
  <si>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</si>
  <si>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</si>
  <si>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</si>
  <si>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</si>
  <si>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</si>
  <si>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</si>
  <si>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</si>
  <si>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</si>
  <si>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</si>
  <si>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</si>
  <si>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</si>
  <si>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</si>
  <si>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</si>
  <si>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</si>
  <si>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</si>
  <si>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</si>
  <si>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</si>
  <si>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</si>
  <si>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</si>
  <si>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</si>
  <si>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</si>
  <si>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</si>
  <si>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</si>
  <si>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</si>
  <si>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</si>
  <si>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</si>
  <si>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</si>
  <si>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</si>
  <si>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</si>
  <si>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</si>
  <si>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</si>
  <si>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</si>
  <si>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</si>
  <si>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</si>
  <si>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</si>
  <si>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</si>
  <si>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</si>
  <si>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</si>
  <si>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</si>
  <si>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</si>
  <si>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</si>
  <si>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</si>
  <si>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</si>
  <si>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</si>
  <si>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</si>
  <si>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</si>
  <si>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</si>
  <si>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</si>
  <si>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</si>
  <si>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</si>
  <si>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</si>
  <si>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</si>
  <si>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</si>
  <si>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</si>
  <si>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</si>
  <si>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</si>
  <si>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</si>
  <si>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</si>
  <si>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</si>
  <si>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</si>
  <si>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</si>
  <si>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</si>
  <si>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</si>
  <si>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</si>
  <si>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</si>
  <si>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</si>
  <si>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</si>
  <si>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</si>
  <si>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</si>
  <si>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</si>
  <si>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</si>
  <si>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</si>
  <si>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</si>
  <si>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</si>
  <si>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</si>
  <si>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</si>
  <si>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</si>
  <si>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</si>
  <si>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</si>
  <si>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</si>
  <si>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</si>
  <si>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</si>
  <si>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</si>
  <si>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</si>
  <si>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</si>
  <si>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</si>
  <si>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</si>
  <si>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</si>
  <si>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</si>
  <si>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</si>
  <si>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</si>
  <si>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</si>
  <si>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</si>
  <si>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</si>
  <si>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</si>
  <si>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</si>
  <si>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</si>
  <si>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</si>
  <si>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</si>
  <si>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</si>
  <si>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</si>
  <si>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</si>
  <si>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</si>
  <si>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</si>
  <si>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</si>
  <si>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</si>
  <si>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</si>
  <si>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</si>
  <si>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</si>
  <si>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</si>
  <si>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</si>
  <si>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</si>
  <si>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</si>
  <si>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</si>
  <si>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</si>
  <si>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</si>
  <si>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</si>
  <si>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</si>
  <si>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</si>
  <si>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</si>
  <si>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</si>
  <si>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</si>
  <si>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</si>
  <si>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</si>
  <si>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</si>
  <si>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</si>
  <si>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</si>
  <si>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</si>
  <si>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</si>
  <si>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</si>
  <si>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</si>
  <si>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</si>
  <si>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</si>
  <si>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</si>
  <si>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</si>
  <si>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</si>
  <si>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</si>
  <si>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</si>
  <si>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</si>
  <si>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</si>
  <si>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</si>
  <si>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</si>
  <si>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</si>
  <si>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</si>
  <si>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</si>
  <si>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</si>
  <si>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</si>
  <si>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</si>
  <si>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</si>
  <si>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</si>
  <si>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</si>
  <si>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</si>
  <si>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</si>
  <si>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</si>
  <si>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</si>
  <si>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</si>
  <si>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</si>
  <si>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</si>
  <si>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</si>
  <si>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</si>
  <si>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</si>
  <si>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</si>
  <si>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</si>
  <si>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</si>
  <si>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</si>
  <si>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</si>
  <si>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</si>
  <si>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</si>
  <si>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</si>
  <si>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</si>
  <si>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</si>
  <si>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</si>
  <si>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</si>
  <si>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</si>
  <si>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</si>
  <si>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</si>
  <si>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</si>
  <si>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</si>
  <si>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</si>
  <si>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</si>
  <si>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</si>
  <si>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</si>
  <si>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</si>
  <si>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</si>
  <si>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</si>
  <si>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</si>
  <si>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</si>
  <si>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</si>
  <si>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</si>
  <si>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</si>
  <si>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</si>
  <si>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</si>
  <si>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</si>
  <si>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</si>
  <si>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</si>
  <si>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</si>
  <si>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</si>
  <si>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</si>
  <si>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</si>
  <si>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</si>
  <si>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</si>
  <si>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</si>
  <si>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</si>
  <si>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</si>
  <si>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</si>
  <si>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</si>
  <si>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</si>
  <si>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</si>
  <si>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</si>
  <si>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</si>
  <si>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</si>
  <si>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</si>
  <si>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</si>
  <si>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</si>
  <si>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</si>
  <si>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</si>
  <si>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</si>
  <si>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</si>
  <si>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</si>
  <si>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</si>
  <si>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</si>
  <si>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</si>
  <si>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</si>
  <si>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</si>
  <si>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</si>
  <si>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</si>
  <si>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</si>
  <si>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</si>
  <si>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</si>
  <si>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</si>
  <si>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</si>
  <si>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</si>
  <si>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</si>
  <si>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</si>
  <si>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</si>
  <si>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</si>
  <si>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</si>
  <si>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</si>
  <si>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</si>
  <si>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</si>
  <si>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</si>
  <si>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</si>
  <si>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</si>
  <si>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</si>
  <si>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</si>
  <si>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</si>
  <si>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</si>
  <si>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</si>
  <si>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</si>
  <si>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</si>
  <si>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</si>
  <si>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</si>
  <si>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</si>
  <si>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</si>
  <si>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</si>
  <si>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</si>
  <si>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</si>
  <si>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</si>
  <si>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</si>
  <si>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</si>
  <si>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</si>
  <si>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</si>
  <si>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</si>
  <si>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</si>
  <si>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</si>
  <si>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</si>
  <si>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</si>
  <si>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</si>
  <si>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</si>
  <si>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</si>
  <si>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</si>
  <si>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</si>
  <si>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</si>
  <si>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</si>
  <si>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</si>
  <si>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</si>
  <si>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</si>
  <si>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</si>
  <si>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</si>
  <si>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</si>
  <si>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</si>
  <si>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</si>
  <si>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</si>
  <si>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</si>
  <si>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</si>
  <si>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</si>
  <si>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</si>
  <si>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</si>
  <si>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</si>
  <si>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</si>
  <si>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</si>
  <si>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</si>
  <si>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</si>
  <si>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</si>
  <si>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</si>
  <si>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</si>
  <si>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</si>
  <si>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</si>
  <si>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</si>
  <si>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</si>
  <si>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</si>
  <si>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</si>
  <si>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</si>
  <si>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</si>
  <si>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</si>
  <si>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</si>
  <si>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</si>
  <si>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</si>
  <si>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</si>
  <si>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</si>
  <si>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</si>
  <si>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</si>
  <si>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</si>
  <si>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</si>
  <si>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</si>
  <si>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</si>
  <si>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</si>
  <si>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</si>
  <si>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</si>
  <si>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</si>
  <si>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</si>
  <si>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</si>
  <si>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</si>
  <si>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</si>
  <si>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</si>
  <si>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</si>
  <si>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</si>
  <si>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</si>
  <si>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</si>
  <si>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</si>
  <si>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</si>
  <si>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</si>
  <si>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</si>
  <si>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</si>
  <si>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</si>
  <si>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</si>
  <si>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</si>
  <si>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</si>
  <si>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</si>
  <si>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</si>
  <si>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</si>
  <si>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</si>
  <si>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</si>
  <si>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</si>
  <si>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</si>
  <si>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</si>
  <si>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</si>
  <si>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</si>
  <si>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</si>
  <si>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</si>
  <si>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</si>
  <si>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</si>
  <si>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</si>
  <si>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</si>
  <si>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</si>
  <si>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</si>
  <si>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</si>
  <si>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</si>
  <si>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</si>
  <si>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</si>
  <si>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</si>
  <si>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</si>
  <si>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</si>
  <si>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</si>
  <si>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</si>
  <si>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</si>
  <si>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</si>
  <si>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</si>
  <si>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</si>
  <si>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</si>
  <si>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</si>
  <si>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</si>
  <si>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</si>
  <si>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</si>
  <si>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</si>
  <si>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</si>
  <si>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</si>
  <si>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</si>
  <si>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</si>
  <si>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</si>
  <si>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</si>
  <si>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</si>
  <si>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</si>
  <si>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</si>
  <si>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</si>
  <si>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</si>
  <si>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</si>
  <si>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</si>
  <si>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</si>
  <si>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</si>
  <si>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</si>
  <si>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</si>
  <si>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</si>
  <si>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</si>
  <si>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</si>
  <si>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</si>
  <si>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</si>
  <si>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</si>
  <si>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</si>
  <si>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</si>
  <si>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</si>
  <si>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</si>
  <si>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</si>
  <si>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</si>
  <si>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</si>
  <si>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</si>
  <si>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</si>
  <si>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</si>
  <si>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</si>
  <si>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</si>
  <si>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</si>
  <si>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</si>
  <si>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</si>
  <si>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</si>
  <si>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</si>
  <si>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</si>
  <si>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</si>
  <si>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</si>
  <si>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</si>
  <si>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</si>
  <si>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</si>
  <si>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</si>
  <si>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</si>
  <si>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</si>
  <si>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</si>
  <si>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</si>
  <si>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</si>
  <si>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</si>
  <si>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</si>
  <si>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</si>
  <si>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</si>
  <si>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</si>
  <si>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</si>
  <si>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</si>
  <si>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</si>
  <si>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</si>
  <si>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</si>
  <si>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</si>
  <si>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</si>
  <si>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</si>
  <si>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</si>
  <si>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</si>
  <si>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</si>
  <si>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</si>
  <si>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</si>
  <si>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</si>
  <si>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</si>
  <si>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</si>
  <si>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</si>
  <si>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</si>
  <si>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</si>
  <si>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</si>
  <si>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</si>
  <si>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</si>
  <si>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</si>
  <si>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</si>
  <si>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</si>
  <si>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</si>
  <si>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</si>
  <si>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</si>
  <si>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</si>
  <si>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</si>
  <si>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</si>
  <si>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</si>
  <si>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</si>
  <si>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</si>
  <si>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</si>
  <si>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</si>
  <si>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</si>
  <si>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</si>
  <si>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</si>
  <si>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</si>
  <si>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</si>
  <si>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</si>
  <si>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</si>
  <si>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</si>
  <si>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</si>
  <si>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</si>
  <si>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</si>
  <si>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</si>
  <si>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</si>
  <si>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</si>
  <si>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</si>
  <si>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</si>
  <si>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</si>
  <si>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</si>
  <si>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</si>
  <si>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</si>
  <si>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</si>
  <si>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</si>
  <si>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</si>
  <si>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</si>
  <si>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</si>
  <si>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</si>
  <si>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</si>
  <si>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</si>
  <si>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</si>
  <si>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</si>
  <si>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</si>
  <si>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</si>
  <si>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</si>
  <si>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</si>
  <si>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</si>
  <si>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</si>
  <si>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</si>
  <si>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</si>
  <si>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</si>
  <si>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</si>
  <si>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</si>
  <si>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</si>
  <si>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</si>
  <si>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</si>
  <si>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</si>
  <si>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</si>
  <si>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</si>
  <si>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</si>
  <si>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</si>
  <si>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</si>
  <si>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</si>
  <si>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</si>
  <si>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</si>
  <si>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</si>
  <si>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</si>
  <si>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</si>
  <si>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</si>
  <si>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</si>
  <si>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</si>
  <si>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</si>
  <si>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</si>
  <si>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</si>
  <si>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</si>
  <si>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</si>
  <si>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</si>
  <si>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</si>
  <si>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</si>
  <si>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</si>
  <si>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</si>
  <si>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</si>
  <si>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</si>
  <si>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</si>
  <si>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</si>
  <si>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</si>
  <si>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</si>
  <si>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</si>
  <si>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</si>
  <si>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</si>
  <si>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</si>
  <si>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</si>
  <si>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</si>
  <si>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</si>
  <si>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</si>
  <si>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</si>
  <si>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</si>
  <si>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</si>
  <si>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</si>
  <si>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</si>
  <si>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</si>
  <si>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</si>
  <si>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</si>
  <si>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</si>
  <si>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</si>
  <si>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</si>
  <si>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</si>
  <si>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</si>
  <si>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</si>
  <si>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</si>
  <si>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</si>
  <si>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</si>
  <si>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</si>
  <si>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</si>
  <si>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</si>
  <si>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</si>
  <si>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</si>
  <si>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</si>
  <si>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</si>
  <si>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</si>
  <si>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</si>
  <si>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</si>
  <si>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</si>
  <si>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</si>
  <si>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</si>
  <si>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</si>
  <si>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</si>
  <si>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</si>
  <si>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</si>
  <si>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</si>
  <si>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</si>
  <si>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</si>
  <si>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</si>
  <si>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</si>
  <si>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</si>
  <si>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</si>
  <si>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</si>
  <si>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</si>
  <si>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</si>
  <si>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</si>
  <si>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</si>
  <si>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</si>
  <si>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</si>
  <si>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</si>
  <si>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</si>
  <si>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</si>
  <si>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</si>
  <si>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</si>
  <si>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</si>
  <si>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</si>
  <si>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</si>
  <si>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</si>
  <si>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</si>
  <si>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</si>
  <si>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</si>
  <si>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</si>
  <si>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</si>
  <si>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</si>
  <si>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</si>
  <si>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</si>
  <si>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</si>
  <si>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</si>
  <si>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</si>
  <si>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</si>
  <si>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</si>
  <si>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</si>
  <si>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</si>
  <si>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</si>
  <si>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</si>
  <si>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</si>
  <si>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</si>
  <si>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</si>
  <si>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</si>
  <si>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</si>
  <si>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</si>
  <si>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</si>
  <si>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</si>
  <si>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</si>
  <si>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</si>
  <si>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</si>
  <si>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</si>
  <si>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</si>
  <si>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</si>
  <si>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</si>
  <si>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</si>
  <si>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</si>
  <si>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</si>
  <si>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</si>
  <si>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</si>
  <si>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</si>
  <si>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</si>
  <si>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</si>
  <si>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</si>
  <si>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</si>
  <si>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</si>
  <si>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</si>
  <si>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</si>
  <si>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</si>
  <si>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</si>
  <si>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</si>
  <si>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</si>
  <si>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</si>
  <si>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</si>
  <si>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</si>
  <si>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</si>
  <si>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</si>
  <si>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</si>
  <si>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</si>
  <si>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</si>
  <si>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</si>
  <si>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</si>
  <si>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</si>
  <si>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</si>
  <si>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</si>
  <si>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</si>
  <si>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</si>
  <si>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</si>
  <si>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</si>
  <si>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</si>
  <si>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</si>
  <si>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</si>
  <si>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</si>
  <si>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</si>
  <si>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</si>
  <si>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</si>
  <si>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</si>
  <si>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</si>
  <si>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</si>
  <si>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</si>
  <si>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</si>
  <si>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</si>
  <si>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</si>
  <si>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</si>
  <si>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</si>
  <si>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</si>
  <si>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</si>
  <si>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</si>
  <si>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</si>
  <si>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</si>
  <si>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</si>
  <si>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</si>
  <si>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</si>
  <si>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</si>
  <si>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</si>
  <si>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</si>
  <si>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</si>
  <si>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</si>
  <si>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</si>
  <si>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</si>
  <si>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</si>
  <si>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</si>
  <si>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</si>
  <si>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</si>
  <si>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</si>
  <si>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</si>
  <si>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</si>
  <si>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</si>
  <si>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</si>
  <si>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</si>
  <si>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</si>
  <si>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</si>
  <si>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</si>
  <si>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</si>
  <si>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</si>
  <si>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</si>
  <si>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</si>
  <si>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</si>
  <si>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</si>
  <si>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</si>
  <si>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</si>
  <si>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</si>
  <si>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</si>
  <si>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</si>
  <si>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</si>
  <si>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</si>
  <si>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</si>
  <si>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</si>
  <si>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</si>
  <si>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</si>
  <si>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</si>
  <si>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</si>
  <si>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</si>
  <si>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</si>
  <si>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</si>
  <si>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</si>
  <si>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</si>
  <si>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</si>
  <si>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</si>
  <si>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</si>
  <si>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</si>
  <si>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</si>
  <si>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</si>
  <si>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</si>
  <si>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</si>
  <si>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</si>
  <si>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</si>
  <si>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</si>
  <si>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</si>
  <si>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</si>
  <si>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</si>
  <si>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</si>
  <si>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</si>
  <si>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</si>
  <si>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</si>
  <si>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</si>
  <si>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</si>
  <si>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</si>
  <si>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</si>
  <si>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</si>
  <si>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</si>
  <si>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</si>
  <si>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</si>
  <si>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</si>
  <si>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</si>
  <si>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</si>
  <si>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</si>
  <si>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</si>
  <si>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</si>
  <si>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</si>
  <si>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</si>
  <si>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</si>
  <si>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</si>
  <si>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</si>
  <si>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</si>
  <si>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</si>
  <si>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</si>
  <si>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</si>
  <si>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</si>
  <si>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</si>
  <si>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</si>
  <si>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</si>
  <si>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</si>
  <si>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</si>
  <si>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</si>
  <si>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</si>
  <si>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</si>
  <si>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</si>
  <si>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</si>
  <si>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</si>
  <si>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</si>
  <si>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</si>
  <si>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</si>
  <si>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</si>
  <si>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</si>
  <si>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</si>
  <si>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</si>
  <si>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</si>
  <si>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</si>
  <si>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</si>
  <si>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</si>
  <si>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</si>
  <si>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</si>
  <si>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</si>
  <si>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</si>
  <si>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</si>
  <si>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</si>
  <si>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</si>
  <si>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</si>
  <si>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</si>
  <si>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</si>
  <si>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</si>
  <si>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</si>
  <si>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</si>
  <si>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</si>
  <si>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</si>
  <si>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</si>
  <si>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</si>
  <si>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</si>
  <si>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</si>
  <si>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</si>
  <si>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</si>
  <si>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</si>
  <si>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</si>
  <si>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</si>
  <si>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</si>
  <si>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</si>
  <si>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</si>
  <si>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</si>
  <si>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</si>
  <si>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</si>
  <si>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</si>
  <si>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</si>
  <si>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</si>
  <si>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</si>
  <si>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</si>
  <si>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</si>
  <si>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</si>
  <si>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</si>
  <si>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</si>
  <si>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</si>
  <si>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</si>
  <si>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</si>
  <si>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</si>
  <si>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</si>
  <si>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</si>
  <si>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</si>
  <si>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</si>
  <si>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</si>
  <si>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</si>
  <si>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</si>
  <si>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</si>
  <si>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</si>
  <si>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</si>
  <si>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</si>
  <si>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</si>
  <si>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</si>
  <si>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</si>
  <si>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</si>
  <si>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</si>
  <si>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</si>
  <si>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</si>
  <si>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</si>
  <si>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</si>
  <si>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</si>
  <si>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</si>
  <si>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</si>
  <si>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</si>
  <si>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</si>
  <si>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</si>
  <si>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</si>
  <si>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</si>
  <si>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</si>
  <si>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</si>
  <si>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</si>
  <si>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</si>
  <si>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</si>
  <si>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</si>
  <si>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</si>
  <si>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</si>
  <si>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</si>
  <si>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</si>
  <si>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</si>
  <si>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</si>
  <si>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</si>
  <si>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</si>
  <si>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</si>
  <si>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</si>
  <si>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</si>
  <si>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</si>
  <si>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</si>
  <si>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</si>
  <si>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</si>
  <si>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</si>
  <si>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</si>
  <si>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</si>
  <si>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</si>
  <si>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</si>
  <si>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</si>
  <si>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</si>
  <si>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</si>
  <si>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</si>
  <si>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</si>
  <si>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</si>
  <si>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</si>
  <si>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</si>
  <si>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</si>
  <si>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</si>
  <si>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</si>
  <si>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</si>
  <si>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</si>
  <si>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</si>
  <si>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</si>
  <si>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</si>
  <si>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</si>
  <si>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</si>
  <si>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</si>
  <si>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</si>
  <si>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</si>
  <si>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</si>
  <si>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</si>
  <si>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</si>
  <si>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</si>
  <si>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</si>
  <si>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</si>
  <si>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</si>
  <si>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</si>
  <si>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</si>
  <si>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</si>
  <si>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</si>
  <si>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</si>
  <si>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</si>
  <si>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</si>
  <si>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</si>
  <si>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</si>
  <si>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</si>
  <si>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</si>
  <si>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</si>
  <si>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</si>
  <si>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</si>
  <si>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</si>
  <si>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</si>
  <si>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</si>
  <si>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</si>
  <si>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</si>
  <si>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</si>
  <si>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</si>
  <si>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</si>
  <si>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</si>
  <si>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</si>
  <si>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</si>
  <si>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</si>
  <si>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</si>
  <si>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</si>
  <si>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</si>
  <si>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</si>
  <si>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</si>
  <si>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</si>
  <si>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</si>
  <si>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</si>
  <si>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</si>
  <si>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</si>
  <si>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</si>
  <si>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</si>
  <si>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</si>
  <si>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</si>
  <si>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</si>
  <si>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</si>
  <si>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</si>
  <si>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</si>
  <si>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</si>
  <si>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</si>
  <si>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</si>
  <si>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</si>
  <si>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</si>
  <si>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</si>
  <si>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</si>
  <si>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</si>
  <si>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</si>
  <si>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</si>
  <si>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</si>
  <si>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</si>
  <si>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</si>
  <si>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</si>
  <si>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</si>
  <si>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</si>
  <si>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</si>
  <si>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</si>
  <si>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</si>
  <si>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</si>
  <si>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</si>
  <si>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</si>
  <si>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</si>
  <si>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</si>
  <si>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</si>
  <si>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</si>
  <si>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</si>
  <si>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</si>
  <si>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</si>
  <si>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</si>
  <si>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</si>
  <si>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</si>
  <si>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</si>
  <si>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</si>
  <si>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</si>
  <si>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</si>
  <si>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</si>
  <si>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</si>
  <si>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</si>
  <si>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</si>
  <si>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</si>
  <si>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</si>
  <si>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</si>
  <si>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</si>
  <si>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</si>
  <si>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</si>
  <si>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</si>
  <si>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</si>
  <si>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</si>
  <si>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</si>
  <si>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</si>
  <si>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</si>
  <si>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</si>
  <si>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</si>
  <si>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</si>
  <si>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</si>
  <si>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</si>
  <si>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</si>
  <si>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</si>
  <si>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</si>
  <si>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</si>
  <si>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</si>
  <si>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</si>
  <si>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</si>
  <si>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</si>
  <si>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</si>
  <si>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</si>
  <si>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</si>
  <si>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</si>
  <si>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</si>
  <si>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</si>
  <si>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</si>
  <si>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</si>
  <si>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</si>
  <si>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</si>
  <si>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</si>
  <si>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</si>
  <si>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</si>
  <si>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</si>
  <si>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</si>
  <si>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</si>
  <si>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</si>
  <si>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</si>
  <si>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</si>
  <si>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</si>
  <si>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</si>
  <si>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</si>
  <si>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</si>
  <si>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</si>
  <si>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</si>
  <si>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</si>
  <si>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</si>
  <si>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</si>
  <si>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</si>
  <si>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</si>
  <si>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</si>
  <si>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</si>
  <si>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</si>
  <si>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</si>
  <si>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</si>
  <si>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</si>
  <si>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</si>
  <si>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</si>
  <si>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</si>
  <si>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</si>
  <si>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</si>
  <si>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</si>
  <si>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</si>
  <si>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</si>
  <si>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</si>
  <si>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</si>
  <si>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</si>
  <si>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</si>
  <si>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</si>
  <si>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</si>
  <si>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</si>
  <si>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</si>
  <si>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</si>
  <si>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</si>
  <si>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</si>
  <si>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</si>
  <si>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</si>
  <si>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</si>
  <si>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</si>
  <si>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</si>
  <si>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</si>
  <si>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</si>
  <si>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</si>
  <si>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</si>
  <si>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</si>
  <si>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</si>
  <si>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</si>
  <si>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</si>
  <si>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</si>
  <si>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</si>
  <si>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</si>
  <si>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</si>
  <si>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</si>
  <si>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</si>
  <si>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</si>
  <si>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</si>
  <si>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</si>
  <si>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</si>
  <si>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</si>
  <si>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</si>
  <si>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</si>
  <si>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</si>
  <si>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</si>
  <si>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</si>
  <si>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</si>
  <si>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</si>
  <si>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</si>
  <si>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</si>
  <si>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</si>
  <si>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</si>
  <si>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</si>
  <si>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</si>
  <si>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</si>
  <si>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</si>
  <si>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</si>
  <si>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</si>
  <si>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</si>
  <si>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</si>
  <si>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</si>
  <si>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</si>
  <si>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</si>
  <si>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</si>
  <si>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</si>
  <si>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</si>
  <si>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</si>
  <si>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</si>
  <si>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</si>
  <si>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</si>
  <si>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</si>
  <si>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</si>
  <si>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</si>
  <si>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</si>
  <si>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</si>
  <si>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</si>
  <si>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</si>
  <si>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</si>
  <si>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</si>
  <si>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</si>
  <si>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</si>
  <si>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</si>
  <si>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</si>
  <si>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</si>
  <si>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</si>
  <si>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</si>
  <si>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</si>
  <si>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</si>
  <si>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</si>
  <si>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</si>
  <si>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</si>
  <si>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</si>
  <si>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</si>
  <si>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</si>
  <si>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</si>
  <si>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</si>
  <si>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</si>
  <si>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</si>
  <si>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</si>
  <si>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</si>
  <si>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</si>
  <si>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</si>
  <si>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</si>
  <si>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</si>
  <si>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</si>
  <si>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</si>
  <si>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</si>
  <si>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</si>
  <si>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</si>
  <si>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</si>
  <si>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</si>
  <si>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</si>
  <si>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</si>
  <si>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</si>
  <si>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</si>
  <si>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</si>
  <si>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</si>
  <si>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</si>
  <si>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</si>
  <si>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</si>
  <si>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</si>
  <si>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</si>
  <si>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</si>
  <si>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</si>
  <si>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</si>
  <si>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</si>
  <si>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</si>
  <si>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</si>
  <si>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</si>
  <si>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</si>
  <si>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</si>
  <si>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</si>
  <si>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</si>
  <si>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</si>
  <si>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</si>
  <si>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</si>
  <si>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</si>
  <si>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</si>
  <si>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</si>
  <si>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</si>
  <si>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</si>
  <si>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</si>
  <si>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</si>
  <si>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</si>
  <si>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</si>
  <si>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</si>
  <si>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</si>
  <si>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</si>
  <si>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</si>
  <si>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</si>
  <si>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</si>
  <si>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</si>
  <si>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</si>
  <si>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</si>
  <si>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</si>
  <si>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</si>
  <si>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</si>
  <si>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</si>
  <si>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</si>
  <si>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</si>
  <si>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</si>
  <si>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</si>
  <si>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</si>
  <si>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</si>
  <si>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</si>
  <si>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</si>
  <si>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</si>
  <si>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</si>
  <si>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</si>
  <si>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</si>
  <si>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</si>
  <si>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</si>
  <si>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</si>
  <si>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</si>
  <si>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</si>
  <si>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</si>
  <si>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</si>
  <si>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</si>
  <si>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</si>
  <si>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</si>
  <si>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</si>
  <si>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</si>
  <si>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</si>
  <si>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</si>
  <si>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</si>
  <si>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</si>
  <si>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</si>
  <si>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</si>
  <si>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</si>
  <si>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</si>
  <si>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</si>
  <si>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</si>
  <si>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</si>
  <si>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</si>
  <si>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</si>
  <si>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</si>
  <si>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</si>
  <si>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</si>
  <si>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</si>
  <si>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</si>
  <si>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</si>
  <si>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</si>
  <si>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</si>
  <si>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</si>
  <si>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</si>
  <si>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</si>
  <si>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</si>
  <si>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</si>
  <si>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</si>
  <si>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</si>
  <si>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</si>
  <si>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</si>
  <si>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</si>
  <si>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</si>
  <si>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</si>
  <si>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</si>
  <si>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</si>
  <si>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</si>
  <si>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</si>
  <si>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</si>
  <si>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</si>
  <si>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</si>
  <si>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</si>
  <si>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</si>
  <si>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</si>
  <si>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</si>
  <si>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</si>
  <si>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</si>
  <si>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</si>
  <si>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</si>
  <si>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</si>
  <si>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</si>
  <si>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</si>
  <si>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</si>
  <si>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</si>
  <si>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</si>
  <si>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</si>
  <si>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</si>
  <si>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</si>
  <si>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</si>
  <si>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</si>
  <si>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</si>
  <si>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</si>
  <si>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</si>
  <si>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</si>
  <si>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</si>
  <si>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</si>
  <si>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</si>
  <si>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</si>
  <si>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</si>
  <si>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</si>
  <si>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</si>
  <si>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</si>
  <si>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</si>
  <si>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</si>
  <si>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</si>
  <si>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</si>
  <si>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</si>
  <si>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</si>
  <si>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</si>
  <si>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</si>
  <si>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</si>
  <si>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</si>
  <si>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</si>
  <si>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</si>
  <si>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</si>
  <si>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</si>
  <si>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</si>
  <si>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</si>
  <si>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</si>
  <si>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</si>
  <si>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</si>
  <si>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</si>
  <si>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</si>
  <si>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</si>
  <si>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</si>
  <si>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</si>
  <si>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</si>
  <si>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</si>
  <si>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</si>
  <si>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</si>
  <si>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</si>
  <si>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</si>
  <si>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</si>
  <si>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</si>
  <si>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</si>
  <si>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</si>
  <si>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</si>
  <si>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</si>
  <si>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</si>
  <si>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</si>
  <si>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</si>
  <si>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</si>
  <si>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</si>
  <si>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</si>
  <si>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</si>
  <si>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</si>
  <si>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</si>
  <si>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</si>
  <si>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</si>
  <si>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</si>
  <si>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</si>
  <si>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</si>
  <si>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</si>
  <si>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</si>
  <si>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</si>
  <si>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</si>
  <si>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</si>
  <si>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</si>
  <si>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</si>
  <si>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</si>
  <si>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</si>
  <si>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</si>
  <si>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</si>
  <si>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</si>
  <si>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</si>
  <si>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</si>
  <si>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</si>
  <si>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</si>
  <si>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</si>
  <si>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</si>
  <si>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</si>
  <si>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</si>
  <si>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</si>
  <si>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</si>
  <si>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</si>
  <si>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</si>
  <si>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</si>
  <si>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</si>
  <si>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</si>
  <si>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</si>
  <si>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</si>
  <si>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</si>
  <si>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</si>
  <si>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</si>
  <si>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</si>
  <si>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</si>
  <si>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</si>
  <si>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</si>
  <si>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</si>
  <si>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</si>
  <si>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</si>
  <si>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</si>
  <si>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</si>
  <si>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</si>
  <si>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</si>
  <si>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</si>
  <si>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</si>
  <si>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</si>
  <si>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</si>
  <si>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</si>
  <si>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</si>
  <si>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</si>
  <si>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</si>
  <si>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</si>
  <si>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</si>
  <si>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</si>
  <si>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</si>
  <si>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</si>
  <si>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</si>
  <si>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</si>
  <si>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</si>
  <si>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</si>
  <si>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</si>
  <si>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</si>
  <si>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</si>
  <si>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</si>
  <si>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</si>
  <si>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</si>
  <si>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</si>
  <si>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</si>
  <si>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</si>
  <si>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</si>
  <si>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</si>
  <si>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</si>
  <si>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</si>
  <si>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</si>
  <si>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</si>
  <si>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</si>
  <si>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</si>
  <si>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</si>
  <si>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</si>
  <si>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</si>
  <si>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</si>
  <si>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</si>
  <si>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</si>
  <si>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</si>
  <si>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</si>
  <si>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</si>
  <si>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</si>
  <si>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</si>
  <si>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</si>
  <si>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</si>
  <si>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</si>
  <si>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</si>
  <si>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</si>
  <si>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</si>
  <si>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</si>
  <si>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</si>
  <si>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</si>
  <si>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</si>
  <si>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</si>
  <si>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</si>
  <si>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</si>
  <si>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</si>
  <si>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</si>
  <si>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</si>
  <si>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</si>
  <si>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</si>
  <si>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</si>
  <si>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</si>
  <si>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</si>
  <si>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</si>
  <si>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</si>
  <si>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</si>
  <si>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</si>
  <si>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</si>
  <si>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</si>
  <si>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</si>
  <si>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</si>
  <si>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</si>
  <si>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</si>
  <si>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</si>
  <si>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</si>
  <si>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</si>
  <si>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</si>
  <si>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</si>
  <si>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</si>
  <si>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</si>
  <si>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</si>
  <si>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</si>
  <si>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</si>
  <si>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</si>
  <si>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</si>
  <si>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</si>
  <si>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</si>
  <si>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</si>
  <si>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</si>
  <si>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</si>
  <si>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</si>
  <si>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</si>
  <si>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</si>
  <si>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</si>
  <si>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</si>
  <si>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</si>
  <si>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</si>
  <si>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</si>
  <si>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</si>
  <si>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</si>
  <si>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</si>
  <si>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</si>
  <si>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</si>
  <si>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</si>
  <si>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</si>
  <si>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</si>
  <si>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</si>
  <si>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</si>
  <si>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</si>
  <si>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</si>
  <si>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</si>
  <si>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</si>
  <si>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</si>
  <si>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</si>
  <si>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</si>
  <si>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</si>
  <si>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</si>
  <si>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</si>
  <si>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</si>
  <si>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</si>
  <si>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</si>
  <si>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</si>
  <si>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</si>
  <si>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</si>
  <si>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</si>
  <si>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</si>
  <si>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</si>
  <si>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</si>
  <si>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</si>
  <si>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</si>
  <si>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</si>
  <si>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</si>
  <si>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</si>
  <si>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</si>
  <si>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</si>
  <si>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</si>
  <si>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</si>
  <si>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</si>
  <si>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</si>
  <si>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</si>
  <si>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</si>
  <si>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</si>
  <si>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</si>
  <si>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</si>
  <si>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</si>
  <si>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</si>
  <si>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</si>
  <si>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</si>
  <si>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</si>
  <si>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</si>
  <si>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</si>
  <si>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</si>
  <si>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</si>
  <si>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</si>
  <si>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</si>
  <si>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</si>
  <si>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</si>
  <si>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</si>
  <si>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</si>
  <si>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</si>
  <si>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</si>
  <si>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</si>
  <si>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</si>
  <si>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</si>
  <si>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</si>
  <si>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</si>
  <si>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</si>
  <si>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</si>
  <si>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</si>
  <si>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</si>
  <si>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</si>
  <si>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</si>
  <si>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</si>
  <si>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</si>
  <si>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</si>
  <si>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</si>
  <si>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</si>
  <si>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</si>
  <si>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</si>
  <si>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</si>
  <si>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</si>
  <si>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</si>
  <si>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</si>
  <si>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</si>
  <si>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</si>
  <si>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</si>
  <si>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</si>
  <si>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</si>
  <si>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</si>
  <si>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</si>
  <si>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</si>
  <si>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</si>
  <si>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</si>
  <si>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</si>
  <si>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</si>
  <si>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</si>
  <si>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</si>
  <si>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</si>
  <si>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</si>
  <si>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</si>
  <si>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</si>
  <si>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</si>
  <si>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</si>
  <si>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</si>
  <si>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</si>
  <si>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</si>
  <si>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</si>
  <si>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</si>
  <si>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</si>
  <si>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</si>
  <si>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</si>
  <si>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</si>
  <si>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</si>
  <si>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</si>
  <si>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</si>
  <si>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</si>
  <si>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</si>
  <si>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</si>
  <si>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</si>
  <si>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</si>
  <si>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</si>
  <si>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</si>
  <si>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</si>
  <si>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</si>
  <si>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</si>
  <si>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</si>
  <si>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</si>
  <si>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</si>
  <si>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</si>
  <si>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</si>
  <si>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</si>
  <si>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</si>
  <si>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</si>
  <si>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</si>
  <si>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</si>
  <si>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</si>
  <si>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</si>
  <si>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</si>
  <si>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</si>
  <si>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</si>
  <si>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</si>
  <si>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</si>
  <si>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</si>
  <si>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</si>
  <si>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</si>
  <si>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</si>
  <si>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</si>
  <si>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</si>
  <si>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</si>
  <si>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</si>
  <si>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</si>
  <si>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</si>
  <si>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</si>
  <si>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</si>
  <si>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</si>
  <si>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</si>
  <si>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</si>
  <si>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</si>
  <si>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</si>
  <si>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</si>
  <si>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</si>
  <si>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</si>
  <si>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</si>
  <si>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</si>
  <si>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</si>
  <si>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</si>
  <si>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</si>
  <si>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</si>
  <si>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</si>
  <si>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</si>
  <si>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</si>
  <si>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</si>
  <si>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</si>
  <si>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</si>
  <si>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</si>
  <si>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</si>
  <si>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</si>
  <si>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</si>
  <si>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</si>
  <si>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</si>
  <si>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</si>
  <si>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</si>
  <si>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</si>
  <si>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</si>
  <si>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</si>
  <si>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</si>
  <si>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</si>
  <si>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</si>
  <si>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</si>
  <si>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</si>
  <si>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</si>
  <si>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</si>
  <si>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</si>
  <si>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</si>
  <si>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</si>
  <si>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</si>
  <si>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</si>
  <si>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</si>
  <si>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</si>
  <si>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</si>
  <si>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</si>
  <si>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</si>
  <si>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</si>
  <si>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</si>
  <si>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</si>
  <si>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</si>
  <si>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</si>
  <si>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</si>
  <si>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</si>
  <si>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</si>
  <si>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</si>
  <si>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</si>
  <si>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</si>
  <si>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</si>
  <si>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</si>
  <si>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</si>
  <si>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</si>
  <si>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</si>
  <si>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</si>
  <si>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</si>
  <si>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</si>
  <si>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</si>
  <si>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</si>
  <si>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</si>
  <si>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</si>
  <si>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</si>
  <si>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</si>
  <si>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</si>
  <si>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</si>
  <si>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</si>
  <si>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</si>
  <si>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</si>
  <si>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</si>
  <si>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</si>
  <si>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</si>
  <si>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</si>
  <si>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</si>
  <si>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</si>
  <si>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</si>
  <si>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</si>
  <si>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</si>
  <si>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</si>
  <si>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</si>
  <si>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</si>
  <si>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</si>
  <si>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</si>
  <si>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</si>
  <si>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</si>
  <si>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</si>
  <si>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</si>
  <si>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</si>
  <si>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</si>
  <si>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</si>
  <si>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</si>
  <si>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</si>
  <si>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</si>
  <si>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</si>
  <si>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</si>
  <si>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</si>
  <si>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</si>
  <si>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</si>
  <si>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</si>
  <si>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</si>
  <si>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</si>
  <si>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</si>
  <si>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</si>
  <si>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</si>
  <si>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</si>
  <si>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</si>
  <si>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</si>
  <si>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</si>
  <si>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</si>
  <si>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</si>
  <si>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</si>
  <si>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</si>
  <si>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</si>
  <si>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</si>
  <si>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</si>
  <si>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</si>
  <si>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</si>
  <si>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</si>
  <si>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</si>
  <si>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</si>
  <si>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</si>
  <si>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</si>
  <si>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</si>
  <si>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</si>
  <si>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</si>
  <si>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</si>
  <si>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</si>
  <si>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</si>
  <si>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</si>
  <si>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</si>
  <si>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</si>
  <si>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</si>
  <si>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</si>
  <si>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</si>
  <si>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</si>
  <si>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</si>
  <si>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</si>
  <si>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</si>
  <si>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</si>
  <si>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</si>
  <si>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</si>
  <si>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</si>
  <si>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</si>
  <si>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</si>
  <si>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</si>
  <si>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</si>
  <si>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</si>
  <si>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</si>
  <si>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</si>
  <si>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</si>
  <si>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</si>
  <si>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</si>
  <si>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</si>
  <si>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</si>
  <si>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</si>
  <si>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</si>
  <si>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</si>
  <si>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</si>
  <si>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</si>
  <si>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</si>
  <si>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</si>
  <si>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</si>
  <si>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</si>
  <si>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</si>
  <si>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</si>
  <si>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</si>
  <si>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</si>
  <si>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</si>
  <si>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</si>
  <si>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</si>
  <si>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</si>
  <si>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</si>
  <si>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</si>
  <si>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</si>
  <si>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</si>
  <si>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</si>
  <si>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</si>
  <si>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</si>
  <si>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</si>
  <si>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</si>
  <si>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</si>
  <si>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</si>
  <si>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</si>
  <si>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</si>
  <si>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</si>
  <si>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</si>
  <si>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</si>
  <si>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</si>
  <si>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</si>
  <si>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</si>
  <si>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</si>
  <si>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</si>
  <si>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</si>
  <si>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</si>
  <si>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</si>
  <si>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</si>
  <si>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</si>
  <si>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</si>
  <si>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</si>
  <si>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</si>
  <si>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</si>
  <si>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</si>
  <si>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</si>
  <si>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</si>
  <si>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</si>
  <si>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</si>
  <si>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</si>
  <si>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</si>
  <si>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</si>
  <si>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</si>
  <si>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</si>
  <si>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</si>
  <si>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</si>
  <si>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</si>
  <si>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</si>
  <si>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</si>
  <si>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</si>
  <si>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</si>
  <si>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</si>
  <si>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</si>
  <si>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</si>
  <si>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</si>
  <si>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</si>
  <si>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</si>
  <si>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</si>
  <si>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</si>
  <si>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</si>
  <si>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</si>
  <si>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</si>
  <si>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</si>
  <si>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</si>
  <si>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</si>
  <si>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</si>
  <si>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</si>
  <si>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</si>
  <si>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</si>
  <si>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</si>
  <si>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</si>
  <si>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</si>
  <si>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</si>
  <si>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</si>
  <si>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</si>
  <si>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</si>
  <si>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</si>
  <si>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</si>
  <si>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</si>
  <si>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</si>
  <si>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</si>
  <si>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</si>
  <si>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</si>
  <si>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</si>
  <si>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</si>
  <si>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</si>
  <si>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</si>
  <si>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</si>
  <si>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</si>
  <si>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</si>
  <si>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</si>
  <si>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</si>
  <si>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</si>
  <si>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</si>
  <si>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</si>
  <si>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</si>
  <si>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</si>
  <si>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</si>
  <si>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</si>
  <si>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</si>
  <si>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</si>
  <si>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</si>
  <si>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</si>
  <si>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</si>
  <si>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</si>
  <si>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</si>
  <si>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</si>
  <si>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</si>
  <si>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</si>
  <si>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</si>
  <si>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</si>
  <si>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</si>
  <si>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</si>
  <si>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</si>
  <si>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</si>
  <si>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</si>
  <si>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</si>
  <si>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</si>
  <si>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</si>
  <si>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</si>
  <si>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</si>
  <si>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</si>
  <si>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</si>
  <si>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</si>
  <si>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</si>
  <si>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</si>
  <si>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</si>
  <si>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</si>
  <si>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</si>
  <si>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</si>
  <si>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</si>
  <si>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</si>
  <si>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</si>
  <si>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</si>
  <si>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</si>
  <si>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</si>
  <si>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</si>
  <si>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</si>
  <si>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</si>
  <si>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</si>
  <si>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</si>
  <si>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</si>
  <si>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</si>
  <si>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</si>
  <si>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</si>
  <si>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</si>
  <si>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</si>
  <si>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</si>
  <si>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</si>
  <si>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</si>
  <si>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</si>
  <si>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</si>
  <si>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</si>
  <si>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</si>
  <si>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</si>
  <si>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</si>
  <si>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</si>
  <si>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</si>
  <si>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</si>
  <si>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</si>
  <si>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</si>
  <si>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</si>
  <si>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</si>
  <si>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</si>
  <si>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</si>
  <si>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</si>
  <si>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</si>
  <si>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</si>
  <si>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</si>
  <si>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</si>
  <si>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</si>
  <si>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</si>
  <si>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</si>
  <si>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</si>
  <si>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</si>
  <si>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</si>
  <si>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</si>
  <si>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</si>
  <si>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</si>
  <si>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</si>
  <si>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</si>
  <si>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</si>
  <si>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</si>
  <si>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</si>
  <si>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</si>
  <si>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</si>
  <si>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</si>
  <si>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</si>
  <si>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</si>
  <si>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</si>
  <si>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</si>
  <si>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</si>
  <si>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</si>
  <si>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</si>
  <si>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</si>
  <si>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</si>
  <si>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</si>
  <si>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</si>
  <si>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</si>
  <si>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</si>
  <si>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</si>
  <si>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</si>
  <si>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</si>
  <si>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</si>
  <si>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</si>
  <si>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</si>
  <si>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</si>
  <si>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</si>
  <si>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</si>
  <si>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</si>
  <si>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</si>
  <si>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</si>
  <si>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</si>
  <si>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</si>
  <si>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</si>
  <si>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</si>
  <si>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</si>
  <si>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</si>
  <si>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</si>
  <si>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</si>
  <si>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</si>
  <si>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</si>
  <si>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</si>
  <si>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</si>
  <si>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</si>
  <si>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</si>
  <si>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</si>
  <si>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</si>
  <si>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</si>
  <si>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</si>
  <si>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</si>
  <si>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</si>
  <si>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</si>
  <si>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</si>
  <si>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</si>
  <si>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</si>
  <si>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</si>
  <si>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</si>
  <si>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</si>
  <si>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</si>
  <si>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</si>
  <si>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</si>
  <si>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</si>
  <si>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</si>
  <si>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</si>
  <si>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</si>
  <si>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</si>
  <si>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</si>
  <si>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</si>
  <si>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</si>
  <si>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</si>
  <si>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</si>
  <si>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</si>
  <si>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</si>
  <si>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</si>
  <si>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</si>
  <si>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</si>
  <si>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</si>
  <si>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</si>
  <si>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</si>
  <si>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</si>
  <si>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</si>
  <si>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</si>
  <si>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</si>
  <si>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</si>
  <si>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</si>
  <si>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</si>
  <si>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</si>
  <si>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</si>
  <si>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</si>
  <si>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</si>
  <si>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</si>
  <si>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</si>
  <si>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</si>
  <si>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</si>
  <si>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</si>
  <si>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</si>
  <si>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</si>
  <si>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</si>
  <si>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</si>
  <si>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</si>
  <si>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</si>
  <si>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</si>
  <si>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</si>
  <si>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</si>
  <si>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</si>
  <si>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</si>
  <si>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</si>
  <si>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</si>
  <si>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</si>
  <si>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</si>
  <si>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</si>
  <si>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</si>
  <si>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</si>
  <si>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</si>
  <si>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</si>
  <si>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</si>
  <si>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</si>
  <si>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</si>
  <si>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</si>
  <si>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</si>
  <si>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</si>
  <si>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</si>
  <si>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</si>
  <si>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</si>
  <si>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</si>
  <si>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</si>
  <si>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</si>
  <si>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</si>
  <si>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</si>
  <si>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</si>
  <si>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</si>
  <si>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</si>
  <si>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</si>
  <si>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</si>
  <si>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</si>
  <si>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</si>
  <si>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</si>
  <si>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</si>
  <si>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</si>
  <si>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</si>
  <si>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</si>
  <si>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</si>
  <si>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</si>
  <si>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</si>
  <si>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</si>
  <si>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</si>
  <si>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</si>
  <si>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</si>
  <si>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</si>
  <si>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</si>
  <si>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</si>
  <si>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</si>
  <si>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</si>
  <si>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</si>
  <si>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</si>
  <si>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</si>
  <si>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</si>
  <si>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</si>
  <si>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</si>
  <si>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</si>
  <si>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</si>
  <si>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</si>
  <si>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</si>
  <si>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</si>
  <si>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</si>
  <si>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</si>
  <si>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</si>
  <si>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</si>
  <si>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</si>
  <si>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</si>
  <si>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</si>
  <si>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</si>
  <si>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</si>
  <si>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</si>
  <si>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</si>
  <si>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</si>
  <si>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</si>
  <si>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</si>
  <si>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</si>
  <si>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</si>
  <si>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</si>
  <si>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</si>
  <si>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</si>
  <si>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</si>
  <si>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</si>
  <si>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</si>
  <si>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</si>
  <si>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</si>
  <si>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</si>
  <si>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</si>
  <si>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</si>
  <si>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</si>
  <si>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</si>
  <si>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</si>
  <si>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</si>
  <si>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</si>
  <si>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</si>
  <si>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</si>
  <si>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</si>
  <si>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</si>
  <si>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</si>
  <si>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</si>
  <si>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</si>
  <si>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</si>
  <si>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</si>
  <si>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</si>
  <si>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</si>
  <si>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</si>
  <si>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</si>
  <si>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</si>
  <si>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</si>
  <si>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</si>
  <si>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</si>
  <si>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</si>
  <si>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</si>
  <si>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</si>
  <si>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</si>
  <si>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</si>
  <si>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</si>
  <si>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</si>
  <si>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</si>
  <si>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</si>
  <si>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</si>
  <si>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</si>
  <si>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</si>
  <si>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</si>
  <si>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</si>
  <si>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</si>
  <si>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</si>
  <si>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</si>
  <si>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</si>
  <si>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</si>
  <si>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</si>
  <si>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</si>
  <si>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</si>
  <si>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</si>
  <si>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</si>
  <si>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</si>
  <si>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</si>
  <si>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</si>
  <si>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</si>
  <si>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</si>
  <si>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</si>
  <si>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</si>
  <si>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</si>
  <si>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</si>
  <si>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</si>
  <si>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</si>
  <si>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</si>
  <si>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</si>
  <si>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</si>
  <si>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</si>
  <si>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</si>
  <si>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</si>
  <si>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</si>
  <si>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</si>
  <si>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</si>
  <si>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</si>
  <si>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</si>
  <si>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</si>
  <si>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</si>
  <si>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</si>
  <si>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</si>
  <si>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</si>
  <si>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</si>
  <si>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</si>
  <si>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</si>
  <si>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</si>
  <si>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</si>
  <si>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</si>
  <si>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</si>
  <si>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</si>
  <si>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</si>
  <si>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</si>
  <si>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</si>
  <si>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</si>
  <si>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</si>
  <si>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</si>
  <si>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</si>
  <si>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</si>
  <si>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</si>
  <si>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</si>
  <si>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</si>
  <si>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</si>
  <si>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</si>
  <si>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</si>
  <si>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</si>
  <si>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</si>
  <si>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</si>
  <si>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</si>
  <si>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</si>
  <si>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</si>
  <si>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</si>
  <si>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</si>
  <si>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</si>
  <si>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</si>
  <si>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</si>
  <si>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</si>
  <si>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</si>
  <si>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</si>
  <si>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</si>
  <si>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</si>
  <si>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</si>
  <si>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</si>
  <si>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</si>
  <si>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</si>
  <si>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</si>
  <si>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</si>
  <si>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</si>
  <si>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</si>
  <si>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</si>
  <si>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</si>
  <si>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</si>
  <si>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</si>
  <si>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</si>
  <si>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</si>
  <si>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</si>
  <si>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</si>
  <si>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</si>
  <si>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</si>
  <si>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</si>
  <si>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</si>
  <si>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</si>
  <si>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</si>
  <si>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</si>
  <si>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</si>
  <si>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</si>
  <si>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</si>
  <si>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</si>
  <si>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</si>
  <si>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</si>
  <si>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</si>
  <si>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</si>
  <si>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</si>
  <si>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</si>
  <si>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</si>
  <si>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</si>
  <si>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</si>
  <si>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</si>
  <si>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</si>
  <si>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</si>
  <si>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</si>
  <si>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</si>
  <si>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</si>
  <si>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</si>
  <si>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</si>
  <si>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</si>
  <si>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</si>
  <si>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</si>
  <si>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</si>
  <si>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</si>
  <si>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</si>
  <si>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</si>
  <si>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</si>
  <si>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</si>
  <si>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</si>
  <si>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</si>
  <si>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</si>
  <si>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</si>
  <si>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</si>
  <si>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</si>
  <si>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</si>
  <si>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</si>
  <si>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</si>
  <si>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</si>
  <si>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</si>
  <si>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</si>
  <si>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</si>
  <si>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</si>
  <si>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</si>
  <si>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</si>
  <si>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</si>
  <si>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</si>
  <si>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</si>
  <si>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</si>
  <si>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</si>
  <si>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</si>
  <si>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</si>
  <si>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</si>
  <si>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</si>
  <si>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</si>
  <si>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</si>
  <si>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</si>
  <si>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</si>
  <si>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</si>
  <si>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</si>
  <si>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</si>
  <si>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</si>
  <si>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</si>
  <si>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</si>
  <si>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</si>
  <si>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</si>
  <si>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</si>
  <si>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</si>
  <si>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</si>
  <si>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</si>
  <si>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</si>
  <si>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</si>
  <si>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</si>
  <si>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</si>
  <si>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</si>
  <si>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</si>
  <si>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</si>
  <si>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</si>
  <si>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</si>
  <si>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</si>
  <si>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</si>
  <si>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</si>
  <si>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</si>
  <si>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</si>
  <si>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</si>
  <si>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</si>
  <si>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</si>
  <si>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</si>
  <si>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</si>
  <si>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</si>
  <si>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</si>
  <si>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</si>
  <si>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</si>
  <si>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</si>
  <si>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</si>
  <si>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</si>
  <si>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</si>
  <si>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</si>
  <si>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</si>
  <si>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</si>
  <si>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</si>
  <si>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</si>
  <si>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</si>
  <si>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</si>
  <si>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</si>
  <si>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</si>
  <si>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</si>
  <si>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</si>
  <si>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</si>
  <si>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</si>
  <si>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</si>
  <si>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</si>
  <si>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</si>
  <si>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</si>
  <si>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</si>
  <si>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</si>
  <si>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</si>
  <si>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</si>
  <si>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</si>
  <si>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</si>
  <si>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</si>
  <si>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</si>
  <si>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</si>
  <si>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</si>
  <si>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</si>
  <si>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</si>
  <si>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</si>
  <si>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</si>
  <si>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</si>
  <si>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</si>
  <si>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</si>
  <si>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</si>
  <si>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</si>
  <si>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</si>
  <si>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</si>
  <si>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</si>
  <si>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</si>
  <si>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</si>
  <si>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</si>
  <si>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</si>
  <si>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</si>
  <si>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</si>
  <si>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</si>
  <si>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</si>
  <si>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</si>
  <si>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</si>
  <si>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</si>
  <si>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</si>
  <si>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</si>
  <si>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</si>
  <si>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</si>
  <si>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</si>
  <si>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</si>
  <si>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</si>
  <si>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</si>
  <si>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</si>
  <si>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</si>
  <si>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</si>
  <si>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</si>
  <si>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</si>
  <si>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</si>
  <si>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</si>
  <si>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</si>
  <si>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</si>
  <si>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</si>
  <si>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</si>
  <si>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</si>
  <si>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</si>
  <si>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</si>
  <si>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</si>
  <si>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</si>
  <si>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</si>
  <si>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</si>
  <si>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</si>
  <si>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</si>
  <si>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</si>
  <si>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</si>
  <si>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</si>
  <si>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</si>
  <si>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</si>
  <si>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</si>
  <si>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</si>
  <si>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</si>
  <si>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</si>
  <si>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</si>
  <si>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</si>
  <si>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</si>
  <si>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</si>
  <si>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</si>
  <si>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</si>
  <si>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</si>
  <si>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</si>
  <si>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</si>
  <si>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</si>
  <si>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</si>
  <si>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</si>
  <si>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</si>
  <si>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</si>
  <si>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</si>
  <si>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</si>
  <si>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</si>
  <si>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</si>
  <si>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</si>
  <si>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</si>
  <si>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</si>
  <si>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</si>
  <si>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</si>
  <si>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</si>
  <si>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</si>
  <si>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</si>
  <si>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</si>
  <si>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</si>
  <si>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</si>
  <si>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</si>
  <si>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</si>
  <si>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</si>
  <si>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</si>
  <si>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</si>
  <si>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</si>
  <si>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</si>
  <si>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</si>
  <si>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</si>
  <si>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</si>
  <si>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</si>
  <si>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</si>
  <si>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</si>
  <si>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</si>
  <si>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</si>
  <si>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</si>
  <si>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</si>
  <si>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</si>
  <si>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</si>
  <si>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</si>
  <si>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</si>
  <si>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</si>
  <si>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</si>
  <si>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</si>
  <si>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</si>
  <si>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</si>
  <si>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</si>
  <si>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</si>
  <si>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</si>
  <si>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</si>
  <si>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</si>
  <si>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</si>
  <si>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</si>
  <si>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</si>
  <si>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</si>
  <si>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</si>
  <si>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</si>
  <si>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</si>
  <si>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</si>
  <si>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</si>
  <si>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</si>
  <si>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</si>
  <si>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</si>
  <si>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</si>
  <si>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</si>
  <si>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</si>
  <si>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</si>
  <si>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</si>
  <si>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</si>
  <si>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</si>
  <si>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</si>
  <si>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</si>
  <si>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</si>
  <si>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</si>
  <si>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</si>
  <si>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</si>
  <si>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</si>
  <si>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</si>
  <si>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</si>
  <si>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</si>
  <si>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</si>
  <si>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</si>
  <si>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</si>
  <si>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</si>
  <si>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</si>
  <si>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</si>
  <si>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</si>
  <si>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</si>
  <si>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</si>
  <si>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</si>
  <si>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</si>
  <si>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</si>
  <si>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</si>
  <si>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</si>
  <si>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</si>
  <si>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</si>
  <si>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</si>
  <si>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</si>
  <si>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</si>
  <si>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</si>
  <si>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</si>
  <si>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</si>
  <si>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</si>
  <si>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</si>
  <si>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</si>
  <si>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</si>
  <si>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</si>
  <si>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</si>
  <si>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</si>
  <si>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</si>
  <si>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</si>
  <si>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</si>
  <si>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</si>
  <si>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</si>
  <si>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</si>
  <si>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</si>
  <si>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</si>
  <si>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</si>
  <si>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</si>
  <si>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</si>
  <si>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</si>
  <si>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</si>
  <si>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</si>
  <si>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</si>
  <si>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</si>
  <si>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</si>
  <si>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</si>
  <si>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</si>
  <si>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</si>
  <si>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</si>
  <si>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</si>
  <si>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</si>
  <si>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</si>
  <si>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</si>
  <si>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</si>
  <si>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</si>
  <si>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</si>
  <si>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</si>
  <si>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</si>
  <si>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</si>
  <si>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</si>
  <si>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</si>
  <si>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</si>
  <si>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</si>
  <si>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</si>
  <si>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</si>
  <si>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</si>
  <si>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</si>
  <si>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</si>
  <si>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</si>
  <si>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</si>
  <si>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</si>
  <si>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</si>
  <si>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</si>
  <si>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</si>
  <si>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</si>
  <si>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</si>
  <si>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</si>
  <si>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</si>
  <si>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</si>
  <si>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</si>
  <si>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</si>
  <si>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</si>
  <si>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</si>
  <si>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</si>
  <si>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</si>
  <si>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</si>
  <si>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</si>
  <si>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</si>
  <si>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</si>
  <si>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</si>
  <si>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</si>
  <si>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</si>
  <si>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</si>
  <si>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</si>
  <si>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</si>
  <si>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</si>
  <si>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</si>
  <si>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</si>
  <si>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</si>
  <si>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</si>
  <si>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</si>
  <si>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</si>
  <si>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</si>
  <si>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</si>
  <si>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</si>
  <si>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</si>
  <si>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</si>
  <si>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</si>
  <si>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</si>
  <si>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</si>
  <si>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</si>
  <si>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</si>
  <si>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</si>
  <si>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</si>
  <si>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</si>
  <si>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</si>
  <si>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</si>
  <si>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</si>
  <si>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</si>
  <si>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</si>
  <si>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</si>
  <si>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</si>
  <si>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</si>
  <si>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</si>
  <si>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</si>
  <si>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</si>
  <si>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</si>
  <si>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</si>
  <si>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</si>
  <si>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</si>
  <si>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</si>
  <si>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</si>
  <si>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</si>
  <si>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</si>
  <si>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</si>
  <si>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</si>
  <si>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</si>
  <si>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</si>
  <si>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</si>
  <si>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</si>
  <si>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</si>
  <si>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</si>
  <si>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</si>
  <si>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</si>
  <si>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</si>
  <si>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</si>
  <si>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</si>
  <si>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</si>
  <si>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</si>
  <si>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</si>
  <si>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</si>
  <si>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</si>
  <si>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</si>
  <si>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</si>
  <si>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</si>
  <si>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</si>
  <si>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</si>
  <si>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</si>
  <si>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</si>
  <si>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</si>
  <si>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</si>
  <si>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</si>
  <si>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</si>
  <si>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</si>
  <si>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</si>
  <si>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</si>
  <si>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</si>
  <si>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</si>
  <si>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</si>
  <si>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</si>
  <si>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</si>
  <si>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</si>
  <si>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</si>
  <si>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</si>
  <si>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</si>
  <si>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</si>
  <si>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</si>
  <si>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</si>
  <si>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</si>
  <si>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</si>
  <si>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</si>
  <si>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</si>
  <si>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</si>
  <si>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</si>
  <si>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</si>
  <si>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</si>
  <si>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</si>
  <si>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</si>
  <si>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</si>
  <si>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</si>
  <si>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</si>
  <si>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</si>
  <si>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</si>
  <si>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</si>
  <si>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</si>
  <si>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</si>
  <si>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</si>
  <si>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</si>
  <si>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</si>
  <si>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</si>
  <si>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</si>
  <si>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</si>
  <si>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</si>
  <si>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</si>
  <si>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</si>
  <si>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</si>
  <si>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</si>
  <si>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</si>
  <si>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</si>
  <si>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</si>
  <si>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</si>
  <si>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</si>
  <si>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</si>
  <si>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</si>
  <si>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</si>
  <si>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</si>
  <si>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</si>
  <si>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</si>
  <si>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</si>
  <si>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</si>
  <si>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</si>
  <si>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</si>
  <si>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</si>
  <si>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</si>
  <si>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</si>
  <si>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</si>
  <si>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</si>
  <si>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</si>
  <si>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</si>
  <si>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</si>
  <si>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</si>
  <si>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</si>
  <si>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</si>
  <si>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</si>
  <si>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</si>
  <si>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</si>
  <si>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</si>
  <si>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</si>
  <si>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</si>
  <si>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</si>
  <si>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</si>
  <si>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</si>
  <si>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</si>
  <si>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</si>
  <si>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</si>
  <si>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</si>
  <si>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</si>
  <si>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</si>
  <si>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</si>
  <si>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</si>
  <si>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</si>
  <si>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</si>
  <si>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</si>
  <si>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</si>
  <si>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</si>
  <si>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</si>
  <si>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</si>
  <si>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</si>
  <si>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</si>
  <si>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</si>
  <si>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</si>
  <si>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</si>
  <si>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</si>
  <si>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</si>
  <si>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</si>
  <si>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</si>
  <si>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</si>
  <si>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</si>
  <si>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</si>
  <si>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</si>
  <si>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</si>
  <si>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</si>
  <si>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</si>
  <si>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</si>
  <si>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</si>
  <si>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</si>
  <si>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</si>
  <si>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</si>
  <si>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</si>
  <si>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</si>
  <si>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</si>
  <si>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</si>
  <si>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</si>
  <si>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</si>
  <si>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</si>
  <si>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</si>
  <si>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</si>
  <si>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</si>
  <si>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</si>
  <si>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</si>
  <si>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</si>
  <si>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</si>
  <si>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</si>
  <si>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</si>
  <si>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</si>
  <si>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</si>
  <si>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</si>
  <si>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</si>
  <si>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</si>
  <si>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</si>
  <si>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</si>
  <si>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</si>
  <si>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</si>
  <si>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</si>
  <si>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</si>
  <si>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</si>
  <si>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</si>
  <si>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</si>
  <si>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</si>
  <si>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</si>
  <si>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</si>
  <si>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</si>
  <si>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</si>
  <si>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</si>
  <si>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</si>
  <si>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</si>
  <si>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</si>
  <si>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</si>
  <si>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</si>
  <si>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</si>
  <si>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</si>
  <si>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</si>
  <si>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</si>
  <si>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</si>
  <si>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</si>
  <si>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</si>
  <si>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</si>
  <si>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</si>
  <si>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</si>
  <si>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</si>
  <si>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</si>
  <si>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</si>
  <si>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</si>
  <si>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</si>
  <si>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</si>
  <si>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</si>
  <si>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</si>
  <si>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</si>
  <si>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</si>
  <si>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</si>
  <si>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</si>
  <si>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</si>
  <si>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</si>
  <si>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</si>
  <si>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</si>
  <si>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</si>
  <si>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</si>
  <si>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</si>
  <si>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</si>
  <si>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</si>
  <si>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</si>
  <si>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</si>
  <si>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</si>
  <si>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</si>
  <si>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</si>
  <si>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</si>
  <si>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</si>
  <si>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</si>
  <si>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</si>
  <si>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</si>
  <si>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</si>
  <si>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</si>
  <si>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</si>
  <si>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</si>
  <si>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</si>
  <si>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</si>
  <si>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</si>
  <si>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</si>
  <si>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</si>
  <si>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</si>
  <si>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</si>
  <si>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</si>
  <si>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</si>
  <si>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</si>
  <si>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</si>
  <si>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</si>
  <si>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</si>
  <si>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</si>
  <si>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</si>
  <si>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</si>
  <si>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</si>
  <si>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</si>
  <si>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</si>
  <si>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</si>
  <si>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</si>
  <si>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</si>
  <si>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</si>
  <si>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</si>
  <si>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</si>
  <si>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</si>
  <si>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</si>
  <si>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</si>
  <si>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</si>
  <si>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</si>
  <si>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</si>
  <si>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</si>
  <si>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</si>
  <si>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</si>
  <si>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</si>
  <si>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</si>
  <si>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</si>
  <si>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</si>
  <si>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</si>
  <si>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</si>
  <si>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</si>
  <si>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</si>
  <si>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</si>
  <si>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</si>
  <si>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</si>
  <si>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</si>
  <si>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</si>
  <si>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</si>
  <si>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</si>
  <si>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</si>
  <si>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</si>
  <si>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</si>
  <si>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</si>
  <si>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</si>
  <si>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</si>
  <si>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</si>
  <si>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</si>
  <si>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</si>
  <si>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</si>
  <si>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</si>
  <si>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</si>
  <si>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</si>
  <si>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</si>
  <si>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</si>
  <si>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</si>
  <si>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</si>
  <si>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</si>
  <si>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</si>
  <si>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</si>
  <si>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</si>
  <si>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</si>
  <si>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</si>
  <si>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</si>
  <si>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</si>
  <si>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</si>
  <si>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</si>
  <si>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</si>
  <si>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</si>
  <si>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</si>
  <si>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</si>
  <si>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</si>
  <si>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</si>
  <si>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</si>
  <si>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</si>
  <si>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</si>
  <si>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</si>
  <si>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</si>
  <si>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</si>
  <si>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</si>
  <si>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</si>
  <si>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</si>
  <si>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</si>
  <si>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</si>
  <si>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</si>
  <si>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</si>
  <si>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</si>
  <si>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</si>
  <si>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</si>
  <si>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</si>
  <si>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</si>
  <si>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</si>
  <si>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</si>
  <si>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</si>
  <si>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</si>
  <si>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</si>
  <si>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</si>
  <si>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</si>
  <si>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</si>
  <si>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</si>
  <si>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</si>
  <si>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</si>
  <si>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</si>
  <si>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</si>
  <si>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</si>
  <si>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</si>
  <si>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</si>
  <si>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</si>
  <si>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</si>
  <si>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</si>
  <si>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</si>
  <si>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</si>
  <si>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</si>
  <si>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</si>
  <si>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</si>
  <si>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</si>
  <si>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</si>
  <si>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</si>
  <si>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</si>
  <si>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</si>
  <si>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</si>
  <si>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</si>
  <si>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</si>
  <si>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</si>
  <si>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</si>
  <si>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</si>
  <si>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</si>
  <si>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</si>
  <si>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</si>
  <si>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</si>
  <si>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</si>
  <si>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</si>
  <si>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</si>
  <si>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</si>
  <si>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</si>
  <si>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</si>
  <si>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</si>
  <si>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</si>
  <si>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</si>
  <si>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</si>
  <si>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</si>
  <si>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</si>
  <si>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</si>
  <si>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</si>
  <si>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</si>
  <si>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</si>
  <si>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</si>
  <si>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</si>
  <si>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</si>
  <si>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</si>
  <si>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</si>
  <si>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</si>
  <si>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</si>
  <si>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</si>
  <si>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</si>
  <si>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</si>
  <si>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</si>
  <si>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</si>
  <si>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</si>
  <si>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</si>
  <si>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</si>
  <si>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</si>
  <si>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</si>
  <si>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</si>
  <si>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</si>
  <si>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</si>
  <si>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</si>
  <si>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</si>
  <si>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</si>
  <si>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</si>
  <si>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</si>
  <si>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</si>
  <si>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</si>
  <si>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</si>
  <si>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</si>
  <si>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</si>
  <si>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</si>
  <si>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</si>
  <si>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</si>
  <si>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</si>
  <si>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</si>
  <si>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</si>
  <si>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</si>
  <si>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</si>
  <si>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</si>
  <si>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</si>
  <si>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</si>
  <si>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</si>
  <si>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</si>
  <si>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</si>
  <si>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</si>
  <si>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</si>
  <si>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</si>
  <si>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</si>
  <si>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</si>
  <si>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</si>
  <si>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</si>
  <si>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</si>
  <si>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</si>
  <si>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</si>
  <si>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</si>
  <si>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</si>
  <si>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</si>
  <si>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</si>
  <si>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</si>
  <si>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</si>
  <si>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</si>
  <si>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</si>
  <si>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</si>
  <si>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</si>
  <si>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</si>
  <si>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</si>
  <si>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</si>
  <si>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</si>
  <si>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</si>
  <si>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</si>
  <si>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</si>
  <si>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</si>
  <si>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</si>
  <si>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</si>
  <si>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</si>
  <si>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</si>
  <si>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</si>
  <si>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</si>
  <si>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</si>
  <si>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</si>
  <si>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</si>
  <si>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</si>
  <si>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</si>
  <si>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</si>
  <si>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</si>
  <si>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</si>
  <si>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</si>
  <si>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</si>
  <si>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</si>
  <si>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</si>
  <si>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</si>
  <si>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</si>
  <si>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</si>
  <si>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</si>
  <si>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</si>
  <si>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</si>
  <si>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</si>
  <si>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</si>
  <si>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</si>
  <si>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</si>
  <si>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</si>
  <si>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</si>
  <si>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</si>
  <si>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</si>
  <si>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</si>
  <si>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</si>
  <si>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</si>
  <si>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</si>
  <si>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</si>
  <si>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</si>
  <si>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</si>
  <si>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</si>
  <si>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</si>
  <si>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</si>
  <si>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</si>
  <si>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</si>
  <si>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</si>
  <si>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</si>
  <si>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</si>
  <si>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</si>
  <si>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</si>
  <si>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</si>
  <si>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</si>
  <si>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</si>
  <si>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</si>
  <si>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</si>
  <si>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</si>
  <si>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</si>
  <si>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</si>
  <si>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</si>
  <si>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</si>
  <si>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</si>
  <si>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</si>
  <si>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</si>
  <si>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</si>
  <si>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</si>
  <si>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</si>
  <si>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</si>
  <si>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</si>
  <si>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</si>
  <si>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</si>
  <si>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</si>
  <si>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</si>
  <si>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</si>
  <si>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</si>
  <si>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</si>
  <si>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</si>
  <si>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</si>
  <si>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</si>
  <si>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</si>
  <si>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</si>
  <si>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</si>
  <si>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</si>
  <si>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</si>
  <si>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</si>
  <si>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</si>
  <si>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</si>
  <si>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</si>
  <si>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</si>
  <si>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</si>
  <si>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</si>
  <si>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</si>
  <si>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</si>
  <si>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</si>
  <si>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</si>
  <si>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</si>
  <si>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</si>
  <si>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</si>
  <si>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</si>
  <si>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</si>
  <si>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</si>
  <si>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</si>
  <si>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</si>
  <si>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</si>
  <si>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</si>
  <si>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</si>
  <si>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</si>
  <si>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</si>
  <si>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</si>
  <si>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</si>
  <si>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</si>
  <si>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</si>
  <si>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</si>
  <si>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</si>
  <si>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</si>
  <si>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</si>
  <si>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</si>
  <si>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</si>
  <si>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</si>
  <si>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</si>
  <si>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</si>
  <si>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</si>
  <si>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</si>
  <si>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</si>
  <si>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</si>
  <si>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</si>
  <si>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</si>
  <si>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</si>
  <si>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</si>
  <si>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</si>
  <si>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</si>
  <si>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</si>
  <si>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</si>
  <si>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</si>
  <si>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</si>
  <si>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</si>
  <si>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</si>
  <si>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</si>
  <si>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</si>
  <si>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</si>
  <si>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</si>
  <si>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</si>
  <si>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</si>
  <si>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</si>
  <si>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</si>
  <si>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</si>
  <si>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</si>
  <si>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</si>
  <si>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</si>
  <si>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</si>
  <si>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</si>
  <si>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</si>
  <si>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</si>
  <si>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</si>
  <si>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</si>
  <si>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</si>
  <si>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</si>
  <si>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</si>
  <si>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</si>
  <si>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</si>
  <si>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</si>
  <si>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</si>
  <si>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</si>
  <si>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</si>
  <si>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</si>
  <si>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</si>
  <si>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</si>
  <si>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</si>
  <si>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</si>
  <si>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</si>
  <si>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</si>
  <si>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</si>
  <si>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</si>
  <si>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</si>
  <si>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</si>
  <si>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</si>
  <si>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</si>
  <si>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</si>
  <si>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</si>
  <si>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</si>
  <si>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</si>
  <si>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</si>
  <si>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</si>
  <si>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</si>
  <si>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</si>
  <si>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</si>
  <si>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</si>
  <si>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</si>
  <si>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</si>
  <si>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</si>
  <si>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</si>
  <si>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</si>
  <si>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</si>
  <si>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</si>
  <si>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</si>
  <si>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</si>
  <si>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</si>
  <si>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</si>
  <si>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</si>
  <si>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</si>
  <si>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</si>
  <si>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</si>
  <si>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</si>
  <si>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</si>
  <si>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</si>
  <si>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</si>
  <si>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</si>
  <si>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</si>
  <si>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</si>
  <si>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</si>
  <si>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</si>
  <si>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</si>
  <si>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</si>
  <si>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</si>
  <si>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</si>
  <si>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</si>
  <si>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</si>
  <si>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</si>
  <si>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</si>
  <si>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</si>
  <si>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</si>
  <si>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</si>
  <si>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</si>
  <si>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</si>
  <si>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</si>
  <si>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</si>
  <si>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</si>
  <si>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</si>
  <si>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</si>
  <si>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</si>
  <si>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</si>
  <si>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</si>
  <si>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</si>
  <si>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</si>
  <si>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</si>
  <si>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</si>
  <si>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</si>
  <si>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</si>
  <si>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</si>
  <si>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</si>
  <si>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</si>
  <si>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</si>
  <si>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</si>
  <si>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</si>
  <si>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</si>
  <si>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</si>
  <si>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</si>
  <si>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</si>
  <si>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</si>
  <si>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</si>
  <si>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</si>
  <si>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</si>
  <si>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</si>
  <si>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</si>
  <si>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</si>
  <si>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</si>
  <si>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</si>
  <si>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</si>
  <si>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</si>
  <si>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</si>
  <si>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</si>
  <si>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</si>
  <si>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</si>
  <si>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</si>
  <si>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</si>
  <si>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</si>
  <si>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</si>
  <si>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</si>
  <si>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</si>
  <si>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</si>
  <si>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</si>
  <si>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</si>
  <si>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</si>
  <si>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</si>
  <si>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</si>
  <si>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</si>
  <si>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</si>
  <si>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</si>
  <si>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</si>
  <si>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</si>
  <si>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</si>
  <si>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</si>
  <si>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</si>
  <si>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</si>
  <si>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</si>
  <si>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</si>
  <si>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</si>
  <si>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</si>
  <si>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</si>
  <si>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</si>
  <si>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</si>
  <si>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</si>
  <si>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</si>
  <si>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</si>
  <si>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</si>
  <si>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</si>
  <si>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</si>
  <si>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</si>
  <si>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</si>
  <si>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</si>
  <si>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</si>
  <si>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</si>
  <si>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</si>
  <si>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</si>
  <si>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</si>
  <si>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</si>
  <si>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</si>
  <si>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</si>
  <si>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</si>
  <si>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</si>
  <si>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</si>
  <si>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</si>
  <si>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</si>
  <si>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</si>
  <si>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</si>
  <si>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</si>
  <si>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</si>
  <si>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</si>
  <si>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</si>
  <si>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</si>
  <si>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</si>
  <si>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</si>
  <si>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</si>
  <si>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</si>
  <si>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</si>
  <si>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</si>
  <si>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</si>
  <si>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</si>
  <si>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</si>
  <si>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</si>
  <si>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</si>
  <si>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</si>
  <si>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</si>
  <si>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</si>
  <si>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</si>
  <si>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</si>
  <si>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</si>
  <si>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</si>
  <si>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</si>
  <si>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</si>
  <si>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</si>
  <si>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</si>
  <si>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</si>
  <si>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</si>
  <si>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</si>
  <si>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</si>
  <si>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</si>
  <si>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</si>
  <si>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</si>
  <si>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</si>
  <si>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</si>
  <si>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</si>
  <si>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</si>
  <si>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</si>
  <si>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</si>
  <si>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</si>
  <si>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</si>
  <si>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</si>
  <si>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</si>
  <si>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</si>
  <si>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</si>
  <si>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</si>
  <si>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</si>
  <si>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</si>
  <si>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</si>
  <si>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</si>
  <si>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</si>
  <si>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</si>
  <si>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</si>
  <si>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</si>
  <si>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</si>
  <si>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</si>
  <si>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</si>
  <si>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</si>
  <si>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</si>
  <si>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</si>
  <si>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</si>
  <si>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</si>
  <si>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</si>
  <si>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</si>
  <si>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</si>
  <si>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</si>
  <si>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</si>
  <si>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</si>
  <si>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</si>
  <si>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</si>
  <si>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</si>
  <si>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</si>
  <si>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</si>
  <si>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</si>
  <si>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</si>
  <si>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</si>
  <si>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</si>
  <si>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</si>
  <si>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</si>
  <si>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</si>
  <si>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</si>
  <si>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</si>
  <si>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</si>
  <si>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</si>
  <si>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</si>
  <si>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</si>
  <si>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</si>
  <si>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</si>
  <si>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</si>
  <si>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</si>
  <si>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</si>
  <si>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</si>
  <si>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</si>
  <si>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</si>
  <si>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</si>
  <si>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</si>
  <si>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</si>
  <si>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</si>
  <si>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</si>
  <si>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</si>
  <si>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</si>
  <si>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</si>
  <si>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</si>
  <si>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</si>
  <si>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</si>
  <si>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</si>
  <si>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</si>
  <si>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</si>
  <si>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</si>
  <si>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</si>
  <si>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</si>
  <si>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</si>
  <si>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</si>
  <si>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</si>
  <si>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</si>
  <si>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</si>
  <si>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</si>
  <si>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</si>
  <si>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</si>
  <si>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</si>
  <si>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</si>
  <si>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</si>
  <si>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</si>
  <si>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</si>
  <si>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</si>
  <si>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</si>
  <si>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</si>
  <si>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</si>
  <si>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</si>
  <si>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</si>
  <si>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</si>
  <si>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</si>
  <si>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</si>
  <si>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</si>
  <si>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</si>
  <si>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</si>
  <si>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</si>
  <si>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</si>
  <si>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</si>
  <si>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</si>
  <si>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</si>
  <si>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</si>
  <si>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</si>
  <si>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</si>
  <si>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</si>
  <si>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</si>
  <si>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</si>
  <si>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</si>
  <si>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</si>
  <si>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</si>
  <si>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</si>
  <si>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</si>
  <si>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</si>
  <si>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</si>
  <si>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</si>
  <si>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</si>
  <si>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</si>
  <si>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</si>
  <si>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</si>
  <si>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</si>
  <si>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</si>
  <si>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</si>
  <si>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</si>
  <si>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</si>
  <si>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</si>
  <si>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</si>
  <si>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</si>
  <si>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</si>
  <si>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</si>
  <si>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</si>
  <si>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</si>
  <si>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</si>
  <si>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</si>
  <si>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</si>
  <si>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</si>
  <si>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</si>
  <si>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</si>
  <si>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</si>
  <si>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</si>
  <si>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</si>
  <si>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</si>
  <si>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</si>
  <si>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</si>
  <si>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</si>
  <si>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</si>
  <si>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</si>
  <si>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</si>
  <si>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</si>
  <si>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</si>
  <si>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</si>
  <si>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</si>
  <si>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</si>
  <si>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</si>
  <si>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</si>
  <si>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</si>
  <si>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</si>
  <si>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</si>
  <si>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</si>
  <si>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</si>
  <si>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</si>
  <si>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</si>
  <si>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</si>
  <si>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</si>
  <si>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</si>
  <si>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</si>
  <si>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</si>
  <si>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</si>
  <si>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</si>
  <si>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</si>
  <si>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</si>
  <si>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</si>
  <si>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</si>
  <si>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</si>
  <si>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</si>
  <si>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</si>
  <si>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</si>
  <si>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</si>
  <si>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</si>
  <si>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</si>
  <si>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</si>
  <si>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</si>
  <si>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</si>
  <si>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</si>
  <si>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</si>
  <si>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</si>
  <si>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</si>
  <si>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</si>
  <si>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</si>
  <si>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</si>
  <si>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</si>
  <si>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</si>
  <si>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</si>
  <si>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</si>
  <si>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</si>
  <si>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</si>
  <si>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</si>
  <si>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</si>
  <si>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</si>
  <si>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</si>
  <si>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</si>
  <si>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</si>
  <si>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</si>
  <si>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</si>
  <si>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</si>
  <si>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</si>
  <si>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</si>
  <si>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</si>
  <si>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</si>
  <si>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</si>
  <si>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</si>
  <si>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</si>
  <si>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</si>
  <si>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</si>
  <si>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</si>
  <si>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</si>
  <si>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</si>
  <si>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</si>
  <si>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</si>
  <si>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</si>
  <si>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</si>
  <si>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</si>
  <si>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</si>
  <si>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</si>
  <si>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</si>
  <si>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</si>
  <si>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</si>
  <si>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</si>
  <si>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</si>
  <si>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</si>
  <si>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</si>
  <si>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</si>
  <si>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</si>
  <si>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</si>
  <si>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</si>
  <si>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</si>
  <si>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</si>
  <si>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</si>
  <si>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</si>
  <si>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</si>
  <si>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</si>
  <si>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</si>
  <si>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</si>
  <si>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</si>
  <si>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</si>
  <si>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</si>
  <si>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</si>
  <si>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</si>
  <si>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</si>
  <si>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</si>
  <si>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</si>
  <si>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</si>
  <si>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</si>
  <si>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</si>
  <si>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</si>
  <si>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</si>
  <si>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</si>
  <si>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</si>
  <si>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</si>
  <si>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</si>
  <si>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</si>
  <si>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</si>
  <si>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</si>
  <si>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</si>
  <si>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</si>
  <si>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</si>
  <si>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</si>
  <si>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</si>
  <si>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</si>
  <si>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</si>
  <si>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</si>
  <si>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</si>
  <si>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</si>
  <si>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</si>
  <si>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</si>
  <si>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</si>
  <si>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</si>
  <si>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</si>
  <si>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</si>
  <si>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</si>
  <si>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</si>
  <si>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</si>
  <si>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</si>
  <si>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</si>
  <si>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</si>
  <si>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</si>
  <si>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</si>
  <si>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</si>
  <si>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</si>
  <si>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</si>
  <si>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</si>
  <si>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</si>
  <si>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</si>
  <si>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</si>
  <si>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</si>
  <si>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</si>
  <si>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</si>
  <si>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</si>
  <si>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</si>
  <si>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</si>
  <si>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</si>
  <si>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</si>
  <si>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</si>
  <si>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</si>
  <si>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</si>
  <si>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</si>
  <si>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</si>
  <si>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</si>
  <si>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</si>
  <si>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</si>
  <si>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</si>
  <si>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</si>
  <si>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</si>
  <si>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</si>
  <si>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</si>
  <si>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</si>
  <si>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</si>
  <si>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</si>
  <si>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</si>
  <si>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</si>
  <si>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</si>
  <si>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</si>
  <si>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</si>
  <si>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</si>
  <si>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</si>
  <si>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</si>
  <si>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</si>
  <si>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</si>
  <si>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</si>
  <si>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</si>
  <si>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</si>
  <si>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</si>
  <si>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</si>
  <si>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</si>
  <si>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</si>
  <si>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</si>
  <si>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</si>
  <si>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</si>
  <si>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</si>
  <si>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</si>
  <si>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</si>
  <si>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</si>
  <si>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</si>
  <si>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</si>
  <si>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</si>
  <si>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</si>
  <si>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</si>
  <si>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</si>
  <si>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</si>
  <si>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</si>
  <si>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</si>
  <si>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</si>
  <si>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</si>
  <si>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</si>
  <si>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</si>
  <si>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</si>
  <si>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</si>
  <si>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</si>
  <si>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</si>
  <si>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</si>
  <si>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</si>
  <si>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</si>
  <si>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</si>
  <si>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</si>
  <si>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</si>
  <si>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</si>
  <si>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</si>
  <si>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</si>
  <si>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</si>
  <si>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</si>
  <si>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</si>
  <si>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</si>
  <si>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</si>
  <si>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</si>
  <si>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</si>
  <si>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</si>
  <si>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</si>
  <si>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</si>
  <si>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</si>
  <si>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</si>
  <si>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</si>
  <si>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</si>
  <si>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</si>
  <si>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</si>
  <si>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</si>
  <si>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</si>
  <si>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</si>
  <si>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</si>
  <si>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</si>
  <si>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</si>
  <si>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</si>
  <si>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</si>
  <si>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</si>
  <si>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</si>
  <si>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</si>
  <si>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</si>
  <si>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</si>
  <si>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</si>
  <si>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</si>
  <si>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</si>
  <si>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</si>
  <si>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</si>
  <si>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</si>
  <si>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</si>
  <si>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</si>
  <si>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</si>
  <si>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</si>
  <si>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</si>
  <si>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</si>
  <si>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</si>
  <si>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</si>
  <si>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</si>
  <si>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</si>
  <si>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</si>
  <si>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</si>
  <si>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</si>
  <si>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</si>
  <si>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</si>
  <si>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</si>
  <si>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</si>
  <si>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</si>
  <si>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</si>
  <si>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</si>
  <si>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</si>
  <si>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</si>
  <si>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</si>
  <si>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</si>
  <si>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</si>
  <si>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</si>
  <si>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</si>
  <si>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</si>
  <si>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</si>
  <si>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</si>
  <si>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</si>
  <si>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</si>
  <si>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</si>
  <si>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</si>
  <si>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</si>
  <si>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</si>
  <si>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</si>
  <si>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</si>
  <si>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</si>
  <si>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</si>
  <si>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</si>
  <si>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</si>
  <si>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</si>
  <si>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</si>
  <si>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</si>
  <si>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</si>
  <si>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</si>
  <si>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</si>
  <si>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</si>
  <si>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</si>
  <si>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</si>
  <si>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</si>
  <si>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</si>
  <si>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</si>
  <si>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</si>
  <si>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</si>
  <si>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</si>
  <si>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</si>
  <si>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</si>
  <si>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</si>
  <si>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</si>
  <si>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</si>
  <si>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</si>
  <si>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</si>
  <si>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</si>
  <si>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</si>
  <si>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</si>
  <si>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</si>
  <si>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</si>
  <si>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</si>
  <si>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</si>
  <si>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</si>
  <si>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</si>
  <si>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</si>
  <si>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</si>
  <si>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</si>
  <si>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</si>
  <si>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</si>
  <si>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</si>
  <si>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</si>
  <si>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</si>
  <si>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</si>
  <si>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</si>
  <si>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</si>
  <si>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</si>
  <si>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</si>
  <si>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</si>
  <si>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</si>
  <si>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</si>
  <si>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</si>
  <si>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</si>
  <si>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</si>
  <si>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</si>
  <si>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</si>
  <si>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</si>
  <si>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</si>
  <si>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</si>
  <si>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</si>
  <si>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</si>
  <si>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</si>
  <si>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</si>
  <si>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</si>
  <si>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</si>
  <si>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</si>
  <si>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</si>
  <si>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</si>
  <si>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</si>
  <si>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</si>
  <si>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</si>
  <si>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</si>
  <si>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</si>
  <si>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</si>
  <si>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</si>
  <si>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</si>
  <si>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</si>
  <si>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</si>
  <si>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</si>
  <si>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</si>
  <si>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</si>
  <si>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</si>
  <si>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</si>
  <si>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</si>
  <si>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</si>
  <si>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</si>
  <si>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</si>
  <si>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</si>
  <si>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</si>
  <si>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</si>
  <si>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</si>
  <si>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</si>
  <si>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</si>
  <si>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</si>
  <si>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</si>
  <si>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</si>
  <si>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</si>
  <si>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</si>
  <si>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</si>
  <si>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</si>
  <si>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</si>
  <si>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</si>
  <si>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</si>
  <si>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</si>
  <si>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</si>
  <si>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</si>
  <si>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</si>
  <si>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</si>
  <si>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</si>
  <si>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</si>
  <si>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</si>
  <si>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</si>
  <si>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</si>
  <si>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</si>
  <si>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</si>
  <si>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</si>
  <si>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</si>
  <si>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</si>
  <si>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</si>
  <si>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</si>
  <si>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</si>
  <si>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</si>
  <si>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</si>
  <si>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</si>
  <si>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</si>
  <si>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</si>
  <si>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</si>
  <si>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</si>
  <si>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</si>
  <si>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</si>
  <si>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</si>
  <si>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</si>
  <si>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</si>
  <si>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</si>
  <si>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</si>
  <si>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</si>
  <si>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</si>
  <si>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</si>
  <si>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</si>
  <si>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</si>
  <si>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</si>
  <si>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</si>
  <si>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</si>
  <si>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</si>
  <si>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</si>
  <si>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</si>
  <si>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</si>
  <si>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</si>
  <si>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</si>
  <si>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</si>
  <si>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</si>
  <si>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</si>
  <si>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</si>
  <si>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</si>
  <si>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</si>
  <si>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</si>
  <si>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</si>
  <si>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</si>
  <si>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</si>
  <si>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</si>
  <si>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</si>
  <si>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</si>
  <si>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</si>
  <si>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</si>
  <si>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</si>
  <si>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</si>
  <si>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</si>
  <si>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</si>
  <si>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</si>
  <si>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</si>
  <si>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</si>
  <si>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</si>
  <si>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</si>
  <si>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</si>
  <si>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</si>
  <si>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</si>
  <si>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</si>
  <si>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</si>
  <si>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</si>
  <si>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</si>
  <si>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</si>
  <si>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</si>
  <si>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</si>
  <si>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</si>
  <si>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</si>
  <si>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</si>
  <si>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</si>
  <si>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</si>
  <si>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</si>
  <si>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</si>
  <si>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</si>
  <si>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</si>
  <si>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</si>
  <si>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</si>
  <si>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</si>
  <si>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</si>
  <si>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</si>
  <si>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</si>
  <si>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</si>
  <si>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</si>
  <si>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</si>
  <si>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</si>
  <si>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</si>
  <si>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</si>
  <si>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</si>
  <si>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</si>
  <si>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</si>
  <si>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</si>
  <si>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</si>
  <si>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</si>
  <si>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</si>
  <si>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</si>
  <si>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</si>
  <si>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</si>
  <si>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</si>
  <si>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</si>
  <si>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</si>
  <si>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</si>
  <si>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</si>
  <si>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</si>
  <si>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</si>
  <si>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</si>
  <si>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</si>
  <si>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</si>
  <si>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</si>
  <si>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</si>
  <si>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</si>
  <si>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</si>
  <si>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</si>
  <si>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</si>
  <si>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</si>
  <si>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</si>
  <si>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</si>
  <si>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</si>
  <si>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</si>
  <si>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</si>
  <si>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</si>
  <si>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</si>
  <si>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</si>
  <si>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</si>
  <si>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</si>
  <si>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</si>
  <si>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</si>
  <si>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</si>
  <si>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</si>
  <si>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</si>
  <si>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</si>
  <si>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</si>
  <si>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</si>
  <si>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</si>
  <si>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</si>
  <si>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</si>
  <si>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</si>
  <si>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</si>
  <si>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</si>
  <si>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</si>
  <si>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</si>
  <si>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</si>
  <si>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</si>
  <si>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</si>
  <si>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</si>
  <si>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</si>
  <si>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</si>
  <si>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</si>
  <si>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</si>
  <si>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</si>
  <si>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</si>
  <si>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</si>
  <si>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</si>
  <si>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</si>
  <si>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</si>
  <si>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</si>
  <si>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</si>
  <si>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</si>
  <si>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</si>
  <si>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</si>
  <si>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</si>
  <si>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</si>
  <si>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</si>
  <si>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</si>
  <si>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</si>
  <si>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</si>
  <si>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</si>
  <si>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</si>
  <si>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</si>
  <si>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</si>
  <si>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</si>
  <si>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</si>
  <si>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</si>
  <si>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</si>
  <si>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</si>
  <si>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</si>
  <si>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</si>
  <si>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</si>
  <si>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</si>
  <si>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</si>
  <si>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</si>
  <si>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</si>
  <si>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</si>
  <si>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</si>
  <si>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</si>
  <si>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</si>
  <si>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</si>
  <si>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</si>
  <si>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</si>
  <si>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</si>
  <si>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</si>
  <si>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</si>
  <si>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</si>
  <si>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</si>
  <si>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</si>
  <si>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</si>
  <si>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</si>
  <si>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</si>
  <si>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</si>
  <si>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</si>
  <si>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</si>
  <si>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</si>
  <si>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</si>
  <si>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</si>
  <si>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</si>
  <si>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</si>
  <si>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</si>
  <si>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</si>
  <si>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</si>
  <si>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</si>
  <si>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</si>
  <si>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</si>
  <si>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</si>
  <si>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</si>
  <si>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</si>
  <si>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</si>
  <si>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</si>
  <si>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</si>
  <si>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</si>
  <si>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</si>
  <si>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</si>
  <si>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</si>
  <si>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</si>
  <si>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</si>
  <si>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</si>
  <si>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</si>
  <si>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</si>
  <si>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</si>
  <si>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</si>
  <si>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</si>
  <si>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</si>
  <si>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</si>
  <si>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</si>
  <si>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</si>
  <si>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</si>
  <si>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</si>
  <si>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</si>
  <si>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</si>
  <si>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</si>
  <si>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</si>
  <si>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</si>
  <si>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</si>
  <si>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</si>
  <si>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</si>
  <si>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</si>
  <si>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</si>
  <si>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</si>
  <si>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</si>
  <si>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</si>
  <si>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</si>
  <si>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</si>
  <si>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</si>
  <si>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</si>
  <si>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</si>
  <si>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</si>
  <si>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</si>
  <si>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</si>
  <si>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</si>
  <si>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</si>
  <si>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</si>
  <si>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</si>
  <si>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</si>
  <si>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</si>
  <si>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</si>
  <si>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</si>
  <si>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</si>
  <si>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</si>
  <si>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</si>
  <si>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</si>
  <si>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</si>
  <si>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</si>
  <si>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</si>
  <si>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</si>
  <si>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</si>
  <si>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</si>
  <si>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</si>
  <si>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</si>
  <si>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</si>
  <si>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</si>
  <si>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</si>
  <si>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</si>
  <si>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</si>
  <si>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</si>
  <si>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</si>
  <si>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</si>
  <si>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</si>
  <si>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</si>
  <si>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</si>
  <si>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</si>
  <si>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</si>
  <si>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</si>
  <si>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</si>
  <si>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</si>
  <si>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</si>
  <si>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</si>
  <si>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</si>
  <si>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</si>
  <si>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</si>
  <si>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</si>
  <si>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</si>
  <si>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</si>
  <si>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</si>
  <si>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</si>
  <si>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</si>
  <si>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</si>
  <si>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</si>
  <si>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</si>
  <si>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</si>
  <si>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</si>
  <si>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</si>
  <si>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</si>
  <si>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</si>
  <si>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</si>
  <si>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</si>
  <si>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</si>
  <si>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</si>
  <si>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</si>
  <si>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</si>
  <si>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</si>
  <si>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</si>
  <si>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</si>
  <si>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</si>
  <si>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</si>
  <si>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</si>
  <si>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</si>
  <si>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</si>
  <si>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</si>
  <si>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</si>
  <si>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</si>
  <si>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</si>
  <si>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</si>
  <si>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</si>
  <si>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</si>
  <si>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</si>
  <si>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</si>
  <si>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</si>
  <si>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</si>
  <si>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</si>
  <si>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</si>
  <si>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</si>
  <si>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</si>
  <si>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</si>
  <si>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</si>
  <si>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</si>
  <si>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</si>
  <si>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</si>
  <si>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</si>
  <si>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</si>
  <si>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</si>
  <si>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</si>
  <si>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</si>
  <si>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</si>
  <si>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</si>
  <si>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</si>
  <si>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</si>
  <si>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</si>
  <si>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</si>
  <si>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</si>
  <si>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</si>
  <si>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</si>
  <si>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</si>
  <si>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</si>
  <si>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</si>
  <si>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</si>
  <si>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</si>
  <si>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</si>
  <si>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</si>
  <si>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</si>
  <si>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</si>
  <si>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</si>
  <si>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</si>
  <si>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</si>
  <si>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</si>
  <si>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</si>
  <si>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</si>
  <si>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</si>
  <si>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</si>
  <si>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</si>
  <si>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</si>
  <si>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</si>
  <si>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</si>
  <si>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</si>
  <si>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</si>
  <si>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</si>
  <si>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</si>
  <si>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</si>
  <si>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</si>
  <si>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</si>
  <si>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</si>
  <si>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</si>
  <si>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</si>
  <si>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</si>
  <si>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</si>
  <si>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</si>
  <si>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</si>
  <si>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</si>
  <si>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</si>
  <si>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</si>
  <si>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</si>
  <si>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</si>
  <si>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</si>
  <si>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</si>
  <si>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</si>
  <si>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</si>
  <si>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</si>
  <si>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</si>
  <si>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</si>
  <si>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</si>
  <si>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</si>
  <si>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</si>
  <si>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</si>
  <si>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</si>
  <si>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</si>
  <si>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</si>
  <si>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</si>
  <si>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</si>
  <si>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</si>
  <si>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</si>
  <si>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</si>
  <si>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</si>
  <si>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</si>
  <si>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</si>
  <si>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</si>
  <si>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</si>
  <si>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</si>
  <si>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</si>
  <si>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</si>
  <si>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</si>
  <si>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</si>
  <si>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</si>
  <si>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</si>
  <si>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</si>
  <si>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</si>
  <si>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</si>
  <si>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</si>
  <si>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</si>
  <si>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</si>
  <si>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</si>
  <si>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</si>
  <si>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</si>
  <si>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</si>
  <si>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</si>
  <si>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</si>
  <si>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</si>
  <si>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</si>
  <si>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</si>
  <si>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</si>
  <si>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</si>
  <si>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</si>
  <si>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</si>
  <si>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</si>
  <si>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</si>
  <si>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</si>
  <si>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</si>
  <si>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</si>
  <si>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</si>
  <si>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</si>
  <si>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</si>
  <si>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</si>
  <si>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</si>
  <si>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</si>
  <si>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</si>
  <si>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</si>
  <si>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</si>
  <si>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</si>
  <si>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</si>
  <si>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</si>
  <si>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</si>
  <si>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</si>
  <si>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</si>
  <si>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</si>
  <si>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</si>
  <si>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</si>
  <si>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</si>
  <si>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</si>
  <si>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</si>
  <si>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</si>
  <si>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</si>
  <si>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</si>
  <si>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</si>
  <si>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</si>
  <si>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</si>
  <si>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</si>
  <si>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</si>
  <si>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</si>
  <si>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</si>
  <si>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</si>
  <si>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</si>
  <si>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</si>
  <si>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</si>
  <si>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</si>
  <si>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</si>
  <si>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</si>
  <si>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</si>
  <si>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</si>
  <si>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</si>
  <si>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</si>
  <si>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</si>
  <si>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</si>
  <si>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</si>
  <si>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</si>
  <si>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</si>
  <si>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</si>
  <si>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</si>
  <si>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</si>
  <si>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</si>
  <si>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</si>
  <si>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</si>
  <si>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</si>
  <si>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</si>
  <si>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</si>
  <si>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</si>
  <si>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</si>
  <si>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</si>
  <si>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</si>
  <si>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</si>
  <si>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</si>
  <si>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</si>
  <si>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</si>
  <si>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</si>
  <si>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</si>
  <si>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</si>
  <si>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</si>
  <si>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</si>
  <si>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</si>
  <si>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</si>
  <si>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</si>
  <si>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</si>
  <si>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</si>
  <si>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</si>
  <si>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</si>
  <si>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</si>
  <si>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</si>
  <si>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</si>
  <si>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</si>
  <si>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</si>
  <si>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</si>
  <si>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</si>
  <si>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</si>
  <si>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</si>
  <si>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</si>
  <si>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</si>
  <si>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</si>
  <si>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</si>
  <si>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</si>
  <si>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</si>
  <si>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</si>
  <si>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</si>
  <si>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</si>
  <si>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</si>
  <si>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</si>
  <si>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</si>
  <si>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</si>
  <si>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</si>
  <si>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</si>
  <si>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</si>
  <si>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</si>
  <si>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</si>
  <si>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</si>
  <si>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</si>
  <si>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</si>
  <si>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</si>
  <si>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</si>
  <si>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</si>
  <si>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</si>
  <si>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</si>
  <si>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</si>
  <si>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</si>
  <si>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</si>
  <si>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</si>
  <si>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</si>
  <si>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</si>
  <si>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</si>
  <si>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</si>
  <si>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</si>
  <si>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</si>
  <si>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</si>
  <si>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</si>
  <si>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</si>
  <si>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</si>
  <si>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</si>
  <si>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</si>
  <si>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</si>
  <si>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</si>
  <si>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</si>
  <si>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</si>
  <si>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</si>
  <si>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</si>
  <si>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</si>
  <si>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</si>
  <si>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</si>
  <si>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</si>
  <si>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</si>
  <si>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</si>
  <si>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</si>
  <si>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</si>
  <si>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</si>
  <si>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</si>
  <si>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</si>
  <si>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</si>
  <si>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</si>
  <si>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</si>
  <si>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</si>
  <si>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</si>
  <si>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</si>
  <si>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</si>
  <si>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</si>
  <si>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</si>
  <si>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</si>
  <si>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</si>
  <si>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</si>
  <si>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</si>
  <si>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</si>
  <si>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</si>
  <si>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</si>
  <si>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</si>
  <si>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</si>
  <si>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</si>
  <si>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</si>
  <si>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</si>
  <si>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</si>
  <si>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</si>
  <si>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</si>
  <si>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</si>
  <si>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</si>
  <si>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</si>
  <si>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</si>
  <si>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</si>
  <si>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</si>
  <si>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</si>
  <si>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</si>
  <si>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</si>
  <si>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</si>
  <si>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</si>
  <si>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</si>
  <si>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</si>
  <si>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</si>
  <si>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</si>
  <si>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</si>
  <si>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</si>
  <si>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</si>
  <si>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</si>
  <si>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</si>
  <si>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</si>
  <si>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</si>
  <si>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</si>
  <si>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</si>
  <si>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</si>
  <si>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</si>
  <si>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</si>
  <si>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</si>
  <si>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</si>
  <si>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</si>
  <si>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</si>
  <si>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</si>
  <si>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</si>
  <si>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</si>
  <si>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</si>
  <si>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</si>
  <si>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</si>
  <si>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</si>
  <si>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</si>
  <si>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</si>
  <si>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</si>
  <si>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</si>
  <si>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</si>
  <si>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</si>
  <si>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</si>
  <si>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</si>
  <si>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</si>
  <si>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</si>
  <si>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</si>
  <si>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</si>
  <si>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</si>
  <si>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</si>
  <si>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</si>
  <si>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</si>
  <si>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</si>
  <si>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</si>
  <si>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</si>
  <si>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</si>
  <si>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</si>
  <si>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</si>
  <si>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</si>
  <si>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</si>
  <si>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</si>
  <si>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</si>
  <si>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</si>
  <si>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</si>
  <si>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</si>
  <si>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</si>
  <si>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</si>
  <si>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</si>
  <si>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</si>
  <si>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</si>
  <si>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</si>
  <si>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</si>
  <si>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</si>
  <si>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</si>
  <si>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</si>
  <si>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</si>
  <si>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</si>
  <si>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</si>
  <si>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</si>
  <si>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</si>
  <si>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</si>
  <si>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</si>
  <si>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</si>
  <si>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</si>
  <si>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</si>
  <si>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</si>
  <si>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</si>
  <si>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</si>
  <si>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</si>
  <si>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</si>
  <si>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</si>
  <si>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</si>
  <si>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</si>
  <si>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</si>
  <si>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</si>
  <si>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</si>
  <si>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</si>
  <si>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</si>
  <si>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</si>
  <si>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</si>
  <si>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</si>
  <si>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</si>
  <si>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</si>
  <si>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</si>
  <si>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</si>
  <si>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</si>
  <si>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</si>
  <si>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</si>
  <si>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</si>
  <si>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</si>
  <si>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</si>
  <si>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</si>
  <si>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</si>
  <si>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</si>
  <si>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</si>
  <si>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</si>
  <si>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</si>
  <si>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</si>
  <si>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</si>
  <si>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</si>
  <si>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</si>
  <si>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</si>
  <si>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</si>
  <si>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</si>
  <si>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</si>
  <si>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</si>
  <si>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</si>
  <si>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</si>
  <si>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</si>
  <si>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</si>
  <si>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</si>
  <si>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</si>
  <si>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</si>
  <si>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</si>
  <si>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</si>
  <si>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</si>
  <si>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</si>
  <si>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</si>
  <si>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</si>
  <si>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</si>
  <si>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</si>
  <si>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</si>
  <si>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</si>
  <si>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</si>
  <si>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</si>
  <si>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</si>
  <si>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</si>
  <si>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</si>
  <si>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</si>
  <si>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</si>
  <si>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</si>
  <si>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</si>
  <si>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</si>
  <si>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</si>
  <si>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</si>
  <si>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</si>
  <si>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</si>
  <si>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</si>
  <si>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</si>
  <si>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</si>
  <si>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</si>
  <si>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</si>
  <si>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</si>
  <si>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</si>
  <si>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</si>
  <si>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</si>
  <si>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</si>
  <si>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</si>
  <si>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</si>
  <si>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</si>
  <si>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</si>
  <si>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</si>
  <si>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</si>
  <si>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</si>
  <si>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</si>
  <si>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</si>
  <si>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</si>
  <si>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</si>
  <si>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</si>
  <si>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</si>
  <si>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</si>
  <si>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</si>
  <si>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</si>
  <si>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</si>
  <si>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</si>
  <si>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</si>
  <si>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</si>
  <si>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</si>
  <si>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</si>
  <si>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</si>
  <si>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</si>
  <si>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</si>
  <si>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</si>
  <si>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</si>
  <si>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</si>
  <si>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</si>
  <si>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</si>
  <si>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</si>
  <si>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</si>
  <si>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</si>
  <si>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</si>
  <si>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</si>
  <si>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</si>
  <si>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</si>
  <si>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</si>
  <si>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</si>
  <si>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</si>
  <si>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</si>
  <si>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</si>
  <si>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</si>
  <si>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</si>
  <si>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</si>
  <si>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</si>
  <si>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</si>
  <si>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</si>
  <si>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</si>
  <si>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</si>
  <si>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</si>
  <si>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</si>
  <si>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</si>
  <si>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</si>
  <si>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</si>
  <si>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</si>
  <si>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</si>
  <si>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</si>
  <si>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</si>
  <si>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</si>
  <si>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</si>
  <si>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</si>
  <si>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</si>
  <si>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</si>
  <si>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</si>
  <si>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</si>
  <si>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</si>
  <si>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</si>
  <si>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</si>
  <si>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</si>
  <si>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</si>
  <si>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</si>
  <si>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</si>
  <si>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</si>
  <si>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</si>
  <si>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</si>
  <si>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</si>
  <si>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</si>
  <si>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</si>
  <si>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</si>
  <si>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</si>
  <si>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</si>
  <si>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</si>
  <si>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</si>
  <si>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</si>
  <si>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</si>
  <si>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</si>
  <si>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</si>
  <si>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</si>
  <si>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</si>
  <si>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</si>
  <si>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</si>
  <si>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</si>
  <si>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</si>
  <si>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</si>
  <si>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</si>
  <si>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</si>
  <si>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</si>
  <si>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</si>
  <si>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</si>
  <si>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</si>
  <si>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</si>
  <si>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</si>
  <si>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</si>
  <si>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</si>
  <si>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</si>
  <si>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</si>
  <si>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</si>
  <si>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</si>
  <si>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</si>
  <si>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</si>
  <si>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</si>
  <si>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</si>
  <si>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</si>
  <si>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</si>
  <si>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</si>
  <si>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</si>
  <si>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</si>
  <si>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</si>
  <si>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</si>
  <si>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</si>
  <si>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</si>
  <si>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</si>
  <si>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</si>
  <si>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</si>
  <si>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</si>
  <si>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</si>
  <si>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</si>
  <si>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</si>
  <si>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</si>
  <si>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</si>
  <si>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</si>
  <si>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</si>
  <si>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</si>
  <si>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</si>
  <si>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</si>
  <si>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</si>
  <si>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</si>
  <si>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</si>
  <si>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</si>
  <si>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</si>
  <si>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</si>
  <si>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</si>
  <si>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</si>
  <si>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</si>
  <si>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</si>
  <si>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</si>
  <si>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</si>
  <si>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</si>
  <si>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</si>
  <si>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</si>
  <si>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</si>
  <si>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</si>
  <si>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</si>
  <si>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</si>
  <si>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</si>
  <si>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</si>
  <si>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</si>
  <si>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</si>
  <si>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</si>
  <si>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</si>
  <si>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</si>
  <si>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</si>
  <si>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</si>
  <si>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</si>
  <si>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</si>
  <si>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</si>
  <si>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</si>
  <si>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</si>
  <si>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</si>
  <si>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</si>
  <si>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</si>
  <si>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</si>
  <si>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</si>
  <si>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</si>
  <si>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</si>
  <si>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</si>
  <si>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</si>
  <si>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</si>
  <si>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</si>
  <si>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</si>
  <si>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</si>
  <si>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</si>
  <si>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</si>
  <si>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</si>
  <si>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</si>
  <si>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</si>
  <si>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</si>
  <si>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</si>
  <si>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</si>
  <si>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</si>
  <si>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</si>
  <si>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</si>
  <si>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</si>
  <si>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</si>
  <si>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</si>
  <si>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</si>
  <si>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</si>
  <si>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</si>
  <si>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</si>
  <si>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</si>
  <si>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</si>
  <si>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</si>
  <si>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</si>
  <si>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</si>
  <si>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</si>
  <si>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</si>
  <si>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</si>
  <si>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</si>
  <si>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</si>
  <si>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</si>
  <si>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</si>
  <si>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</si>
  <si>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</si>
  <si>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</si>
  <si>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</si>
  <si>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</si>
  <si>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</si>
  <si>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</si>
  <si>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</si>
  <si>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</si>
  <si>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</si>
  <si>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</si>
  <si>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</si>
  <si>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</si>
  <si>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</si>
  <si>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</si>
  <si>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</si>
  <si>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</si>
  <si>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</si>
  <si>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</si>
  <si>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</si>
  <si>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</si>
  <si>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</si>
  <si>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</si>
  <si>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</si>
  <si>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</si>
  <si>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</si>
  <si>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</si>
  <si>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</si>
  <si>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</si>
  <si>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</si>
  <si>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</si>
  <si>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</si>
  <si>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</si>
  <si>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</si>
  <si>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</si>
  <si>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</si>
  <si>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</si>
  <si>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</si>
  <si>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</si>
  <si>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</si>
  <si>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</si>
  <si>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</si>
  <si>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</si>
  <si>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</si>
  <si>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</si>
  <si>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</si>
  <si>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</si>
  <si>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</si>
  <si>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</si>
  <si>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</si>
  <si>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</si>
  <si>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</si>
  <si>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</si>
  <si>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</si>
  <si>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</si>
  <si>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</si>
  <si>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</si>
  <si>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</si>
  <si>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</si>
  <si>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</si>
  <si>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</si>
  <si>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</si>
  <si>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</si>
  <si>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</si>
  <si>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</si>
  <si>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</si>
  <si>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</si>
  <si>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</si>
  <si>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</si>
  <si>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</si>
  <si>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</si>
  <si>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</si>
  <si>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</si>
  <si>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</si>
  <si>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</si>
  <si>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</si>
  <si>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</si>
  <si>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</si>
  <si>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</si>
  <si>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</si>
  <si>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</si>
  <si>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</si>
  <si>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</si>
  <si>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</si>
  <si>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</si>
  <si>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</si>
  <si>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</si>
  <si>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</si>
  <si>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</si>
  <si>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</si>
  <si>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</si>
  <si>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</si>
  <si>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</si>
  <si>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</si>
  <si>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</si>
  <si>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</si>
  <si>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</si>
  <si>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</si>
  <si>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</si>
  <si>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</si>
  <si>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</si>
  <si>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</si>
  <si>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</si>
  <si>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</si>
  <si>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</si>
  <si>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</si>
  <si>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</si>
  <si>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</si>
  <si>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</si>
  <si>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</si>
  <si>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</si>
  <si>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</si>
  <si>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</si>
  <si>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</si>
  <si>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</si>
  <si>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</si>
  <si>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</si>
  <si>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</si>
  <si>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</si>
  <si>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</si>
  <si>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</si>
  <si>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</si>
  <si>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</si>
  <si>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</si>
  <si>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</si>
  <si>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</si>
  <si>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</si>
  <si>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</si>
  <si>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</si>
  <si>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</si>
  <si>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</si>
  <si>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</si>
  <si>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</si>
  <si>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</si>
  <si>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</si>
  <si>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</si>
  <si>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</si>
  <si>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</si>
  <si>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</si>
  <si>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</si>
  <si>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</si>
  <si>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</si>
  <si>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</si>
  <si>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</si>
  <si>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</si>
  <si>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</si>
  <si>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</si>
  <si>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</si>
  <si>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</si>
  <si>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</si>
  <si>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</si>
  <si>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</si>
  <si>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</si>
  <si>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</si>
  <si>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</si>
  <si>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</si>
  <si>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</si>
  <si>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</si>
  <si>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</si>
  <si>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</si>
  <si>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</si>
  <si>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</si>
  <si>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</si>
  <si>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</si>
  <si>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</si>
  <si>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</si>
  <si>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</si>
  <si>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</si>
  <si>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</si>
  <si>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</si>
  <si>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</si>
  <si>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</si>
  <si>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</si>
  <si>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</si>
  <si>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</si>
  <si>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</si>
  <si>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</si>
  <si>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</si>
  <si>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</si>
  <si>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</si>
  <si>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</si>
  <si>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</si>
  <si>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</si>
  <si>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</si>
  <si>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</si>
  <si>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</si>
  <si>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</si>
  <si>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</si>
  <si>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</si>
  <si>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</si>
  <si>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</si>
  <si>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</si>
  <si>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</si>
  <si>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</si>
  <si>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</si>
  <si>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</si>
  <si>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</si>
  <si>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</si>
  <si>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</si>
  <si>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</si>
  <si>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</si>
  <si>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</si>
  <si>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</si>
  <si>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</si>
  <si>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</si>
  <si>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</si>
  <si>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</si>
  <si>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</si>
  <si>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</si>
  <si>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</si>
  <si>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</si>
  <si>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</si>
  <si>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</si>
  <si>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</si>
  <si>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</si>
  <si>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</si>
  <si>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</si>
  <si>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</si>
  <si>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</si>
  <si>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</si>
  <si>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</si>
  <si>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</si>
  <si>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</si>
  <si>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</si>
  <si>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</si>
  <si>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</si>
  <si>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</si>
  <si>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</si>
  <si>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</si>
  <si>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</si>
  <si>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</si>
  <si>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</si>
  <si>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</si>
  <si>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</si>
  <si>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</si>
  <si>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</si>
  <si>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</si>
  <si>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</si>
  <si>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</si>
  <si>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</si>
  <si>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</si>
  <si>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</si>
  <si>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</si>
  <si>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</si>
  <si>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</si>
  <si>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</si>
  <si>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</si>
  <si>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</si>
  <si>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</si>
  <si>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</si>
  <si>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</si>
  <si>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</si>
  <si>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</si>
  <si>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</si>
  <si>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</si>
  <si>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</si>
  <si>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</si>
  <si>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</si>
  <si>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</si>
  <si>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</si>
  <si>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</si>
  <si>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</si>
  <si>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</si>
  <si>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</si>
  <si>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</si>
  <si>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</si>
  <si>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</si>
  <si>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</si>
  <si>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</si>
  <si>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</si>
  <si>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</si>
  <si>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</si>
  <si>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</si>
  <si>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</si>
  <si>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</si>
  <si>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</si>
  <si>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</si>
  <si>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</si>
  <si>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</si>
  <si>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</si>
  <si>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</si>
  <si>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</si>
  <si>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</si>
  <si>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</si>
  <si>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</si>
  <si>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</si>
  <si>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</si>
  <si>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</si>
  <si>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</si>
  <si>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</si>
  <si>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</si>
  <si>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</si>
  <si>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</si>
  <si>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</si>
  <si>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</si>
  <si>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</si>
  <si>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</si>
  <si>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</si>
  <si>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</si>
  <si>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</si>
  <si>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</si>
  <si>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</si>
  <si>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</si>
  <si>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</si>
  <si>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</si>
  <si>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</si>
  <si>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</si>
  <si>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</si>
  <si>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</si>
  <si>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</si>
  <si>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</si>
  <si>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</si>
  <si>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</si>
  <si>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</si>
  <si>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</si>
  <si>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</si>
  <si>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</si>
  <si>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</si>
  <si>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</si>
  <si>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</si>
  <si>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</si>
  <si>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</si>
  <si>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</si>
  <si>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</si>
  <si>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</si>
  <si>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</si>
  <si>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</si>
  <si>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</si>
  <si>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</si>
  <si>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</si>
  <si>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</si>
  <si>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</si>
  <si>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</si>
  <si>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</si>
  <si>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</si>
  <si>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</si>
  <si>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</si>
  <si>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</si>
  <si>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</si>
  <si>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</si>
  <si>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</si>
  <si>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</si>
  <si>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</si>
  <si>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</si>
  <si>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</si>
  <si>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</si>
  <si>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</si>
  <si>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</si>
  <si>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</si>
  <si>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</si>
  <si>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</si>
  <si>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</si>
  <si>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</si>
  <si>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</si>
  <si>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</si>
  <si>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</si>
  <si>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</si>
  <si>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</si>
  <si>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</si>
  <si>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</si>
  <si>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</si>
  <si>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</si>
  <si>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</si>
  <si>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</si>
  <si>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</si>
  <si>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</si>
  <si>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</si>
  <si>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</si>
  <si>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</si>
  <si>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</si>
  <si>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</si>
  <si>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</si>
  <si>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</si>
  <si>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</si>
  <si>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</si>
  <si>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</si>
  <si>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</si>
  <si>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</si>
  <si>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</si>
  <si>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</si>
  <si>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</si>
  <si>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</si>
  <si>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</si>
  <si>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</si>
  <si>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</si>
  <si>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</si>
  <si>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</si>
  <si>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</si>
  <si>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</si>
  <si>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</si>
  <si>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</si>
  <si>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</si>
  <si>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</si>
  <si>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</si>
  <si>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</si>
  <si>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</si>
  <si>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</si>
  <si>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</si>
  <si>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</si>
  <si>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</si>
  <si>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</si>
  <si>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</si>
  <si>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</si>
  <si>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</si>
  <si>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</si>
  <si>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</si>
  <si>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</si>
  <si>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</si>
  <si>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</si>
  <si>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</si>
  <si>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</si>
  <si>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</si>
  <si>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</si>
  <si>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</si>
  <si>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</si>
  <si>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</si>
  <si>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</si>
  <si>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</si>
  <si>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</si>
  <si>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</si>
  <si>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</si>
  <si>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</si>
  <si>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</si>
  <si>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</si>
  <si>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</si>
  <si>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</si>
  <si>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</si>
  <si>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</si>
  <si>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</si>
  <si>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</si>
  <si>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</si>
  <si>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</si>
  <si>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</si>
  <si>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</si>
  <si>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</si>
  <si>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</si>
  <si>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</si>
  <si>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</si>
  <si>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</si>
  <si>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</si>
  <si>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</si>
  <si>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</si>
  <si>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</si>
  <si>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</si>
  <si>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</si>
  <si>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</si>
  <si>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</si>
  <si>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</si>
  <si>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</si>
  <si>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</si>
  <si>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</si>
  <si>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</si>
  <si>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</si>
  <si>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</si>
  <si>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</si>
  <si>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</si>
  <si>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</si>
  <si>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</si>
  <si>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</si>
  <si>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</si>
  <si>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</si>
  <si>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</si>
  <si>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</si>
  <si>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</si>
  <si>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</si>
  <si>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</si>
  <si>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</si>
  <si>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</si>
  <si>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</si>
  <si>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</si>
  <si>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</si>
  <si>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</si>
  <si>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</si>
  <si>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</si>
  <si>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</si>
  <si>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</si>
  <si>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</si>
  <si>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</si>
  <si>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</si>
  <si>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</si>
  <si>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</si>
  <si>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</si>
  <si>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</si>
  <si>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</si>
  <si>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</si>
  <si>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</si>
  <si>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</si>
  <si>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</si>
  <si>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</si>
  <si>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</si>
  <si>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</si>
  <si>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</si>
  <si>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</si>
  <si>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</si>
  <si>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</si>
  <si>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</si>
  <si>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</si>
  <si>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</si>
  <si>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</si>
  <si>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</si>
  <si>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</si>
  <si>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</si>
  <si>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</si>
  <si>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</si>
  <si>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</si>
  <si>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</si>
  <si>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</si>
  <si>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</si>
  <si>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</si>
  <si>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</si>
  <si>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</si>
  <si>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</si>
  <si>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</si>
  <si>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</si>
  <si>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</si>
  <si>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</si>
  <si>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</si>
  <si>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</si>
  <si>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</si>
  <si>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</si>
  <si>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</si>
  <si>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</si>
  <si>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</si>
  <si>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</si>
  <si>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</si>
  <si>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</si>
  <si>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</si>
  <si>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</si>
  <si>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</si>
  <si>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</si>
  <si>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</si>
  <si>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</si>
  <si>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</si>
  <si>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</si>
  <si>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</si>
  <si>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</si>
  <si>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</si>
  <si>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</si>
  <si>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</si>
  <si>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</si>
  <si>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</si>
  <si>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</si>
  <si>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</si>
  <si>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</si>
  <si>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</si>
  <si>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</si>
  <si>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</si>
  <si>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</si>
  <si>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</si>
  <si>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</si>
  <si>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</si>
  <si>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</si>
  <si>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</si>
  <si>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</si>
  <si>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</si>
  <si>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</si>
  <si>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</si>
  <si>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</si>
  <si>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</si>
  <si>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</si>
  <si>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</si>
  <si>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</si>
  <si>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</si>
  <si>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</si>
  <si>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</si>
  <si>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</si>
  <si>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</si>
  <si>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</si>
  <si>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</si>
  <si>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</si>
  <si>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</si>
  <si>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</si>
  <si>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</si>
  <si>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</si>
  <si>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</si>
  <si>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</si>
  <si>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</si>
  <si>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</si>
  <si>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</si>
  <si>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</si>
  <si>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</si>
  <si>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</si>
  <si>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</si>
  <si>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</si>
  <si>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</si>
  <si>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</si>
  <si>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</si>
  <si>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</si>
  <si>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</si>
  <si>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</si>
  <si>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</si>
  <si>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</si>
  <si>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</si>
  <si>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</si>
  <si>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</si>
  <si>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</si>
  <si>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</si>
  <si>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</si>
  <si>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</si>
  <si>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</si>
  <si>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</si>
  <si>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</si>
  <si>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</si>
  <si>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</si>
  <si>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</si>
  <si>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</si>
  <si>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</si>
  <si>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</si>
  <si>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</si>
  <si>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</si>
  <si>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</si>
  <si>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</si>
  <si>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</si>
  <si>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</si>
  <si>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</si>
  <si>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</si>
  <si>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</si>
  <si>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</si>
  <si>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</si>
  <si>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</si>
  <si>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</si>
  <si>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</si>
  <si>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</si>
  <si>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</si>
  <si>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</si>
  <si>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</si>
  <si>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</si>
  <si>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</si>
  <si>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</si>
  <si>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</si>
  <si>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</si>
  <si>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</si>
  <si>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</si>
  <si>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</si>
  <si>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</si>
  <si>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</si>
  <si>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</si>
  <si>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</si>
  <si>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</si>
  <si>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</si>
  <si>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</si>
  <si>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</si>
  <si>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</si>
  <si>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</si>
  <si>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</si>
  <si>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</si>
  <si>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</si>
  <si>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</si>
  <si>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</si>
  <si>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</si>
  <si>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</si>
  <si>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</si>
  <si>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</si>
  <si>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</si>
  <si>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</si>
  <si>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</si>
  <si>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</si>
  <si>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</si>
  <si>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</si>
  <si>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</si>
  <si>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</si>
  <si>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</si>
  <si>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</si>
  <si>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</si>
  <si>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</si>
  <si>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</si>
  <si>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</si>
  <si>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</si>
  <si>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</si>
  <si>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</si>
  <si>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</si>
  <si>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</si>
  <si>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</si>
  <si>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</si>
  <si>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</si>
  <si>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</si>
  <si>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</si>
  <si>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</si>
  <si>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</si>
  <si>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</si>
  <si>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</si>
  <si>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</si>
  <si>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</si>
  <si>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</si>
  <si>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</si>
  <si>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</si>
  <si>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</si>
  <si>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</si>
  <si>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</si>
  <si>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</si>
  <si>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</si>
  <si>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</si>
  <si>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</si>
  <si>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</si>
  <si>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</si>
  <si>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</si>
  <si>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</si>
  <si>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</si>
  <si>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</si>
  <si>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</si>
  <si>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</si>
  <si>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</si>
  <si>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</si>
  <si>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</si>
  <si>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</si>
  <si>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</si>
  <si>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</si>
  <si>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</si>
  <si>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</si>
  <si>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</si>
  <si>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</si>
  <si>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</si>
  <si>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</si>
  <si>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</si>
  <si>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</si>
  <si>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</si>
  <si>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</si>
  <si>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</si>
  <si>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</si>
  <si>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</si>
  <si>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</si>
  <si>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</si>
  <si>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</si>
  <si>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</si>
  <si>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</si>
  <si>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</si>
  <si>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</si>
  <si>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</si>
  <si>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</si>
  <si>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</si>
  <si>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</si>
  <si>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</si>
  <si>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</si>
  <si>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</si>
  <si>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</si>
  <si>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</si>
  <si>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</si>
  <si>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</si>
  <si>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</si>
  <si>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</si>
  <si>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</si>
  <si>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</si>
  <si>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</si>
  <si>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</si>
  <si>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</si>
  <si>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</si>
  <si>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</si>
  <si>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</si>
  <si>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</si>
  <si>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</si>
  <si>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</si>
  <si>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</si>
  <si>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</si>
  <si>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</si>
  <si>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</si>
  <si>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</si>
  <si>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</si>
  <si>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</si>
  <si>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</si>
  <si>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</si>
  <si>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</si>
  <si>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</si>
  <si>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</si>
  <si>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</si>
  <si>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</si>
  <si>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</si>
  <si>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</si>
  <si>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</si>
  <si>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</si>
  <si>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</si>
  <si>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</si>
  <si>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</si>
  <si>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</si>
  <si>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</si>
  <si>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</si>
  <si>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</si>
  <si>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</si>
  <si>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</si>
  <si>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</si>
  <si>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</si>
  <si>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</si>
  <si>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</si>
  <si>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</si>
  <si>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</si>
  <si>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</si>
  <si>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</si>
  <si>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</si>
  <si>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</si>
  <si>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</si>
  <si>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</si>
  <si>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</si>
  <si>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</si>
  <si>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</si>
  <si>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</si>
  <si>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</si>
  <si>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</si>
  <si>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</si>
  <si>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</si>
  <si>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</si>
  <si>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</si>
  <si>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</si>
  <si>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</si>
  <si>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</si>
  <si>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</si>
  <si>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</si>
  <si>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</si>
  <si>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</si>
  <si>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</si>
  <si>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</si>
  <si>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</si>
  <si>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</si>
  <si>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</si>
  <si>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</si>
  <si>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</si>
  <si>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</si>
  <si>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</si>
  <si>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</si>
  <si>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</si>
  <si>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</si>
  <si>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</si>
  <si>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</si>
  <si>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</si>
  <si>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</si>
  <si>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</si>
  <si>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</si>
  <si>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</si>
  <si>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</si>
  <si>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</si>
  <si>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</si>
  <si>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</si>
  <si>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</si>
  <si>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</si>
  <si>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</si>
  <si>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</si>
  <si>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</si>
  <si>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</si>
  <si>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</si>
  <si>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</si>
  <si>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</si>
  <si>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</si>
  <si>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</si>
  <si>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</si>
  <si>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</si>
  <si>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</si>
  <si>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</si>
  <si>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</si>
  <si>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</si>
  <si>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</si>
  <si>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</si>
  <si>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</si>
  <si>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</si>
  <si>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</si>
  <si>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</si>
  <si>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</si>
  <si>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</si>
  <si>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</si>
  <si>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</si>
  <si>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</si>
  <si>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</si>
  <si>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</si>
  <si>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</si>
  <si>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</si>
  <si>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</si>
  <si>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</si>
  <si>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</si>
  <si>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</si>
  <si>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</si>
  <si>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</si>
  <si>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</si>
  <si>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</si>
  <si>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</si>
  <si>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</si>
  <si>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</si>
  <si>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</si>
  <si>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</si>
  <si>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</si>
  <si>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</si>
  <si>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</si>
  <si>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</si>
  <si>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</si>
  <si>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</si>
  <si>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</si>
  <si>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</si>
  <si>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</si>
  <si>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</si>
  <si>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</si>
  <si>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</si>
  <si>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</si>
  <si>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</si>
  <si>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</si>
  <si>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</si>
  <si>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</si>
  <si>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</si>
  <si>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</si>
  <si>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</si>
  <si>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</si>
  <si>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</si>
  <si>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</si>
  <si>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</si>
  <si>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</si>
  <si>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</si>
  <si>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</si>
  <si>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</si>
  <si>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</si>
  <si>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</si>
  <si>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</si>
  <si>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</si>
  <si>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</si>
  <si>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</si>
  <si>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</si>
  <si>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</si>
  <si>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</si>
  <si>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</si>
  <si>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</si>
  <si>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</si>
  <si>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</si>
  <si>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</si>
  <si>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</si>
  <si>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</si>
  <si>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</si>
  <si>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</si>
  <si>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</si>
  <si>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</si>
  <si>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</si>
  <si>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</si>
  <si>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</si>
  <si>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</si>
  <si>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</si>
  <si>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</si>
  <si>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</si>
  <si>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</si>
  <si>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</si>
  <si>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</si>
  <si>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</si>
  <si>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</si>
  <si>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</si>
  <si>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</si>
  <si>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</si>
  <si>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</si>
  <si>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</si>
  <si>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</si>
  <si>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</si>
  <si>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</si>
  <si>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</si>
  <si>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</si>
  <si>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</si>
  <si>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</si>
  <si>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</si>
  <si>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</si>
  <si>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</si>
  <si>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</si>
  <si>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</si>
  <si>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</si>
  <si>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</si>
  <si>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</si>
  <si>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</si>
  <si>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</si>
  <si>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</si>
  <si>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</si>
  <si>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</si>
  <si>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</si>
  <si>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</si>
  <si>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</si>
  <si>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</si>
  <si>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</si>
  <si>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</si>
  <si>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</si>
  <si>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</si>
  <si>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</si>
  <si>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</si>
  <si>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</si>
  <si>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</si>
  <si>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</si>
  <si>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</si>
  <si>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</si>
  <si>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</si>
  <si>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</si>
  <si>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</si>
  <si>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</si>
  <si>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</si>
  <si>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</si>
  <si>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</si>
  <si>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</si>
  <si>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</si>
  <si>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</si>
  <si>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</si>
  <si>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</si>
  <si>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</si>
  <si>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</si>
  <si>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</si>
  <si>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</si>
  <si>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</si>
  <si>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</si>
  <si>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</si>
  <si>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</si>
  <si>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</si>
  <si>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</si>
  <si>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</si>
  <si>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</si>
  <si>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</si>
  <si>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</si>
  <si>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</si>
  <si>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</si>
  <si>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</si>
  <si>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</si>
  <si>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</si>
  <si>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</si>
  <si>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</si>
  <si>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</si>
  <si>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</si>
  <si>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</si>
  <si>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</si>
  <si>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</si>
  <si>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</si>
  <si>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</si>
  <si>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</si>
  <si>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</si>
  <si>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</si>
  <si>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</si>
  <si>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</si>
  <si>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</si>
  <si>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</si>
  <si>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</si>
  <si>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</si>
  <si>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</si>
  <si>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</si>
  <si>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</si>
  <si>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</si>
  <si>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</si>
  <si>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</si>
  <si>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</si>
  <si>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</si>
  <si>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</si>
  <si>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</si>
  <si>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</si>
  <si>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</si>
  <si>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</si>
  <si>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</si>
  <si>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</si>
  <si>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</si>
  <si>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</si>
  <si>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</si>
  <si>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</si>
  <si>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</si>
  <si>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</si>
  <si>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</si>
  <si>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</si>
  <si>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</si>
  <si>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</si>
  <si>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</si>
  <si>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</si>
  <si>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</si>
  <si>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</si>
  <si>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</si>
  <si>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</si>
  <si>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</si>
  <si>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</si>
  <si>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</si>
  <si>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</si>
  <si>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</si>
  <si>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</si>
  <si>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</si>
  <si>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</si>
  <si>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</si>
  <si>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</si>
  <si>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</si>
  <si>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</si>
  <si>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</si>
  <si>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</si>
  <si>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</si>
  <si>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</si>
  <si>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</si>
  <si>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</si>
  <si>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</si>
  <si>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</si>
  <si>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</si>
  <si>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</si>
  <si>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</si>
  <si>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</si>
  <si>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</si>
  <si>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</si>
  <si>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</si>
  <si>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</si>
  <si>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</si>
  <si>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</si>
  <si>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</si>
  <si>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</si>
  <si>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</si>
  <si>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</si>
  <si>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</si>
  <si>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</si>
  <si>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</si>
  <si>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</si>
  <si>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</si>
  <si>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</si>
  <si>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</si>
  <si>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</si>
  <si>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</si>
  <si>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</si>
  <si>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</si>
  <si>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</si>
  <si>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</si>
  <si>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</si>
  <si>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</si>
  <si>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</si>
  <si>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</si>
  <si>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</si>
  <si>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</si>
  <si>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</si>
  <si>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</si>
  <si>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</si>
  <si>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</si>
  <si>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</si>
  <si>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</si>
  <si>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</si>
  <si>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</si>
  <si>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</si>
  <si>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</si>
  <si>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</si>
  <si>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</si>
  <si>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</si>
  <si>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</si>
  <si>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</si>
  <si>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</si>
  <si>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</si>
  <si>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</si>
  <si>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</si>
  <si>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</si>
  <si>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</si>
  <si>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</si>
  <si>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</si>
  <si>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</si>
  <si>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</si>
  <si>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</si>
  <si>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</si>
  <si>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</si>
  <si>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</si>
  <si>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</si>
  <si>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</si>
  <si>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</si>
  <si>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</si>
  <si>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</si>
  <si>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</si>
  <si>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</si>
  <si>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</si>
  <si>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</si>
  <si>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</si>
  <si>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</si>
  <si>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</si>
  <si>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</si>
  <si>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</si>
  <si>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</si>
  <si>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</si>
  <si>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</si>
  <si>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</si>
  <si>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</si>
  <si>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</si>
  <si>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</si>
  <si>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</si>
  <si>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</si>
  <si>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</si>
  <si>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</si>
  <si>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</si>
  <si>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</si>
  <si>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</si>
  <si>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</si>
  <si>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</si>
  <si>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</si>
  <si>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</si>
  <si>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</si>
  <si>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</si>
  <si>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</si>
  <si>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</si>
  <si>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</si>
  <si>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</si>
  <si>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</si>
  <si>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</si>
  <si>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</si>
  <si>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</si>
  <si>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</si>
  <si>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</si>
  <si>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</si>
  <si>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</si>
  <si>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</si>
  <si>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</si>
  <si>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</si>
  <si>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</si>
  <si>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</si>
  <si>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</si>
  <si>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</si>
  <si>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</si>
  <si>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</si>
  <si>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</si>
  <si>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</si>
  <si>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</si>
  <si>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</si>
  <si>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</si>
  <si>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</si>
  <si>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</si>
  <si>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</si>
  <si>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</si>
  <si>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</si>
  <si>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</si>
  <si>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</si>
  <si>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</si>
  <si>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</si>
  <si>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</si>
  <si>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</si>
  <si>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</si>
  <si>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</si>
  <si>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</si>
  <si>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</si>
  <si>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</si>
  <si>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</si>
  <si>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</si>
  <si>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</si>
  <si>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</si>
  <si>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</si>
  <si>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</si>
  <si>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</si>
  <si>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</si>
  <si>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</si>
  <si>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</si>
  <si>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</si>
  <si>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</si>
  <si>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</si>
  <si>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</si>
  <si>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</si>
  <si>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</si>
  <si>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</si>
  <si>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</si>
  <si>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</si>
  <si>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</si>
  <si>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</si>
  <si>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</si>
  <si>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</si>
  <si>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</si>
  <si>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</si>
  <si>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</si>
  <si>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</si>
  <si>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</si>
  <si>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</si>
  <si>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</si>
  <si>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</si>
  <si>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</si>
  <si>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</si>
  <si>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</si>
  <si>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</si>
  <si>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</si>
  <si>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</si>
  <si>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</si>
  <si>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</si>
  <si>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</si>
  <si>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</si>
  <si>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</si>
  <si>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</si>
  <si>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</si>
  <si>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</si>
  <si>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</si>
  <si>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</si>
  <si>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</si>
  <si>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</si>
  <si>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</si>
  <si>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</si>
  <si>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</si>
  <si>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</si>
  <si>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</si>
  <si>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</si>
  <si>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</si>
  <si>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</si>
  <si>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</si>
  <si>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</si>
  <si>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</si>
  <si>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</si>
  <si>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</si>
  <si>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</si>
  <si>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</si>
  <si>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</si>
  <si>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</si>
  <si>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</si>
  <si>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</si>
  <si>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</si>
  <si>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</si>
  <si>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</si>
  <si>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</si>
  <si>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</si>
  <si>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</si>
  <si>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</si>
  <si>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</si>
  <si>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</si>
  <si>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</si>
  <si>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</si>
  <si>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</si>
  <si>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</si>
  <si>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</si>
  <si>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</si>
  <si>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</si>
  <si>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</si>
  <si>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</si>
  <si>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</si>
  <si>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</si>
  <si>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</si>
  <si>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</si>
  <si>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</si>
  <si>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</si>
  <si>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</si>
  <si>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</si>
  <si>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</si>
  <si>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</si>
  <si>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</si>
  <si>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</si>
  <si>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</si>
  <si>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</si>
  <si>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</si>
  <si>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</si>
  <si>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</si>
  <si>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</si>
  <si>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</si>
  <si>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</si>
  <si>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</si>
  <si>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</si>
  <si>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</si>
  <si>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</si>
  <si>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</si>
  <si>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</si>
  <si>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</si>
  <si>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</si>
  <si>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</si>
  <si>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</si>
  <si>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</si>
  <si>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</si>
  <si>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</si>
  <si>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</si>
  <si>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</si>
  <si>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</si>
  <si>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</si>
  <si>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</si>
  <si>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</si>
  <si>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</si>
  <si>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</si>
  <si>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</si>
  <si>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</si>
  <si>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</si>
  <si>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</si>
  <si>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</si>
  <si>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</si>
  <si>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</si>
  <si>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</si>
  <si>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</si>
  <si>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</si>
  <si>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</si>
  <si>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</si>
  <si>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</si>
  <si>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</si>
  <si>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</si>
  <si>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</si>
  <si>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</si>
  <si>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</si>
  <si>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</si>
  <si>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</si>
  <si>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</si>
  <si>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</si>
  <si>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</si>
  <si>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</si>
  <si>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</si>
  <si>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</si>
  <si>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</si>
  <si>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</si>
  <si>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</si>
  <si>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</si>
  <si>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</si>
  <si>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</si>
  <si>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</si>
  <si>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</si>
  <si>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</si>
  <si>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</si>
  <si>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</si>
  <si>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</si>
  <si>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</si>
  <si>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</si>
  <si>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</si>
  <si>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</si>
  <si>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</si>
  <si>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</si>
  <si>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</si>
  <si>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</si>
  <si>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</si>
  <si>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</si>
  <si>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</si>
  <si>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</si>
  <si>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</si>
  <si>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</si>
  <si>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</si>
  <si>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</si>
  <si>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</si>
  <si>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</si>
  <si>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</si>
  <si>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</si>
  <si>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</si>
  <si>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</si>
  <si>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</si>
  <si>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</si>
  <si>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</si>
  <si>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</si>
  <si>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</si>
  <si>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</si>
  <si>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</si>
  <si>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</si>
  <si>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</si>
  <si>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</si>
  <si>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</si>
  <si>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</si>
  <si>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</si>
  <si>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</si>
  <si>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</si>
  <si>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</si>
  <si>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</si>
  <si>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</si>
  <si>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</si>
  <si>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</si>
  <si>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</si>
  <si>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</si>
  <si>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</si>
  <si>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</si>
  <si>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</si>
  <si>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</si>
  <si>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</si>
  <si>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</si>
  <si>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</si>
  <si>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</si>
  <si>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</si>
  <si>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</si>
  <si>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</si>
  <si>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</si>
  <si>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</si>
  <si>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</si>
  <si>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</si>
  <si>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</si>
  <si>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</si>
  <si>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</si>
  <si>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</si>
  <si>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</si>
  <si>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</si>
  <si>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</si>
  <si>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</si>
  <si>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</si>
  <si>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</si>
  <si>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</si>
  <si>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</si>
  <si>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</si>
  <si>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</si>
  <si>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</si>
  <si>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</si>
  <si>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</si>
  <si>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</si>
  <si>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</si>
  <si>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</si>
  <si>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</si>
  <si>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</si>
  <si>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</si>
  <si>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</si>
  <si>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</si>
  <si>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</si>
  <si>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</si>
  <si>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</si>
  <si>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</si>
  <si>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</si>
  <si>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</si>
  <si>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</si>
  <si>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</si>
  <si>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</si>
  <si>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</si>
  <si>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</si>
  <si>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</si>
  <si>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</si>
  <si>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</si>
  <si>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</si>
  <si>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</si>
  <si>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</si>
  <si>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</si>
  <si>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</si>
  <si>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</si>
  <si>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</si>
  <si>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</si>
  <si>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</si>
  <si>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</si>
  <si>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</si>
  <si>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</si>
  <si>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</si>
  <si>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</si>
  <si>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</si>
  <si>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</si>
  <si>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</si>
  <si>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</si>
  <si>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</si>
  <si>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</si>
  <si>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</si>
  <si>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</si>
  <si>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</si>
  <si>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</si>
  <si>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</si>
  <si>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</si>
  <si>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</si>
  <si>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</si>
  <si>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</si>
  <si>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</si>
  <si>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</si>
  <si>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</si>
  <si>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</si>
  <si>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</si>
  <si>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</si>
  <si>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</si>
  <si>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</si>
  <si>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</si>
  <si>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</si>
  <si>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</si>
  <si>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</si>
  <si>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</si>
  <si>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</si>
  <si>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</si>
  <si>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</si>
  <si>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</si>
  <si>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</si>
  <si>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</si>
  <si>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</si>
  <si>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</si>
  <si>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</si>
  <si>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</si>
  <si>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</si>
  <si>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</si>
  <si>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</si>
  <si>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</si>
  <si>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</si>
  <si>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</si>
  <si>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</si>
  <si>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</si>
  <si>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</si>
  <si>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</si>
  <si>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</si>
  <si>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</si>
  <si>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</si>
  <si>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</si>
  <si>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</si>
  <si>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</si>
  <si>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</si>
  <si>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</si>
  <si>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</si>
  <si>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</si>
  <si>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</si>
  <si>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</si>
  <si>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</si>
  <si>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</si>
  <si>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</si>
  <si>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</si>
  <si>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</si>
  <si>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</si>
  <si>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</si>
  <si>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</si>
  <si>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</si>
  <si>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</si>
  <si>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</si>
  <si>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</si>
  <si>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</si>
  <si>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</si>
  <si>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</si>
  <si>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</si>
  <si>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</si>
  <si>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</si>
  <si>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</si>
  <si>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</si>
  <si>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</si>
  <si>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</si>
  <si>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</si>
  <si>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</si>
  <si>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</si>
  <si>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</si>
  <si>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</si>
  <si>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</si>
  <si>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</si>
  <si>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</si>
  <si>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</si>
  <si>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</si>
  <si>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</si>
  <si>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</si>
  <si>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</si>
  <si>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</si>
  <si>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</si>
  <si>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</si>
  <si>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</si>
  <si>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</si>
  <si>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</si>
  <si>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</si>
  <si>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</si>
  <si>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</si>
  <si>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</si>
  <si>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</si>
  <si>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</si>
  <si>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</si>
  <si>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</si>
  <si>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</si>
  <si>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</si>
  <si>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</si>
  <si>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</si>
  <si>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</si>
  <si>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</si>
  <si>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</si>
  <si>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</si>
  <si>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</si>
  <si>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</si>
  <si>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</si>
  <si>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</si>
  <si>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</si>
  <si>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</si>
  <si>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</si>
  <si>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</si>
  <si>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</si>
  <si>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</si>
  <si>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</si>
  <si>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</si>
  <si>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</si>
  <si>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</si>
  <si>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</si>
  <si>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</si>
  <si>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</si>
  <si>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</si>
  <si>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</si>
  <si>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</si>
  <si>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</si>
  <si>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</si>
  <si>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</si>
  <si>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</si>
  <si>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</si>
  <si>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</si>
  <si>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</si>
  <si>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</si>
  <si>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</si>
  <si>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</si>
  <si>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</si>
  <si>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</si>
  <si>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</si>
  <si>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</si>
  <si>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</si>
  <si>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</si>
  <si>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</si>
  <si>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</si>
  <si>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</si>
  <si>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</si>
  <si>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</si>
  <si>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</si>
  <si>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</si>
  <si>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</si>
  <si>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</si>
  <si>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</si>
  <si>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</si>
  <si>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</si>
  <si>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</si>
  <si>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</si>
  <si>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</si>
  <si>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</si>
  <si>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</si>
  <si>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</si>
  <si>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</si>
  <si>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</si>
  <si>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</si>
  <si>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</si>
  <si>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</si>
  <si>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</si>
  <si>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</si>
  <si>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</si>
  <si>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</si>
  <si>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</si>
  <si>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</si>
  <si>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</si>
  <si>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</si>
  <si>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</si>
  <si>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</si>
  <si>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</si>
  <si>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</si>
  <si>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</si>
  <si>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</si>
  <si>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</si>
  <si>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</si>
  <si>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</si>
  <si>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</si>
  <si>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</si>
  <si>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</si>
  <si>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</si>
  <si>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</si>
  <si>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</si>
  <si>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</si>
  <si>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</si>
  <si>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</si>
  <si>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</si>
  <si>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</si>
  <si>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</si>
  <si>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</si>
  <si>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</si>
  <si>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</si>
  <si>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</si>
  <si>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</si>
  <si>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</si>
  <si>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</si>
  <si>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</si>
  <si>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</si>
  <si>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</si>
  <si>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</si>
  <si>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</si>
  <si>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</si>
  <si>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</si>
  <si>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</si>
  <si>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</si>
  <si>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</si>
  <si>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</si>
  <si>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</si>
  <si>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</si>
  <si>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</si>
  <si>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</si>
  <si>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</si>
  <si>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</si>
  <si>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</si>
  <si>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</si>
  <si>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</si>
  <si>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</si>
  <si>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</si>
  <si>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</si>
  <si>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</si>
  <si>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</si>
  <si>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</si>
  <si>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</si>
  <si>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</si>
  <si>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</si>
  <si>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</si>
  <si>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</si>
  <si>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</si>
  <si>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</si>
  <si>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</si>
  <si>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</si>
  <si>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</si>
  <si>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</si>
  <si>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</si>
  <si>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</si>
  <si>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</si>
  <si>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</si>
  <si>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</si>
  <si>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</si>
  <si>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</si>
  <si>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</si>
  <si>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</si>
  <si>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</si>
  <si>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</si>
  <si>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</si>
  <si>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</si>
  <si>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</si>
  <si>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</si>
  <si>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</si>
  <si>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</si>
  <si>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</si>
  <si>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</si>
  <si>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</si>
  <si>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</si>
  <si>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</si>
  <si>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</si>
  <si>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</si>
  <si>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</si>
  <si>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</si>
  <si>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</si>
  <si>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</si>
  <si>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</si>
  <si>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</si>
  <si>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</si>
  <si>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</si>
  <si>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</si>
  <si>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</si>
  <si>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</si>
  <si>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</si>
  <si>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</si>
  <si>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</si>
  <si>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</si>
  <si>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</si>
  <si>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</si>
  <si>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</si>
  <si>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</si>
  <si>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</si>
  <si>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</si>
  <si>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</si>
  <si>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</si>
  <si>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</si>
  <si>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</si>
  <si>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</si>
  <si>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</si>
  <si>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</si>
  <si>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</si>
  <si>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</si>
  <si>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</si>
  <si>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</si>
  <si>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</si>
  <si>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</si>
  <si>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</si>
  <si>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</si>
  <si>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</si>
  <si>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</si>
  <si>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</si>
  <si>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</si>
  <si>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</si>
  <si>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</si>
  <si>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</si>
  <si>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</si>
  <si>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</si>
  <si>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</si>
  <si>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</si>
  <si>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</si>
  <si>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</si>
  <si>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</si>
  <si>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</si>
  <si>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</si>
  <si>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</si>
  <si>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</si>
  <si>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</si>
  <si>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</si>
  <si>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</si>
  <si>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</si>
  <si>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</si>
  <si>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</si>
  <si>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</si>
  <si>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</si>
  <si>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</si>
  <si>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</si>
  <si>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</si>
  <si>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</si>
  <si>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</si>
  <si>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</si>
  <si>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</si>
  <si>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</si>
  <si>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</si>
  <si>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</si>
  <si>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</si>
  <si>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</si>
  <si>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</si>
  <si>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</si>
  <si>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</si>
  <si>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</si>
  <si>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</si>
  <si>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</si>
  <si>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</si>
  <si>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</si>
  <si>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</si>
  <si>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</si>
  <si>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</si>
  <si>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</si>
  <si>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</si>
  <si>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</si>
  <si>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</si>
  <si>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</si>
  <si>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</si>
  <si>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</si>
  <si>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</si>
  <si>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</si>
  <si>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</si>
  <si>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</si>
  <si>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</si>
  <si>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</si>
  <si>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</si>
  <si>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</si>
  <si>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</si>
  <si>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</si>
  <si>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</si>
  <si>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</si>
  <si>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</si>
  <si>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</si>
  <si>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</si>
  <si>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</si>
  <si>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</si>
  <si>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</si>
  <si>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</si>
  <si>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</si>
  <si>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</si>
  <si>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</si>
  <si>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</si>
  <si>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</si>
  <si>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</si>
  <si>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</si>
  <si>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</si>
  <si>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</si>
  <si>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</si>
  <si>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</si>
  <si>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</si>
  <si>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</si>
  <si>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</si>
  <si>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</si>
  <si>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</si>
  <si>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</si>
  <si>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</si>
  <si>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</si>
  <si>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</si>
  <si>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</si>
  <si>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</si>
  <si>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</si>
  <si>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</si>
  <si>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</si>
  <si>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</si>
  <si>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</si>
  <si>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</si>
  <si>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</si>
  <si>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</si>
  <si>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</si>
  <si>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</si>
  <si>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</si>
  <si>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</si>
  <si>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</si>
  <si>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</si>
  <si>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</si>
  <si>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</si>
  <si>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</si>
  <si>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</si>
  <si>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</si>
  <si>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</si>
  <si>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</si>
  <si>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</si>
  <si>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</si>
  <si>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</si>
  <si>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</si>
  <si>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</si>
  <si>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</si>
  <si>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</si>
  <si>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</si>
  <si>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</si>
  <si>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</si>
  <si>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</si>
  <si>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</si>
  <si>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</si>
  <si>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</si>
  <si>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</si>
  <si>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</si>
  <si>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</si>
  <si>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</si>
  <si>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</si>
  <si>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</si>
  <si>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</si>
  <si>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</si>
  <si>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</si>
  <si>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</si>
  <si>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</si>
  <si>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</si>
  <si>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</si>
  <si>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</si>
  <si>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</si>
  <si>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</si>
  <si>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</si>
  <si>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</si>
  <si>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</si>
  <si>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</si>
  <si>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</si>
  <si>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</si>
  <si>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</si>
  <si>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</si>
  <si>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</si>
  <si>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</si>
  <si>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</si>
  <si>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</si>
  <si>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</si>
  <si>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</si>
  <si>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</si>
  <si>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</si>
  <si>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</si>
  <si>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</si>
  <si>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</si>
  <si>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</si>
  <si>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</si>
  <si>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</si>
  <si>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</si>
  <si>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</si>
  <si>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</si>
  <si>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</si>
  <si>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</si>
  <si>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</si>
  <si>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</si>
  <si>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</si>
  <si>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</si>
  <si>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</si>
  <si>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</si>
  <si>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</si>
  <si>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</si>
  <si>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</si>
  <si>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</si>
  <si>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</si>
  <si>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</si>
  <si>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</si>
  <si>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</si>
  <si>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</si>
  <si>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</si>
  <si>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</si>
  <si>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</si>
  <si>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</si>
  <si>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</si>
  <si>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</si>
  <si>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</si>
  <si>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</si>
  <si>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</si>
  <si>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</si>
  <si>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</si>
  <si>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</si>
  <si>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</si>
  <si>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</si>
  <si>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</si>
  <si>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</si>
  <si>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</si>
  <si>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</si>
  <si>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</si>
  <si>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</si>
  <si>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</si>
  <si>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</si>
  <si>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</si>
  <si>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</si>
  <si>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</si>
  <si>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</si>
  <si>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</si>
  <si>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</si>
  <si>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</si>
  <si>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</si>
  <si>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</si>
  <si>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</si>
  <si>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</si>
  <si>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</si>
  <si>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</si>
  <si>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</si>
  <si>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</si>
  <si>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</si>
  <si>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</si>
  <si>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</si>
  <si>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</si>
  <si>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</si>
  <si>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</si>
  <si>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</si>
  <si>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</si>
  <si>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</si>
  <si>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</si>
  <si>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</si>
  <si>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</si>
  <si>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</si>
  <si>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</si>
  <si>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</si>
  <si>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</si>
  <si>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</si>
  <si>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</si>
  <si>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</si>
  <si>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</si>
  <si>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</si>
  <si>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</si>
  <si>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</si>
  <si>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</si>
  <si>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</si>
  <si>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</si>
  <si>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</si>
  <si>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</si>
  <si>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</si>
  <si>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</si>
  <si>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</si>
  <si>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</si>
  <si>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</si>
  <si>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</si>
  <si>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</si>
  <si>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</si>
  <si>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</si>
  <si>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</si>
  <si>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</si>
  <si>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</si>
  <si>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</si>
  <si>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</si>
  <si>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</si>
  <si>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</si>
  <si>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</si>
  <si>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</si>
  <si>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</si>
  <si>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</si>
  <si>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</si>
  <si>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</si>
  <si>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</si>
  <si>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</si>
  <si>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</si>
  <si>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</si>
  <si>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</si>
  <si>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</si>
  <si>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</si>
  <si>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</si>
  <si>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</si>
  <si>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</si>
  <si>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</si>
  <si>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</si>
  <si>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</si>
  <si>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</si>
  <si>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</si>
  <si>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</si>
  <si>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</si>
  <si>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</si>
  <si>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</si>
  <si>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</si>
  <si>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</si>
  <si>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</si>
  <si>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</si>
  <si>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</si>
  <si>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</si>
  <si>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</si>
  <si>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</si>
  <si>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</si>
  <si>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</si>
  <si>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</si>
  <si>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</si>
  <si>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</si>
  <si>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</si>
  <si>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</si>
  <si>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</si>
  <si>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</si>
  <si>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</si>
  <si>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</si>
  <si>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</si>
  <si>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</si>
  <si>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</si>
  <si>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</si>
  <si>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</si>
  <si>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</si>
  <si>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</si>
  <si>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</si>
  <si>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</si>
  <si>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</si>
  <si>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</si>
  <si>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</si>
  <si>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</si>
  <si>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</si>
  <si>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</si>
  <si>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</si>
  <si>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</si>
  <si>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</si>
  <si>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</si>
  <si>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</si>
  <si>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</si>
  <si>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</si>
  <si>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</si>
  <si>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</si>
  <si>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</si>
  <si>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</si>
  <si>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</si>
  <si>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</si>
  <si>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</si>
  <si>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</si>
  <si>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</si>
  <si>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</si>
  <si>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</si>
  <si>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</si>
  <si>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</si>
  <si>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</si>
  <si>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</si>
  <si>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</si>
  <si>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</si>
  <si>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</si>
  <si>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</si>
  <si>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</si>
  <si>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</si>
  <si>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</si>
  <si>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</si>
  <si>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</si>
  <si>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</si>
  <si>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</si>
  <si>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</si>
  <si>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</si>
  <si>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</si>
  <si>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</si>
  <si>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</si>
  <si>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</si>
  <si>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</si>
  <si>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</si>
  <si>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</si>
  <si>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</si>
  <si>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</si>
  <si>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</si>
  <si>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</si>
  <si>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</si>
  <si>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</si>
  <si>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</si>
  <si>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</si>
  <si>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</si>
  <si>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</si>
  <si>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</si>
  <si>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</si>
  <si>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</si>
  <si>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</si>
  <si>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</si>
  <si>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</si>
  <si>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</si>
  <si>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</si>
  <si>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</si>
  <si>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</si>
  <si>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</si>
  <si>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</si>
  <si>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</si>
  <si>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</si>
  <si>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</si>
  <si>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</si>
  <si>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</si>
  <si>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</si>
  <si>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</si>
  <si>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</si>
  <si>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</si>
  <si>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</si>
  <si>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</si>
  <si>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</si>
  <si>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</si>
  <si>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</si>
  <si>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</si>
  <si>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</si>
  <si>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</si>
  <si>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</si>
  <si>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</si>
  <si>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</si>
  <si>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</si>
  <si>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</si>
  <si>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</si>
  <si>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</si>
  <si>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</si>
  <si>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</si>
  <si>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</si>
  <si>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</si>
  <si>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</si>
  <si>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</si>
  <si>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</si>
  <si>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</si>
  <si>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</si>
  <si>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</si>
  <si>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</si>
  <si>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</si>
  <si>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</si>
  <si>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</si>
  <si>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</si>
  <si>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</si>
  <si>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</si>
  <si>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</si>
  <si>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</si>
  <si>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</si>
  <si>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</si>
  <si>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</si>
  <si>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</si>
  <si>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</si>
  <si>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</si>
  <si>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</si>
  <si>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</si>
  <si>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</si>
  <si>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</si>
  <si>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</si>
  <si>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</si>
  <si>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</si>
  <si>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</si>
  <si>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</si>
  <si>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</si>
  <si>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</si>
  <si>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</si>
  <si>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</si>
  <si>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</si>
  <si>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</si>
  <si>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</si>
  <si>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</si>
  <si>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</si>
  <si>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</si>
  <si>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</si>
  <si>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</si>
  <si>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</si>
  <si>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</si>
  <si>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</si>
  <si>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</si>
  <si>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</si>
  <si>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</si>
  <si>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</si>
  <si>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</si>
  <si>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</si>
  <si>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</si>
  <si>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</si>
  <si>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</si>
  <si>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</si>
  <si>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</si>
  <si>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</si>
  <si>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</si>
  <si>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</si>
  <si>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</si>
  <si>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</si>
  <si>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</si>
  <si>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</si>
  <si>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</si>
  <si>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</si>
  <si>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</si>
  <si>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</si>
  <si>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</si>
  <si>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</si>
  <si>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</si>
  <si>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</si>
  <si>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</si>
  <si>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</si>
  <si>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</si>
  <si>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</si>
  <si>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</si>
  <si>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</si>
  <si>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</si>
  <si>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</si>
  <si>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</si>
  <si>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</si>
  <si>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</si>
  <si>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</si>
  <si>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</si>
  <si>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</si>
  <si>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</si>
  <si>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</si>
  <si>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</si>
  <si>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</si>
  <si>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</si>
  <si>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</si>
  <si>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</si>
  <si>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</si>
  <si>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</si>
  <si>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</si>
  <si>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</si>
  <si>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</si>
  <si>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</si>
  <si>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</si>
  <si>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</si>
  <si>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</si>
  <si>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</si>
  <si>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</si>
  <si>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</si>
  <si>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</si>
  <si>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</si>
  <si>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</si>
  <si>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</si>
  <si>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</si>
  <si>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</si>
  <si>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</si>
  <si>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</si>
  <si>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</si>
  <si>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</si>
  <si>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</si>
  <si>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</si>
  <si>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</si>
  <si>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</si>
  <si>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</si>
  <si>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</si>
  <si>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</si>
  <si>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</si>
  <si>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</si>
  <si>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</si>
  <si>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</si>
  <si>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</si>
  <si>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</si>
  <si>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</si>
  <si>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</si>
  <si>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</si>
  <si>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</si>
  <si>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</si>
  <si>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</si>
  <si>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</si>
  <si>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</si>
  <si>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</si>
  <si>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</si>
  <si>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</si>
  <si>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</si>
  <si>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</si>
  <si>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</si>
  <si>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</si>
  <si>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</si>
  <si>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</si>
  <si>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</si>
  <si>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</si>
  <si>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</si>
  <si>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</si>
  <si>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</si>
  <si>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</si>
  <si>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</si>
  <si>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</si>
  <si>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</si>
  <si>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</si>
  <si>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</si>
  <si>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</si>
  <si>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</si>
  <si>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</si>
  <si>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</si>
  <si>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</si>
  <si>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</si>
  <si>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</si>
  <si>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</si>
  <si>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</si>
  <si>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</si>
  <si>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</si>
  <si>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</si>
  <si>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</si>
  <si>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</si>
  <si>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</si>
  <si>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</si>
  <si>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</si>
  <si>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</si>
  <si>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</si>
  <si>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</si>
  <si>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</si>
  <si>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</si>
  <si>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</si>
  <si>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</si>
  <si>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</si>
  <si>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</si>
  <si>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</si>
  <si>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</si>
  <si>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</si>
  <si>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</si>
  <si>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</si>
  <si>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</si>
  <si>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</si>
  <si>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</si>
  <si>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</si>
  <si>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</si>
  <si>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</si>
  <si>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</si>
  <si>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</si>
  <si>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</si>
  <si>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</si>
  <si>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</si>
  <si>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</si>
  <si>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</si>
  <si>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</si>
  <si>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</si>
  <si>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</si>
  <si>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</si>
  <si>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</si>
  <si>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</si>
  <si>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</si>
  <si>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</si>
  <si>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</si>
  <si>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</si>
  <si>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</si>
  <si>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</si>
  <si>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</si>
  <si>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</si>
  <si>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</si>
  <si>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</si>
  <si>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</si>
  <si>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</si>
  <si>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</si>
  <si>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</si>
  <si>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</si>
  <si>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</si>
  <si>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</si>
  <si>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</si>
  <si>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</si>
  <si>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</si>
  <si>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</si>
  <si>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</si>
  <si>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</si>
  <si>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</si>
  <si>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</si>
  <si>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</si>
  <si>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</si>
  <si>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</si>
  <si>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</si>
  <si>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</si>
  <si>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</si>
  <si>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</si>
  <si>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</si>
  <si>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</si>
  <si>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</si>
  <si>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</si>
  <si>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</si>
  <si>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</si>
  <si>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</si>
  <si>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</si>
  <si>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</si>
  <si>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</si>
  <si>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</si>
  <si>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</si>
  <si>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</si>
  <si>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</si>
  <si>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</si>
  <si>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</si>
  <si>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</si>
  <si>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</si>
  <si>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</si>
  <si>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</si>
  <si>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</si>
  <si>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</si>
  <si>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</si>
  <si>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</si>
  <si>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</si>
  <si>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</si>
  <si>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</si>
  <si>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</si>
  <si>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</si>
  <si>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</si>
  <si>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</si>
  <si>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</si>
  <si>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</si>
  <si>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</si>
  <si>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</si>
  <si>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</si>
  <si>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</si>
  <si>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</si>
  <si>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</si>
  <si>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</si>
  <si>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</si>
  <si>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</si>
  <si>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</si>
  <si>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</si>
  <si>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</si>
  <si>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</si>
  <si>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</si>
  <si>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</si>
  <si>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</si>
  <si>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</si>
  <si>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</si>
  <si>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</si>
  <si>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</si>
  <si>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</si>
  <si>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</si>
  <si>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</si>
  <si>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</si>
  <si>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</si>
  <si>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</si>
  <si>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</si>
  <si>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</si>
  <si>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</si>
  <si>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</si>
  <si>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</si>
  <si>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</si>
  <si>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</si>
  <si>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</si>
  <si>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</si>
  <si>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</si>
  <si>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</si>
  <si>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</si>
  <si>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</si>
  <si>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</si>
  <si>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</si>
  <si>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</si>
  <si>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</si>
  <si>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</si>
  <si>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</si>
  <si>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</si>
  <si>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</si>
  <si>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</si>
  <si>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</si>
  <si>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</si>
  <si>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</si>
  <si>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</si>
  <si>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</si>
  <si>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</si>
  <si>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</si>
  <si>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</si>
  <si>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</si>
  <si>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</si>
  <si>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</si>
  <si>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</si>
  <si>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</si>
  <si>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</si>
  <si>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</si>
  <si>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</si>
  <si>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</si>
  <si>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</si>
  <si>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</si>
  <si>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</si>
  <si>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</si>
  <si>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</si>
  <si>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</si>
  <si>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</si>
  <si>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</si>
  <si>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</si>
  <si>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</si>
  <si>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</si>
  <si>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</si>
  <si>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</si>
  <si>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</si>
  <si>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</si>
  <si>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</si>
  <si>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</si>
  <si>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</si>
  <si>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</si>
  <si>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</si>
  <si>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</si>
  <si>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</si>
  <si>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</si>
  <si>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</si>
  <si>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</si>
  <si>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</si>
  <si>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</si>
  <si>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</si>
  <si>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</si>
  <si>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</si>
  <si>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</si>
  <si>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</si>
  <si>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</si>
  <si>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</si>
  <si>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</si>
  <si>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</si>
  <si>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</si>
  <si>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</si>
  <si>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</si>
  <si>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</si>
  <si>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</si>
  <si>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</si>
  <si>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</si>
  <si>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</si>
  <si>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</si>
  <si>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</si>
  <si>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</si>
  <si>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</si>
  <si>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</si>
  <si>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</si>
  <si>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</si>
  <si>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</si>
  <si>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</si>
  <si>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</si>
  <si>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</si>
  <si>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</si>
  <si>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</si>
  <si>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</si>
  <si>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</si>
  <si>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</si>
  <si>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</si>
  <si>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</si>
  <si>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</si>
  <si>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</si>
  <si>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</si>
  <si>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</si>
  <si>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</si>
  <si>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</si>
  <si>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</si>
  <si>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</si>
  <si>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</si>
  <si>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</si>
  <si>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</si>
  <si>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</si>
  <si>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</si>
  <si>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</si>
  <si>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</si>
  <si>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</si>
  <si>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</si>
  <si>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</si>
  <si>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</si>
  <si>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</si>
  <si>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</si>
  <si>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</si>
  <si>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</si>
  <si>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</si>
  <si>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</si>
  <si>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</si>
  <si>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</si>
  <si>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</si>
  <si>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</si>
  <si>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</si>
  <si>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</si>
  <si>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</si>
  <si>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</si>
  <si>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</si>
  <si>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</si>
  <si>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</si>
  <si>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</si>
  <si>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</si>
  <si>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</si>
  <si>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</si>
  <si>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</si>
  <si>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</si>
  <si>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</si>
  <si>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</si>
  <si>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</si>
  <si>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</si>
  <si>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</si>
  <si>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</si>
  <si>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</si>
  <si>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</si>
  <si>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</si>
  <si>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</si>
  <si>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</si>
  <si>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</si>
  <si>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</si>
  <si>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</si>
  <si>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</si>
  <si>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</si>
  <si>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</si>
  <si>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</si>
  <si>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</si>
  <si>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</si>
  <si>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</si>
  <si>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</si>
  <si>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</si>
  <si>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</si>
  <si>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</si>
  <si>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</si>
  <si>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</si>
  <si>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</si>
  <si>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</si>
  <si>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</si>
  <si>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</si>
  <si>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</si>
  <si>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</si>
  <si>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</si>
  <si>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</si>
  <si>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</si>
  <si>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</si>
  <si>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</si>
  <si>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</si>
  <si>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</si>
  <si>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</si>
  <si>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</si>
  <si>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</si>
  <si>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</si>
  <si>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</si>
  <si>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</si>
  <si>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</si>
  <si>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</si>
  <si>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</si>
  <si>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</si>
  <si>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</si>
  <si>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</si>
  <si>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</si>
  <si>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</si>
  <si>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</si>
  <si>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</si>
  <si>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</si>
  <si>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</si>
  <si>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</si>
  <si>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</si>
  <si>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</si>
  <si>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</si>
  <si>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</si>
  <si>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</si>
  <si>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</si>
  <si>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</si>
  <si>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</si>
  <si>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</si>
  <si>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</si>
  <si>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</si>
  <si>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</si>
  <si>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</si>
  <si>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</si>
  <si>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</si>
  <si>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</si>
  <si>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</si>
  <si>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</si>
  <si>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</si>
  <si>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</si>
  <si>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</si>
  <si>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</si>
  <si>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</si>
  <si>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</si>
  <si>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</si>
  <si>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</si>
  <si>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</si>
  <si>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</si>
  <si>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</si>
  <si>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</si>
  <si>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</si>
  <si>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</si>
  <si>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</si>
  <si>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</si>
  <si>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</si>
  <si>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</si>
  <si>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</si>
  <si>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</si>
  <si>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</si>
  <si>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</si>
  <si>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</si>
  <si>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</si>
  <si>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</si>
  <si>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</si>
  <si>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</si>
  <si>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</si>
  <si>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</si>
  <si>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</si>
  <si>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</si>
  <si>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</si>
  <si>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</si>
  <si>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</si>
  <si>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</si>
  <si>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</si>
  <si>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</si>
  <si>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</si>
  <si>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</si>
  <si>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</si>
  <si>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</si>
  <si>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</si>
  <si>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</si>
  <si>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</si>
  <si>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</si>
  <si>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</si>
  <si>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</si>
  <si>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</si>
  <si>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</si>
  <si>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</si>
  <si>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</si>
  <si>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</si>
  <si>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</si>
  <si>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</si>
  <si>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</si>
  <si>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</si>
  <si>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</si>
  <si>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</si>
  <si>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</si>
  <si>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</si>
  <si>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</si>
  <si>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</si>
  <si>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</si>
  <si>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</si>
  <si>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</si>
  <si>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</si>
  <si>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</si>
  <si>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</si>
  <si>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</si>
  <si>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</si>
  <si>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</si>
  <si>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</si>
  <si>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</si>
  <si>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</si>
  <si>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</si>
  <si>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</si>
  <si>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</si>
  <si>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</si>
  <si>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</si>
  <si>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</si>
  <si>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</si>
  <si>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</si>
  <si>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</si>
  <si>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</si>
  <si>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</si>
  <si>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</si>
  <si>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</si>
  <si>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</si>
  <si>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</si>
  <si>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</si>
  <si>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</si>
  <si>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</si>
  <si>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</si>
  <si>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</si>
  <si>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</si>
  <si>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</si>
  <si>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</si>
  <si>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</si>
  <si>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</si>
  <si>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</si>
  <si>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</si>
  <si>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</si>
  <si>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</si>
  <si>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</si>
  <si>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</si>
  <si>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</si>
  <si>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</si>
  <si>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</si>
  <si>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</si>
  <si>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</si>
  <si>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</si>
  <si>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</si>
  <si>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</si>
  <si>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</si>
  <si>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</si>
  <si>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</si>
  <si>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</si>
  <si>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</si>
  <si>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</si>
  <si>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</si>
  <si>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</si>
  <si>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</si>
  <si>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</si>
  <si>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</si>
  <si>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</si>
  <si>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</si>
  <si>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</si>
  <si>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</si>
  <si>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</si>
  <si>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</si>
  <si>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</si>
  <si>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</si>
  <si>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</si>
  <si>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</si>
  <si>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</si>
  <si>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</si>
  <si>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</si>
  <si>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</si>
  <si>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</si>
  <si>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</si>
  <si>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</si>
  <si>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</si>
  <si>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</si>
  <si>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</si>
  <si>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</si>
  <si>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</si>
  <si>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</si>
  <si>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</si>
  <si>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</si>
  <si>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</si>
  <si>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</si>
  <si>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</si>
  <si>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</si>
  <si>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</si>
  <si>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</si>
  <si>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</si>
  <si>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</si>
  <si>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</si>
  <si>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</si>
  <si>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</si>
  <si>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</si>
  <si>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</si>
  <si>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</si>
  <si>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</si>
  <si>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</si>
  <si>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</si>
  <si>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</si>
  <si>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</si>
  <si>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</si>
  <si>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</si>
  <si>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</si>
  <si>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</si>
  <si>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</si>
  <si>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</si>
  <si>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</si>
  <si>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</si>
  <si>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</si>
  <si>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</si>
  <si>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</si>
  <si>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</si>
  <si>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</si>
  <si>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</si>
  <si>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</si>
  <si>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</si>
  <si>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</si>
  <si>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</si>
  <si>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</si>
  <si>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</si>
  <si>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</si>
  <si>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</si>
  <si>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</si>
  <si>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</si>
  <si>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</si>
  <si>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</si>
  <si>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</si>
  <si>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</si>
  <si>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</si>
  <si>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</si>
  <si>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</si>
  <si>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</si>
  <si>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</si>
  <si>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</si>
  <si>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</si>
  <si>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</si>
  <si>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</si>
  <si>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</si>
  <si>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</si>
  <si>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</si>
  <si>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</si>
  <si>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</si>
  <si>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</si>
  <si>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</si>
  <si>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</si>
  <si>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</si>
  <si>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</si>
  <si>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</si>
  <si>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</si>
  <si>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</si>
  <si>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</si>
  <si>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</si>
  <si>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</si>
  <si>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</si>
  <si>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</si>
  <si>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</si>
  <si>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</si>
  <si>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</si>
  <si>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</si>
  <si>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</si>
  <si>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</si>
  <si>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</si>
  <si>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</si>
  <si>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</si>
  <si>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</si>
  <si>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</si>
  <si>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</si>
  <si>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</si>
  <si>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</si>
  <si>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</si>
  <si>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</si>
  <si>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</si>
  <si>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</si>
  <si>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</si>
  <si>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</si>
  <si>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</si>
  <si>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</si>
  <si>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</si>
  <si>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</si>
  <si>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</si>
  <si>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</si>
  <si>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</si>
  <si>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</si>
  <si>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</si>
  <si>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</si>
  <si>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</si>
  <si>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</si>
  <si>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</si>
  <si>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</si>
  <si>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</si>
  <si>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</si>
  <si>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</si>
  <si>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</si>
  <si>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</si>
  <si>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</si>
  <si>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</si>
  <si>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</si>
  <si>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</si>
  <si>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</si>
  <si>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</si>
  <si>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</si>
  <si>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</si>
  <si>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</si>
  <si>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</si>
  <si>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</si>
  <si>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</si>
  <si>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</si>
  <si>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</si>
  <si>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</si>
  <si>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</si>
  <si>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</si>
  <si>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</si>
  <si>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</si>
  <si>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</si>
  <si>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</si>
  <si>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</si>
  <si>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</si>
  <si>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</si>
  <si>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</si>
  <si>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</si>
  <si>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</si>
  <si>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</si>
  <si>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</si>
  <si>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</si>
  <si>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</si>
  <si>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</si>
  <si>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</si>
  <si>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</si>
  <si>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</si>
  <si>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</si>
  <si>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</si>
  <si>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</si>
  <si>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</si>
  <si>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</si>
  <si>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</si>
  <si>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</si>
  <si>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</si>
  <si>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</si>
  <si>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</si>
  <si>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</si>
  <si>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</si>
  <si>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</si>
  <si>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</si>
  <si>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</si>
  <si>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</si>
  <si>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</si>
  <si>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</si>
  <si>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</si>
  <si>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</si>
  <si>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</si>
  <si>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</si>
  <si>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</si>
  <si>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</si>
  <si>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</si>
  <si>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</si>
  <si>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</si>
  <si>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</si>
  <si>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</si>
  <si>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</si>
  <si>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</si>
  <si>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</si>
  <si>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</si>
  <si>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</si>
  <si>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</si>
  <si>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</si>
  <si>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</si>
  <si>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</si>
  <si>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</si>
  <si>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</si>
  <si>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</si>
  <si>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</si>
  <si>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</si>
  <si>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</si>
  <si>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</si>
  <si>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</si>
  <si>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</si>
  <si>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</si>
  <si>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</si>
  <si>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</si>
  <si>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</si>
  <si>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</si>
  <si>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</si>
  <si>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</si>
  <si>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</si>
  <si>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</si>
  <si>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</si>
  <si>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</si>
  <si>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</si>
  <si>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</si>
  <si>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</si>
  <si>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</si>
  <si>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</si>
  <si>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</si>
  <si>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</si>
  <si>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</si>
  <si>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</si>
  <si>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</si>
  <si>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</si>
  <si>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</si>
  <si>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</si>
  <si>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</si>
  <si>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</si>
  <si>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</si>
  <si>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</si>
  <si>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</si>
  <si>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</si>
  <si>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</si>
  <si>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</si>
  <si>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</si>
  <si>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</si>
  <si>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</si>
  <si>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</si>
  <si>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</si>
  <si>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</si>
  <si>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</si>
  <si>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</si>
  <si>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</si>
  <si>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</si>
  <si>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</si>
  <si>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</si>
  <si>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</si>
  <si>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</si>
  <si>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</si>
  <si>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</si>
  <si>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</si>
  <si>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</si>
  <si>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</si>
  <si>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</si>
  <si>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</si>
  <si>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</si>
  <si>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</si>
  <si>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</si>
  <si>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</si>
  <si>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</si>
  <si>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</si>
  <si>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</si>
  <si>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</si>
  <si>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</si>
  <si>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</si>
  <si>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</si>
  <si>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</si>
  <si>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</si>
  <si>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</si>
  <si>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</si>
  <si>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</si>
  <si>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</si>
  <si>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</si>
  <si>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</si>
  <si>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</si>
  <si>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</si>
  <si>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</si>
  <si>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</si>
  <si>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</si>
  <si>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</si>
  <si>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</si>
  <si>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</si>
  <si>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</si>
  <si>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</si>
  <si>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</si>
  <si>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</si>
  <si>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</si>
  <si>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</si>
  <si>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</si>
  <si>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</si>
  <si>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</si>
  <si>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</si>
  <si>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</si>
  <si>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</si>
  <si>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</si>
  <si>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</si>
  <si>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</si>
  <si>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</si>
  <si>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</si>
  <si>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</si>
  <si>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</si>
  <si>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</si>
  <si>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</si>
  <si>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</si>
  <si>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</si>
  <si>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</si>
  <si>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</si>
  <si>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</si>
  <si>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</si>
  <si>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</si>
  <si>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</si>
  <si>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</si>
  <si>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</si>
  <si>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</si>
  <si>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</si>
  <si>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</si>
  <si>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</si>
  <si>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</si>
  <si>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</si>
  <si>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</si>
  <si>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</si>
  <si>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</si>
  <si>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</si>
  <si>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</si>
  <si>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</si>
  <si>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</si>
  <si>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</si>
  <si>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</si>
  <si>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</si>
  <si>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</si>
  <si>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</si>
  <si>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</si>
  <si>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</si>
  <si>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</si>
  <si>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</si>
  <si>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</si>
  <si>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</si>
  <si>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</si>
  <si>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</si>
  <si>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</si>
  <si>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</si>
  <si>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</si>
  <si>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</si>
  <si>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</si>
  <si>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</si>
  <si>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</si>
  <si>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</si>
  <si>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</si>
  <si>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</si>
  <si>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</si>
  <si>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</si>
  <si>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</si>
  <si>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</si>
  <si>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</si>
  <si>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</si>
  <si>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</si>
  <si>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</si>
  <si>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</si>
  <si>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</si>
  <si>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</si>
  <si>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</si>
  <si>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</si>
  <si>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</si>
  <si>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</si>
  <si>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</si>
  <si>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</si>
  <si>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</si>
  <si>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</si>
  <si>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</si>
  <si>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</si>
  <si>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</si>
  <si>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</si>
  <si>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</si>
  <si>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</si>
  <si>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</si>
  <si>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</si>
  <si>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</si>
  <si>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</si>
  <si>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</si>
  <si>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</si>
  <si>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</si>
  <si>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</si>
  <si>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</si>
  <si>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</si>
  <si>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</si>
  <si>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</si>
  <si>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</si>
  <si>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</si>
  <si>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</si>
  <si>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</si>
  <si>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</si>
  <si>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</si>
  <si>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</si>
  <si>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</si>
  <si>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</si>
  <si>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</si>
  <si>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</si>
  <si>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</si>
  <si>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</si>
  <si>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</si>
  <si>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</si>
  <si>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</si>
  <si>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</si>
  <si>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</si>
  <si>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</si>
  <si>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</si>
  <si>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</si>
  <si>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</si>
  <si>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</si>
  <si>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</si>
  <si>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</si>
  <si>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</si>
  <si>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</si>
  <si>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</si>
  <si>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</si>
  <si>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</si>
  <si>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</si>
  <si>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</si>
  <si>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</si>
  <si>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</si>
  <si>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</si>
  <si>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</si>
  <si>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</si>
  <si>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</si>
  <si>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</si>
  <si>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</si>
  <si>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</si>
  <si>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</si>
  <si>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</si>
  <si>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</si>
  <si>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</si>
  <si>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</si>
  <si>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</si>
  <si>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</si>
  <si>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</si>
  <si>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</si>
  <si>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</si>
  <si>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</si>
  <si>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</si>
  <si>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</si>
  <si>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</si>
  <si>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</si>
  <si>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</si>
  <si>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</si>
  <si>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</si>
  <si>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</si>
  <si>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</si>
  <si>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</si>
  <si>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</si>
  <si>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</si>
  <si>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</si>
  <si>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</si>
  <si>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</si>
  <si>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</si>
  <si>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</si>
  <si>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</si>
  <si>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</si>
  <si>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</si>
  <si>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</si>
  <si>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</si>
  <si>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</si>
  <si>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</si>
  <si>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</si>
  <si>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</si>
  <si>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</si>
  <si>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</si>
  <si>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</si>
  <si>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</si>
  <si>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</si>
  <si>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</si>
  <si>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</si>
  <si>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</si>
  <si>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</si>
  <si>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</si>
  <si>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</si>
  <si>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</si>
  <si>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</si>
  <si>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</si>
  <si>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</si>
  <si>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</si>
  <si>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</si>
  <si>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</si>
  <si>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</si>
  <si>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</si>
  <si>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</si>
  <si>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</si>
  <si>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</si>
  <si>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</si>
  <si>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</si>
  <si>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</si>
  <si>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</si>
  <si>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</si>
  <si>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</si>
  <si>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</si>
  <si>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</si>
  <si>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</si>
  <si>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</si>
  <si>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</si>
  <si>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</si>
  <si>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</si>
  <si>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</si>
  <si>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</si>
  <si>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</si>
  <si>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</si>
  <si>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</si>
  <si>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</si>
  <si>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</si>
  <si>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</si>
  <si>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</si>
  <si>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</si>
  <si>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</si>
  <si>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</si>
  <si>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</si>
  <si>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</si>
  <si>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</si>
  <si>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</si>
  <si>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</si>
  <si>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</si>
  <si>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</si>
  <si>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</si>
  <si>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</si>
  <si>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</si>
  <si>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</si>
  <si>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</si>
  <si>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</si>
  <si>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</si>
  <si>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</si>
  <si>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</si>
  <si>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</si>
  <si>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</si>
  <si>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</si>
  <si>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</si>
  <si>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</si>
  <si>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</si>
  <si>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</si>
  <si>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</si>
  <si>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</si>
  <si>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</si>
  <si>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</si>
  <si>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</si>
  <si>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</si>
  <si>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</si>
  <si>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</si>
  <si>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</si>
  <si>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</si>
  <si>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</si>
  <si>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</si>
  <si>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</si>
  <si>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</si>
  <si>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</si>
  <si>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</si>
  <si>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</si>
  <si>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</si>
  <si>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</si>
  <si>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</si>
  <si>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</si>
  <si>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</si>
  <si>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</si>
  <si>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</si>
  <si>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</si>
  <si>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</si>
  <si>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</si>
  <si>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</si>
  <si>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</si>
  <si>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</si>
  <si>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</si>
  <si>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</si>
  <si>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</si>
  <si>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</si>
  <si>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</si>
  <si>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</si>
  <si>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</si>
  <si>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</si>
  <si>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</si>
  <si>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</si>
  <si>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</si>
  <si>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</si>
  <si>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</si>
  <si>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</si>
  <si>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</si>
  <si>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</si>
  <si>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</si>
  <si>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</si>
  <si>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</si>
  <si>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</si>
  <si>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</si>
  <si>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</si>
  <si>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</si>
  <si>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</si>
  <si>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</si>
  <si>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</si>
  <si>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</si>
  <si>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</si>
  <si>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</si>
  <si>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</si>
  <si>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</si>
  <si>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</si>
  <si>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</si>
  <si>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</si>
  <si>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</si>
  <si>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</si>
  <si>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</si>
  <si>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</si>
  <si>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</si>
  <si>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</si>
  <si>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</si>
  <si>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</si>
  <si>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</si>
  <si>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</si>
  <si>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</si>
  <si>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</si>
  <si>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</si>
  <si>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</si>
  <si>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</si>
  <si>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</si>
  <si>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</si>
  <si>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</si>
  <si>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</si>
  <si>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</si>
  <si>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</si>
  <si>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</si>
  <si>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</si>
  <si>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</si>
  <si>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</si>
  <si>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</si>
  <si>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</si>
  <si>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</si>
  <si>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</si>
  <si>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</si>
  <si>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</si>
  <si>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</si>
  <si>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</si>
  <si>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</si>
  <si>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</si>
  <si>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</si>
  <si>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</si>
  <si>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</si>
  <si>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</si>
  <si>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</si>
  <si>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</si>
  <si>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</si>
  <si>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</si>
  <si>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</si>
  <si>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</si>
  <si>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</si>
  <si>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</si>
  <si>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</si>
  <si>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</si>
  <si>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</si>
  <si>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</si>
  <si>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</si>
  <si>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</si>
  <si>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</si>
  <si>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</si>
  <si>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</si>
  <si>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</si>
  <si>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</si>
  <si>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</si>
  <si>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</si>
  <si>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</si>
  <si>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</si>
  <si>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</si>
  <si>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</si>
  <si>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</si>
  <si>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</si>
  <si>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</si>
  <si>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</si>
  <si>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</si>
  <si>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</si>
  <si>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</si>
  <si>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</si>
  <si>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</si>
  <si>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</si>
  <si>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</si>
  <si>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</si>
  <si>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</si>
  <si>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</si>
  <si>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</si>
  <si>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</si>
  <si>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</si>
  <si>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</si>
  <si>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</si>
  <si>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</si>
  <si>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</si>
  <si>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</si>
  <si>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</si>
  <si>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</si>
  <si>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</si>
  <si>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</si>
  <si>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</si>
  <si>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</si>
  <si>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</si>
  <si>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</si>
  <si>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</si>
  <si>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</si>
  <si>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</si>
  <si>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</si>
  <si>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</si>
  <si>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</si>
  <si>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</si>
  <si>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</si>
  <si>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</si>
  <si>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</si>
  <si>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</si>
  <si>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</si>
  <si>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</si>
  <si>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</si>
  <si>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</si>
  <si>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</si>
  <si>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</si>
  <si>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</si>
  <si>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</si>
  <si>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</si>
  <si>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</si>
  <si>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</si>
  <si>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</si>
  <si>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</si>
  <si>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</si>
  <si>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</si>
  <si>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</si>
  <si>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</si>
  <si>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</si>
  <si>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</si>
  <si>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</si>
  <si>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</si>
  <si>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</si>
  <si>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</si>
  <si>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</si>
  <si>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</si>
  <si>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</si>
  <si>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</si>
  <si>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</si>
  <si>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</si>
  <si>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</si>
  <si>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</si>
  <si>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</si>
  <si>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</si>
  <si>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</si>
  <si>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</si>
  <si>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</si>
  <si>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</si>
  <si>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</si>
  <si>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</si>
  <si>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</si>
  <si>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</si>
  <si>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</si>
  <si>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</si>
  <si>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</si>
  <si>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</si>
  <si>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</si>
  <si>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</si>
  <si>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</si>
  <si>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</si>
  <si>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</si>
  <si>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</si>
  <si>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</si>
  <si>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</si>
  <si>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</si>
  <si>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</si>
  <si>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</si>
  <si>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</si>
  <si>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</si>
  <si>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</si>
  <si>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</si>
  <si>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</si>
  <si>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</si>
  <si>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</si>
  <si>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</si>
  <si>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</si>
  <si>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</si>
  <si>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</si>
  <si>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</si>
  <si>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</si>
  <si>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</si>
  <si>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</si>
  <si>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</si>
  <si>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</si>
  <si>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</si>
  <si>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</si>
  <si>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</si>
  <si>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</si>
  <si>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</si>
  <si>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</si>
  <si>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</si>
  <si>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</si>
  <si>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</si>
  <si>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</si>
  <si>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</si>
  <si>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</si>
  <si>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</si>
  <si>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</si>
  <si>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</si>
  <si>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</si>
  <si>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</si>
  <si>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</si>
  <si>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</si>
  <si>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</si>
  <si>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</si>
  <si>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</si>
  <si>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</si>
  <si>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</si>
  <si>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</si>
  <si>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</si>
  <si>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</si>
  <si>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</si>
  <si>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</si>
  <si>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</si>
  <si>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</si>
  <si>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</si>
  <si>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</si>
  <si>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</si>
  <si>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</si>
  <si>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</si>
  <si>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</si>
  <si>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</si>
  <si>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</si>
  <si>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</si>
  <si>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</si>
  <si>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</si>
  <si>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</si>
  <si>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</si>
  <si>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</si>
  <si>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</si>
  <si>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</si>
  <si>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</si>
  <si>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</si>
  <si>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</si>
  <si>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</si>
  <si>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</si>
  <si>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</si>
  <si>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</si>
  <si>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</si>
  <si>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</si>
  <si>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</si>
  <si>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</si>
  <si>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</si>
  <si>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</si>
  <si>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</si>
  <si>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</si>
  <si>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</si>
  <si>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</si>
  <si>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</si>
  <si>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</si>
  <si>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</si>
  <si>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</si>
  <si>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</si>
  <si>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</si>
  <si>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</si>
  <si>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</si>
  <si>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</si>
  <si>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</si>
  <si>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</si>
  <si>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</si>
  <si>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</si>
  <si>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</si>
  <si>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</si>
  <si>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</si>
  <si>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</si>
  <si>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</si>
  <si>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</si>
  <si>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</si>
  <si>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</si>
  <si>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</si>
  <si>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</si>
  <si>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</si>
  <si>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</si>
  <si>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</si>
  <si>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</si>
  <si>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</si>
  <si>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</si>
  <si>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</si>
  <si>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</si>
  <si>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</si>
  <si>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</si>
  <si>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</si>
  <si>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</si>
  <si>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</si>
  <si>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</si>
  <si>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</si>
  <si>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</si>
  <si>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</si>
  <si>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</si>
  <si>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</si>
  <si>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</si>
  <si>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</si>
  <si>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</si>
  <si>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</si>
  <si>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</si>
  <si>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</si>
  <si>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</si>
  <si>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</si>
  <si>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</si>
  <si>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</si>
  <si>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</si>
  <si>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</si>
  <si>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</si>
  <si>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</si>
  <si>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</si>
  <si>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</si>
  <si>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</si>
  <si>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</si>
  <si>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</si>
  <si>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</si>
  <si>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</si>
  <si>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</si>
  <si>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</si>
  <si>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</si>
  <si>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</si>
  <si>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</si>
  <si>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</si>
  <si>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</si>
  <si>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</si>
  <si>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</si>
  <si>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</si>
  <si>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</si>
  <si>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</si>
  <si>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</si>
  <si>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</si>
  <si>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</si>
  <si>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</si>
  <si>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</si>
  <si>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</si>
  <si>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</si>
  <si>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</si>
  <si>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</si>
  <si>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</si>
  <si>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</si>
  <si>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</si>
  <si>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</si>
  <si>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</si>
  <si>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</si>
  <si>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</si>
  <si>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</si>
  <si>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</si>
  <si>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</si>
  <si>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</si>
  <si>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</si>
  <si>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</si>
  <si>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</si>
  <si>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</si>
  <si>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</si>
  <si>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</si>
  <si>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</si>
  <si>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</si>
  <si>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</si>
  <si>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</si>
  <si>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</si>
  <si>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</si>
  <si>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</si>
  <si>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</si>
  <si>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</si>
  <si>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</si>
  <si>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</si>
  <si>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</si>
  <si>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</si>
  <si>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</si>
  <si>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</si>
  <si>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</si>
  <si>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</si>
  <si>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</si>
  <si>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</si>
  <si>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</si>
  <si>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</si>
  <si>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</si>
  <si>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</si>
  <si>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</si>
  <si>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</si>
  <si>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</si>
  <si>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</si>
  <si>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</si>
  <si>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</si>
  <si>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</si>
  <si>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</si>
  <si>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</si>
  <si>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</si>
  <si>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</si>
  <si>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</si>
  <si>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</si>
  <si>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</si>
  <si>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</si>
  <si>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</si>
  <si>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</si>
  <si>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</si>
  <si>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</si>
  <si>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</si>
  <si>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</si>
  <si>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</si>
  <si>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</si>
  <si>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</si>
  <si>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</si>
  <si>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</si>
  <si>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</si>
  <si>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</si>
  <si>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</si>
  <si>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</si>
  <si>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</si>
  <si>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</si>
  <si>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</si>
  <si>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</si>
  <si>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</si>
  <si>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</si>
  <si>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</si>
  <si>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</si>
  <si>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</si>
  <si>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</si>
  <si>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</si>
  <si>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</si>
  <si>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</si>
  <si>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</si>
  <si>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</si>
  <si>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</si>
  <si>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</si>
  <si>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</si>
  <si>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</si>
  <si>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</si>
  <si>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</si>
  <si>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</si>
  <si>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</si>
  <si>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</si>
  <si>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</si>
  <si>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</si>
  <si>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</si>
  <si>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</si>
  <si>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</si>
  <si>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</si>
  <si>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</si>
  <si>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</si>
  <si>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</si>
  <si>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</si>
  <si>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</si>
  <si>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</si>
  <si>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</si>
  <si>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</si>
  <si>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</si>
  <si>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</si>
  <si>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</si>
  <si>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</si>
  <si>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</si>
  <si>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</si>
  <si>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</si>
  <si>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</si>
  <si>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</si>
  <si>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</si>
  <si>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</si>
  <si>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</si>
  <si>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</si>
  <si>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</si>
  <si>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</si>
  <si>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</si>
  <si>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</si>
  <si>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</si>
  <si>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</si>
  <si>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</si>
  <si>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</si>
  <si>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</si>
  <si>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</si>
  <si>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</si>
  <si>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</si>
  <si>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</si>
  <si>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</si>
  <si>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</si>
  <si>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</si>
  <si>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</si>
  <si>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</si>
  <si>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</si>
  <si>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</si>
  <si>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</si>
  <si>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</si>
  <si>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</si>
  <si>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</si>
  <si>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</si>
  <si>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</si>
  <si>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</si>
  <si>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</si>
  <si>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</si>
  <si>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</si>
  <si>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</si>
  <si>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</si>
  <si>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</si>
  <si>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</si>
  <si>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</si>
  <si>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</si>
  <si>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</si>
  <si>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</si>
  <si>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</si>
  <si>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</si>
  <si>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</si>
  <si>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</si>
  <si>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</si>
  <si>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</si>
  <si>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</si>
  <si>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</si>
  <si>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</si>
  <si>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</si>
  <si>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</si>
  <si>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</si>
  <si>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</si>
  <si>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</si>
  <si>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</si>
  <si>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</si>
  <si>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</si>
  <si>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</si>
  <si>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</si>
  <si>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</si>
  <si>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</si>
  <si>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</si>
  <si>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</si>
  <si>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</si>
  <si>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</si>
  <si>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</si>
  <si>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</si>
  <si>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</si>
  <si>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</si>
  <si>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</si>
  <si>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</si>
  <si>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</si>
  <si>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</si>
  <si>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</si>
  <si>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</si>
  <si>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</si>
  <si>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</si>
  <si>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</si>
  <si>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</si>
  <si>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</si>
  <si>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</si>
  <si>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</si>
  <si>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</si>
  <si>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</si>
  <si>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</si>
  <si>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</si>
  <si>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</si>
  <si>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</si>
  <si>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</si>
  <si>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</si>
  <si>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</si>
  <si>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</si>
  <si>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</si>
  <si>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</si>
  <si>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</si>
  <si>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</si>
  <si>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</si>
  <si>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</si>
  <si>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</si>
  <si>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</si>
  <si>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</si>
  <si>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</si>
  <si>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</si>
  <si>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</si>
  <si>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</si>
  <si>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</si>
  <si>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</si>
  <si>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</si>
  <si>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</si>
  <si>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</si>
  <si>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</si>
  <si>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</si>
  <si>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</si>
  <si>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</si>
  <si>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</si>
  <si>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</si>
  <si>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</si>
  <si>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</si>
  <si>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</si>
  <si>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</si>
  <si>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</si>
  <si>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</si>
  <si>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</si>
  <si>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</si>
  <si>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</si>
  <si>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</si>
  <si>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</si>
  <si>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</si>
  <si>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</si>
  <si>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</si>
  <si>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</si>
  <si>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</si>
  <si>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</si>
  <si>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</si>
  <si>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</si>
  <si>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</si>
  <si>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</si>
  <si>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</si>
  <si>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</si>
  <si>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</si>
  <si>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</si>
  <si>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</si>
  <si>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</si>
  <si>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</si>
  <si>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</si>
  <si>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</si>
  <si>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</si>
  <si>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</si>
  <si>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</si>
  <si>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</si>
  <si>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</si>
  <si>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</si>
  <si>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</si>
  <si>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</si>
  <si>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</si>
  <si>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</si>
  <si>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</si>
  <si>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</si>
  <si>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</si>
  <si>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</si>
  <si>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</si>
  <si>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</si>
  <si>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</si>
  <si>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</si>
  <si>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</si>
  <si>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</si>
  <si>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</si>
  <si>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</si>
  <si>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</si>
  <si>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</si>
  <si>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</si>
  <si>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</si>
  <si>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</si>
  <si>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</si>
  <si>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</si>
  <si>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</si>
  <si>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</si>
  <si>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</si>
  <si>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</si>
  <si>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</si>
  <si>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</si>
  <si>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</si>
  <si>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</si>
  <si>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</si>
  <si>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</si>
  <si>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</si>
  <si>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</si>
  <si>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</si>
  <si>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</si>
  <si>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</si>
  <si>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</si>
  <si>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</si>
  <si>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</si>
  <si>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</si>
  <si>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</si>
  <si>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</si>
  <si>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</si>
  <si>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</si>
  <si>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</si>
  <si>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</si>
  <si>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</si>
  <si>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</si>
  <si>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</si>
  <si>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</si>
  <si>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</si>
  <si>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</si>
  <si>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</si>
  <si>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</si>
  <si>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</si>
  <si>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</si>
  <si>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</si>
  <si>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</si>
  <si>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</si>
  <si>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</si>
  <si>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</si>
  <si>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</si>
  <si>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</si>
  <si>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</si>
  <si>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</si>
  <si>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</si>
  <si>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</si>
  <si>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</si>
  <si>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</si>
  <si>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</si>
  <si>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</si>
  <si>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</si>
  <si>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</si>
  <si>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</si>
  <si>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</si>
  <si>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</si>
  <si>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</si>
  <si>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</si>
  <si>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</si>
  <si>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</si>
  <si>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</si>
  <si>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</si>
  <si>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</si>
  <si>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</si>
  <si>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</si>
  <si>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</si>
  <si>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</si>
  <si>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</si>
  <si>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</si>
  <si>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</si>
  <si>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</si>
  <si>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</si>
  <si>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</si>
  <si>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</si>
  <si>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</si>
  <si>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</si>
  <si>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</si>
  <si>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</si>
  <si>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</si>
  <si>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</si>
  <si>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</si>
  <si>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</si>
  <si>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</si>
  <si>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</si>
  <si>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</si>
  <si>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</si>
  <si>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</si>
  <si>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</si>
  <si>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</si>
  <si>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</si>
  <si>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</si>
  <si>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</si>
  <si>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</si>
  <si>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</si>
  <si>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</si>
  <si>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</si>
  <si>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</si>
  <si>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</si>
  <si>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</si>
  <si>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</si>
  <si>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</si>
  <si>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</si>
  <si>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</si>
  <si>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</si>
  <si>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</si>
  <si>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</si>
  <si>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</si>
  <si>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</si>
  <si>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</si>
  <si>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</si>
  <si>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</si>
  <si>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</si>
  <si>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</si>
  <si>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</si>
  <si>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</si>
  <si>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</si>
  <si>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</si>
  <si>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</si>
  <si>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</si>
  <si>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</si>
  <si>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</si>
  <si>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</si>
  <si>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</si>
  <si>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</si>
  <si>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</si>
  <si>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</si>
  <si>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</si>
  <si>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</si>
  <si>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</si>
  <si>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</si>
  <si>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</si>
  <si>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</si>
  <si>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</si>
  <si>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</si>
  <si>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</si>
  <si>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</si>
  <si>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</si>
  <si>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</si>
  <si>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</si>
  <si>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</si>
  <si>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</si>
  <si>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</si>
  <si>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</si>
  <si>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</si>
  <si>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</si>
  <si>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</si>
  <si>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</si>
  <si>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</si>
  <si>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</si>
  <si>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</si>
  <si>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</si>
  <si>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</si>
  <si>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</si>
  <si>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</si>
  <si>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</si>
  <si>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</si>
  <si>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</si>
  <si>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</si>
  <si>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</si>
  <si>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</si>
  <si>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</si>
  <si>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</si>
  <si>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</si>
  <si>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</si>
  <si>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</si>
  <si>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</si>
  <si>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</si>
  <si>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</si>
  <si>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</si>
  <si>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</si>
  <si>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</si>
  <si>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</si>
  <si>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</si>
  <si>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</si>
  <si>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</si>
  <si>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</si>
  <si>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</si>
  <si>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</si>
  <si>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</si>
  <si>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</si>
  <si>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</si>
  <si>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</si>
  <si>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</si>
  <si>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</si>
  <si>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</si>
  <si>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</si>
  <si>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</si>
  <si>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</si>
  <si>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</si>
  <si>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</si>
  <si>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</si>
  <si>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</si>
  <si>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</si>
  <si>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</si>
  <si>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</si>
  <si>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</si>
  <si>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</si>
  <si>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</si>
  <si>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</si>
  <si>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</si>
  <si>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</si>
  <si>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</si>
  <si>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</si>
  <si>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</si>
  <si>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</si>
  <si>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</si>
  <si>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</si>
  <si>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</si>
  <si>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</si>
  <si>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</si>
  <si>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</si>
  <si>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</si>
  <si>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</si>
  <si>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</si>
  <si>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</si>
  <si>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</si>
  <si>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</si>
  <si>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</si>
  <si>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</si>
  <si>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</si>
  <si>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</si>
  <si>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</si>
  <si>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</si>
  <si>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</si>
  <si>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</si>
  <si>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</si>
  <si>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</si>
  <si>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</si>
  <si>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</si>
  <si>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</si>
  <si>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</si>
  <si>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</si>
  <si>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</si>
  <si>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</si>
  <si>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</si>
  <si>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</si>
  <si>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</si>
  <si>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</si>
  <si>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</si>
  <si>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</si>
  <si>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</si>
  <si>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</si>
  <si>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</si>
  <si>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</si>
  <si>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</si>
  <si>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</si>
  <si>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</si>
  <si>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</si>
  <si>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</si>
  <si>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</si>
  <si>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</si>
  <si>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</si>
  <si>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</si>
  <si>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</si>
  <si>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</si>
  <si>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</si>
  <si>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</si>
  <si>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</si>
  <si>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</si>
  <si>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</si>
  <si>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</si>
  <si>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</si>
  <si>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</si>
  <si>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</si>
  <si>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</si>
  <si>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</si>
  <si>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</si>
  <si>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</si>
  <si>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</si>
  <si>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</si>
  <si>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</si>
  <si>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</si>
  <si>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</si>
  <si>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</si>
  <si>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</si>
  <si>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</si>
  <si>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</si>
  <si>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</si>
  <si>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</si>
  <si>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</si>
  <si>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</si>
  <si>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</si>
  <si>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</si>
  <si>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</si>
  <si>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</si>
  <si>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</si>
  <si>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</si>
  <si>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</si>
  <si>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</si>
  <si>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</si>
  <si>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</si>
  <si>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</si>
  <si>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</si>
  <si>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</si>
  <si>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</si>
  <si>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</si>
  <si>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</si>
  <si>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</si>
  <si>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</si>
  <si>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</si>
  <si>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</si>
  <si>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</si>
  <si>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</si>
  <si>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</si>
  <si>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</si>
  <si>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</si>
  <si>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</si>
  <si>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</si>
  <si>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</si>
  <si>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</si>
  <si>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</si>
  <si>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</si>
  <si>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</si>
  <si>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</si>
  <si>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</si>
  <si>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</si>
  <si>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</si>
  <si>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</si>
  <si>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</si>
  <si>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</si>
  <si>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</si>
  <si>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</si>
  <si>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</si>
  <si>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</si>
  <si>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</si>
  <si>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</si>
  <si>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</si>
  <si>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</si>
  <si>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</si>
  <si>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</si>
  <si>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</si>
  <si>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</si>
  <si>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</si>
  <si>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</si>
  <si>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</si>
  <si>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</si>
  <si>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</si>
  <si>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</si>
  <si>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</si>
  <si>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</si>
  <si>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</si>
  <si>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</si>
  <si>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</si>
  <si>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</si>
  <si>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</si>
  <si>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</si>
  <si>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</si>
  <si>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</si>
  <si>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</si>
  <si>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</si>
  <si>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</si>
  <si>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</si>
  <si>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</si>
  <si>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</si>
  <si>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</si>
  <si>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</si>
  <si>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</si>
  <si>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</si>
  <si>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</si>
  <si>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</si>
  <si>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</si>
  <si>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</si>
  <si>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</si>
  <si>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</si>
  <si>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</si>
  <si>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</si>
  <si>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</si>
  <si>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</si>
  <si>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</si>
  <si>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</si>
  <si>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</si>
  <si>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</si>
  <si>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</si>
  <si>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</si>
  <si>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</si>
  <si>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</si>
  <si>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</si>
  <si>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</si>
  <si>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</si>
  <si>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</si>
  <si>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</si>
  <si>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</si>
  <si>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</si>
  <si>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</si>
  <si>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</si>
  <si>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</si>
  <si>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</si>
  <si>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</si>
  <si>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</si>
  <si>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</si>
  <si>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</si>
  <si>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</si>
  <si>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</si>
  <si>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</si>
  <si>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</si>
  <si>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</si>
  <si>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</si>
  <si>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</si>
  <si>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</si>
  <si>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</si>
  <si>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</si>
  <si>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</si>
  <si>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</si>
  <si>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</si>
  <si>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</si>
  <si>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</si>
  <si>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</si>
  <si>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</si>
  <si>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</si>
  <si>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</si>
  <si>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</si>
  <si>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</si>
  <si>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</si>
  <si>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</si>
  <si>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</si>
  <si>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</si>
  <si>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</si>
  <si>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</si>
  <si>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</si>
  <si>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</si>
  <si>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</si>
  <si>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</si>
  <si>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</si>
  <si>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</si>
  <si>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</si>
  <si>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</si>
  <si>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</si>
  <si>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</si>
  <si>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</si>
  <si>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</si>
  <si>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</si>
  <si>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</si>
  <si>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</si>
  <si>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</si>
  <si>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</si>
  <si>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</si>
  <si>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</si>
  <si>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</si>
  <si>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</si>
  <si>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</si>
  <si>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</si>
  <si>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</si>
  <si>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</si>
  <si>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</si>
  <si>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</si>
  <si>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</si>
  <si>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</si>
  <si>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</si>
  <si>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</si>
  <si>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</si>
  <si>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</si>
  <si>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</si>
  <si>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</si>
  <si>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</si>
  <si>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</si>
  <si>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</si>
  <si>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</si>
  <si>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</si>
  <si>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</si>
  <si>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</si>
  <si>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</si>
  <si>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</si>
  <si>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</si>
  <si>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</si>
  <si>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</si>
  <si>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</si>
  <si>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</si>
  <si>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</si>
  <si>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</si>
  <si>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</si>
  <si>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</si>
  <si>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</si>
  <si>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</si>
  <si>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</si>
  <si>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</si>
  <si>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</si>
  <si>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</si>
  <si>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</si>
  <si>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</si>
  <si>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</si>
  <si>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</si>
  <si>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</si>
  <si>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</si>
  <si>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</si>
  <si>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</si>
  <si>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</si>
  <si>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</si>
  <si>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</si>
  <si>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</si>
  <si>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</si>
  <si>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</si>
  <si>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</si>
  <si>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</si>
  <si>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</si>
  <si>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</si>
  <si>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</si>
  <si>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</si>
  <si>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</si>
  <si>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</si>
  <si>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</si>
  <si>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</si>
  <si>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</si>
  <si>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</si>
  <si>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</si>
  <si>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</si>
  <si>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</si>
  <si>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</si>
  <si>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</si>
  <si>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</si>
  <si>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</si>
  <si>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</si>
  <si>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</si>
  <si>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</si>
  <si>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</si>
  <si>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</si>
  <si>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</si>
  <si>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</si>
  <si>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</si>
  <si>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</si>
  <si>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</si>
  <si>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</si>
  <si>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</si>
  <si>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</si>
  <si>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</si>
  <si>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</si>
  <si>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</si>
  <si>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</si>
  <si>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</si>
  <si>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</si>
  <si>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</si>
  <si>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</si>
  <si>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</si>
  <si>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</si>
  <si>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</si>
  <si>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</si>
  <si>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</si>
  <si>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</si>
  <si>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</si>
  <si>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</si>
  <si>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</si>
  <si>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</si>
  <si>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</si>
  <si>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</si>
  <si>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</si>
  <si>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</si>
  <si>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</si>
  <si>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</si>
  <si>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</si>
  <si>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</si>
  <si>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</si>
  <si>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</si>
  <si>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</si>
  <si>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</si>
  <si>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</si>
  <si>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</si>
  <si>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</si>
  <si>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</si>
  <si>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</si>
  <si>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</si>
  <si>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</si>
  <si>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</si>
  <si>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</si>
  <si>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</si>
  <si>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</si>
  <si>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</si>
  <si>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</si>
  <si>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</si>
  <si>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</si>
  <si>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</si>
  <si>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</si>
  <si>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</si>
  <si>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</si>
  <si>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</si>
  <si>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</si>
  <si>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</si>
  <si>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</si>
  <si>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</si>
  <si>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</si>
  <si>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</si>
  <si>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</si>
  <si>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</si>
  <si>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</si>
  <si>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</si>
  <si>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</si>
  <si>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</si>
  <si>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</si>
  <si>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</si>
  <si>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</si>
  <si>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</si>
  <si>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</si>
  <si>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</si>
  <si>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</si>
  <si>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</si>
  <si>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</si>
  <si>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</si>
  <si>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</si>
  <si>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</si>
  <si>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</si>
  <si>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</si>
  <si>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</si>
  <si>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</si>
  <si>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</si>
  <si>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</si>
  <si>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</si>
  <si>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</si>
  <si>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</si>
  <si>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</si>
  <si>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</si>
  <si>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</si>
  <si>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</si>
  <si>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</si>
  <si>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</si>
  <si>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</si>
  <si>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</si>
  <si>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</si>
  <si>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</si>
  <si>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</si>
  <si>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</si>
  <si>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</si>
  <si>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</si>
  <si>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</si>
  <si>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</si>
  <si>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</si>
  <si>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</si>
  <si>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</si>
  <si>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</si>
  <si>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</si>
  <si>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</si>
  <si>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</si>
  <si>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</si>
  <si>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</si>
  <si>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</si>
  <si>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</si>
  <si>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</si>
  <si>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</si>
  <si>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</si>
  <si>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</si>
  <si>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</si>
  <si>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</si>
  <si>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</si>
  <si>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</si>
  <si>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</si>
  <si>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</si>
  <si>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</si>
  <si>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</si>
  <si>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</si>
  <si>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</si>
  <si>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</si>
  <si>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</si>
  <si>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</si>
  <si>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</si>
  <si>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</si>
  <si>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</si>
  <si>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</si>
  <si>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</si>
  <si>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</si>
  <si>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</si>
  <si>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</si>
  <si>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</si>
  <si>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</si>
  <si>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</si>
  <si>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</si>
  <si>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</si>
  <si>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</si>
  <si>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</si>
  <si>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</si>
  <si>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</si>
  <si>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</si>
  <si>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</si>
  <si>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</si>
  <si>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</si>
  <si>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</si>
  <si>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</si>
  <si>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</si>
  <si>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</si>
  <si>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</si>
  <si>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</si>
  <si>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</si>
  <si>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</si>
  <si>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</si>
  <si>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</si>
  <si>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</si>
  <si>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</si>
  <si>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</si>
  <si>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</si>
  <si>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</si>
  <si>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</si>
  <si>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</si>
  <si>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</si>
  <si>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</si>
  <si>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</si>
  <si>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</si>
  <si>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</si>
  <si>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</si>
  <si>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</si>
  <si>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</si>
  <si>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</si>
  <si>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</si>
  <si>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</si>
  <si>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</si>
  <si>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</si>
  <si>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</si>
  <si>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</si>
  <si>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</si>
  <si>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</si>
  <si>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</si>
  <si>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</si>
  <si>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</si>
  <si>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</si>
  <si>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</si>
  <si>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</si>
  <si>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</si>
  <si>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</si>
  <si>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</si>
  <si>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</si>
  <si>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</si>
  <si>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</si>
  <si>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</si>
  <si>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</si>
  <si>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</si>
  <si>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</si>
  <si>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</si>
  <si>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</si>
  <si>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</si>
  <si>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</si>
  <si>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</si>
  <si>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</si>
  <si>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</si>
  <si>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</si>
  <si>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</si>
  <si>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</si>
  <si>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</si>
  <si>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</si>
  <si>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</si>
  <si>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</si>
  <si>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</si>
  <si>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</si>
  <si>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</si>
  <si>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</si>
  <si>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</si>
  <si>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</si>
  <si>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</si>
  <si>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</si>
  <si>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</si>
  <si>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</si>
  <si>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</si>
  <si>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</si>
  <si>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</si>
  <si>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</si>
  <si>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</si>
  <si>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</si>
  <si>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</si>
  <si>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</si>
  <si>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</si>
  <si>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</si>
  <si>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</si>
  <si>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</si>
  <si>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</si>
  <si>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</si>
  <si>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</si>
  <si>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</si>
  <si>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</si>
  <si>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</si>
  <si>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</si>
  <si>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</si>
  <si>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</si>
  <si>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</si>
  <si>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</si>
  <si>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</si>
  <si>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</si>
  <si>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</si>
  <si>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</si>
  <si>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</si>
  <si>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</si>
  <si>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</si>
  <si>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</si>
  <si>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</si>
  <si>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</si>
  <si>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</si>
  <si>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</si>
  <si>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</si>
  <si>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</si>
  <si>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</si>
  <si>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</si>
  <si>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</si>
  <si>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</si>
  <si>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</si>
  <si>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</si>
  <si>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</si>
  <si>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</si>
  <si>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</si>
  <si>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</si>
  <si>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</si>
  <si>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</si>
  <si>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</si>
  <si>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</si>
  <si>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</si>
  <si>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</si>
  <si>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</si>
  <si>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</si>
  <si>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</si>
  <si>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</si>
  <si>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</si>
  <si>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</si>
  <si>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</si>
  <si>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</si>
  <si>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</si>
  <si>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</si>
  <si>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</si>
  <si>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</si>
  <si>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</si>
  <si>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</si>
  <si>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</si>
  <si>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</si>
  <si>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</si>
  <si>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</si>
  <si>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</si>
  <si>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</si>
  <si>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</si>
  <si>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</si>
  <si>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</si>
  <si>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</si>
  <si>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</si>
  <si>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</si>
  <si>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</si>
  <si>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</si>
  <si>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</si>
  <si>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</si>
  <si>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</si>
  <si>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</si>
  <si>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</si>
  <si>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</si>
  <si>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</si>
  <si>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</si>
  <si>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</si>
  <si>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</si>
  <si>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</si>
  <si>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</si>
  <si>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</si>
  <si>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</si>
  <si>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</si>
  <si>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</si>
  <si>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</si>
  <si>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</si>
  <si>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</si>
  <si>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</si>
  <si>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</si>
  <si>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</si>
  <si>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</si>
  <si>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</si>
  <si>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</si>
  <si>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</si>
  <si>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</si>
  <si>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</si>
  <si>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</si>
  <si>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</si>
  <si>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</si>
  <si>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</si>
  <si>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</si>
  <si>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</si>
  <si>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</si>
  <si>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</si>
  <si>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</si>
  <si>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</si>
  <si>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</si>
  <si>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</si>
  <si>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</si>
  <si>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</si>
  <si>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</si>
  <si>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</si>
  <si>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</si>
  <si>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</si>
  <si>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</si>
  <si>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</si>
  <si>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</si>
  <si>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</si>
  <si>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</si>
  <si>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</si>
  <si>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</si>
  <si>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</si>
  <si>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</si>
  <si>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</si>
  <si>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</si>
  <si>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</si>
  <si>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</si>
  <si>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</si>
  <si>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</si>
  <si>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</si>
  <si>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</si>
  <si>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</si>
  <si>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</si>
  <si>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</si>
  <si>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</si>
  <si>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</si>
  <si>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</si>
  <si>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</si>
  <si>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</si>
  <si>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</si>
  <si>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</si>
  <si>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</si>
  <si>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</si>
  <si>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</si>
  <si>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</si>
  <si>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</si>
  <si>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</si>
  <si>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</si>
  <si>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</si>
  <si>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</si>
  <si>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</si>
  <si>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</si>
  <si>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</si>
  <si>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</si>
  <si>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</si>
  <si>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</si>
  <si>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</si>
  <si>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</si>
  <si>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</si>
  <si>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</si>
  <si>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</si>
  <si>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</si>
  <si>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</si>
  <si>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</si>
  <si>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</si>
  <si>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</si>
  <si>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</si>
  <si>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</si>
  <si>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</si>
  <si>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</si>
  <si>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</si>
  <si>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</si>
  <si>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</si>
  <si>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</si>
  <si>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</si>
  <si>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</si>
  <si>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</si>
  <si>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</si>
  <si>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</si>
  <si>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</si>
  <si>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</si>
  <si>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</si>
  <si>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</si>
  <si>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</si>
  <si>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</si>
  <si>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</si>
  <si>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</si>
  <si>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</si>
  <si>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</si>
  <si>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</si>
  <si>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</si>
  <si>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</si>
  <si>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</si>
  <si>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</si>
  <si>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</si>
  <si>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</si>
  <si>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</si>
  <si>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</si>
  <si>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</si>
  <si>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</si>
  <si>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</si>
  <si>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</si>
  <si>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</si>
  <si>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</si>
  <si>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</si>
  <si>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</si>
  <si>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</si>
  <si>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</si>
  <si>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</si>
  <si>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</si>
  <si>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</si>
  <si>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</si>
  <si>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</si>
  <si>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</si>
  <si>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</si>
  <si>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</si>
  <si>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</si>
  <si>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</si>
  <si>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</si>
  <si>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</si>
  <si>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</si>
  <si>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</si>
  <si>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</si>
  <si>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</si>
  <si>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</si>
  <si>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</si>
  <si>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</si>
  <si>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</si>
  <si>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</si>
  <si>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</si>
  <si>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</si>
  <si>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</si>
  <si>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</si>
  <si>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</si>
  <si>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</si>
  <si>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</si>
  <si>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</si>
  <si>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</si>
  <si>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</si>
  <si>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</si>
  <si>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</si>
  <si>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</si>
  <si>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</si>
  <si>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</si>
  <si>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</si>
  <si>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</si>
  <si>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</si>
  <si>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</si>
  <si>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</si>
  <si>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</si>
  <si>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</si>
  <si>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</si>
  <si>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</si>
  <si>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</si>
  <si>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</si>
  <si>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</si>
  <si>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</si>
  <si>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</si>
  <si>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</si>
  <si>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</si>
  <si>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</si>
  <si>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</si>
  <si>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</si>
  <si>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</si>
  <si>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</si>
  <si>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</si>
  <si>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</si>
  <si>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</si>
  <si>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</si>
  <si>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</si>
  <si>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</si>
  <si>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</si>
  <si>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</si>
  <si>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</si>
  <si>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</si>
  <si>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</si>
  <si>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</si>
  <si>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</si>
  <si>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</si>
  <si>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</si>
  <si>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</si>
  <si>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</si>
  <si>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</si>
  <si>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</si>
  <si>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</si>
  <si>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</si>
  <si>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</si>
  <si>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</si>
  <si>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</si>
  <si>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</si>
  <si>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</si>
  <si>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</si>
  <si>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</si>
  <si>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</si>
  <si>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</si>
  <si>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</si>
  <si>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</si>
  <si>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</si>
  <si>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</si>
  <si>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</si>
  <si>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</si>
  <si>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</si>
  <si>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</si>
  <si>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</si>
  <si>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</si>
  <si>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</si>
  <si>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</si>
  <si>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</si>
  <si>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</si>
  <si>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</si>
  <si>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</si>
  <si>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</si>
  <si>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</si>
  <si>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</si>
  <si>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</si>
  <si>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</si>
  <si>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</si>
  <si>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</si>
  <si>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</si>
  <si>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</si>
  <si>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</si>
  <si>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</si>
  <si>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</si>
  <si>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</si>
  <si>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</si>
  <si>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</si>
  <si>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</si>
  <si>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</si>
  <si>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</si>
  <si>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</si>
  <si>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</si>
  <si>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</si>
  <si>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</si>
  <si>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</si>
  <si>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</si>
  <si>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</si>
  <si>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</si>
  <si>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</si>
  <si>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</si>
  <si>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</si>
  <si>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</si>
  <si>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</si>
  <si>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</si>
  <si>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</si>
  <si>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</si>
  <si>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</si>
  <si>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</si>
  <si>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</si>
  <si>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</si>
  <si>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</si>
  <si>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</si>
  <si>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</si>
  <si>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</si>
  <si>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</si>
  <si>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</si>
  <si>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</si>
  <si>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</si>
  <si>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</si>
  <si>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</si>
  <si>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</si>
  <si>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</si>
  <si>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</si>
  <si>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</si>
  <si>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</si>
  <si>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</si>
  <si>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</si>
  <si>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</si>
  <si>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</si>
  <si>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</si>
  <si>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</si>
  <si>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</si>
  <si>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</si>
  <si>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</si>
  <si>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</si>
  <si>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</si>
  <si>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</si>
  <si>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</si>
  <si>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</si>
  <si>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</si>
  <si>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</si>
  <si>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</si>
  <si>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</si>
  <si>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</si>
  <si>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</si>
  <si>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</si>
  <si>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</si>
  <si>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</si>
  <si>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</si>
  <si>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</si>
  <si>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</si>
  <si>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</si>
  <si>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</si>
  <si>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</si>
  <si>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</si>
  <si>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</si>
  <si>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</si>
  <si>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</si>
  <si>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</si>
  <si>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</si>
  <si>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</si>
  <si>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</si>
  <si>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</si>
  <si>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</si>
  <si>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</si>
  <si>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</si>
  <si>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</si>
  <si>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</si>
  <si>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</si>
  <si>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</si>
  <si>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</si>
  <si>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</si>
  <si>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</si>
  <si>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</si>
  <si>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</si>
  <si>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</si>
  <si>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</si>
  <si>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</si>
  <si>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</si>
  <si>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</si>
  <si>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</si>
  <si>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</si>
  <si>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</si>
  <si>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</si>
  <si>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</si>
  <si>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</si>
  <si>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</si>
  <si>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</si>
  <si>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</si>
  <si>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</si>
  <si>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</si>
  <si>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</si>
  <si>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</si>
  <si>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</si>
  <si>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</si>
  <si>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</si>
  <si>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</si>
  <si>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</si>
  <si>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</si>
  <si>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</si>
  <si>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</si>
  <si>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</si>
  <si>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</si>
  <si>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</si>
  <si>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</si>
  <si>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</si>
  <si>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</si>
  <si>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</si>
  <si>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</si>
  <si>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</si>
  <si>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</si>
  <si>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</si>
  <si>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</si>
  <si>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</si>
  <si>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</si>
  <si>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</si>
  <si>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</si>
  <si>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</si>
  <si>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</si>
  <si>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</si>
  <si>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</si>
  <si>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</si>
  <si>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</si>
  <si>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</si>
  <si>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</si>
  <si>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</si>
  <si>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</si>
  <si>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</si>
  <si>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</si>
  <si>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</si>
  <si>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</si>
  <si>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</si>
  <si>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</si>
  <si>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</si>
  <si>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</si>
  <si>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</si>
  <si>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</si>
  <si>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</si>
  <si>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</si>
  <si>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</si>
  <si>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</si>
  <si>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</si>
  <si>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</si>
  <si>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</si>
  <si>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</si>
  <si>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</si>
  <si>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</si>
  <si>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</si>
  <si>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</si>
  <si>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</si>
  <si>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</si>
  <si>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</si>
  <si>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</si>
  <si>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</si>
  <si>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</si>
  <si>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</si>
  <si>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</si>
  <si>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</si>
  <si>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</si>
  <si>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</si>
  <si>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</si>
  <si>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</si>
  <si>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</si>
  <si>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</si>
  <si>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</si>
  <si>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</si>
  <si>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</si>
  <si>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</si>
  <si>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</si>
  <si>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</si>
  <si>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</si>
  <si>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</si>
  <si>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</si>
  <si>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</si>
  <si>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</si>
  <si>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</si>
  <si>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</si>
  <si>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</si>
  <si>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</si>
  <si>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</si>
  <si>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</si>
  <si>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</si>
  <si>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</si>
  <si>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</si>
  <si>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</si>
  <si>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</si>
  <si>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</si>
  <si>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</si>
  <si>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</si>
  <si>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</si>
  <si>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</si>
  <si>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</si>
  <si>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</si>
  <si>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</si>
  <si>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</si>
  <si>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</si>
  <si>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</si>
  <si>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</si>
  <si>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</si>
  <si>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</si>
  <si>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</si>
  <si>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</si>
  <si>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</si>
  <si>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</si>
  <si>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</si>
  <si>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</si>
  <si>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</si>
  <si>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</si>
  <si>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</si>
  <si>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</si>
  <si>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</si>
  <si>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</si>
  <si>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</si>
  <si>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</si>
  <si>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</si>
  <si>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</si>
  <si>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</si>
  <si>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</si>
  <si>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</si>
  <si>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</si>
  <si>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</si>
  <si>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</si>
  <si>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</si>
  <si>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</si>
  <si>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</si>
  <si>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</si>
  <si>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</si>
  <si>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</si>
  <si>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</si>
  <si>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</si>
  <si>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</si>
  <si>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</si>
  <si>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</si>
  <si>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</si>
  <si>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</si>
  <si>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</si>
  <si>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</si>
  <si>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</si>
  <si>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</si>
  <si>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</si>
  <si>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</si>
  <si>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</si>
  <si>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</si>
  <si>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</si>
  <si>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</si>
  <si>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</si>
  <si>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</si>
  <si>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</si>
  <si>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</si>
  <si>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</si>
  <si>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</si>
  <si>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</si>
  <si>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</si>
  <si>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</si>
  <si>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</si>
  <si>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</si>
  <si>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</si>
  <si>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</si>
  <si>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</si>
  <si>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</si>
  <si>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</si>
  <si>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</si>
  <si>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</si>
  <si>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</si>
  <si>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</si>
  <si>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</si>
  <si>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</si>
  <si>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</si>
  <si>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</si>
  <si>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</si>
  <si>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</si>
  <si>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</si>
  <si>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</si>
  <si>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</si>
  <si>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</si>
  <si>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</si>
  <si>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</si>
  <si>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</si>
  <si>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</si>
  <si>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</si>
  <si>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</si>
  <si>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</si>
  <si>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</si>
  <si>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</si>
  <si>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</si>
  <si>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</si>
  <si>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</si>
  <si>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</si>
  <si>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</si>
  <si>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</si>
  <si>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</si>
  <si>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</si>
  <si>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</si>
  <si>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</si>
  <si>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</si>
  <si>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</si>
  <si>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</si>
  <si>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</si>
  <si>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</si>
  <si>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</si>
  <si>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</si>
  <si>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</si>
  <si>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</si>
  <si>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</si>
  <si>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</si>
  <si>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</si>
  <si>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</si>
  <si>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</si>
  <si>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</si>
  <si>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</si>
  <si>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</si>
  <si>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</si>
  <si>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</si>
  <si>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</si>
  <si>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</si>
  <si>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</si>
  <si>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</si>
  <si>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</si>
  <si>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</si>
  <si>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</si>
  <si>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</si>
  <si>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</si>
  <si>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</si>
  <si>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</si>
  <si>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</si>
  <si>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</si>
  <si>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</si>
  <si>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</si>
  <si>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</si>
  <si>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</si>
  <si>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</si>
  <si>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</si>
  <si>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</si>
  <si>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</si>
  <si>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</si>
  <si>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</si>
  <si>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</si>
  <si>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</si>
  <si>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</si>
  <si>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</si>
  <si>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</si>
  <si>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</si>
  <si>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</si>
  <si>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</si>
  <si>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</si>
  <si>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</si>
  <si>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</si>
  <si>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</si>
  <si>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</si>
  <si>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</si>
  <si>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</si>
  <si>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</si>
  <si>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</si>
  <si>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</si>
  <si>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</si>
  <si>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</si>
  <si>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</si>
  <si>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</si>
  <si>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</si>
  <si>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</si>
  <si>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</si>
  <si>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</si>
  <si>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</si>
  <si>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</si>
  <si>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</si>
  <si>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</si>
  <si>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</si>
  <si>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</si>
  <si>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</si>
  <si>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</si>
  <si>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</si>
  <si>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</si>
  <si>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</si>
  <si>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</si>
  <si>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</si>
  <si>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</si>
  <si>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</si>
  <si>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</si>
  <si>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</si>
  <si>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</si>
  <si>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</si>
  <si>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</si>
  <si>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</si>
  <si>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</si>
  <si>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</si>
  <si>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</si>
  <si>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</si>
  <si>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</si>
  <si>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</si>
  <si>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</si>
  <si>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</si>
  <si>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</si>
  <si>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</si>
  <si>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</si>
  <si>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</si>
  <si>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</si>
  <si>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</si>
  <si>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</si>
  <si>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</si>
  <si>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</si>
  <si>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</si>
  <si>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</si>
  <si>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</si>
  <si>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</si>
  <si>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</si>
  <si>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</si>
  <si>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</si>
  <si>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</si>
  <si>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</si>
  <si>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</si>
  <si>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</si>
  <si>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</si>
  <si>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</si>
  <si>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</si>
  <si>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</si>
  <si>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</si>
  <si>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</si>
  <si>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</si>
  <si>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</si>
  <si>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</si>
  <si>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</si>
  <si>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</si>
  <si>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</si>
  <si>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</si>
  <si>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</si>
  <si>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</si>
  <si>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</si>
  <si>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</si>
  <si>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</si>
  <si>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</si>
  <si>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</si>
  <si>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</si>
  <si>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</si>
  <si>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</si>
  <si>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</si>
  <si>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</si>
  <si>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</si>
  <si>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</si>
  <si>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</si>
  <si>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</si>
  <si>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</si>
  <si>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</si>
  <si>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</si>
  <si>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</si>
  <si>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</si>
  <si>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</si>
  <si>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</si>
  <si>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</si>
  <si>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</si>
  <si>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</si>
  <si>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</si>
  <si>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</si>
  <si>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</si>
  <si>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</si>
  <si>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</si>
  <si>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</si>
  <si>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</si>
  <si>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</si>
  <si>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</si>
  <si>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</si>
  <si>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</si>
  <si>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</si>
  <si>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</si>
  <si>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</si>
  <si>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</si>
  <si>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</si>
  <si>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</si>
  <si>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</si>
  <si>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</si>
  <si>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</si>
  <si>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</si>
  <si>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</si>
  <si>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</si>
  <si>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</si>
  <si>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</si>
  <si>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</si>
  <si>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</si>
  <si>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</si>
  <si>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</si>
  <si>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</si>
  <si>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</si>
  <si>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</si>
  <si>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</si>
  <si>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</si>
  <si>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</si>
  <si>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</si>
  <si>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</si>
  <si>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</si>
  <si>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</si>
  <si>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</si>
  <si>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</si>
  <si>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</si>
  <si>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</si>
  <si>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</si>
  <si>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</si>
  <si>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</si>
  <si>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</si>
  <si>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</si>
  <si>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</si>
  <si>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</si>
  <si>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</si>
  <si>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</si>
  <si>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</si>
  <si>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</si>
  <si>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</si>
  <si>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</si>
  <si>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</si>
  <si>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</si>
  <si>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</si>
  <si>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</si>
  <si>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</si>
  <si>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</si>
  <si>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</si>
  <si>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</si>
  <si>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</si>
  <si>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</si>
  <si>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</si>
  <si>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</si>
  <si>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</si>
  <si>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</si>
  <si>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</si>
  <si>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</si>
  <si>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</si>
  <si>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</si>
  <si>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</si>
  <si>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</si>
  <si>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</si>
  <si>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</si>
  <si>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</si>
  <si>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</si>
  <si>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</si>
  <si>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</si>
  <si>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</si>
  <si>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</si>
  <si>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</si>
  <si>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</si>
  <si>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</si>
  <si>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</si>
  <si>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</si>
  <si>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</si>
  <si>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</si>
  <si>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</si>
  <si>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</si>
  <si>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</si>
  <si>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</si>
  <si>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</si>
  <si>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</si>
  <si>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</si>
  <si>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</si>
  <si>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</si>
  <si>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</si>
  <si>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</si>
  <si>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</si>
  <si>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</si>
  <si>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</si>
  <si>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</si>
  <si>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</si>
  <si>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</si>
  <si>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</si>
  <si>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</si>
  <si>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</si>
  <si>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</si>
  <si>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</si>
  <si>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</si>
  <si>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</si>
  <si>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</si>
  <si>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</si>
  <si>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</si>
  <si>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</si>
  <si>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</si>
  <si>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</si>
  <si>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</si>
  <si>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</si>
  <si>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</si>
  <si>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</si>
  <si>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</si>
  <si>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</si>
  <si>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</si>
  <si>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</si>
  <si>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</si>
  <si>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</si>
  <si>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</si>
  <si>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</si>
  <si>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</si>
  <si>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</si>
  <si>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</si>
  <si>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</si>
  <si>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</si>
  <si>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</si>
  <si>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</si>
  <si>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</si>
  <si>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</si>
  <si>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</si>
  <si>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</si>
  <si>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</si>
  <si>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</si>
  <si>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</si>
  <si>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</si>
  <si>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</si>
  <si>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</si>
  <si>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</si>
  <si>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</si>
  <si>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</si>
  <si>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</si>
  <si>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</si>
  <si>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</si>
  <si>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</si>
  <si>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</si>
  <si>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</si>
  <si>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</si>
  <si>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</si>
  <si>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</si>
  <si>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</si>
  <si>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</si>
  <si>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</si>
  <si>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</si>
  <si>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</si>
  <si>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</si>
  <si>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</si>
  <si>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</si>
  <si>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</si>
  <si>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</si>
  <si>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</si>
  <si>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</si>
  <si>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</si>
  <si>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</si>
  <si>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</si>
  <si>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</si>
  <si>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</si>
  <si>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</si>
  <si>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</si>
  <si>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</si>
  <si>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</si>
  <si>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</si>
  <si>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</si>
  <si>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</si>
  <si>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</si>
  <si>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</si>
  <si>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</si>
  <si>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</si>
  <si>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</si>
  <si>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</si>
  <si>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</si>
  <si>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</si>
  <si>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</si>
  <si>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</si>
  <si>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</si>
  <si>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</si>
  <si>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</si>
  <si>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</si>
  <si>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</si>
  <si>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</si>
  <si>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</si>
  <si>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</si>
  <si>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</si>
  <si>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</si>
  <si>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</si>
  <si>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</si>
  <si>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</si>
  <si>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</si>
  <si>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</si>
  <si>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</si>
  <si>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</si>
  <si>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</si>
  <si>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</si>
  <si>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</si>
  <si>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</si>
  <si>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</si>
  <si>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</si>
  <si>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</si>
  <si>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</si>
  <si>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</si>
  <si>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</si>
  <si>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</si>
  <si>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</si>
  <si>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</si>
  <si>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</si>
  <si>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</si>
  <si>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</si>
  <si>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</si>
  <si>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</si>
  <si>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</si>
  <si>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</si>
  <si>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</si>
  <si>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</si>
  <si>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</si>
  <si>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</si>
  <si>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</si>
  <si>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</si>
  <si>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</si>
  <si>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</si>
  <si>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</si>
  <si>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</si>
  <si>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</si>
  <si>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</si>
  <si>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</si>
  <si>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</si>
  <si>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</si>
  <si>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</si>
  <si>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</si>
  <si>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</si>
  <si>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</si>
  <si>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</si>
  <si>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</si>
  <si>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</si>
  <si>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</si>
  <si>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</si>
  <si>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</si>
  <si>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</si>
  <si>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</si>
  <si>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</si>
  <si>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</si>
  <si>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</si>
  <si>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</si>
  <si>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</si>
  <si>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</si>
  <si>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</si>
  <si>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</si>
  <si>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</si>
  <si>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</si>
  <si>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</si>
  <si>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</si>
  <si>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</si>
  <si>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</si>
  <si>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</si>
  <si>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</si>
  <si>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</si>
  <si>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</si>
  <si>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</si>
  <si>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</si>
  <si>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</si>
  <si>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</si>
  <si>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</si>
  <si>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</si>
  <si>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</si>
  <si>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</si>
  <si>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</si>
  <si>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</si>
  <si>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</si>
  <si>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</si>
  <si>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</si>
  <si>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</si>
  <si>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</si>
  <si>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</si>
  <si>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</si>
  <si>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</si>
  <si>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</si>
  <si>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</si>
  <si>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</si>
  <si>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</si>
  <si>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</si>
  <si>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</si>
  <si>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</si>
  <si>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</si>
  <si>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</si>
  <si>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</si>
  <si>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</si>
  <si>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</si>
  <si>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</si>
  <si>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</si>
  <si>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</si>
  <si>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</si>
  <si>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</si>
  <si>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</si>
  <si>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</si>
  <si>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</si>
  <si>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</si>
  <si>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</si>
  <si>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</si>
  <si>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</si>
  <si>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</si>
  <si>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</si>
  <si>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</si>
  <si>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</si>
  <si>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</si>
  <si>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</si>
  <si>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</si>
  <si>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</si>
  <si>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</si>
  <si>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</si>
  <si>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</si>
  <si>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</si>
  <si>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</si>
  <si>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</si>
  <si>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</si>
  <si>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</si>
  <si>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</si>
  <si>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</si>
  <si>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</si>
  <si>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</si>
  <si>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</si>
  <si>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</si>
  <si>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</si>
  <si>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</si>
  <si>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</si>
  <si>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</si>
  <si>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</si>
  <si>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</si>
  <si>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</si>
  <si>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</si>
  <si>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</si>
  <si>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</si>
  <si>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</si>
  <si>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</si>
  <si>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</si>
  <si>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</si>
  <si>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</si>
  <si>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</si>
  <si>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</si>
  <si>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</si>
  <si>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</si>
  <si>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</si>
  <si>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</si>
  <si>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</si>
  <si>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</si>
  <si>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</si>
  <si>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</si>
  <si>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</si>
  <si>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</si>
  <si>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</si>
  <si>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</si>
  <si>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</si>
  <si>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</si>
  <si>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</si>
  <si>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</si>
  <si>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</si>
  <si>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</si>
  <si>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</si>
  <si>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</si>
  <si>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</si>
  <si>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</si>
  <si>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</si>
  <si>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</si>
  <si>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</si>
  <si>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</si>
  <si>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</si>
  <si>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</si>
  <si>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</si>
  <si>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</si>
  <si>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</si>
  <si>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</si>
  <si>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</si>
  <si>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</si>
  <si>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</si>
  <si>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</si>
  <si>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</si>
  <si>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</si>
  <si>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</si>
  <si>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</si>
  <si>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</si>
  <si>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</si>
  <si>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</si>
  <si>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</si>
  <si>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</si>
  <si>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</si>
  <si>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</si>
  <si>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</si>
  <si>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</si>
  <si>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</si>
  <si>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</si>
  <si>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</si>
  <si>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</si>
  <si>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</si>
  <si>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</si>
  <si>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</si>
  <si>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</si>
  <si>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</si>
  <si>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</si>
  <si>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</si>
  <si>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</si>
  <si>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</si>
  <si>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</si>
  <si>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</si>
  <si>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</si>
  <si>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</si>
  <si>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</si>
  <si>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</si>
  <si>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</si>
  <si>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</si>
  <si>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</si>
  <si>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</si>
  <si>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</si>
  <si>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</si>
  <si>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</si>
  <si>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</si>
  <si>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</si>
  <si>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</si>
  <si>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</si>
  <si>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</si>
  <si>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</si>
  <si>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</si>
  <si>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</si>
  <si>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</si>
  <si>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</si>
  <si>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</si>
  <si>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</si>
  <si>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</si>
  <si>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</si>
  <si>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</si>
  <si>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</si>
  <si>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</si>
  <si>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</si>
  <si>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</si>
  <si>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</si>
  <si>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</si>
  <si>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</si>
  <si>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</si>
  <si>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</si>
  <si>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</si>
  <si>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</si>
  <si>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</si>
  <si>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</si>
  <si>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</si>
  <si>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</si>
  <si>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</si>
  <si>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</si>
  <si>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</si>
  <si>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</si>
  <si>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</si>
  <si>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</si>
  <si>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</si>
  <si>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</si>
  <si>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</si>
  <si>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</si>
  <si>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</si>
  <si>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</si>
  <si>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</si>
  <si>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</si>
  <si>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</si>
  <si>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</si>
  <si>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</si>
  <si>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</si>
  <si>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</si>
  <si>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</si>
  <si>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</si>
  <si>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</si>
  <si>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</si>
  <si>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</si>
  <si>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</si>
  <si>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</si>
  <si>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</si>
  <si>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</si>
  <si>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</si>
  <si>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</si>
  <si>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</si>
  <si>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</si>
  <si>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</si>
  <si>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</si>
  <si>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</si>
  <si>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</si>
  <si>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</si>
  <si>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</si>
  <si>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</si>
  <si>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</si>
  <si>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</si>
  <si>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</si>
  <si>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</si>
  <si>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</si>
  <si>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</si>
  <si>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</si>
  <si>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</si>
  <si>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</si>
  <si>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</si>
  <si>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</si>
  <si>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</si>
  <si>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</si>
  <si>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</si>
  <si>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</si>
  <si>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</si>
  <si>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</si>
  <si>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</si>
  <si>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</si>
  <si>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</si>
  <si>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</si>
  <si>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</si>
  <si>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</si>
  <si>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</si>
  <si>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</si>
  <si>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</si>
  <si>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</si>
  <si>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</si>
  <si>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</si>
  <si>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</si>
  <si>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</si>
  <si>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</si>
  <si>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</si>
  <si>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</si>
  <si>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</si>
  <si>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</si>
  <si>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</si>
  <si>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</si>
  <si>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</si>
  <si>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</si>
  <si>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</si>
  <si>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</si>
  <si>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</si>
  <si>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</si>
  <si>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</si>
  <si>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</si>
  <si>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</si>
  <si>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</si>
  <si>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</si>
  <si>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</si>
  <si>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</si>
  <si>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</si>
  <si>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</si>
  <si>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</si>
  <si>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</si>
  <si>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</si>
  <si>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</si>
  <si>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</si>
  <si>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</si>
  <si>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</si>
  <si>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</si>
  <si>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</si>
  <si>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</si>
  <si>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</si>
  <si>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</si>
  <si>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</si>
  <si>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</si>
  <si>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</si>
  <si>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</si>
  <si>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</si>
  <si>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</si>
  <si>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</si>
  <si>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</si>
  <si>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</si>
  <si>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</si>
  <si>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</si>
  <si>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</si>
  <si>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</si>
  <si>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</si>
  <si>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</si>
  <si>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</si>
  <si>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</si>
  <si>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</si>
  <si>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</si>
  <si>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</si>
  <si>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</si>
  <si>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</si>
  <si>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</si>
  <si>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</si>
  <si>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</si>
  <si>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</si>
  <si>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</si>
  <si>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</si>
  <si>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</si>
  <si>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</si>
  <si>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</si>
  <si>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</si>
  <si>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</si>
  <si>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</si>
  <si>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</si>
  <si>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</si>
  <si>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</si>
  <si>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</si>
  <si>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</si>
  <si>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</si>
  <si>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</si>
  <si>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</si>
  <si>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</si>
  <si>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</si>
  <si>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</si>
  <si>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</si>
  <si>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</si>
  <si>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</si>
  <si>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</si>
  <si>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</si>
  <si>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</si>
  <si>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</si>
  <si>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</si>
  <si>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</si>
  <si>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</si>
  <si>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</si>
  <si>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</si>
  <si>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</si>
  <si>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</si>
  <si>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</si>
  <si>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</si>
  <si>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</si>
  <si>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</si>
  <si>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</si>
  <si>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</si>
  <si>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</si>
  <si>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</si>
  <si>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</si>
  <si>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</si>
  <si>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</si>
  <si>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</si>
  <si>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</si>
  <si>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</si>
  <si>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</si>
  <si>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</si>
  <si>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</si>
  <si>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</si>
  <si>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</si>
  <si>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</si>
  <si>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</si>
  <si>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</si>
  <si>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</si>
  <si>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</si>
  <si>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</si>
  <si>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</si>
  <si>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</si>
  <si>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</si>
  <si>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</si>
  <si>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</si>
  <si>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</si>
  <si>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</si>
  <si>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</si>
  <si>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</si>
  <si>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</si>
  <si>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</si>
  <si>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</si>
  <si>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</si>
  <si>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</si>
  <si>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</si>
  <si>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</si>
  <si>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</si>
  <si>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</si>
  <si>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</si>
  <si>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</si>
  <si>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</si>
  <si>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</si>
  <si>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</si>
  <si>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</si>
  <si>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</si>
  <si>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</si>
  <si>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</si>
  <si>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</si>
  <si>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</si>
  <si>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</si>
  <si>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</si>
  <si>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</si>
  <si>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</si>
  <si>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</si>
  <si>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</si>
  <si>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</si>
  <si>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</si>
  <si>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</si>
  <si>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</si>
  <si>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</si>
  <si>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</si>
  <si>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</si>
  <si>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</si>
  <si>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</si>
  <si>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</si>
  <si>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</si>
  <si>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</si>
  <si>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</si>
  <si>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</si>
  <si>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</si>
  <si>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</si>
  <si>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</si>
  <si>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</si>
  <si>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</si>
  <si>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</si>
  <si>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</si>
  <si>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</si>
  <si>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</si>
  <si>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</si>
  <si>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</si>
  <si>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</si>
  <si>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</si>
  <si>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</si>
  <si>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</si>
  <si>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</si>
  <si>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</si>
  <si>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</si>
  <si>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</si>
  <si>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</si>
  <si>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</si>
  <si>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</si>
  <si>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</si>
  <si>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</si>
  <si>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</si>
  <si>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</si>
  <si>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</si>
  <si>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</si>
  <si>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</si>
  <si>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</si>
  <si>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</si>
  <si>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</si>
  <si>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</si>
  <si>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</si>
  <si>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</si>
  <si>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</si>
  <si>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</si>
  <si>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</si>
  <si>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</si>
  <si>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</si>
  <si>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</si>
  <si>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</si>
  <si>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</si>
  <si>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</si>
  <si>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</si>
  <si>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</si>
  <si>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</si>
  <si>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</si>
  <si>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</si>
  <si>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</si>
  <si>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</si>
  <si>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</si>
  <si>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</si>
  <si>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</si>
  <si>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</si>
  <si>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</si>
  <si>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</si>
  <si>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</si>
  <si>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</si>
  <si>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</si>
  <si>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</si>
  <si>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</si>
  <si>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</si>
  <si>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</si>
  <si>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</si>
  <si>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</si>
  <si>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</si>
  <si>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</si>
  <si>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</si>
  <si>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</si>
  <si>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</si>
  <si>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</si>
  <si>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</si>
  <si>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</si>
  <si>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</si>
  <si>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</si>
  <si>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</si>
  <si>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</si>
  <si>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</si>
  <si>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</si>
  <si>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</si>
  <si>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</si>
  <si>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</si>
  <si>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</si>
  <si>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</si>
  <si>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</si>
  <si>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</si>
  <si>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</si>
  <si>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</si>
  <si>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</si>
  <si>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</si>
  <si>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</si>
  <si>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</si>
  <si>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</si>
  <si>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</si>
  <si>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</si>
  <si>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</si>
  <si>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</si>
  <si>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</si>
  <si>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</si>
  <si>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</si>
  <si>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</si>
  <si>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</si>
  <si>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</si>
  <si>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</si>
  <si>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</si>
  <si>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</si>
  <si>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</si>
  <si>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</si>
  <si>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</si>
  <si>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</si>
  <si>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</si>
  <si>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</si>
  <si>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</si>
  <si>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</si>
  <si>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</si>
  <si>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</si>
  <si>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</si>
  <si>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</si>
  <si>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</si>
  <si>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</si>
  <si>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</si>
  <si>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</si>
  <si>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</si>
  <si>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</si>
  <si>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</si>
  <si>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</si>
  <si>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</si>
  <si>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</si>
  <si>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</si>
  <si>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</si>
  <si>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</si>
  <si>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</si>
  <si>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</si>
  <si>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</si>
  <si>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</si>
  <si>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</si>
  <si>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</si>
  <si>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</si>
  <si>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</si>
  <si>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</si>
  <si>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</si>
  <si>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</si>
  <si>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</si>
  <si>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</si>
  <si>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</si>
  <si>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</si>
  <si>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</si>
  <si>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</si>
  <si>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</si>
  <si>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</si>
  <si>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</si>
  <si>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</si>
  <si>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</si>
  <si>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</si>
  <si>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</si>
  <si>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</si>
  <si>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</si>
  <si>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</si>
  <si>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</si>
  <si>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</si>
  <si>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</si>
  <si>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</si>
  <si>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</si>
  <si>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</si>
  <si>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</si>
  <si>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</si>
  <si>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</si>
  <si>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</si>
  <si>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</si>
  <si>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</si>
  <si>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</si>
  <si>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</si>
  <si>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</si>
  <si>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</si>
  <si>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</si>
  <si>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</si>
  <si>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</si>
  <si>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</si>
  <si>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</si>
  <si>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</si>
  <si>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</si>
  <si>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</si>
  <si>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</si>
  <si>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</si>
  <si>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</si>
  <si>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</si>
  <si>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</si>
  <si>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</si>
  <si>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</si>
  <si>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</si>
  <si>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</si>
  <si>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</si>
  <si>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</si>
  <si>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</si>
  <si>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</si>
  <si>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</si>
  <si>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</si>
  <si>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</si>
  <si>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</si>
  <si>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</si>
  <si>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</si>
  <si>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</si>
  <si>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</si>
  <si>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</si>
  <si>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</si>
  <si>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</si>
  <si>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</si>
  <si>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</si>
  <si>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</si>
  <si>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</si>
  <si>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</si>
  <si>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</si>
  <si>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</si>
  <si>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</si>
  <si>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</si>
  <si>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</si>
  <si>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</si>
  <si>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</si>
  <si>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</si>
  <si>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</si>
  <si>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</si>
  <si>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</si>
  <si>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</si>
  <si>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</si>
  <si>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</si>
  <si>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</si>
  <si>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</si>
  <si>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</si>
  <si>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</si>
  <si>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</si>
  <si>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</si>
  <si>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</si>
  <si>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</si>
  <si>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</si>
  <si>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</si>
  <si>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</si>
  <si>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</si>
  <si>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</si>
  <si>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</si>
  <si>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</si>
  <si>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</si>
  <si>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</si>
  <si>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</si>
  <si>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</si>
  <si>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</si>
  <si>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</si>
  <si>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</si>
  <si>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</si>
  <si>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</si>
  <si>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</si>
  <si>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</si>
  <si>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</si>
  <si>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</si>
  <si>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</si>
  <si>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</si>
  <si>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</si>
  <si>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</si>
  <si>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</si>
  <si>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</si>
  <si>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</si>
  <si>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</si>
  <si>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</si>
  <si>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</si>
  <si>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</si>
  <si>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</si>
  <si>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</si>
  <si>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</si>
  <si>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</si>
  <si>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</si>
  <si>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</si>
  <si>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</si>
  <si>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</si>
  <si>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</si>
  <si>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</si>
  <si>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</si>
  <si>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</si>
  <si>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</si>
  <si>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</si>
  <si>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</si>
  <si>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</si>
  <si>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</si>
  <si>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</si>
  <si>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</si>
  <si>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</si>
  <si>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</si>
  <si>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</si>
  <si>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</si>
  <si>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</si>
  <si>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</si>
  <si>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</si>
  <si>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</si>
  <si>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</si>
  <si>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</si>
  <si>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</si>
  <si>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</si>
  <si>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</si>
  <si>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</si>
  <si>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</si>
  <si>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</si>
  <si>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</si>
  <si>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</si>
  <si>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</si>
  <si>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</si>
  <si>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</si>
  <si>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</si>
  <si>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</si>
  <si>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</si>
  <si>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</si>
  <si>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</si>
  <si>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</si>
  <si>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</si>
  <si>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</si>
  <si>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</si>
  <si>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</si>
  <si>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</si>
  <si>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</si>
  <si>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</si>
  <si>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</si>
  <si>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</si>
  <si>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</si>
  <si>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</si>
  <si>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</si>
  <si>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</si>
  <si>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</si>
  <si>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</si>
  <si>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</si>
  <si>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</si>
  <si>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</si>
  <si>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</si>
  <si>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</si>
  <si>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</si>
  <si>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</si>
  <si>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</si>
  <si>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</si>
  <si>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</si>
  <si>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</si>
  <si>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</si>
  <si>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</si>
  <si>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</si>
  <si>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</si>
  <si>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</si>
  <si>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</si>
  <si>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</si>
  <si>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</si>
  <si>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</si>
  <si>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</si>
  <si>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</si>
  <si>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</si>
  <si>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</si>
  <si>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</si>
  <si>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</si>
  <si>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</si>
  <si>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</si>
  <si>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</si>
  <si>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</si>
  <si>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</si>
  <si>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</si>
  <si>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</si>
  <si>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</si>
  <si>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</si>
  <si>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</si>
  <si>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</si>
  <si>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</si>
  <si>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</si>
  <si>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</si>
  <si>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</si>
  <si>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C:\ВИДЕОНАБЛЮДЕНИЕ\14 На гаражи\captrue\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</si>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</sst>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20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933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833"/>
    <tableColumn id="8" xr3:uid="{7C2AA400-8F21-45B7-B47D-9CF2CFB5DD00}" uniqueName="8" name="Дата" queryTableFieldId="19" dataDxfId="832"/>
    <tableColumn id="9" xr3:uid="{7CB7ABF0-C98D-49E4-A494-985A43D5F40F}" uniqueName="9" name="Время" queryTableFieldId="20" dataDxfId="831"/>
    <tableColumn id="5" xr3:uid="{613A944B-9245-4C6D-9CCE-5037AD552DED}" uniqueName="5" name="Событие" queryTableFieldId="27" dataDxfId="932"/>
    <tableColumn id="7" xr3:uid="{FFEA85A5-3527-4483-91CE-57F760AB9F33}" uniqueName="7" name="Объект" queryTableFieldId="29" dataDxfId="931"/>
    <tableColumn id="10" xr3:uid="{A2E2C27E-C1B2-4B74-A427-E1854B0E2C76}" uniqueName="10" name="Груз" queryTableFieldId="30" dataDxfId="93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29"/>
    <tableColumn id="4" xr3:uid="{B2B57637-8A7D-4C5F-A6F8-E38F3EA43620}" uniqueName="4" name="Name" queryTableFieldId="14" dataDxfId="928"/>
    <tableColumn id="1" xr3:uid="{79275791-6385-434B-9F1B-8BDC003824A7}" uniqueName="1" name="Folder Path" queryTableFieldId="11" dataDxfId="92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3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926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804"/>
    <tableColumn id="8" xr3:uid="{40827FD9-94EC-4CF6-B212-59CF3E913897}" uniqueName="8" name="Дата" queryTableFieldId="19" dataDxfId="803"/>
    <tableColumn id="9" xr3:uid="{1F8E8ADE-5BFB-4171-9A0A-859E22042D3B}" uniqueName="9" name="Время" queryTableFieldId="20" dataDxfId="802"/>
    <tableColumn id="5" xr3:uid="{9D19F2E1-3C70-4F2F-8ED7-6D41C17A9366}" uniqueName="5" name="Событие" queryTableFieldId="27" dataDxfId="925"/>
    <tableColumn id="7" xr3:uid="{8C8CC69A-BA0A-4417-AE7D-B89E26F69F9B}" uniqueName="7" name="Объект" queryTableFieldId="29" dataDxfId="924"/>
    <tableColumn id="10" xr3:uid="{375C36FB-077D-4AA3-B6F7-74ACE46C2638}" uniqueName="10" name="Груз" queryTableFieldId="30" dataDxfId="92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922"/>
    <tableColumn id="4" xr3:uid="{4A5BB282-D54C-4C68-A1D9-B3A819F9FCF6}" uniqueName="4" name="Name" queryTableFieldId="14" dataDxfId="921"/>
    <tableColumn id="1" xr3:uid="{7BD19058-41FF-4EFE-8283-68501A5B1623}" uniqueName="1" name="Folder Path" queryTableFieldId="11" dataDxfId="92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0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795"/>
    <tableColumn id="8" xr3:uid="{B651DAE5-1AB7-4761-9820-CB58DA0D9C46}" uniqueName="8" name="Дата" queryTableFieldId="19" dataDxfId="794"/>
    <tableColumn id="9" xr3:uid="{22B6AE73-6E8B-4F81-B85C-3D141AD4D773}" uniqueName="9" name="Время" queryTableFieldId="20" dataDxfId="793"/>
    <tableColumn id="5" xr3:uid="{CB5AF0FF-A861-4F29-BFD9-751A47066C68}" uniqueName="5" name="Событие" queryTableFieldId="27" dataDxfId="919"/>
    <tableColumn id="7" xr3:uid="{63916370-0910-4B95-ABB4-D88865AA9E43}" uniqueName="7" name="Объект" queryTableFieldId="29" dataDxfId="918"/>
    <tableColumn id="10" xr3:uid="{DDC7656E-7390-4778-A2CE-EEC7AC518263}" uniqueName="10" name="Груз" queryTableFieldId="30" dataDxfId="91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16"/>
    <tableColumn id="4" xr3:uid="{96665EED-E1B8-437C-869A-35CB5BA419D3}" uniqueName="4" name="Name" queryTableFieldId="14" dataDxfId="915"/>
    <tableColumn id="1" xr3:uid="{1F225BD8-B59D-4058-9D99-17124C1F38FB}" uniqueName="1" name="Folder Path" queryTableFieldId="11" dataDxfId="91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9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08" tableType="queryTable" totalsRowShown="0">
  <tableColumns count="13">
    <tableColumn id="11" xr3:uid="{F25D1388-C4DF-49FB-9BF5-0132CEDCCAEA}" uniqueName="11" name="День нед" queryTableFieldId="39" dataDxfId="791"/>
    <tableColumn id="8" xr3:uid="{9EDCCA26-9FD6-4F66-9134-186F89CA663B}" uniqueName="8" name="Дата" queryTableFieldId="19" dataDxfId="790"/>
    <tableColumn id="9" xr3:uid="{FB005DB9-8D3C-48A5-94F1-246606C665DD}" uniqueName="9" name="Время" queryTableFieldId="20" dataDxfId="789"/>
    <tableColumn id="5" xr3:uid="{6D19407C-64CF-4FC5-95E7-163AA12EB226}" uniqueName="5" name="Событие" queryTableFieldId="27" dataDxfId="788"/>
    <tableColumn id="7" xr3:uid="{007BF834-0BCB-4416-8941-11DA4EDFCE5B}" uniqueName="7" name="Объект" queryTableFieldId="29" dataDxfId="787"/>
    <tableColumn id="10" xr3:uid="{E896F002-4451-441D-B0CB-52AD69A6E5C3}" uniqueName="10" name="Груз" queryTableFieldId="30" dataDxfId="78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85"/>
    <tableColumn id="4" xr3:uid="{9F6560FA-27F8-4BE9-BA58-3B0E40F582E5}" uniqueName="4" name="Name" queryTableFieldId="14" dataDxfId="784"/>
    <tableColumn id="1" xr3:uid="{44892CD0-9118-4535-9434-E49462140346}" uniqueName="1" name="Folder Path" queryTableFieldId="11" dataDxfId="78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8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35" tableType="queryTable" totalsRowShown="0">
  <tableColumns count="13">
    <tableColumn id="11" xr3:uid="{390CB009-E9E0-4C0F-93C3-AF6B408B816B}" uniqueName="11" name="День нед" queryTableFieldId="39" dataDxfId="875"/>
    <tableColumn id="8" xr3:uid="{E0A1C296-A368-479C-9A74-85306B3C03D4}" uniqueName="8" name="Дата" queryTableFieldId="19" dataDxfId="874"/>
    <tableColumn id="9" xr3:uid="{86401298-83EB-49D3-ACBA-E743586F5CCB}" uniqueName="9" name="Время" queryTableFieldId="20" dataDxfId="873"/>
    <tableColumn id="5" xr3:uid="{FFB4F03A-A400-4544-A729-2375A1F7D5E8}" uniqueName="5" name="Событие" queryTableFieldId="27" dataDxfId="872"/>
    <tableColumn id="7" xr3:uid="{D96DCF3C-D325-4D0C-94A1-DBE97CC5C9DC}" uniqueName="7" name="Объект" queryTableFieldId="29" dataDxfId="871"/>
    <tableColumn id="10" xr3:uid="{76D99262-42F5-447E-95AC-9C2A84BF344C}" uniqueName="10" name="Груз" queryTableFieldId="30" dataDxfId="87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69"/>
    <tableColumn id="4" xr3:uid="{D16AEB37-7A8A-406F-8ED7-B8D53BAA9BD9}" uniqueName="4" name="Name" queryTableFieldId="14" dataDxfId="868"/>
    <tableColumn id="1" xr3:uid="{1746BE5F-089A-476F-AE8D-5F2B27E9AEEA}" uniqueName="1" name="Folder Path" queryTableFieldId="11" dataDxfId="86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6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55" tableType="queryTable" totalsRowShown="0">
  <tableColumns count="13">
    <tableColumn id="11" xr3:uid="{45D23538-AB74-404E-8577-E2B7A36436AF}" uniqueName="11" name="День нед" queryTableFieldId="39" dataDxfId="865"/>
    <tableColumn id="8" xr3:uid="{40B01B94-168F-4547-A2BC-AA7F91350AB3}" uniqueName="8" name="Дата" queryTableFieldId="19" dataDxfId="864"/>
    <tableColumn id="9" xr3:uid="{A2C94EFB-3081-4BA9-85C2-DFF0455AFA43}" uniqueName="9" name="Время" queryTableFieldId="20" dataDxfId="863"/>
    <tableColumn id="5" xr3:uid="{244D3D34-C9EC-4B9C-BE81-12A0C0BB4342}" uniqueName="5" name="Событие" queryTableFieldId="27" dataDxfId="862"/>
    <tableColumn id="7" xr3:uid="{C449A112-E8A8-4956-B85C-2BA12316F170}" uniqueName="7" name="Объект" queryTableFieldId="29" dataDxfId="861"/>
    <tableColumn id="10" xr3:uid="{C8411557-C312-4542-93DA-DF5949399E11}" uniqueName="10" name="Груз" queryTableFieldId="30" dataDxfId="86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859"/>
    <tableColumn id="4" xr3:uid="{6A396D44-0898-4737-A4C1-8D6D40981793}" uniqueName="4" name="Name" queryTableFieldId="14" dataDxfId="858"/>
    <tableColumn id="1" xr3:uid="{328F21C9-48B9-4081-9B8C-BBD168BD38D1}" uniqueName="1" name="Folder Path" queryTableFieldId="11" dataDxfId="85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85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94" tableType="queryTable" totalsRowShown="0">
  <tableColumns count="13">
    <tableColumn id="11" xr3:uid="{2311EAC9-4673-4BE2-ADB0-E8CEB0BD9945}" uniqueName="11" name="День нед" queryTableFieldId="39" dataDxfId="855"/>
    <tableColumn id="8" xr3:uid="{F1C9804A-F8E7-4755-B717-859265C587A2}" uniqueName="8" name="Дата" queryTableFieldId="19" dataDxfId="854"/>
    <tableColumn id="9" xr3:uid="{1C2BA522-8D4F-4713-849C-1F60357B476E}" uniqueName="9" name="Время" queryTableFieldId="20" dataDxfId="853"/>
    <tableColumn id="5" xr3:uid="{6E084A00-DC62-4E93-8ABC-4651FD4D2408}" uniqueName="5" name="Событие" queryTableFieldId="27" dataDxfId="852"/>
    <tableColumn id="7" xr3:uid="{C9F6EF14-DBE7-4655-9D20-5B253923C11E}" uniqueName="7" name="Объект" queryTableFieldId="29" dataDxfId="851"/>
    <tableColumn id="10" xr3:uid="{0ADEC0F9-9FE9-4E92-BD38-0B8CDDE1BDBD}" uniqueName="10" name="Груз" queryTableFieldId="30" dataDxfId="85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49"/>
    <tableColumn id="4" xr3:uid="{FE606B6B-0A78-44A2-B44F-54FBA553BAD6}" uniqueName="4" name="Name" queryTableFieldId="14" dataDxfId="848"/>
    <tableColumn id="1" xr3:uid="{34274AB2-665A-4EF1-8C79-4944C9C122A7}" uniqueName="1" name="Folder Path" queryTableFieldId="11" dataDxfId="84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4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845"/>
    <tableColumn id="8" xr3:uid="{0D9F5C4C-70B0-46E2-9E29-649E206B6616}" uniqueName="8" name="Дата" queryTableFieldId="19" dataDxfId="844"/>
    <tableColumn id="9" xr3:uid="{7C8561D4-BD7D-493F-BC95-213F2D55F3FD}" uniqueName="9" name="Время" queryTableFieldId="20" dataDxfId="843"/>
    <tableColumn id="5" xr3:uid="{E48795B2-2732-4E4A-81E8-B1585581420B}" uniqueName="5" name="Событие" queryTableFieldId="27" dataDxfId="913"/>
    <tableColumn id="7" xr3:uid="{F684EE24-0636-4EC2-AB94-A65EA5355534}" uniqueName="7" name="Объект" queryTableFieldId="29" dataDxfId="912"/>
    <tableColumn id="10" xr3:uid="{0C1B5273-277F-4438-B52D-9F868AD13DEE}" uniqueName="10" name="Груз" queryTableFieldId="30" dataDxfId="91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10"/>
    <tableColumn id="4" xr3:uid="{729433F6-F4FD-435B-851D-D34CC9060068}" uniqueName="4" name="Name" queryTableFieldId="14" dataDxfId="909"/>
    <tableColumn id="1" xr3:uid="{7A9B9B80-B872-4A82-9D9D-98A75E20F89B}" uniqueName="1" name="Folder Path" queryTableFieldId="11" dataDxfId="90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4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781"/>
    <tableColumn id="8" xr3:uid="{1A2A3B97-F602-468E-8AD3-5DD492638A71}" uniqueName="8" name="Дата" queryTableFieldId="19" dataDxfId="780"/>
    <tableColumn id="9" xr3:uid="{E8725BDD-FF6C-47C3-9100-825160B93721}" uniqueName="9" name="Время" queryTableFieldId="20" dataDxfId="779"/>
    <tableColumn id="5" xr3:uid="{F68EB906-7F6F-4765-A5C8-9B40064179BE}" uniqueName="5" name="Событие" queryTableFieldId="27" dataDxfId="907"/>
    <tableColumn id="7" xr3:uid="{812FE0F9-0D7E-497C-893A-B104BA069155}" uniqueName="7" name="Объект" queryTableFieldId="29" dataDxfId="906"/>
    <tableColumn id="10" xr3:uid="{1679E688-A047-4936-9EBC-9BDCFEA4CD95}" uniqueName="10" name="Груз" queryTableFieldId="30" dataDxfId="90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04"/>
    <tableColumn id="4" xr3:uid="{F9F7F55E-2CCF-4A6B-892F-1C76C0668832}" uniqueName="4" name="Name" queryTableFieldId="14" dataDxfId="903"/>
    <tableColumn id="1" xr3:uid="{0AF9B05B-8D0E-4B8A-81D0-358A18429CE8}" uniqueName="1" name="Folder Path" queryTableFieldId="11" dataDxfId="90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7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841"/>
    <tableColumn id="8" xr3:uid="{FBEC9ECA-BD5C-442E-BB86-7CCAEF9464D2}" uniqueName="8" name="Дата" queryTableFieldId="19" dataDxfId="840"/>
    <tableColumn id="9" xr3:uid="{68242AF7-BC60-4380-843B-35A6CC4A66E6}" uniqueName="9" name="Время" queryTableFieldId="20" dataDxfId="839"/>
    <tableColumn id="5" xr3:uid="{C98BCFD6-9DE9-4A28-B769-F5737933429D}" uniqueName="5" name="Событие" queryTableFieldId="27" dataDxfId="901"/>
    <tableColumn id="7" xr3:uid="{4D44F8D4-93A4-4851-894E-AC8CDD93BD71}" uniqueName="7" name="Объект" queryTableFieldId="29" dataDxfId="900"/>
    <tableColumn id="10" xr3:uid="{0A838B00-A88A-40EE-A542-7E8E08968D89}" uniqueName="10" name="Груз" queryTableFieldId="30" dataDxfId="89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98"/>
    <tableColumn id="4" xr3:uid="{4FA2E248-D5A3-4824-875F-C328FA9AC2F9}" uniqueName="4" name="Name" queryTableFieldId="14" dataDxfId="897"/>
    <tableColumn id="1" xr3:uid="{B01A6B83-82C4-4172-AD5B-D2AF410DBE1B}" uniqueName="1" name="Folder Path" queryTableFieldId="11" dataDxfId="89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3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837"/>
    <tableColumn id="8" xr3:uid="{C788117B-4896-492B-97B3-B2502F0537D8}" uniqueName="8" name="Дата" queryTableFieldId="19" dataDxfId="836"/>
    <tableColumn id="9" xr3:uid="{E3EF5757-6705-492A-BD76-A47D414757C0}" uniqueName="9" name="Время" queryTableFieldId="20" dataDxfId="835"/>
    <tableColumn id="5" xr3:uid="{EF049B28-F832-4F3D-AB4F-3C396920BF5B}" uniqueName="5" name="Событие" queryTableFieldId="27" dataDxfId="895"/>
    <tableColumn id="7" xr3:uid="{DDB63E42-2809-4377-A568-A326109989E9}" uniqueName="7" name="Объект" queryTableFieldId="29" dataDxfId="894"/>
    <tableColumn id="10" xr3:uid="{A4FCF3D3-582A-4DEF-8FB8-9D050C82517D}" uniqueName="10" name="Груз" queryTableFieldId="30" dataDxfId="89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92"/>
    <tableColumn id="4" xr3:uid="{DA63B8EC-3587-40B4-A86A-92B91C78723D}" uniqueName="4" name="Name" queryTableFieldId="14" dataDxfId="891"/>
    <tableColumn id="1" xr3:uid="{360C7476-DEC6-4377-8E95-D472C6673B12}" uniqueName="1" name="Folder Path" queryTableFieldId="11" dataDxfId="89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3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13" tableType="queryTable" totalsRowShown="0">
  <tableColumns count="13">
    <tableColumn id="11" xr3:uid="{C40005DE-8CA6-428A-9DF2-E715CC943F02}" uniqueName="11" name="День нед" queryTableFieldId="39" dataDxfId="829"/>
    <tableColumn id="8" xr3:uid="{55C75F47-F14F-483C-9C7A-95288D9463D6}" uniqueName="8" name="Дата" queryTableFieldId="19" dataDxfId="828"/>
    <tableColumn id="9" xr3:uid="{79D3981C-638A-4D64-BACB-D64D85DAC855}" uniqueName="9" name="Время" queryTableFieldId="20" dataDxfId="827"/>
    <tableColumn id="5" xr3:uid="{B0B848B5-29B2-4292-89A5-7DE5A2F72D15}" uniqueName="5" name="Событие" queryTableFieldId="27" dataDxfId="826"/>
    <tableColumn id="7" xr3:uid="{A9E0C8AC-2336-4969-BC3E-110E6C33529C}" uniqueName="7" name="Объект" queryTableFieldId="29" dataDxfId="825"/>
    <tableColumn id="10" xr3:uid="{F8691CA5-2689-452F-9550-C52E06B35BD6}" uniqueName="10" name="Груз" queryTableFieldId="30" dataDxfId="82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23"/>
    <tableColumn id="4" xr3:uid="{E9716AC2-8439-4E67-8698-BA6CD84F7B9C}" uniqueName="4" name="Name" queryTableFieldId="14" dataDxfId="822"/>
    <tableColumn id="1" xr3:uid="{9AB30DEC-91E3-4633-A156-B937B586CECB}" uniqueName="1" name="Folder Path" queryTableFieldId="11" dataDxfId="82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2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89" tableType="queryTable" totalsRowShown="0">
  <tableColumns count="13">
    <tableColumn id="11" xr3:uid="{B21CFC33-55C8-4073-BBD2-E0A5154A10D6}" uniqueName="11" name="День нед" queryTableFieldId="39" dataDxfId="819"/>
    <tableColumn id="8" xr3:uid="{004370C0-0D3C-4162-A392-32C741C3A58B}" uniqueName="8" name="Дата" queryTableFieldId="19" dataDxfId="818"/>
    <tableColumn id="9" xr3:uid="{6537DA5E-247D-44FB-ACE3-933B3C9B9408}" uniqueName="9" name="Время" queryTableFieldId="20" dataDxfId="817"/>
    <tableColumn id="5" xr3:uid="{4FA9309D-407E-48C1-B1F9-C33DEA7645B1}" uniqueName="5" name="Событие" queryTableFieldId="27" dataDxfId="816"/>
    <tableColumn id="7" xr3:uid="{76E54E9E-D730-4C99-9BF5-96E9384FF63C}" uniqueName="7" name="Объект" queryTableFieldId="29" dataDxfId="815"/>
    <tableColumn id="10" xr3:uid="{B9F78DE2-7938-486B-9BE2-F824D0E7A6C4}" uniqueName="10" name="Груз" queryTableFieldId="30" dataDxfId="81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13"/>
    <tableColumn id="4" xr3:uid="{921D28C1-5761-48A7-B447-6A4446F87545}" uniqueName="4" name="Name" queryTableFieldId="14" dataDxfId="812"/>
    <tableColumn id="1" xr3:uid="{F1A648C1-8DB5-4DEF-B011-BD85E17FCAA3}" uniqueName="1" name="Folder Path" queryTableFieldId="11" dataDxfId="81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1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" tableType="queryTable" totalsRowShown="0">
  <tableColumns count="13">
    <tableColumn id="11" xr3:uid="{326CF8DE-8E4F-4540-A010-20CF489342A6}" uniqueName="11" name="День нед" queryTableFieldId="39" dataDxfId="809"/>
    <tableColumn id="8" xr3:uid="{B803C26B-EDF7-4F4B-99B7-759FDE206BB4}" uniqueName="8" name="Дата" queryTableFieldId="19" dataDxfId="808"/>
    <tableColumn id="9" xr3:uid="{691C5FBB-50CD-4B8E-845B-069A5BEF4054}" uniqueName="9" name="Время" queryTableFieldId="20" dataDxfId="807"/>
    <tableColumn id="5" xr3:uid="{963AEB35-E363-4027-9FA3-EA15F072700D}" uniqueName="5" name="Событие" queryTableFieldId="27" dataDxfId="881"/>
    <tableColumn id="7" xr3:uid="{9C2F1BAF-3932-43E9-9155-EA713BB0011D}" uniqueName="7" name="Объект" queryTableFieldId="29" dataDxfId="880"/>
    <tableColumn id="10" xr3:uid="{5D4CEE63-A195-4AD7-9985-38CAADCF8E9D}" uniqueName="10" name="Груз" queryTableFieldId="30" dataDxfId="879"/>
    <tableColumn id="13" xr3:uid="{7298E84C-ACAB-4631-8905-CF20AC72E0EA}" uniqueName="13" name="Кол-во" queryTableFieldId="31" dataDxfId="806"/>
    <tableColumn id="14" xr3:uid="{7C8EF3A5-15A6-4571-8EB7-C981C6BEB025}" uniqueName="14" name="Примечание" queryTableFieldId="32" dataDxfId="878"/>
    <tableColumn id="4" xr3:uid="{D4638119-06B9-4DD4-899F-6281EFBF2A28}" uniqueName="4" name="Name" queryTableFieldId="14" dataDxfId="877"/>
    <tableColumn id="1" xr3:uid="{53F21A0B-EBC8-48C0-B8DE-B46C5D45C7AE}" uniqueName="1" name="Folder Path" queryTableFieldId="11" dataDxfId="876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805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935" totalsRowShown="0"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800"/>
    <tableColumn id="8" xr3:uid="{60928C38-9593-43BD-B23F-A707A8BA6BF4}" uniqueName="8" name="Дата" queryTableFieldId="19" dataDxfId="799"/>
    <tableColumn id="9" xr3:uid="{9E5D4465-E1ED-428A-B708-C10ADDB65305}" uniqueName="9" name="Время" queryTableFieldId="20" dataDxfId="798"/>
    <tableColumn id="5" xr3:uid="{A9911CA3-0E83-4156-B13A-725D5483CB80}" uniqueName="5" name="Событие" queryTableFieldId="27" dataDxfId="889"/>
    <tableColumn id="7" xr3:uid="{22ACAF1F-F285-43EB-B67C-1DAA0609E04C}" uniqueName="7" name="Объект" queryTableFieldId="29" dataDxfId="888"/>
    <tableColumn id="10" xr3:uid="{8E679C38-5159-496B-8534-CDFA63A95BDF}" uniqueName="10" name="Груз" queryTableFieldId="30" dataDxfId="887"/>
    <tableColumn id="13" xr3:uid="{A06491EC-5198-4E5F-9576-1A3B2FF455BF}" uniqueName="13" name="Кол-во" queryTableFieldId="31" dataDxfId="797"/>
    <tableColumn id="14" xr3:uid="{881B0B85-064A-4D8F-922A-E2F2D20FE30E}" uniqueName="14" name="Примечание" queryTableFieldId="32" dataDxfId="886"/>
    <tableColumn id="4" xr3:uid="{83859021-3431-4733-9E28-9475D80139E8}" uniqueName="4" name="Name" queryTableFieldId="14" dataDxfId="885"/>
    <tableColumn id="1" xr3:uid="{F6AD7BBE-7CE0-4E30-97C2-B8AA8EFFB52B}" uniqueName="1" name="Folder Path" queryTableFieldId="11" dataDxfId="88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796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77"/>
    <tableColumn id="3" xr3:uid="{8C3702C1-E43C-496C-A204-7587B7ED5C05}" uniqueName="3" name="Время" queryTableFieldId="3" dataDxfId="776"/>
    <tableColumn id="4" xr3:uid="{C16264D0-558B-425C-8205-E671C6E3EB9E}" uniqueName="4" name="Событие" queryTableFieldId="4" dataDxfId="77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83"/>
    <tableColumn id="10" xr3:uid="{37082223-0A57-495F-97B8-0BCE1F173A2E}" uniqueName="10" name="Folder Path" queryTableFieldId="10" dataDxfId="88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77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773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772" priority="21" operator="notContains" text="порожний">
      <formula>ISERROR(SEARCH("порожний",F2))</formula>
    </cfRule>
  </conditionalFormatting>
  <conditionalFormatting sqref="E2:E265">
    <cfRule type="containsText" dxfId="771" priority="12" operator="containsText" text="Газель базы">
      <formula>NOT(ISERROR(SEARCH("Газель базы",E2)))</formula>
    </cfRule>
    <cfRule type="containsText" dxfId="770" priority="13" operator="containsText" text="Погрузчик базы">
      <formula>NOT(ISERROR(SEARCH("Погрузчик базы",E2)))</formula>
    </cfRule>
  </conditionalFormatting>
  <conditionalFormatting sqref="E2:E265">
    <cfRule type="containsText" dxfId="769" priority="11" operator="containsText" text="Трактор базы">
      <formula>NOT(ISERROR(SEARCH("Трактор базы",E2)))</formula>
    </cfRule>
  </conditionalFormatting>
  <conditionalFormatting sqref="A2:C251">
    <cfRule type="expression" dxfId="768" priority="9">
      <formula>$A2="пн"</formula>
    </cfRule>
  </conditionalFormatting>
  <conditionalFormatting sqref="A2:C253">
    <cfRule type="expression" dxfId="767" priority="3">
      <formula>$A2="вс"</formula>
    </cfRule>
    <cfRule type="expression" dxfId="766" priority="4">
      <formula>$A2="сб"</formula>
    </cfRule>
    <cfRule type="expression" dxfId="765" priority="5">
      <formula>$A2="пт"</formula>
    </cfRule>
    <cfRule type="expression" dxfId="764" priority="6">
      <formula>$A2="чт"</formula>
    </cfRule>
    <cfRule type="expression" dxfId="763" priority="7">
      <formula>$A2="ср"</formula>
    </cfRule>
    <cfRule type="expression" dxfId="762" priority="8">
      <formula>$A2="вт"</formula>
    </cfRule>
  </conditionalFormatting>
  <conditionalFormatting sqref="D2:D262">
    <cfRule type="containsText" dxfId="7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7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759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758" priority="13" operator="notContains" text="порожний">
      <formula>ISERROR(SEARCH("порожний",F2))</formula>
    </cfRule>
  </conditionalFormatting>
  <conditionalFormatting sqref="E2:E293">
    <cfRule type="containsText" dxfId="757" priority="11" operator="containsText" text="Газель базы">
      <formula>NOT(ISERROR(SEARCH("Газель базы",E2)))</formula>
    </cfRule>
    <cfRule type="containsText" dxfId="756" priority="12" operator="containsText" text="Погрузчик базы">
      <formula>NOT(ISERROR(SEARCH("Погрузчик базы",E2)))</formula>
    </cfRule>
  </conditionalFormatting>
  <conditionalFormatting sqref="E2:E293">
    <cfRule type="containsText" dxfId="755" priority="10" operator="containsText" text="Трактор базы">
      <formula>NOT(ISERROR(SEARCH("Трактор базы",E2)))</formula>
    </cfRule>
  </conditionalFormatting>
  <conditionalFormatting sqref="A2:C279">
    <cfRule type="expression" dxfId="754" priority="9">
      <formula>$A2="пн"</formula>
    </cfRule>
  </conditionalFormatting>
  <conditionalFormatting sqref="A2:C281">
    <cfRule type="expression" dxfId="753" priority="3">
      <formula>$A2="вс"</formula>
    </cfRule>
    <cfRule type="expression" dxfId="752" priority="4">
      <formula>$A2="сб"</formula>
    </cfRule>
    <cfRule type="expression" dxfId="751" priority="5">
      <formula>$A2="пт"</formula>
    </cfRule>
    <cfRule type="expression" dxfId="750" priority="6">
      <formula>$A2="чт"</formula>
    </cfRule>
    <cfRule type="expression" dxfId="749" priority="7">
      <formula>$A2="ср"</formula>
    </cfRule>
    <cfRule type="expression" dxfId="748" priority="8">
      <formula>$A2="вт"</formula>
    </cfRule>
  </conditionalFormatting>
  <conditionalFormatting sqref="D2:D290">
    <cfRule type="containsText" dxfId="7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45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44" priority="13" operator="notContains" text="порожний">
      <formula>ISERROR(SEARCH("порожний",F2))</formula>
    </cfRule>
  </conditionalFormatting>
  <conditionalFormatting sqref="E2:E175">
    <cfRule type="containsText" dxfId="743" priority="11" operator="containsText" text="Газель базы">
      <formula>NOT(ISERROR(SEARCH("Газель базы",E2)))</formula>
    </cfRule>
    <cfRule type="containsText" dxfId="742" priority="12" operator="containsText" text="Погрузчик базы">
      <formula>NOT(ISERROR(SEARCH("Погрузчик базы",E2)))</formula>
    </cfRule>
  </conditionalFormatting>
  <conditionalFormatting sqref="E2:E175">
    <cfRule type="containsText" dxfId="741" priority="10" operator="containsText" text="Трактор базы">
      <formula>NOT(ISERROR(SEARCH("Трактор базы",E2)))</formula>
    </cfRule>
  </conditionalFormatting>
  <conditionalFormatting sqref="A2:C161">
    <cfRule type="expression" dxfId="740" priority="9">
      <formula>$A2="пн"</formula>
    </cfRule>
  </conditionalFormatting>
  <conditionalFormatting sqref="A2:C163">
    <cfRule type="expression" dxfId="739" priority="3">
      <formula>$A2="вс"</formula>
    </cfRule>
    <cfRule type="expression" dxfId="738" priority="4">
      <formula>$A2="сб"</formula>
    </cfRule>
    <cfRule type="expression" dxfId="737" priority="5">
      <formula>$A2="пт"</formula>
    </cfRule>
    <cfRule type="expression" dxfId="736" priority="6">
      <formula>$A2="чт"</formula>
    </cfRule>
    <cfRule type="expression" dxfId="735" priority="7">
      <formula>$A2="ср"</formula>
    </cfRule>
    <cfRule type="expression" dxfId="734" priority="8">
      <formula>$A2="вт"</formula>
    </cfRule>
  </conditionalFormatting>
  <conditionalFormatting sqref="D2:D172">
    <cfRule type="containsText" dxfId="7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08"/>
  <sheetViews>
    <sheetView tabSelected="1" zoomScale="90" zoomScaleNormal="90" workbookViewId="0">
      <pane ySplit="1" topLeftCell="A188" activePane="bottomLeft" state="frozen"/>
      <selection pane="bottomLeft" activeCell="E213" sqref="E2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10" t="s">
        <v>4</v>
      </c>
      <c r="E2" s="10" t="s">
        <v>8</v>
      </c>
      <c r="F2" s="10"/>
      <c r="H2" s="10" t="s">
        <v>5</v>
      </c>
      <c r="I2" s="10" t="s">
        <v>291</v>
      </c>
      <c r="J2" s="10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10" t="s">
        <v>4</v>
      </c>
      <c r="E3" s="10" t="s">
        <v>8</v>
      </c>
      <c r="F3" s="10"/>
      <c r="H3" s="10" t="s">
        <v>6</v>
      </c>
      <c r="I3" s="10" t="s">
        <v>295</v>
      </c>
      <c r="J3" s="10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10" t="s">
        <v>4</v>
      </c>
      <c r="E4" s="10" t="s">
        <v>8</v>
      </c>
      <c r="F4" s="10"/>
      <c r="H4" s="10" t="s">
        <v>5</v>
      </c>
      <c r="I4" s="10" t="s">
        <v>298</v>
      </c>
      <c r="J4" s="10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10" t="s">
        <v>4</v>
      </c>
      <c r="E5" s="10" t="s">
        <v>8</v>
      </c>
      <c r="F5" s="10"/>
      <c r="H5" s="10" t="s">
        <v>6</v>
      </c>
      <c r="I5" s="10" t="s">
        <v>301</v>
      </c>
      <c r="J5" s="10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10" t="s">
        <v>4</v>
      </c>
      <c r="E6" s="10" t="s">
        <v>8</v>
      </c>
      <c r="F6" s="10"/>
      <c r="H6" s="10" t="s">
        <v>331</v>
      </c>
      <c r="I6" s="10" t="s">
        <v>304</v>
      </c>
      <c r="J6" s="10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10" t="s">
        <v>4</v>
      </c>
      <c r="E7" s="10" t="s">
        <v>8</v>
      </c>
      <c r="F7" s="10"/>
      <c r="H7" s="10" t="s">
        <v>331</v>
      </c>
      <c r="I7" s="10" t="s">
        <v>307</v>
      </c>
      <c r="J7" s="10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10" t="s">
        <v>4</v>
      </c>
      <c r="E8" s="10" t="s">
        <v>8</v>
      </c>
      <c r="F8" s="10"/>
      <c r="H8" s="10" t="s">
        <v>332</v>
      </c>
      <c r="I8" s="10" t="s">
        <v>310</v>
      </c>
      <c r="J8" s="10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10" t="s">
        <v>4</v>
      </c>
      <c r="E9" s="10" t="s">
        <v>8</v>
      </c>
      <c r="F9" s="10"/>
      <c r="H9" s="10" t="s">
        <v>6</v>
      </c>
      <c r="I9" s="10" t="s">
        <v>313</v>
      </c>
      <c r="J9" s="10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10" t="s">
        <v>4</v>
      </c>
      <c r="E10" s="10" t="s">
        <v>8</v>
      </c>
      <c r="F10" s="10"/>
      <c r="H10" s="10" t="s">
        <v>5</v>
      </c>
      <c r="I10" s="10" t="s">
        <v>316</v>
      </c>
      <c r="J10" s="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10" t="s">
        <v>4</v>
      </c>
      <c r="E11" s="10" t="s">
        <v>8</v>
      </c>
      <c r="F11" s="10"/>
      <c r="H11" s="10" t="s">
        <v>331</v>
      </c>
      <c r="I11" s="10" t="s">
        <v>319</v>
      </c>
      <c r="J11" s="10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10" t="s">
        <v>4</v>
      </c>
      <c r="E12" s="10" t="s">
        <v>8</v>
      </c>
      <c r="F12" s="10"/>
      <c r="H12" s="10" t="s">
        <v>6</v>
      </c>
      <c r="I12" s="10" t="s">
        <v>322</v>
      </c>
      <c r="J12" s="10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10" t="s">
        <v>4</v>
      </c>
      <c r="E13" s="10" t="s">
        <v>8</v>
      </c>
      <c r="F13" s="10"/>
      <c r="H13" s="10" t="s">
        <v>5</v>
      </c>
      <c r="I13" s="10" t="s">
        <v>325</v>
      </c>
      <c r="J13" s="10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10" t="s">
        <v>4</v>
      </c>
      <c r="E14" s="10" t="s">
        <v>8</v>
      </c>
      <c r="F14" s="10"/>
      <c r="H14" s="10" t="s">
        <v>6</v>
      </c>
      <c r="I14" s="10" t="s">
        <v>328</v>
      </c>
      <c r="J14" s="10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10" t="s">
        <v>4</v>
      </c>
      <c r="E15" s="10" t="s">
        <v>8</v>
      </c>
      <c r="F15" s="10"/>
      <c r="H15" s="10" t="s">
        <v>2009</v>
      </c>
      <c r="I15" s="10" t="s">
        <v>1238</v>
      </c>
      <c r="J15" s="10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10" t="s">
        <v>1606</v>
      </c>
      <c r="E16" s="10" t="s">
        <v>56</v>
      </c>
      <c r="F16" s="10" t="s">
        <v>2010</v>
      </c>
      <c r="G16">
        <v>1</v>
      </c>
      <c r="H16" s="10"/>
      <c r="I16" s="10" t="s">
        <v>1241</v>
      </c>
      <c r="J16" s="10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10" t="s">
        <v>1094</v>
      </c>
      <c r="E17" s="10" t="s">
        <v>70</v>
      </c>
      <c r="F17" s="10" t="s">
        <v>2010</v>
      </c>
      <c r="H17" s="10" t="s">
        <v>2011</v>
      </c>
      <c r="I17" s="10" t="s">
        <v>1244</v>
      </c>
      <c r="J17" s="10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10" t="s">
        <v>2012</v>
      </c>
      <c r="E18" s="10" t="s">
        <v>70</v>
      </c>
      <c r="F18" s="10" t="s">
        <v>2010</v>
      </c>
      <c r="H18" s="10" t="s">
        <v>2011</v>
      </c>
      <c r="I18" s="10" t="s">
        <v>1247</v>
      </c>
      <c r="J18" s="10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10" t="s">
        <v>650</v>
      </c>
      <c r="E19" s="10" t="s">
        <v>70</v>
      </c>
      <c r="F19" s="10" t="s">
        <v>2010</v>
      </c>
      <c r="H19" s="10"/>
      <c r="I19" s="10" t="s">
        <v>1250</v>
      </c>
      <c r="J19" s="10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10" t="s">
        <v>1606</v>
      </c>
      <c r="E20" s="10" t="s">
        <v>2001</v>
      </c>
      <c r="F20" s="10"/>
      <c r="H20" s="10"/>
      <c r="I20" s="10" t="s">
        <v>1253</v>
      </c>
      <c r="J20" s="1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10" t="s">
        <v>650</v>
      </c>
      <c r="E21" s="10" t="s">
        <v>2001</v>
      </c>
      <c r="F21" s="10"/>
      <c r="H21" s="10"/>
      <c r="I21" s="10" t="s">
        <v>1256</v>
      </c>
      <c r="J21" s="10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10" t="s">
        <v>1606</v>
      </c>
      <c r="E22" s="10" t="s">
        <v>2002</v>
      </c>
      <c r="F22" s="10"/>
      <c r="H22" s="10"/>
      <c r="I22" s="10" t="s">
        <v>1259</v>
      </c>
      <c r="J22" s="10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10" t="s">
        <v>1606</v>
      </c>
      <c r="E23" s="10" t="s">
        <v>70</v>
      </c>
      <c r="F23" s="10" t="s">
        <v>2010</v>
      </c>
      <c r="H23" s="10"/>
      <c r="I23" s="10" t="s">
        <v>1262</v>
      </c>
      <c r="J23" s="10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10" t="s">
        <v>4</v>
      </c>
      <c r="E24" s="10" t="s">
        <v>8</v>
      </c>
      <c r="F24" s="10"/>
      <c r="H24" s="10"/>
      <c r="I24" s="10" t="s">
        <v>1265</v>
      </c>
      <c r="J24" s="10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10" t="s">
        <v>2013</v>
      </c>
      <c r="E25" s="10" t="s">
        <v>56</v>
      </c>
      <c r="F25" s="10"/>
      <c r="H25" s="10"/>
      <c r="I25" s="10" t="s">
        <v>1268</v>
      </c>
      <c r="J25" s="10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10" t="s">
        <v>289</v>
      </c>
      <c r="E26" s="10" t="s">
        <v>56</v>
      </c>
      <c r="F26" s="10" t="s">
        <v>200</v>
      </c>
      <c r="H26" s="10"/>
      <c r="I26" s="10" t="s">
        <v>1271</v>
      </c>
      <c r="J26" s="10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10" t="s">
        <v>650</v>
      </c>
      <c r="E27" s="10" t="s">
        <v>2002</v>
      </c>
      <c r="F27" s="10"/>
      <c r="H27" s="10"/>
      <c r="I27" s="10" t="s">
        <v>1274</v>
      </c>
      <c r="J27" s="10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10" t="s">
        <v>650</v>
      </c>
      <c r="E28" s="10" t="s">
        <v>56</v>
      </c>
      <c r="F28" s="10" t="s">
        <v>200</v>
      </c>
      <c r="H28" s="10"/>
      <c r="I28" s="10" t="s">
        <v>1277</v>
      </c>
      <c r="J28" s="10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10" t="s">
        <v>4</v>
      </c>
      <c r="E29" s="10" t="s">
        <v>8</v>
      </c>
      <c r="F29" s="10"/>
      <c r="H29" s="10"/>
      <c r="I29" s="10" t="s">
        <v>1280</v>
      </c>
      <c r="J29" s="10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10" t="s">
        <v>4</v>
      </c>
      <c r="E30" s="10" t="s">
        <v>8</v>
      </c>
      <c r="F30" s="10"/>
      <c r="H30" s="10" t="s">
        <v>1625</v>
      </c>
      <c r="I30" s="10" t="s">
        <v>1283</v>
      </c>
      <c r="J30" s="1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10" t="s">
        <v>4</v>
      </c>
      <c r="E31" s="10" t="s">
        <v>8</v>
      </c>
      <c r="F31" s="10"/>
      <c r="H31" s="10" t="s">
        <v>2009</v>
      </c>
      <c r="I31" s="10" t="s">
        <v>1286</v>
      </c>
      <c r="J31" s="10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10" t="s">
        <v>4</v>
      </c>
      <c r="E32" s="10" t="s">
        <v>8</v>
      </c>
      <c r="F32" s="10"/>
      <c r="H32" s="10" t="s">
        <v>2004</v>
      </c>
      <c r="I32" s="10" t="s">
        <v>1289</v>
      </c>
      <c r="J32" s="10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10" t="s">
        <v>4</v>
      </c>
      <c r="E33" s="10" t="s">
        <v>8</v>
      </c>
      <c r="F33" s="10"/>
      <c r="H33" s="10" t="s">
        <v>1625</v>
      </c>
      <c r="I33" s="10" t="s">
        <v>1292</v>
      </c>
      <c r="J33" s="10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10" t="s">
        <v>2004</v>
      </c>
      <c r="E34" s="10"/>
      <c r="F34" s="10"/>
      <c r="H34" s="10"/>
      <c r="I34" s="10" t="s">
        <v>2133</v>
      </c>
      <c r="J34" s="10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10" t="s">
        <v>4</v>
      </c>
      <c r="E35" s="10" t="s">
        <v>2927</v>
      </c>
      <c r="F35" s="10" t="s">
        <v>58</v>
      </c>
      <c r="H35" s="10"/>
      <c r="I35" s="10" t="s">
        <v>2136</v>
      </c>
      <c r="J35" s="10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10" t="s">
        <v>4</v>
      </c>
      <c r="E36" s="10" t="s">
        <v>8</v>
      </c>
      <c r="F36" s="10"/>
      <c r="H36" s="10" t="s">
        <v>2931</v>
      </c>
      <c r="I36" s="10" t="s">
        <v>2139</v>
      </c>
      <c r="J36" s="10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10" t="s">
        <v>2004</v>
      </c>
      <c r="E37" s="10"/>
      <c r="F37" s="10"/>
      <c r="H37" s="10"/>
      <c r="I37" s="10" t="s">
        <v>2142</v>
      </c>
      <c r="J37" s="10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10" t="s">
        <v>2004</v>
      </c>
      <c r="E38" s="10"/>
      <c r="F38" s="10"/>
      <c r="H38" s="10"/>
      <c r="I38" s="10" t="s">
        <v>2145</v>
      </c>
      <c r="J38" s="10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10" t="s">
        <v>2004</v>
      </c>
      <c r="E39" s="10"/>
      <c r="F39" s="10"/>
      <c r="H39" s="10"/>
      <c r="I39" s="10" t="s">
        <v>2148</v>
      </c>
      <c r="J39" s="10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10" t="s">
        <v>2004</v>
      </c>
      <c r="E40" s="10"/>
      <c r="F40" s="10"/>
      <c r="H40" s="10"/>
      <c r="I40" s="10" t="s">
        <v>2151</v>
      </c>
      <c r="J40" s="1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10" t="s">
        <v>4</v>
      </c>
      <c r="E41" s="10" t="s">
        <v>8</v>
      </c>
      <c r="F41" s="10"/>
      <c r="H41" s="10"/>
      <c r="I41" s="10" t="s">
        <v>3381</v>
      </c>
      <c r="J41" s="10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10" t="s">
        <v>4</v>
      </c>
      <c r="E42" s="10" t="s">
        <v>70</v>
      </c>
      <c r="F42" s="10" t="s">
        <v>58</v>
      </c>
      <c r="H42" s="10"/>
      <c r="I42" s="10" t="s">
        <v>3384</v>
      </c>
      <c r="J42" s="10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10" t="s">
        <v>4</v>
      </c>
      <c r="E43" s="10" t="s">
        <v>70</v>
      </c>
      <c r="F43" s="10" t="s">
        <v>51</v>
      </c>
      <c r="H43" s="10"/>
      <c r="I43" s="10" t="s">
        <v>3387</v>
      </c>
      <c r="J43" s="10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10" t="s">
        <v>4</v>
      </c>
      <c r="E44" s="10" t="s">
        <v>8</v>
      </c>
      <c r="F44" s="10"/>
      <c r="H44" s="10"/>
      <c r="I44" s="10" t="s">
        <v>3390</v>
      </c>
      <c r="J44" s="10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10" t="s">
        <v>4</v>
      </c>
      <c r="E45" s="10" t="s">
        <v>8</v>
      </c>
      <c r="F45" s="10"/>
      <c r="H45" s="10"/>
      <c r="I45" s="10" t="s">
        <v>3393</v>
      </c>
      <c r="J45" s="10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10" t="s">
        <v>4</v>
      </c>
      <c r="E46" s="10" t="s">
        <v>8</v>
      </c>
      <c r="F46" s="10"/>
      <c r="H46" s="10"/>
      <c r="I46" s="10" t="s">
        <v>3396</v>
      </c>
      <c r="J46" s="10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10" t="s">
        <v>4</v>
      </c>
      <c r="E47" s="10" t="s">
        <v>8</v>
      </c>
      <c r="F47" s="10"/>
      <c r="H47" s="10"/>
      <c r="I47" s="10" t="s">
        <v>3399</v>
      </c>
      <c r="J47" s="10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10" t="s">
        <v>4</v>
      </c>
      <c r="E48" s="10" t="s">
        <v>4194</v>
      </c>
      <c r="F48" s="10" t="s">
        <v>4196</v>
      </c>
      <c r="H48" s="10" t="s">
        <v>4205</v>
      </c>
      <c r="I48" s="10" t="s">
        <v>3402</v>
      </c>
      <c r="J48" s="10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10" t="s">
        <v>650</v>
      </c>
      <c r="E49" s="10" t="s">
        <v>55</v>
      </c>
      <c r="F49" s="10" t="s">
        <v>51</v>
      </c>
      <c r="H49" s="10"/>
      <c r="I49" s="10" t="s">
        <v>4264</v>
      </c>
      <c r="J49" s="10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10" t="s">
        <v>1606</v>
      </c>
      <c r="E50" s="10" t="s">
        <v>55</v>
      </c>
      <c r="F50" s="10" t="s">
        <v>51</v>
      </c>
      <c r="H50" s="10"/>
      <c r="I50" s="10" t="s">
        <v>4267</v>
      </c>
      <c r="J50" s="1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10" t="s">
        <v>290</v>
      </c>
      <c r="E51" s="10" t="s">
        <v>4194</v>
      </c>
      <c r="F51" s="10" t="s">
        <v>5093</v>
      </c>
      <c r="H51" s="10"/>
      <c r="I51" s="10" t="s">
        <v>4450</v>
      </c>
      <c r="J51" s="10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10" t="s">
        <v>290</v>
      </c>
      <c r="E52" s="10" t="s">
        <v>4194</v>
      </c>
      <c r="F52" s="10" t="s">
        <v>5093</v>
      </c>
      <c r="H52" s="10"/>
      <c r="I52" s="10" t="s">
        <v>4453</v>
      </c>
      <c r="J52" s="10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10" t="s">
        <v>650</v>
      </c>
      <c r="E53" s="10" t="s">
        <v>4194</v>
      </c>
      <c r="F53" s="10"/>
      <c r="H53" s="10"/>
      <c r="I53" s="10" t="s">
        <v>4456</v>
      </c>
      <c r="J53" s="10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10" t="s">
        <v>289</v>
      </c>
      <c r="E54" s="10" t="s">
        <v>70</v>
      </c>
      <c r="F54" s="10" t="s">
        <v>5093</v>
      </c>
      <c r="H54" s="10" t="s">
        <v>5094</v>
      </c>
      <c r="I54" s="10" t="s">
        <v>4459</v>
      </c>
      <c r="J54" s="10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10" t="s">
        <v>290</v>
      </c>
      <c r="E55" s="10" t="s">
        <v>70</v>
      </c>
      <c r="F55" s="10" t="s">
        <v>5093</v>
      </c>
      <c r="H55" s="10" t="s">
        <v>5094</v>
      </c>
      <c r="I55" s="10" t="s">
        <v>5090</v>
      </c>
      <c r="J55" s="10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10" t="s">
        <v>650</v>
      </c>
      <c r="E56" s="10" t="s">
        <v>70</v>
      </c>
      <c r="F56" s="10"/>
      <c r="H56" s="10"/>
      <c r="I56" s="10" t="s">
        <v>4462</v>
      </c>
      <c r="J56" s="10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10" t="s">
        <v>2004</v>
      </c>
      <c r="E57" s="10" t="s">
        <v>8</v>
      </c>
      <c r="F57" s="10"/>
      <c r="H57" s="10"/>
      <c r="I57" s="10" t="s">
        <v>4465</v>
      </c>
      <c r="J57" s="10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10" t="s">
        <v>289</v>
      </c>
      <c r="E58" s="10" t="s">
        <v>70</v>
      </c>
      <c r="F58" s="10" t="s">
        <v>5093</v>
      </c>
      <c r="H58" s="10" t="s">
        <v>5095</v>
      </c>
      <c r="I58" s="10" t="s">
        <v>4468</v>
      </c>
      <c r="J58" s="10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10" t="s">
        <v>289</v>
      </c>
      <c r="E59" s="10" t="s">
        <v>70</v>
      </c>
      <c r="F59" s="10" t="s">
        <v>5093</v>
      </c>
      <c r="H59" s="10" t="s">
        <v>2936</v>
      </c>
      <c r="I59" s="10" t="s">
        <v>4471</v>
      </c>
      <c r="J59" s="10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10" t="s">
        <v>289</v>
      </c>
      <c r="E60" s="10" t="s">
        <v>70</v>
      </c>
      <c r="F60" s="10" t="s">
        <v>5093</v>
      </c>
      <c r="H60" s="10" t="s">
        <v>2936</v>
      </c>
      <c r="I60" s="10" t="s">
        <v>4474</v>
      </c>
      <c r="J60" s="1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10" t="s">
        <v>289</v>
      </c>
      <c r="E61" s="10" t="s">
        <v>70</v>
      </c>
      <c r="F61" s="10" t="s">
        <v>5093</v>
      </c>
      <c r="H61" s="10" t="s">
        <v>5096</v>
      </c>
      <c r="I61" s="10" t="s">
        <v>4477</v>
      </c>
      <c r="J61" s="10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10" t="s">
        <v>650</v>
      </c>
      <c r="E62" s="10" t="s">
        <v>70</v>
      </c>
      <c r="F62" s="10"/>
      <c r="H62" s="10"/>
      <c r="I62" s="10" t="s">
        <v>4480</v>
      </c>
      <c r="J62" s="10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10" t="s">
        <v>4</v>
      </c>
      <c r="E63" s="10" t="s">
        <v>8</v>
      </c>
      <c r="F63" s="10"/>
      <c r="H63" s="10"/>
      <c r="I63" s="10" t="s">
        <v>4483</v>
      </c>
      <c r="J63" s="10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10" t="s">
        <v>2004</v>
      </c>
      <c r="E64" s="10" t="s">
        <v>8</v>
      </c>
      <c r="F64" s="10"/>
      <c r="H64" s="10"/>
      <c r="I64" s="10" t="s">
        <v>4486</v>
      </c>
      <c r="J64" s="10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10" t="s">
        <v>4</v>
      </c>
      <c r="E65" s="10" t="s">
        <v>8</v>
      </c>
      <c r="F65" s="10"/>
      <c r="H65" s="10"/>
      <c r="I65" s="10" t="s">
        <v>5226</v>
      </c>
      <c r="J65" s="10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10" t="s">
        <v>2004</v>
      </c>
      <c r="E66" s="10" t="s">
        <v>8</v>
      </c>
      <c r="F66" s="10"/>
      <c r="H66" s="10"/>
      <c r="I66" s="10" t="s">
        <v>5297</v>
      </c>
      <c r="J66" s="10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10" t="s">
        <v>290</v>
      </c>
      <c r="E67" s="10" t="s">
        <v>5505</v>
      </c>
      <c r="F67" s="10" t="s">
        <v>6173</v>
      </c>
      <c r="H67" s="10"/>
      <c r="I67" s="10" t="s">
        <v>5696</v>
      </c>
      <c r="J67" s="10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10" t="s">
        <v>290</v>
      </c>
      <c r="E68" s="10" t="s">
        <v>5505</v>
      </c>
      <c r="F68" s="10" t="s">
        <v>6173</v>
      </c>
      <c r="H68" s="10" t="s">
        <v>2936</v>
      </c>
      <c r="I68" s="10" t="s">
        <v>5699</v>
      </c>
      <c r="J68" s="10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10" t="s">
        <v>290</v>
      </c>
      <c r="E69" s="10" t="s">
        <v>5505</v>
      </c>
      <c r="F69" s="10" t="s">
        <v>6173</v>
      </c>
      <c r="H69" s="10" t="s">
        <v>2936</v>
      </c>
      <c r="I69" s="10" t="s">
        <v>5702</v>
      </c>
      <c r="J69" s="10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10" t="s">
        <v>2004</v>
      </c>
      <c r="E70" s="10" t="s">
        <v>8</v>
      </c>
      <c r="F70" s="10"/>
      <c r="H70" s="10"/>
      <c r="I70" s="10" t="s">
        <v>5705</v>
      </c>
      <c r="J70" s="1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10" t="s">
        <v>4</v>
      </c>
      <c r="E71" s="10" t="s">
        <v>8</v>
      </c>
      <c r="F71" s="10"/>
      <c r="H71" s="10"/>
      <c r="I71" s="10" t="s">
        <v>5828</v>
      </c>
      <c r="J71" s="10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10" t="s">
        <v>4</v>
      </c>
      <c r="E72" s="10" t="s">
        <v>8</v>
      </c>
      <c r="F72" s="10"/>
      <c r="H72" s="10"/>
      <c r="I72" s="10" t="s">
        <v>5831</v>
      </c>
      <c r="J72" s="10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10" t="s">
        <v>4</v>
      </c>
      <c r="E73" s="10" t="s">
        <v>8</v>
      </c>
      <c r="F73" s="10"/>
      <c r="H73" s="10"/>
      <c r="I73" s="10" t="s">
        <v>5834</v>
      </c>
      <c r="J73" s="10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10" t="s">
        <v>1606</v>
      </c>
      <c r="E74" s="10" t="s">
        <v>55</v>
      </c>
      <c r="F74" s="10" t="s">
        <v>51</v>
      </c>
      <c r="H74" s="10"/>
      <c r="I74" s="10" t="s">
        <v>5837</v>
      </c>
      <c r="J74" s="10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10" t="s">
        <v>4</v>
      </c>
      <c r="E75" s="10" t="s">
        <v>6167</v>
      </c>
      <c r="F75" s="10" t="s">
        <v>58</v>
      </c>
      <c r="H75" s="10"/>
      <c r="I75" s="10" t="s">
        <v>6044</v>
      </c>
      <c r="J75" s="10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10" t="s">
        <v>4</v>
      </c>
      <c r="E76" s="10" t="s">
        <v>6167</v>
      </c>
      <c r="F76" s="10" t="s">
        <v>58</v>
      </c>
      <c r="H76" s="10" t="s">
        <v>4205</v>
      </c>
      <c r="I76" s="10" t="s">
        <v>6047</v>
      </c>
      <c r="J76" s="10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10" t="s">
        <v>1606</v>
      </c>
      <c r="E77" s="10" t="s">
        <v>6166</v>
      </c>
      <c r="F77" s="10" t="s">
        <v>51</v>
      </c>
      <c r="H77" s="10"/>
      <c r="I77" s="10" t="s">
        <v>6050</v>
      </c>
      <c r="J77" s="10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10" t="s">
        <v>1606</v>
      </c>
      <c r="E78" s="10" t="s">
        <v>6165</v>
      </c>
      <c r="F78" s="10" t="s">
        <v>51</v>
      </c>
      <c r="H78" s="10"/>
      <c r="I78" s="10" t="s">
        <v>6053</v>
      </c>
      <c r="J78" s="10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10" t="s">
        <v>650</v>
      </c>
      <c r="E79" s="10" t="s">
        <v>6166</v>
      </c>
      <c r="F79" s="10" t="s">
        <v>51</v>
      </c>
      <c r="H79" s="10"/>
      <c r="I79" s="10" t="s">
        <v>6056</v>
      </c>
      <c r="J79" s="10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10" t="s">
        <v>650</v>
      </c>
      <c r="E80" s="10" t="s">
        <v>6165</v>
      </c>
      <c r="F80" s="10" t="s">
        <v>51</v>
      </c>
      <c r="H80" s="10"/>
      <c r="I80" s="10" t="s">
        <v>6059</v>
      </c>
      <c r="J80" s="1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10" t="s">
        <v>1606</v>
      </c>
      <c r="E81" s="10" t="s">
        <v>6167</v>
      </c>
      <c r="F81" s="10" t="s">
        <v>58</v>
      </c>
      <c r="H81" s="10"/>
      <c r="I81" s="10" t="s">
        <v>6062</v>
      </c>
      <c r="J81" s="10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10" t="s">
        <v>6174</v>
      </c>
      <c r="E82" s="10" t="s">
        <v>6167</v>
      </c>
      <c r="F82" s="10" t="s">
        <v>58</v>
      </c>
      <c r="H82" s="10"/>
      <c r="I82" s="10" t="s">
        <v>6161</v>
      </c>
      <c r="J82" s="10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10" t="s">
        <v>2004</v>
      </c>
      <c r="E83" s="10" t="s">
        <v>8</v>
      </c>
      <c r="F83" s="10"/>
      <c r="H83" s="10"/>
      <c r="I83" s="10" t="s">
        <v>6201</v>
      </c>
      <c r="J83" s="10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10" t="s">
        <v>4</v>
      </c>
      <c r="E84" s="10" t="s">
        <v>8</v>
      </c>
      <c r="F84" s="10"/>
      <c r="H84" s="10"/>
      <c r="I84" s="10" t="s">
        <v>6346</v>
      </c>
      <c r="J84" s="10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10" t="s">
        <v>289</v>
      </c>
      <c r="E85" s="10" t="s">
        <v>70</v>
      </c>
      <c r="F85" s="10" t="s">
        <v>6342</v>
      </c>
      <c r="H85" s="10"/>
      <c r="I85" s="10" t="s">
        <v>6310</v>
      </c>
      <c r="J85" s="10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10" t="s">
        <v>1606</v>
      </c>
      <c r="E86" s="10" t="s">
        <v>6656</v>
      </c>
      <c r="F86" s="10" t="s">
        <v>51</v>
      </c>
      <c r="H86" s="10"/>
      <c r="I86" s="10" t="s">
        <v>6545</v>
      </c>
      <c r="J86" s="10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10" t="s">
        <v>289</v>
      </c>
      <c r="E87" s="10" t="s">
        <v>6656</v>
      </c>
      <c r="F87" s="10" t="s">
        <v>6657</v>
      </c>
      <c r="H87" s="10"/>
      <c r="I87" s="10" t="s">
        <v>6548</v>
      </c>
      <c r="J87" s="10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10" t="s">
        <v>4</v>
      </c>
      <c r="E88" s="10" t="s">
        <v>6867</v>
      </c>
      <c r="F88" s="10"/>
      <c r="H88" s="10"/>
      <c r="I88" s="10" t="s">
        <v>6703</v>
      </c>
      <c r="J88" s="10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10" t="s">
        <v>650</v>
      </c>
      <c r="E89" s="10" t="s">
        <v>6190</v>
      </c>
      <c r="F89" s="10" t="s">
        <v>51</v>
      </c>
      <c r="H89" s="10"/>
      <c r="I89" s="10" t="s">
        <v>6706</v>
      </c>
      <c r="J89" s="10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10" t="s">
        <v>1606</v>
      </c>
      <c r="E90" s="10" t="s">
        <v>6190</v>
      </c>
      <c r="F90" s="10" t="s">
        <v>51</v>
      </c>
      <c r="H90" s="10"/>
      <c r="I90" s="10" t="s">
        <v>6709</v>
      </c>
      <c r="J90" s="1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10" t="s">
        <v>2004</v>
      </c>
      <c r="E91" s="10" t="s">
        <v>8</v>
      </c>
      <c r="F91" s="10"/>
      <c r="H91" s="10"/>
      <c r="I91" s="10" t="s">
        <v>6905</v>
      </c>
      <c r="J91" s="10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10" t="s">
        <v>2004</v>
      </c>
      <c r="E92" s="10" t="s">
        <v>8</v>
      </c>
      <c r="F92" s="10"/>
      <c r="H92" s="10"/>
      <c r="I92" s="10" t="s">
        <v>6908</v>
      </c>
      <c r="J92" s="10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10" t="s">
        <v>2004</v>
      </c>
      <c r="E93" s="10" t="s">
        <v>8</v>
      </c>
      <c r="F93" s="10"/>
      <c r="H93" s="10"/>
      <c r="I93" s="10" t="s">
        <v>7184</v>
      </c>
      <c r="J93" s="10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10" t="s">
        <v>2004</v>
      </c>
      <c r="E94" s="10" t="s">
        <v>8</v>
      </c>
      <c r="F94" s="10"/>
      <c r="H94" s="10"/>
      <c r="I94" s="10" t="s">
        <v>7227</v>
      </c>
      <c r="J94" s="10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10" t="s">
        <v>1606</v>
      </c>
      <c r="E95" s="10" t="s">
        <v>7410</v>
      </c>
      <c r="F95" s="10" t="s">
        <v>60</v>
      </c>
      <c r="H95" s="10"/>
      <c r="I95" s="10" t="s">
        <v>7230</v>
      </c>
      <c r="J95" s="10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10" t="s">
        <v>4216</v>
      </c>
      <c r="E96" s="10" t="s">
        <v>7410</v>
      </c>
      <c r="F96" s="10" t="s">
        <v>60</v>
      </c>
      <c r="H96" s="10"/>
      <c r="I96" s="10" t="s">
        <v>7233</v>
      </c>
      <c r="J96" s="10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10" t="s">
        <v>290</v>
      </c>
      <c r="E97" s="10" t="s">
        <v>7410</v>
      </c>
      <c r="F97" s="10" t="s">
        <v>60</v>
      </c>
      <c r="H97" s="10"/>
      <c r="I97" s="10" t="s">
        <v>7236</v>
      </c>
      <c r="J97" s="10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10" t="s">
        <v>650</v>
      </c>
      <c r="E98" s="10" t="s">
        <v>7410</v>
      </c>
      <c r="F98" s="10" t="s">
        <v>51</v>
      </c>
      <c r="H98" s="10"/>
      <c r="I98" s="10" t="s">
        <v>7239</v>
      </c>
      <c r="J98" s="10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10" t="s">
        <v>2004</v>
      </c>
      <c r="E99" s="10" t="s">
        <v>8</v>
      </c>
      <c r="F99" s="10"/>
      <c r="H99" s="10"/>
      <c r="I99" s="10" t="s">
        <v>7568</v>
      </c>
      <c r="J99" s="10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10" t="s">
        <v>1606</v>
      </c>
      <c r="E100" s="10" t="s">
        <v>7706</v>
      </c>
      <c r="F100" s="10" t="s">
        <v>60</v>
      </c>
      <c r="H100" s="10"/>
      <c r="I100" s="10" t="s">
        <v>7571</v>
      </c>
      <c r="J100" s="1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10" t="s">
        <v>6171</v>
      </c>
      <c r="E101" s="10" t="s">
        <v>7706</v>
      </c>
      <c r="F101" s="10" t="s">
        <v>60</v>
      </c>
      <c r="H101" s="10"/>
      <c r="I101" s="10" t="s">
        <v>7574</v>
      </c>
      <c r="J101" s="10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10" t="s">
        <v>650</v>
      </c>
      <c r="E102" s="10" t="s">
        <v>7706</v>
      </c>
      <c r="F102" s="10" t="s">
        <v>51</v>
      </c>
      <c r="H102" s="10"/>
      <c r="I102" s="10" t="s">
        <v>7577</v>
      </c>
      <c r="J102" s="10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10" t="s">
        <v>2004</v>
      </c>
      <c r="E103" s="10" t="s">
        <v>8</v>
      </c>
      <c r="F103" s="10"/>
      <c r="H103" s="10"/>
      <c r="I103" s="10" t="s">
        <v>7580</v>
      </c>
      <c r="J103" s="10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10" t="s">
        <v>2004</v>
      </c>
      <c r="E104" s="10" t="s">
        <v>8</v>
      </c>
      <c r="F104" s="10"/>
      <c r="H104" s="10"/>
      <c r="I104" s="10" t="s">
        <v>7828</v>
      </c>
      <c r="J104" s="10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10" t="s">
        <v>8042</v>
      </c>
      <c r="E105" s="10" t="s">
        <v>6656</v>
      </c>
      <c r="F105" s="10" t="s">
        <v>5076</v>
      </c>
      <c r="H105" s="10"/>
      <c r="I105" s="10" t="s">
        <v>7992</v>
      </c>
      <c r="J105" s="10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10" t="s">
        <v>4</v>
      </c>
      <c r="E106" s="10" t="s">
        <v>6656</v>
      </c>
      <c r="F106" s="10" t="s">
        <v>5076</v>
      </c>
      <c r="H106" s="10" t="s">
        <v>8043</v>
      </c>
      <c r="I106" s="10" t="s">
        <v>7995</v>
      </c>
      <c r="J106" s="10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10" t="s">
        <v>4</v>
      </c>
      <c r="E107" s="10" t="s">
        <v>4193</v>
      </c>
      <c r="F107" s="10" t="s">
        <v>5076</v>
      </c>
      <c r="H107" s="10"/>
      <c r="I107" s="10" t="s">
        <v>7998</v>
      </c>
      <c r="J107" s="10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10" t="s">
        <v>4</v>
      </c>
      <c r="E108" s="10" t="s">
        <v>8</v>
      </c>
      <c r="F108" s="10"/>
      <c r="H108" s="10" t="s">
        <v>8044</v>
      </c>
      <c r="I108" s="10" t="s">
        <v>8001</v>
      </c>
      <c r="J108" s="10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10" t="s">
        <v>650</v>
      </c>
      <c r="E109" s="10" t="s">
        <v>6190</v>
      </c>
      <c r="F109" s="10" t="s">
        <v>51</v>
      </c>
      <c r="H109" s="10"/>
      <c r="I109" s="10" t="s">
        <v>8004</v>
      </c>
      <c r="J109" s="10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10" t="s">
        <v>1606</v>
      </c>
      <c r="E110" s="10" t="s">
        <v>8041</v>
      </c>
      <c r="F110" s="10"/>
      <c r="H110" s="10"/>
      <c r="I110" s="10" t="s">
        <v>8007</v>
      </c>
      <c r="J110" s="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10" t="s">
        <v>650</v>
      </c>
      <c r="E111" s="10" t="s">
        <v>8041</v>
      </c>
      <c r="F111" s="10"/>
      <c r="H111" s="10"/>
      <c r="I111" s="10" t="s">
        <v>8010</v>
      </c>
      <c r="J111" s="10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10" t="s">
        <v>1606</v>
      </c>
      <c r="E112" s="10" t="s">
        <v>6190</v>
      </c>
      <c r="F112" s="10"/>
      <c r="H112" s="10"/>
      <c r="I112" s="10" t="s">
        <v>8013</v>
      </c>
      <c r="J112" s="10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10" t="s">
        <v>4</v>
      </c>
      <c r="E113" s="10" t="s">
        <v>1607</v>
      </c>
      <c r="F113" s="10" t="s">
        <v>8330</v>
      </c>
      <c r="H113" s="10"/>
      <c r="I113" s="10" t="s">
        <v>8090</v>
      </c>
      <c r="J113" s="10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10" t="s">
        <v>4</v>
      </c>
      <c r="E114" s="10" t="s">
        <v>8</v>
      </c>
      <c r="F114" s="10"/>
      <c r="H114" s="10"/>
      <c r="I114" s="10" t="s">
        <v>8093</v>
      </c>
      <c r="J114" s="10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10" t="s">
        <v>2004</v>
      </c>
      <c r="E115" s="10" t="s">
        <v>8</v>
      </c>
      <c r="F115" s="10"/>
      <c r="H115" s="10"/>
      <c r="I115" s="10" t="s">
        <v>8096</v>
      </c>
      <c r="J115" s="10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10" t="s">
        <v>2004</v>
      </c>
      <c r="E116" s="10" t="s">
        <v>8</v>
      </c>
      <c r="F116" s="10"/>
      <c r="H116" s="10"/>
      <c r="I116" s="10" t="s">
        <v>8099</v>
      </c>
      <c r="J116" s="10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10" t="s">
        <v>2004</v>
      </c>
      <c r="E117" s="10" t="s">
        <v>8</v>
      </c>
      <c r="F117" s="10"/>
      <c r="H117" s="10"/>
      <c r="I117" s="10" t="s">
        <v>8102</v>
      </c>
      <c r="J117" s="10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10" t="s">
        <v>2004</v>
      </c>
      <c r="E118" s="10" t="s">
        <v>8</v>
      </c>
      <c r="F118" s="10"/>
      <c r="H118" s="10"/>
      <c r="I118" s="10" t="s">
        <v>8105</v>
      </c>
      <c r="J118" s="10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10" t="s">
        <v>2004</v>
      </c>
      <c r="E119" s="10" t="s">
        <v>8</v>
      </c>
      <c r="F119" s="10"/>
      <c r="H119" s="10"/>
      <c r="I119" s="10" t="s">
        <v>8402</v>
      </c>
      <c r="J119" s="10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10" t="s">
        <v>2004</v>
      </c>
      <c r="E120" s="10" t="s">
        <v>8</v>
      </c>
      <c r="F120" s="10"/>
      <c r="H120" s="10"/>
      <c r="I120" s="10" t="s">
        <v>8405</v>
      </c>
      <c r="J120" s="1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10" t="s">
        <v>2004</v>
      </c>
      <c r="E121" s="10" t="s">
        <v>8</v>
      </c>
      <c r="F121" s="10"/>
      <c r="H121" s="10"/>
      <c r="I121" s="10" t="s">
        <v>8408</v>
      </c>
      <c r="J121" s="10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10" t="s">
        <v>2004</v>
      </c>
      <c r="E122" s="10" t="s">
        <v>8</v>
      </c>
      <c r="F122" s="10"/>
      <c r="H122" s="10"/>
      <c r="I122" s="10" t="s">
        <v>8640</v>
      </c>
      <c r="J122" s="10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10" t="s">
        <v>4</v>
      </c>
      <c r="E123" s="10" t="s">
        <v>8</v>
      </c>
      <c r="F123" s="10"/>
      <c r="H123" s="10"/>
      <c r="I123" s="10" t="s">
        <v>8643</v>
      </c>
      <c r="J123" s="10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10" t="s">
        <v>4</v>
      </c>
      <c r="E124" s="10" t="s">
        <v>8</v>
      </c>
      <c r="F124" s="10"/>
      <c r="H124" s="10"/>
      <c r="I124" s="10" t="s">
        <v>8646</v>
      </c>
      <c r="J124" s="10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10" t="s">
        <v>4</v>
      </c>
      <c r="E125" s="10" t="s">
        <v>8</v>
      </c>
      <c r="F125" s="10"/>
      <c r="H125" s="10"/>
      <c r="I125" s="10" t="s">
        <v>8649</v>
      </c>
      <c r="J125" s="10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10" t="s">
        <v>4</v>
      </c>
      <c r="E126" s="10" t="s">
        <v>1607</v>
      </c>
      <c r="F126" s="10"/>
      <c r="H126" s="10"/>
      <c r="I126" s="10" t="s">
        <v>8652</v>
      </c>
      <c r="J126" s="10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10" t="s">
        <v>4</v>
      </c>
      <c r="E127" s="10" t="s">
        <v>8803</v>
      </c>
      <c r="F127" s="10"/>
      <c r="H127" s="10"/>
      <c r="I127" s="10" t="s">
        <v>8655</v>
      </c>
      <c r="J127" s="10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10" t="s">
        <v>4</v>
      </c>
      <c r="E128" s="10" t="s">
        <v>8803</v>
      </c>
      <c r="F128" s="10"/>
      <c r="H128" s="10"/>
      <c r="I128" s="10" t="s">
        <v>8658</v>
      </c>
      <c r="J128" s="10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10" t="s">
        <v>1606</v>
      </c>
      <c r="E129" s="10" t="s">
        <v>8801</v>
      </c>
      <c r="F129" s="10"/>
      <c r="H129" s="10"/>
      <c r="I129" s="10" t="s">
        <v>8661</v>
      </c>
      <c r="J129" s="10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10" t="s">
        <v>1606</v>
      </c>
      <c r="E130" s="10" t="s">
        <v>8802</v>
      </c>
      <c r="F130" s="10"/>
      <c r="H130" s="10"/>
      <c r="I130" s="10" t="s">
        <v>8664</v>
      </c>
      <c r="J130" s="1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10" t="s">
        <v>650</v>
      </c>
      <c r="E131" s="10" t="s">
        <v>8802</v>
      </c>
      <c r="F131" s="10"/>
      <c r="H131" s="10"/>
      <c r="I131" s="10" t="s">
        <v>8667</v>
      </c>
      <c r="J131" s="10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10" t="s">
        <v>650</v>
      </c>
      <c r="E132" s="10" t="s">
        <v>8801</v>
      </c>
      <c r="F132" s="10"/>
      <c r="H132" s="10"/>
      <c r="I132" s="10" t="s">
        <v>8670</v>
      </c>
      <c r="J132" s="10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10" t="s">
        <v>2004</v>
      </c>
      <c r="E133" s="10" t="s">
        <v>8</v>
      </c>
      <c r="F133" s="10"/>
      <c r="H133" s="10"/>
      <c r="I133" s="10" t="s">
        <v>8673</v>
      </c>
      <c r="J133" s="10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10" t="s">
        <v>4</v>
      </c>
      <c r="E134" s="10" t="s">
        <v>8804</v>
      </c>
      <c r="F134" s="10"/>
      <c r="H134" s="10"/>
      <c r="I134" s="10" t="s">
        <v>8676</v>
      </c>
      <c r="J134" s="10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10" t="s">
        <v>2004</v>
      </c>
      <c r="E135" s="10" t="s">
        <v>8</v>
      </c>
      <c r="F135" s="10"/>
      <c r="H135" s="10"/>
      <c r="I135" s="10" t="s">
        <v>6161</v>
      </c>
      <c r="J135" s="10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10" t="s">
        <v>2004</v>
      </c>
      <c r="E136" s="10" t="s">
        <v>8</v>
      </c>
      <c r="F136" s="10"/>
      <c r="H136" s="10"/>
      <c r="I136" s="10" t="s">
        <v>7998</v>
      </c>
      <c r="J136" s="10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10" t="s">
        <v>4</v>
      </c>
      <c r="E137" s="10" t="s">
        <v>8803</v>
      </c>
      <c r="F137" s="10"/>
      <c r="H137" s="10"/>
      <c r="I137" s="10" t="s">
        <v>8988</v>
      </c>
      <c r="J137" s="10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10" t="s">
        <v>4</v>
      </c>
      <c r="E138" s="10" t="s">
        <v>8803</v>
      </c>
      <c r="F138" s="10"/>
      <c r="H138" s="10"/>
      <c r="I138" s="10" t="s">
        <v>8991</v>
      </c>
      <c r="J138" s="10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10" t="s">
        <v>4</v>
      </c>
      <c r="E139" s="10" t="s">
        <v>8803</v>
      </c>
      <c r="F139" s="10"/>
      <c r="H139" s="10"/>
      <c r="I139" s="10" t="s">
        <v>9255</v>
      </c>
      <c r="J139" s="10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10" t="s">
        <v>4</v>
      </c>
      <c r="E140" s="10" t="s">
        <v>8803</v>
      </c>
      <c r="F140" s="10"/>
      <c r="H140" s="10"/>
      <c r="I140" s="10" t="s">
        <v>9352</v>
      </c>
      <c r="J140" s="1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10" t="s">
        <v>4</v>
      </c>
      <c r="E141" s="10" t="s">
        <v>9367</v>
      </c>
      <c r="F141" s="10"/>
      <c r="H141" s="10"/>
      <c r="I141" s="10" t="s">
        <v>9355</v>
      </c>
      <c r="J141" s="10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10" t="s">
        <v>158</v>
      </c>
      <c r="E142" s="10" t="s">
        <v>5480</v>
      </c>
      <c r="F142" s="10" t="s">
        <v>528</v>
      </c>
      <c r="H142" s="10"/>
      <c r="I142" s="10" t="s">
        <v>9358</v>
      </c>
      <c r="J142" s="10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10" t="s">
        <v>158</v>
      </c>
      <c r="E143" s="10" t="s">
        <v>5480</v>
      </c>
      <c r="F143" s="10" t="s">
        <v>528</v>
      </c>
      <c r="H143" s="10" t="s">
        <v>2936</v>
      </c>
      <c r="I143" s="10" t="s">
        <v>9361</v>
      </c>
      <c r="J143" s="10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10" t="s">
        <v>4</v>
      </c>
      <c r="E144" s="10" t="s">
        <v>9368</v>
      </c>
      <c r="F144" s="10"/>
      <c r="H144" s="10"/>
      <c r="I144" s="10" t="s">
        <v>9364</v>
      </c>
      <c r="J144" s="10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10" t="s">
        <v>4</v>
      </c>
      <c r="E145" s="10" t="s">
        <v>8803</v>
      </c>
      <c r="F145" s="10"/>
      <c r="H145" s="10"/>
      <c r="I145" s="10" t="s">
        <v>9633</v>
      </c>
      <c r="J145" s="10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10" t="s">
        <v>2004</v>
      </c>
      <c r="E146" s="10" t="s">
        <v>8</v>
      </c>
      <c r="F146" s="10"/>
      <c r="H146" s="10"/>
      <c r="I146" s="10" t="s">
        <v>9636</v>
      </c>
      <c r="J146" s="10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10" t="s">
        <v>4</v>
      </c>
      <c r="E147" s="10" t="s">
        <v>8803</v>
      </c>
      <c r="F147" s="10"/>
      <c r="H147" s="10"/>
      <c r="I147" s="10" t="s">
        <v>9726</v>
      </c>
      <c r="J147" s="10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10" t="s">
        <v>4</v>
      </c>
      <c r="E148" s="10" t="s">
        <v>8803</v>
      </c>
      <c r="F148" s="10"/>
      <c r="H148" s="10"/>
      <c r="I148" s="10" t="s">
        <v>9729</v>
      </c>
      <c r="J148" s="10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10" t="s">
        <v>4</v>
      </c>
      <c r="E149" s="10" t="s">
        <v>8803</v>
      </c>
      <c r="F149" s="10"/>
      <c r="H149" s="10"/>
      <c r="I149" s="10" t="s">
        <v>9732</v>
      </c>
      <c r="J149" s="10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10" t="s">
        <v>4</v>
      </c>
      <c r="E150" s="10" t="s">
        <v>8803</v>
      </c>
      <c r="F150" s="10"/>
      <c r="H150" s="10"/>
      <c r="I150" s="10" t="s">
        <v>10122</v>
      </c>
      <c r="J150" s="1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10" t="s">
        <v>4</v>
      </c>
      <c r="E151" s="10" t="s">
        <v>8803</v>
      </c>
      <c r="F151" s="10"/>
      <c r="H151" s="10"/>
      <c r="I151" s="10" t="s">
        <v>9960</v>
      </c>
      <c r="J151" s="10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10" t="s">
        <v>4</v>
      </c>
      <c r="E152" s="10" t="s">
        <v>8803</v>
      </c>
      <c r="F152" s="10"/>
      <c r="H152" s="10"/>
      <c r="I152" s="10" t="s">
        <v>9963</v>
      </c>
      <c r="J152" s="10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10" t="s">
        <v>4</v>
      </c>
      <c r="E153" s="10" t="s">
        <v>8803</v>
      </c>
      <c r="F153" s="10"/>
      <c r="H153" s="10"/>
      <c r="I153" s="10" t="s">
        <v>9966</v>
      </c>
      <c r="J153" s="10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10" t="s">
        <v>4</v>
      </c>
      <c r="E154" s="10" t="s">
        <v>10164</v>
      </c>
      <c r="F154" s="10"/>
      <c r="H154" s="10"/>
      <c r="I154" s="10" t="s">
        <v>10186</v>
      </c>
      <c r="J154" s="10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10" t="s">
        <v>4</v>
      </c>
      <c r="E155" s="10" t="s">
        <v>10164</v>
      </c>
      <c r="F155" s="10"/>
      <c r="H155" s="10" t="s">
        <v>10280</v>
      </c>
      <c r="I155" s="10" t="s">
        <v>10268</v>
      </c>
      <c r="J155" s="10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10" t="s">
        <v>4</v>
      </c>
      <c r="E156" s="10" t="s">
        <v>10164</v>
      </c>
      <c r="F156" s="10"/>
      <c r="H156" s="10" t="s">
        <v>10280</v>
      </c>
      <c r="I156" s="10" t="s">
        <v>10271</v>
      </c>
      <c r="J156" s="10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10" t="s">
        <v>1606</v>
      </c>
      <c r="E157" s="10" t="s">
        <v>10165</v>
      </c>
      <c r="F157" s="10" t="s">
        <v>60</v>
      </c>
      <c r="H157" s="10"/>
      <c r="I157" s="10" t="s">
        <v>10274</v>
      </c>
      <c r="J157" s="10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10" t="s">
        <v>4</v>
      </c>
      <c r="E158" s="10" t="s">
        <v>8803</v>
      </c>
      <c r="F158" s="10"/>
      <c r="H158" s="10"/>
      <c r="I158" s="10" t="s">
        <v>10277</v>
      </c>
      <c r="J158" s="10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10" t="s">
        <v>2004</v>
      </c>
      <c r="E159" s="10" t="s">
        <v>8</v>
      </c>
      <c r="F159" s="10"/>
      <c r="H159" s="10"/>
      <c r="I159" s="10" t="s">
        <v>10494</v>
      </c>
      <c r="J159" s="10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10" t="s">
        <v>2004</v>
      </c>
      <c r="E160" s="10" t="s">
        <v>8</v>
      </c>
      <c r="F160" s="10"/>
      <c r="H160" s="10"/>
      <c r="I160" s="10" t="s">
        <v>10497</v>
      </c>
      <c r="J160" s="1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10" t="s">
        <v>2004</v>
      </c>
      <c r="E161" s="10" t="s">
        <v>8</v>
      </c>
      <c r="F161" s="10"/>
      <c r="H161" s="10"/>
      <c r="I161" s="10" t="s">
        <v>10540</v>
      </c>
      <c r="J161" s="10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10" t="s">
        <v>2004</v>
      </c>
      <c r="E162" s="10" t="s">
        <v>8</v>
      </c>
      <c r="F162" s="10"/>
      <c r="H162" s="10"/>
      <c r="I162" s="10" t="s">
        <v>10543</v>
      </c>
      <c r="J162" s="10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10" t="s">
        <v>4</v>
      </c>
      <c r="E163" s="10" t="s">
        <v>10886</v>
      </c>
      <c r="F163" s="10"/>
      <c r="H163" s="10"/>
      <c r="I163" s="10" t="s">
        <v>10710</v>
      </c>
      <c r="J163" s="10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10" t="s">
        <v>4</v>
      </c>
      <c r="E164" s="10" t="s">
        <v>8803</v>
      </c>
      <c r="F164" s="10"/>
      <c r="H164" s="10"/>
      <c r="I164" s="10" t="s">
        <v>10713</v>
      </c>
      <c r="J164" s="10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10" t="s">
        <v>4</v>
      </c>
      <c r="E165" s="10" t="s">
        <v>70</v>
      </c>
      <c r="F165" s="10" t="s">
        <v>5093</v>
      </c>
      <c r="H165" s="10"/>
      <c r="I165" s="10" t="s">
        <v>10908</v>
      </c>
      <c r="J165" s="10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10" t="s">
        <v>289</v>
      </c>
      <c r="E166" s="10" t="s">
        <v>70</v>
      </c>
      <c r="F166" s="10" t="s">
        <v>5093</v>
      </c>
      <c r="H166" s="10"/>
      <c r="I166" s="10" t="s">
        <v>10911</v>
      </c>
      <c r="J166" s="10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10" t="s">
        <v>2004</v>
      </c>
      <c r="E167" s="10" t="s">
        <v>8</v>
      </c>
      <c r="F167" s="10"/>
      <c r="H167" s="10"/>
      <c r="I167" s="10" t="s">
        <v>11028</v>
      </c>
      <c r="J167" s="10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10" t="s">
        <v>2004</v>
      </c>
      <c r="E168" s="10" t="s">
        <v>8</v>
      </c>
      <c r="F168" s="10"/>
      <c r="H168" s="10"/>
      <c r="I168" s="10" t="s">
        <v>11031</v>
      </c>
      <c r="J168" s="10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10" t="s">
        <v>4</v>
      </c>
      <c r="E169" s="10" t="s">
        <v>8803</v>
      </c>
      <c r="F169" s="10"/>
      <c r="H169" s="10"/>
      <c r="I169" s="10" t="s">
        <v>11187</v>
      </c>
      <c r="J169" s="10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10" t="s">
        <v>289</v>
      </c>
      <c r="E170" s="10" t="s">
        <v>6190</v>
      </c>
      <c r="F170" s="10" t="s">
        <v>11413</v>
      </c>
      <c r="H170" s="10"/>
      <c r="I170" s="10" t="s">
        <v>11190</v>
      </c>
      <c r="J170" s="1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10" t="s">
        <v>650</v>
      </c>
      <c r="E171" s="10" t="s">
        <v>6190</v>
      </c>
      <c r="F171" s="10" t="s">
        <v>11413</v>
      </c>
      <c r="H171" s="10"/>
      <c r="I171" s="10" t="s">
        <v>11193</v>
      </c>
      <c r="J171" s="10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10" t="s">
        <v>1606</v>
      </c>
      <c r="E172" s="10" t="s">
        <v>6190</v>
      </c>
      <c r="F172" s="10"/>
      <c r="H172" s="10"/>
      <c r="I172" s="10" t="s">
        <v>11196</v>
      </c>
      <c r="J172" s="10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10" t="s">
        <v>4</v>
      </c>
      <c r="E173" s="10" t="s">
        <v>8803</v>
      </c>
      <c r="F173" s="10"/>
      <c r="H173" s="10"/>
      <c r="I173" s="10" t="s">
        <v>11472</v>
      </c>
      <c r="J173" s="10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10" t="s">
        <v>4</v>
      </c>
      <c r="E174" s="10" t="s">
        <v>8803</v>
      </c>
      <c r="F174" s="10"/>
      <c r="H174" s="10"/>
      <c r="I174" s="10" t="s">
        <v>11475</v>
      </c>
      <c r="J174" s="10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10" t="s">
        <v>4</v>
      </c>
      <c r="E175" s="10" t="s">
        <v>8803</v>
      </c>
      <c r="F175" s="10"/>
      <c r="H175" s="10"/>
      <c r="I175" s="10" t="s">
        <v>11478</v>
      </c>
      <c r="J175" s="10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10" t="s">
        <v>4</v>
      </c>
      <c r="E176" s="10" t="s">
        <v>8</v>
      </c>
      <c r="F176" s="10"/>
      <c r="H176" s="10"/>
      <c r="I176" s="10" t="s">
        <v>11670</v>
      </c>
      <c r="J176" s="10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10" t="s">
        <v>2004</v>
      </c>
      <c r="E177" s="10" t="s">
        <v>8</v>
      </c>
      <c r="F177" s="10"/>
      <c r="H177" s="10"/>
      <c r="I177" s="10" t="s">
        <v>11673</v>
      </c>
      <c r="J177" s="10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10" t="s">
        <v>4</v>
      </c>
      <c r="E178" s="10" t="s">
        <v>8803</v>
      </c>
      <c r="F178" s="10"/>
      <c r="H178" s="10"/>
      <c r="I178" s="10" t="s">
        <v>11876</v>
      </c>
      <c r="J178" s="10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10" t="s">
        <v>11957</v>
      </c>
      <c r="E179" s="10" t="s">
        <v>11958</v>
      </c>
      <c r="F179" s="10" t="s">
        <v>5076</v>
      </c>
      <c r="H179" s="10"/>
      <c r="I179" s="10" t="s">
        <v>11879</v>
      </c>
      <c r="J179" s="10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10" t="s">
        <v>62</v>
      </c>
      <c r="E180" s="10" t="s">
        <v>11958</v>
      </c>
      <c r="F180" s="10" t="s">
        <v>5076</v>
      </c>
      <c r="H180" s="10"/>
      <c r="I180" s="10" t="s">
        <v>11882</v>
      </c>
      <c r="J180" s="1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10" t="s">
        <v>11957</v>
      </c>
      <c r="E181" s="10" t="s">
        <v>4193</v>
      </c>
      <c r="F181" s="10" t="s">
        <v>5076</v>
      </c>
      <c r="H181" s="10"/>
      <c r="I181" s="10" t="s">
        <v>11885</v>
      </c>
      <c r="J181" s="10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10" t="s">
        <v>62</v>
      </c>
      <c r="E182" s="10" t="s">
        <v>4193</v>
      </c>
      <c r="F182" s="10" t="s">
        <v>5076</v>
      </c>
      <c r="H182" s="10"/>
      <c r="I182" s="10" t="s">
        <v>11888</v>
      </c>
      <c r="J182" s="10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10" t="s">
        <v>1606</v>
      </c>
      <c r="E183" s="10" t="s">
        <v>70</v>
      </c>
      <c r="F183" s="10" t="s">
        <v>5076</v>
      </c>
      <c r="H183" s="10"/>
      <c r="I183" s="10" t="s">
        <v>11891</v>
      </c>
      <c r="J183" s="10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10" t="s">
        <v>11957</v>
      </c>
      <c r="E184" s="10" t="s">
        <v>70</v>
      </c>
      <c r="F184" s="10"/>
      <c r="H184" s="10"/>
      <c r="I184" s="10" t="s">
        <v>11894</v>
      </c>
      <c r="J184" s="10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10" t="s">
        <v>11959</v>
      </c>
      <c r="E185" s="10" t="s">
        <v>70</v>
      </c>
      <c r="F185" s="10" t="s">
        <v>9339</v>
      </c>
      <c r="H185" s="10"/>
      <c r="I185" s="10" t="s">
        <v>11897</v>
      </c>
      <c r="J185" s="10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10" t="s">
        <v>650</v>
      </c>
      <c r="E186" s="10" t="s">
        <v>70</v>
      </c>
      <c r="F186" s="10" t="s">
        <v>9339</v>
      </c>
      <c r="H186" s="10"/>
      <c r="I186" s="10" t="s">
        <v>11900</v>
      </c>
      <c r="J186" s="10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10" t="s">
        <v>290</v>
      </c>
      <c r="E187" s="10" t="s">
        <v>12013</v>
      </c>
      <c r="F187" s="10" t="s">
        <v>1622</v>
      </c>
      <c r="G187">
        <v>2</v>
      </c>
      <c r="H187" s="10"/>
      <c r="I187" s="10" t="s">
        <v>11977</v>
      </c>
      <c r="J187" s="10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10" t="s">
        <v>12017</v>
      </c>
      <c r="E188" s="10" t="s">
        <v>12014</v>
      </c>
      <c r="F188" s="10"/>
      <c r="H188" s="10"/>
      <c r="I188" s="10" t="s">
        <v>11980</v>
      </c>
      <c r="J188" s="10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10" t="s">
        <v>12015</v>
      </c>
      <c r="E189" s="10" t="s">
        <v>12014</v>
      </c>
      <c r="F189" s="10"/>
      <c r="H189" s="10"/>
      <c r="I189" s="10" t="s">
        <v>11983</v>
      </c>
      <c r="J189" s="10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10" t="s">
        <v>4</v>
      </c>
      <c r="E190" s="10" t="s">
        <v>12016</v>
      </c>
      <c r="F190" s="10"/>
      <c r="H190" s="10"/>
      <c r="I190" s="10" t="s">
        <v>11986</v>
      </c>
      <c r="J190" s="1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10" t="s">
        <v>12017</v>
      </c>
      <c r="E191" s="10" t="s">
        <v>12014</v>
      </c>
      <c r="F191" s="10"/>
      <c r="H191" s="10"/>
      <c r="I191" s="10" t="s">
        <v>11989</v>
      </c>
      <c r="J191" s="10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10" t="s">
        <v>62</v>
      </c>
      <c r="E192" s="10" t="s">
        <v>12014</v>
      </c>
      <c r="F192" s="10"/>
      <c r="H192" s="10"/>
      <c r="I192" s="10" t="s">
        <v>11992</v>
      </c>
      <c r="J192" s="10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10" t="s">
        <v>2004</v>
      </c>
      <c r="E193" s="10" t="s">
        <v>8</v>
      </c>
      <c r="F193" s="10"/>
      <c r="H193" s="10"/>
      <c r="I193" s="10" t="s">
        <v>12037</v>
      </c>
      <c r="J193" s="10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  <row r="194" spans="1:13" x14ac:dyDescent="0.25">
      <c r="A194" s="2" t="s">
        <v>13</v>
      </c>
      <c r="B194" s="4">
        <v>46069</v>
      </c>
      <c r="C194" s="5">
        <v>0.60898148148148146</v>
      </c>
      <c r="D194" s="10" t="s">
        <v>2004</v>
      </c>
      <c r="E194" s="10" t="s">
        <v>8</v>
      </c>
      <c r="F194" s="10"/>
      <c r="H194" s="10"/>
      <c r="I194" s="10" t="s">
        <v>12258</v>
      </c>
      <c r="J194" s="10" t="s">
        <v>2991</v>
      </c>
      <c r="K194" t="s">
        <v>12259</v>
      </c>
      <c r="L194" t="s">
        <v>12260</v>
      </c>
      <c r="M194" s="3" t="str">
        <f>HYPERLINK(склад2въезд13[[#This Row],[RelativePath]])</f>
        <v>4 Крыльцо офиса\K07156189_21_20260216T143656Z.jpg</v>
      </c>
    </row>
    <row r="195" spans="1:13" x14ac:dyDescent="0.25">
      <c r="A195" s="2" t="s">
        <v>14</v>
      </c>
      <c r="B195" s="4">
        <v>46070</v>
      </c>
      <c r="C195" s="5">
        <v>0.43868055555555557</v>
      </c>
      <c r="D195" s="10" t="s">
        <v>12371</v>
      </c>
      <c r="E195" s="10" t="s">
        <v>86</v>
      </c>
      <c r="F195" s="10"/>
      <c r="H195" s="10"/>
      <c r="I195" s="10" t="s">
        <v>12261</v>
      </c>
      <c r="J195" s="10" t="s">
        <v>2991</v>
      </c>
      <c r="K195" t="s">
        <v>12262</v>
      </c>
      <c r="L195" t="s">
        <v>12263</v>
      </c>
      <c r="M195" s="3" t="str">
        <f>HYPERLINK(склад2въезд13[[#This Row],[RelativePath]])</f>
        <v>4 Крыльцо офиса\K07156189_21_20260217T103142Z.jpg</v>
      </c>
    </row>
    <row r="196" spans="1:13" x14ac:dyDescent="0.25">
      <c r="A196" s="2" t="s">
        <v>14</v>
      </c>
      <c r="B196" s="4">
        <v>46070</v>
      </c>
      <c r="C196" s="5">
        <v>0.44383101851851853</v>
      </c>
      <c r="D196" s="10" t="s">
        <v>12371</v>
      </c>
      <c r="E196" s="10" t="s">
        <v>86</v>
      </c>
      <c r="F196" s="10"/>
      <c r="H196" s="10"/>
      <c r="I196" s="10" t="s">
        <v>12264</v>
      </c>
      <c r="J196" s="10" t="s">
        <v>2991</v>
      </c>
      <c r="K196" t="s">
        <v>12265</v>
      </c>
      <c r="L196" t="s">
        <v>12266</v>
      </c>
      <c r="M196" s="3" t="str">
        <f>HYPERLINK(склад2въезд13[[#This Row],[RelativePath]])</f>
        <v>4 Крыльцо офиса\K07156189_21_20260217T103907Z.jpg</v>
      </c>
    </row>
    <row r="197" spans="1:13" x14ac:dyDescent="0.25">
      <c r="A197" s="2" t="s">
        <v>14</v>
      </c>
      <c r="B197" s="4">
        <v>46070</v>
      </c>
      <c r="C197" s="5">
        <v>0.44959490740740743</v>
      </c>
      <c r="D197" s="10" t="s">
        <v>12371</v>
      </c>
      <c r="E197" s="10" t="s">
        <v>86</v>
      </c>
      <c r="F197" s="10"/>
      <c r="H197" s="10"/>
      <c r="I197" s="10" t="s">
        <v>12267</v>
      </c>
      <c r="J197" s="10" t="s">
        <v>2991</v>
      </c>
      <c r="K197" t="s">
        <v>12268</v>
      </c>
      <c r="L197" t="s">
        <v>12269</v>
      </c>
      <c r="M197" s="3" t="str">
        <f>HYPERLINK(склад2въезд13[[#This Row],[RelativePath]])</f>
        <v>4 Крыльцо офиса\K07156189_21_20260217T104725Z.jpg</v>
      </c>
    </row>
    <row r="198" spans="1:13" x14ac:dyDescent="0.25">
      <c r="A198" s="2" t="s">
        <v>14</v>
      </c>
      <c r="B198" s="4">
        <v>46070</v>
      </c>
      <c r="C198" s="5">
        <v>0.51246527777777773</v>
      </c>
      <c r="D198" s="10" t="s">
        <v>4</v>
      </c>
      <c r="E198" s="10" t="s">
        <v>12372</v>
      </c>
      <c r="F198" s="10"/>
      <c r="H198" s="10"/>
      <c r="I198" s="10" t="s">
        <v>12270</v>
      </c>
      <c r="J198" s="10" t="s">
        <v>2991</v>
      </c>
      <c r="K198" t="s">
        <v>12271</v>
      </c>
      <c r="L198" t="s">
        <v>12272</v>
      </c>
      <c r="M198" s="3" t="str">
        <f>HYPERLINK(склад2въезд13[[#This Row],[RelativePath]])</f>
        <v>4 Крыльцо офиса\K07156189_21_20260217T121757Z.jpg</v>
      </c>
    </row>
    <row r="199" spans="1:13" x14ac:dyDescent="0.25">
      <c r="A199" s="2" t="s">
        <v>14</v>
      </c>
      <c r="B199" s="4">
        <v>46070</v>
      </c>
      <c r="C199" s="5">
        <v>0.63879629629629631</v>
      </c>
      <c r="D199" s="10" t="s">
        <v>12371</v>
      </c>
      <c r="E199" s="10" t="s">
        <v>531</v>
      </c>
      <c r="F199" s="10"/>
      <c r="H199" s="10"/>
      <c r="I199" s="10" t="s">
        <v>12273</v>
      </c>
      <c r="J199" s="10" t="s">
        <v>2991</v>
      </c>
      <c r="K199" t="s">
        <v>12274</v>
      </c>
      <c r="L199" t="s">
        <v>12275</v>
      </c>
      <c r="M199" s="3" t="str">
        <f>HYPERLINK(склад2въезд13[[#This Row],[RelativePath]])</f>
        <v>4 Крыльцо офиса\K07156189_21_20260217T151952Z.jpg</v>
      </c>
    </row>
    <row r="200" spans="1:13" x14ac:dyDescent="0.25">
      <c r="A200" s="2" t="s">
        <v>14</v>
      </c>
      <c r="B200" s="4">
        <v>46070</v>
      </c>
      <c r="C200" s="5">
        <v>0.67047453703703708</v>
      </c>
      <c r="D200" s="10" t="s">
        <v>4</v>
      </c>
      <c r="E200" s="10" t="s">
        <v>12372</v>
      </c>
      <c r="F200" s="10"/>
      <c r="H200" s="10"/>
      <c r="I200" s="10" t="s">
        <v>12276</v>
      </c>
      <c r="J200" s="10" t="s">
        <v>2991</v>
      </c>
      <c r="K200" t="s">
        <v>12277</v>
      </c>
      <c r="L200" t="s">
        <v>12278</v>
      </c>
      <c r="M200" s="3" t="str">
        <f>HYPERLINK(склад2въезд13[[#This Row],[RelativePath]])</f>
        <v>4 Крыльцо офиса\K07156189_21_20260217T160529Z.jpg</v>
      </c>
    </row>
    <row r="201" spans="1:13" x14ac:dyDescent="0.25">
      <c r="A201" s="2" t="s">
        <v>14</v>
      </c>
      <c r="B201" s="4">
        <v>46070</v>
      </c>
      <c r="C201" s="5">
        <v>0.69761574074074073</v>
      </c>
      <c r="D201" s="10" t="s">
        <v>11961</v>
      </c>
      <c r="E201" s="10"/>
      <c r="F201" s="10"/>
      <c r="H201" s="10"/>
      <c r="I201" s="10" t="s">
        <v>12279</v>
      </c>
      <c r="J201" s="10" t="s">
        <v>2991</v>
      </c>
      <c r="K201" t="s">
        <v>12280</v>
      </c>
      <c r="L201" t="s">
        <v>12281</v>
      </c>
      <c r="M201" s="3" t="str">
        <f>HYPERLINK(склад2въезд13[[#This Row],[RelativePath]])</f>
        <v>4 Крыльцо офиса\K07156189_21_20260217T164434Z.jpg</v>
      </c>
    </row>
    <row r="202" spans="1:13" x14ac:dyDescent="0.25">
      <c r="A202" s="2" t="s">
        <v>15</v>
      </c>
      <c r="B202" s="4">
        <v>46071</v>
      </c>
      <c r="C202" s="5">
        <v>0.40978009259259257</v>
      </c>
      <c r="D202" s="10" t="s">
        <v>12017</v>
      </c>
      <c r="E202" s="10" t="s">
        <v>4193</v>
      </c>
      <c r="F202" s="10"/>
      <c r="H202" s="10"/>
      <c r="I202" s="10" t="s">
        <v>12374</v>
      </c>
      <c r="J202" s="10" t="s">
        <v>2991</v>
      </c>
      <c r="K202" t="s">
        <v>12375</v>
      </c>
      <c r="L202" t="s">
        <v>12376</v>
      </c>
      <c r="M202" s="3" t="str">
        <f>HYPERLINK(склад2въезд13[[#This Row],[RelativePath]])</f>
        <v>4 Крыльцо офиса\K07156189_21_20260218T095005Z.jpg</v>
      </c>
    </row>
    <row r="203" spans="1:13" x14ac:dyDescent="0.25">
      <c r="A203" s="2" t="s">
        <v>15</v>
      </c>
      <c r="B203" s="4">
        <v>46071</v>
      </c>
      <c r="C203" s="5">
        <v>0.50271990740740746</v>
      </c>
      <c r="D203" s="10" t="s">
        <v>651</v>
      </c>
      <c r="E203" s="10" t="s">
        <v>86</v>
      </c>
      <c r="F203" s="10"/>
      <c r="H203" s="10"/>
      <c r="I203" s="10" t="s">
        <v>12282</v>
      </c>
      <c r="J203" s="10" t="s">
        <v>2991</v>
      </c>
      <c r="K203" t="s">
        <v>12283</v>
      </c>
      <c r="L203" t="s">
        <v>12284</v>
      </c>
      <c r="M203" s="3" t="str">
        <f>HYPERLINK(склад2въезд13[[#This Row],[RelativePath]])</f>
        <v>4 Крыльцо офиса\K07156189_21_20260218T120355Z.jpg</v>
      </c>
    </row>
    <row r="204" spans="1:13" x14ac:dyDescent="0.25">
      <c r="A204" s="2" t="s">
        <v>15</v>
      </c>
      <c r="B204" s="4">
        <v>46071</v>
      </c>
      <c r="C204" s="5">
        <v>0.51141203703703708</v>
      </c>
      <c r="D204" s="10" t="s">
        <v>1606</v>
      </c>
      <c r="E204" s="10" t="s">
        <v>12373</v>
      </c>
      <c r="F204" s="10"/>
      <c r="H204" s="10"/>
      <c r="I204" s="10" t="s">
        <v>12285</v>
      </c>
      <c r="J204" s="10" t="s">
        <v>2991</v>
      </c>
      <c r="K204" t="s">
        <v>12286</v>
      </c>
      <c r="L204" t="s">
        <v>12287</v>
      </c>
      <c r="M204" s="3" t="str">
        <f>HYPERLINK(склад2въезд13[[#This Row],[RelativePath]])</f>
        <v>4 Крыльцо офиса\K07156189_21_20260218T121626Z.jpg</v>
      </c>
    </row>
    <row r="205" spans="1:13" x14ac:dyDescent="0.25">
      <c r="A205" s="2" t="s">
        <v>15</v>
      </c>
      <c r="B205" s="4">
        <v>46071</v>
      </c>
      <c r="C205" s="5">
        <v>0.5130555555555556</v>
      </c>
      <c r="D205" s="10" t="s">
        <v>62</v>
      </c>
      <c r="E205" s="10" t="s">
        <v>4193</v>
      </c>
      <c r="F205" s="10"/>
      <c r="H205" s="10"/>
      <c r="I205" s="10" t="s">
        <v>12288</v>
      </c>
      <c r="J205" s="10" t="s">
        <v>2991</v>
      </c>
      <c r="K205" t="s">
        <v>12289</v>
      </c>
      <c r="L205" t="s">
        <v>12290</v>
      </c>
      <c r="M205" s="3" t="str">
        <f>HYPERLINK(склад2въезд13[[#This Row],[RelativePath]])</f>
        <v>4 Крыльцо офиса\K07156189_21_20260218T121848Z.jpg</v>
      </c>
    </row>
    <row r="206" spans="1:13" x14ac:dyDescent="0.25">
      <c r="A206" s="2" t="s">
        <v>15</v>
      </c>
      <c r="B206" s="4">
        <v>46071</v>
      </c>
      <c r="C206" s="5">
        <v>0.51651620370370366</v>
      </c>
      <c r="D206" s="10" t="s">
        <v>12017</v>
      </c>
      <c r="E206" s="10" t="s">
        <v>12373</v>
      </c>
      <c r="F206" s="10"/>
      <c r="H206" s="10"/>
      <c r="I206" s="10" t="s">
        <v>12291</v>
      </c>
      <c r="J206" s="10" t="s">
        <v>2991</v>
      </c>
      <c r="K206" t="s">
        <v>12292</v>
      </c>
      <c r="L206" t="s">
        <v>12293</v>
      </c>
      <c r="M206" s="3" t="str">
        <f>HYPERLINK(склад2въезд13[[#This Row],[RelativePath]])</f>
        <v>4 Крыльцо офиса\K07156189_21_20260218T122347Z.jpg</v>
      </c>
    </row>
    <row r="207" spans="1:13" x14ac:dyDescent="0.25">
      <c r="A207" s="2" t="s">
        <v>15</v>
      </c>
      <c r="B207" s="4">
        <v>46071</v>
      </c>
      <c r="C207" s="5">
        <v>0.52504629629629629</v>
      </c>
      <c r="D207" s="10" t="s">
        <v>62</v>
      </c>
      <c r="E207" s="10" t="s">
        <v>12373</v>
      </c>
      <c r="F207" s="10"/>
      <c r="H207" s="10"/>
      <c r="I207" s="10" t="s">
        <v>12294</v>
      </c>
      <c r="J207" s="10" t="s">
        <v>2991</v>
      </c>
      <c r="K207" t="s">
        <v>12295</v>
      </c>
      <c r="L207" t="s">
        <v>12296</v>
      </c>
      <c r="M207" s="3" t="str">
        <f>HYPERLINK(склад2въезд13[[#This Row],[RelativePath]])</f>
        <v>4 Крыльцо офиса\K07156189_21_20260218T123604Z.jpg</v>
      </c>
    </row>
    <row r="208" spans="1:13" x14ac:dyDescent="0.25">
      <c r="A208" s="2" t="s">
        <v>15</v>
      </c>
      <c r="B208" s="4">
        <v>46071</v>
      </c>
      <c r="C208" s="5">
        <v>0.60122685185185187</v>
      </c>
      <c r="D208" s="10" t="s">
        <v>651</v>
      </c>
      <c r="E208" s="10" t="s">
        <v>86</v>
      </c>
      <c r="F208" s="10"/>
      <c r="H208" s="10"/>
      <c r="I208" s="10" t="s">
        <v>12297</v>
      </c>
      <c r="J208" s="10" t="s">
        <v>2991</v>
      </c>
      <c r="K208" t="s">
        <v>12298</v>
      </c>
      <c r="L208" t="s">
        <v>12299</v>
      </c>
      <c r="M208" s="3" t="str">
        <f>HYPERLINK(склад2въезд13[[#This Row],[RelativePath]])</f>
        <v>4 Крыльцо офиса\K07156189_21_20260218T142546Z.jpg</v>
      </c>
    </row>
  </sheetData>
  <conditionalFormatting sqref="D209:D219 E209:E222 G2:H208 D2:E208">
    <cfRule type="containsText" dxfId="731" priority="14" operator="containsText" text="Выезд с территории">
      <formula>NOT(ISERROR(SEARCH("Выезд с территории",D2)))</formula>
    </cfRule>
  </conditionalFormatting>
  <conditionalFormatting sqref="F2:F208">
    <cfRule type="notContainsText" dxfId="730" priority="13" operator="notContains" text="порожний">
      <formula>ISERROR(SEARCH("порожний",F2))</formula>
    </cfRule>
  </conditionalFormatting>
  <conditionalFormatting sqref="E2:E222">
    <cfRule type="containsText" dxfId="729" priority="11" operator="containsText" text="Газель базы">
      <formula>NOT(ISERROR(SEARCH("Газель базы",E2)))</formula>
    </cfRule>
    <cfRule type="containsText" dxfId="728" priority="12" operator="containsText" text="Погрузчик базы">
      <formula>NOT(ISERROR(SEARCH("Погрузчик базы",E2)))</formula>
    </cfRule>
  </conditionalFormatting>
  <conditionalFormatting sqref="E2:E222">
    <cfRule type="containsText" dxfId="727" priority="10" operator="containsText" text="Трактор базы">
      <formula>NOT(ISERROR(SEARCH("Трактор базы",E2)))</formula>
    </cfRule>
  </conditionalFormatting>
  <conditionalFormatting sqref="A2:C208">
    <cfRule type="expression" dxfId="726" priority="9">
      <formula>$A2="пн"</formula>
    </cfRule>
  </conditionalFormatting>
  <conditionalFormatting sqref="A2:C210">
    <cfRule type="expression" dxfId="725" priority="3">
      <formula>$A2="вс"</formula>
    </cfRule>
    <cfRule type="expression" dxfId="724" priority="4">
      <formula>$A2="сб"</formula>
    </cfRule>
    <cfRule type="expression" dxfId="723" priority="5">
      <formula>$A2="пт"</formula>
    </cfRule>
    <cfRule type="expression" dxfId="722" priority="6">
      <formula>$A2="чт"</formula>
    </cfRule>
    <cfRule type="expression" dxfId="721" priority="7">
      <formula>$A2="ср"</formula>
    </cfRule>
    <cfRule type="expression" dxfId="720" priority="8">
      <formula>$A2="вт"</formula>
    </cfRule>
  </conditionalFormatting>
  <conditionalFormatting sqref="D2:D219">
    <cfRule type="containsText" dxfId="7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9">
    <cfRule type="containsText" dxfId="7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35"/>
  <sheetViews>
    <sheetView topLeftCell="B1" zoomScale="90" zoomScaleNormal="90" workbookViewId="0">
      <pane ySplit="1" topLeftCell="A319" activePane="bottomLeft" state="frozen"/>
      <selection pane="bottomLeft" activeCell="I329" sqref="I329:I33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.1406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10" t="s">
        <v>4</v>
      </c>
      <c r="E2" s="10" t="s">
        <v>8</v>
      </c>
      <c r="F2" s="10"/>
      <c r="H2" s="10" t="s">
        <v>5</v>
      </c>
      <c r="I2" s="10" t="s">
        <v>333</v>
      </c>
      <c r="J2" s="10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10" t="s">
        <v>460</v>
      </c>
      <c r="E3" s="10" t="s">
        <v>461</v>
      </c>
      <c r="F3" s="10"/>
      <c r="H3" s="10"/>
      <c r="I3" s="10" t="s">
        <v>337</v>
      </c>
      <c r="J3" s="10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10" t="s">
        <v>7</v>
      </c>
      <c r="E4" s="10" t="s">
        <v>461</v>
      </c>
      <c r="F4" s="10"/>
      <c r="H4" s="10"/>
      <c r="I4" s="10" t="s">
        <v>340</v>
      </c>
      <c r="J4" s="10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10" t="s">
        <v>4</v>
      </c>
      <c r="E5" s="10" t="s">
        <v>463</v>
      </c>
      <c r="F5" s="10"/>
      <c r="H5" s="10"/>
      <c r="I5" s="10" t="s">
        <v>343</v>
      </c>
      <c r="J5" s="10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10" t="s">
        <v>4</v>
      </c>
      <c r="E6" s="10" t="s">
        <v>462</v>
      </c>
      <c r="F6" s="10"/>
      <c r="H6" s="10"/>
      <c r="I6" s="10" t="s">
        <v>346</v>
      </c>
      <c r="J6" s="10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10" t="s">
        <v>4</v>
      </c>
      <c r="E7" s="10" t="s">
        <v>462</v>
      </c>
      <c r="F7" s="10"/>
      <c r="H7" s="10"/>
      <c r="I7" s="10" t="s">
        <v>349</v>
      </c>
      <c r="J7" s="10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10" t="s">
        <v>4</v>
      </c>
      <c r="E8" s="10" t="s">
        <v>463</v>
      </c>
      <c r="F8" s="10"/>
      <c r="H8" s="10"/>
      <c r="I8" s="10" t="s">
        <v>352</v>
      </c>
      <c r="J8" s="10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10" t="s">
        <v>4</v>
      </c>
      <c r="E9" s="10" t="s">
        <v>464</v>
      </c>
      <c r="F9" s="10"/>
      <c r="H9" s="10"/>
      <c r="I9" s="10" t="s">
        <v>355</v>
      </c>
      <c r="J9" s="10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10" t="s">
        <v>4</v>
      </c>
      <c r="E10" s="10" t="s">
        <v>8</v>
      </c>
      <c r="F10" s="10"/>
      <c r="H10" s="10" t="s">
        <v>5</v>
      </c>
      <c r="I10" s="10" t="s">
        <v>358</v>
      </c>
      <c r="J10" s="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10" t="s">
        <v>4</v>
      </c>
      <c r="E11" s="10" t="s">
        <v>465</v>
      </c>
      <c r="F11" s="10"/>
      <c r="H11" s="10"/>
      <c r="I11" s="10" t="s">
        <v>361</v>
      </c>
      <c r="J11" s="10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10" t="s">
        <v>467</v>
      </c>
      <c r="E12" s="10" t="s">
        <v>67</v>
      </c>
      <c r="F12" s="10"/>
      <c r="H12" s="10"/>
      <c r="I12" s="10" t="s">
        <v>364</v>
      </c>
      <c r="J12" s="10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10" t="s">
        <v>289</v>
      </c>
      <c r="E13" s="10" t="s">
        <v>67</v>
      </c>
      <c r="F13" s="10" t="s">
        <v>468</v>
      </c>
      <c r="H13" s="10"/>
      <c r="I13" s="10" t="s">
        <v>367</v>
      </c>
      <c r="J13" s="10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10" t="s">
        <v>289</v>
      </c>
      <c r="E14" s="10" t="s">
        <v>67</v>
      </c>
      <c r="F14" s="10" t="s">
        <v>468</v>
      </c>
      <c r="H14" s="10"/>
      <c r="I14" s="10" t="s">
        <v>370</v>
      </c>
      <c r="J14" s="10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10" t="s">
        <v>289</v>
      </c>
      <c r="E15" s="10" t="s">
        <v>67</v>
      </c>
      <c r="F15" s="10" t="s">
        <v>468</v>
      </c>
      <c r="H15" s="10"/>
      <c r="I15" s="10" t="s">
        <v>373</v>
      </c>
      <c r="J15" s="10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10" t="s">
        <v>289</v>
      </c>
      <c r="E16" s="10" t="s">
        <v>67</v>
      </c>
      <c r="F16" s="10" t="s">
        <v>468</v>
      </c>
      <c r="H16" s="10"/>
      <c r="I16" s="10" t="s">
        <v>376</v>
      </c>
      <c r="J16" s="10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10" t="s">
        <v>289</v>
      </c>
      <c r="E17" s="10" t="s">
        <v>67</v>
      </c>
      <c r="F17" s="10" t="s">
        <v>468</v>
      </c>
      <c r="H17" s="10"/>
      <c r="I17" s="10" t="s">
        <v>379</v>
      </c>
      <c r="J17" s="10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10" t="s">
        <v>289</v>
      </c>
      <c r="E18" s="10" t="s">
        <v>67</v>
      </c>
      <c r="F18" s="10" t="s">
        <v>468</v>
      </c>
      <c r="H18" s="10"/>
      <c r="I18" s="10" t="s">
        <v>382</v>
      </c>
      <c r="J18" s="10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10" t="s">
        <v>289</v>
      </c>
      <c r="E19" s="10" t="s">
        <v>67</v>
      </c>
      <c r="F19" s="10" t="s">
        <v>468</v>
      </c>
      <c r="H19" s="10"/>
      <c r="I19" s="10" t="s">
        <v>385</v>
      </c>
      <c r="J19" s="10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10" t="s">
        <v>289</v>
      </c>
      <c r="E20" s="10" t="s">
        <v>67</v>
      </c>
      <c r="F20" s="10" t="s">
        <v>468</v>
      </c>
      <c r="H20" s="10"/>
      <c r="I20" s="10" t="s">
        <v>388</v>
      </c>
      <c r="J20" s="1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10" t="s">
        <v>289</v>
      </c>
      <c r="E21" s="10" t="s">
        <v>67</v>
      </c>
      <c r="F21" s="10" t="s">
        <v>468</v>
      </c>
      <c r="H21" s="10"/>
      <c r="I21" s="10" t="s">
        <v>391</v>
      </c>
      <c r="J21" s="10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10" t="s">
        <v>289</v>
      </c>
      <c r="E22" s="10" t="s">
        <v>67</v>
      </c>
      <c r="F22" s="10" t="s">
        <v>468</v>
      </c>
      <c r="H22" s="10"/>
      <c r="I22" s="10" t="s">
        <v>394</v>
      </c>
      <c r="J22" s="10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10" t="s">
        <v>289</v>
      </c>
      <c r="E23" s="10" t="s">
        <v>67</v>
      </c>
      <c r="F23" s="10" t="s">
        <v>468</v>
      </c>
      <c r="H23" s="10"/>
      <c r="I23" s="10" t="s">
        <v>397</v>
      </c>
      <c r="J23" s="10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10" t="s">
        <v>289</v>
      </c>
      <c r="E24" s="10" t="s">
        <v>67</v>
      </c>
      <c r="F24" s="10" t="s">
        <v>468</v>
      </c>
      <c r="H24" s="10"/>
      <c r="I24" s="10" t="s">
        <v>400</v>
      </c>
      <c r="J24" s="10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10" t="s">
        <v>289</v>
      </c>
      <c r="E25" s="10" t="s">
        <v>67</v>
      </c>
      <c r="F25" s="10" t="s">
        <v>468</v>
      </c>
      <c r="H25" s="10"/>
      <c r="I25" s="10" t="s">
        <v>403</v>
      </c>
      <c r="J25" s="10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10" t="s">
        <v>289</v>
      </c>
      <c r="E26" s="10" t="s">
        <v>67</v>
      </c>
      <c r="F26" s="10" t="s">
        <v>468</v>
      </c>
      <c r="H26" s="10"/>
      <c r="I26" s="10" t="s">
        <v>406</v>
      </c>
      <c r="J26" s="10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10" t="s">
        <v>289</v>
      </c>
      <c r="E27" s="10" t="s">
        <v>67</v>
      </c>
      <c r="F27" s="10" t="s">
        <v>469</v>
      </c>
      <c r="H27" s="10" t="s">
        <v>470</v>
      </c>
      <c r="I27" s="10" t="s">
        <v>409</v>
      </c>
      <c r="J27" s="10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10" t="s">
        <v>471</v>
      </c>
      <c r="E28" s="10" t="s">
        <v>67</v>
      </c>
      <c r="F28" s="10" t="s">
        <v>468</v>
      </c>
      <c r="H28" s="10"/>
      <c r="I28" s="10" t="s">
        <v>412</v>
      </c>
      <c r="J28" s="10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10" t="s">
        <v>472</v>
      </c>
      <c r="E29" s="10" t="s">
        <v>67</v>
      </c>
      <c r="F29" s="10" t="s">
        <v>468</v>
      </c>
      <c r="H29" s="10"/>
      <c r="I29" s="10" t="s">
        <v>415</v>
      </c>
      <c r="J29" s="10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10" t="s">
        <v>4</v>
      </c>
      <c r="E30" s="10" t="s">
        <v>473</v>
      </c>
      <c r="F30" s="10"/>
      <c r="H30" s="10"/>
      <c r="I30" s="10" t="s">
        <v>418</v>
      </c>
      <c r="J30" s="1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10" t="s">
        <v>4</v>
      </c>
      <c r="E31" s="10" t="s">
        <v>8</v>
      </c>
      <c r="F31" s="10"/>
      <c r="H31" s="10" t="s">
        <v>5</v>
      </c>
      <c r="I31" s="10" t="s">
        <v>421</v>
      </c>
      <c r="J31" s="10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10" t="s">
        <v>4</v>
      </c>
      <c r="E32" s="10" t="s">
        <v>8</v>
      </c>
      <c r="F32" s="10"/>
      <c r="H32" s="10"/>
      <c r="I32" s="10" t="s">
        <v>424</v>
      </c>
      <c r="J32" s="10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10" t="s">
        <v>4</v>
      </c>
      <c r="E33" s="10" t="s">
        <v>477</v>
      </c>
      <c r="F33" s="10"/>
      <c r="H33" s="10" t="s">
        <v>478</v>
      </c>
      <c r="I33" s="10" t="s">
        <v>427</v>
      </c>
      <c r="J33" s="10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10" t="s">
        <v>4</v>
      </c>
      <c r="E34" s="10" t="s">
        <v>8</v>
      </c>
      <c r="F34" s="10"/>
      <c r="H34" s="10" t="s">
        <v>5</v>
      </c>
      <c r="I34" s="10" t="s">
        <v>430</v>
      </c>
      <c r="J34" s="10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10" t="s">
        <v>4</v>
      </c>
      <c r="E35" s="10" t="s">
        <v>8</v>
      </c>
      <c r="F35" s="10"/>
      <c r="H35" s="10" t="s">
        <v>474</v>
      </c>
      <c r="I35" s="10" t="s">
        <v>433</v>
      </c>
      <c r="J35" s="10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10" t="s">
        <v>4</v>
      </c>
      <c r="E36" s="10" t="s">
        <v>8</v>
      </c>
      <c r="F36" s="10"/>
      <c r="H36" s="10"/>
      <c r="I36" s="10" t="s">
        <v>436</v>
      </c>
      <c r="J36" s="10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10" t="s">
        <v>4</v>
      </c>
      <c r="E37" s="10" t="s">
        <v>8</v>
      </c>
      <c r="F37" s="10"/>
      <c r="H37" s="10" t="s">
        <v>6</v>
      </c>
      <c r="I37" s="10" t="s">
        <v>439</v>
      </c>
      <c r="J37" s="10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10" t="s">
        <v>4</v>
      </c>
      <c r="E38" s="10" t="s">
        <v>8</v>
      </c>
      <c r="F38" s="10"/>
      <c r="H38" s="10" t="s">
        <v>5</v>
      </c>
      <c r="I38" s="10" t="s">
        <v>442</v>
      </c>
      <c r="J38" s="10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10" t="s">
        <v>4</v>
      </c>
      <c r="E39" s="10" t="s">
        <v>475</v>
      </c>
      <c r="F39" s="10"/>
      <c r="H39" s="10"/>
      <c r="I39" s="10" t="s">
        <v>445</v>
      </c>
      <c r="J39" s="10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10" t="s">
        <v>4</v>
      </c>
      <c r="E40" s="10" t="s">
        <v>475</v>
      </c>
      <c r="F40" s="10"/>
      <c r="H40" s="10"/>
      <c r="I40" s="10" t="s">
        <v>448</v>
      </c>
      <c r="J40" s="1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10" t="s">
        <v>4</v>
      </c>
      <c r="E41" s="10" t="s">
        <v>479</v>
      </c>
      <c r="F41" s="10"/>
      <c r="H41" s="10" t="s">
        <v>476</v>
      </c>
      <c r="I41" s="10" t="s">
        <v>451</v>
      </c>
      <c r="J41" s="10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10" t="s">
        <v>4</v>
      </c>
      <c r="E42" s="10" t="s">
        <v>8</v>
      </c>
      <c r="F42" s="10"/>
      <c r="H42" s="10"/>
      <c r="I42" s="10" t="s">
        <v>454</v>
      </c>
      <c r="J42" s="10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10" t="s">
        <v>4</v>
      </c>
      <c r="E43" s="10" t="s">
        <v>8</v>
      </c>
      <c r="F43" s="10"/>
      <c r="H43" s="10" t="s">
        <v>6</v>
      </c>
      <c r="I43" s="10" t="s">
        <v>457</v>
      </c>
      <c r="J43" s="10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10" t="s">
        <v>4</v>
      </c>
      <c r="E44" s="10" t="s">
        <v>8</v>
      </c>
      <c r="F44" s="10"/>
      <c r="H44" s="10" t="s">
        <v>1625</v>
      </c>
      <c r="I44" s="10" t="s">
        <v>1295</v>
      </c>
      <c r="J44" s="10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10" t="s">
        <v>4</v>
      </c>
      <c r="E45" s="10" t="s">
        <v>8</v>
      </c>
      <c r="F45" s="10"/>
      <c r="H45" s="10" t="s">
        <v>2009</v>
      </c>
      <c r="I45" s="10" t="s">
        <v>1298</v>
      </c>
      <c r="J45" s="10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10" t="s">
        <v>4</v>
      </c>
      <c r="E46" s="10" t="s">
        <v>2014</v>
      </c>
      <c r="F46" s="10"/>
      <c r="H46" s="10" t="s">
        <v>1625</v>
      </c>
      <c r="I46" s="10" t="s">
        <v>1301</v>
      </c>
      <c r="J46" s="10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10" t="s">
        <v>4</v>
      </c>
      <c r="E47" s="10" t="s">
        <v>8</v>
      </c>
      <c r="F47" s="10"/>
      <c r="H47" s="10"/>
      <c r="I47" s="10" t="s">
        <v>2094</v>
      </c>
      <c r="J47" s="10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10" t="s">
        <v>4</v>
      </c>
      <c r="E48" s="10" t="s">
        <v>8</v>
      </c>
      <c r="F48" s="10"/>
      <c r="H48" s="10"/>
      <c r="I48" s="10" t="s">
        <v>2097</v>
      </c>
      <c r="J48" s="10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10" t="s">
        <v>4</v>
      </c>
      <c r="E49" s="10" t="s">
        <v>8</v>
      </c>
      <c r="F49" s="10"/>
      <c r="H49" s="10"/>
      <c r="I49" s="10" t="s">
        <v>2100</v>
      </c>
      <c r="J49" s="10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10" t="s">
        <v>4</v>
      </c>
      <c r="E50" s="10" t="s">
        <v>8</v>
      </c>
      <c r="F50" s="10"/>
      <c r="H50" s="10"/>
      <c r="I50" s="10" t="s">
        <v>2103</v>
      </c>
      <c r="J50" s="1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10" t="s">
        <v>4</v>
      </c>
      <c r="E51" s="10" t="s">
        <v>8</v>
      </c>
      <c r="F51" s="10"/>
      <c r="H51" s="10"/>
      <c r="I51" s="10" t="s">
        <v>2106</v>
      </c>
      <c r="J51" s="10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10" t="s">
        <v>4</v>
      </c>
      <c r="E52" s="10" t="s">
        <v>8</v>
      </c>
      <c r="F52" s="10"/>
      <c r="H52" s="10"/>
      <c r="I52" s="10" t="s">
        <v>2109</v>
      </c>
      <c r="J52" s="10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10" t="s">
        <v>4</v>
      </c>
      <c r="E53" s="10" t="s">
        <v>8</v>
      </c>
      <c r="F53" s="10"/>
      <c r="H53" s="10"/>
      <c r="I53" s="10" t="s">
        <v>2112</v>
      </c>
      <c r="J53" s="10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10" t="s">
        <v>4</v>
      </c>
      <c r="E54" s="10" t="s">
        <v>8</v>
      </c>
      <c r="F54" s="10"/>
      <c r="H54" s="10"/>
      <c r="I54" s="10" t="s">
        <v>3079</v>
      </c>
      <c r="J54" s="10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10" t="s">
        <v>4</v>
      </c>
      <c r="E55" s="10" t="s">
        <v>8</v>
      </c>
      <c r="F55" s="10"/>
      <c r="H55" s="10"/>
      <c r="I55" s="10" t="s">
        <v>3082</v>
      </c>
      <c r="J55" s="10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10" t="s">
        <v>4</v>
      </c>
      <c r="E56" s="10" t="s">
        <v>8</v>
      </c>
      <c r="F56" s="10"/>
      <c r="H56" s="10"/>
      <c r="I56" s="10" t="s">
        <v>3085</v>
      </c>
      <c r="J56" s="10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10" t="s">
        <v>4</v>
      </c>
      <c r="E57" s="10" t="s">
        <v>8</v>
      </c>
      <c r="F57" s="10"/>
      <c r="H57" s="10"/>
      <c r="I57" s="10" t="s">
        <v>3088</v>
      </c>
      <c r="J57" s="10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10" t="s">
        <v>4</v>
      </c>
      <c r="E58" s="10" t="s">
        <v>8</v>
      </c>
      <c r="F58" s="10"/>
      <c r="H58" s="10"/>
      <c r="I58" s="10" t="s">
        <v>3091</v>
      </c>
      <c r="J58" s="10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10" t="s">
        <v>4</v>
      </c>
      <c r="E59" s="10" t="s">
        <v>8</v>
      </c>
      <c r="F59" s="10"/>
      <c r="H59" s="10"/>
      <c r="I59" s="10" t="s">
        <v>3094</v>
      </c>
      <c r="J59" s="10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10" t="s">
        <v>4</v>
      </c>
      <c r="E60" s="10" t="s">
        <v>8</v>
      </c>
      <c r="F60" s="10"/>
      <c r="H60" s="10"/>
      <c r="I60" s="10" t="s">
        <v>3097</v>
      </c>
      <c r="J60" s="1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10" t="s">
        <v>4</v>
      </c>
      <c r="E61" s="10" t="s">
        <v>8</v>
      </c>
      <c r="F61" s="10"/>
      <c r="H61" s="10"/>
      <c r="I61" s="10" t="s">
        <v>3100</v>
      </c>
      <c r="J61" s="10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10" t="s">
        <v>2004</v>
      </c>
      <c r="E62" s="10"/>
      <c r="F62" s="10"/>
      <c r="H62" s="10"/>
      <c r="I62" s="10" t="s">
        <v>4270</v>
      </c>
      <c r="J62" s="10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10" t="s">
        <v>1094</v>
      </c>
      <c r="E63" s="10" t="s">
        <v>4247</v>
      </c>
      <c r="F63" s="10" t="s">
        <v>58</v>
      </c>
      <c r="H63" s="10" t="s">
        <v>5102</v>
      </c>
      <c r="I63" s="10" t="s">
        <v>5097</v>
      </c>
      <c r="J63" s="10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10" t="s">
        <v>4</v>
      </c>
      <c r="E64" s="10" t="s">
        <v>8</v>
      </c>
      <c r="F64" s="10"/>
      <c r="H64" s="10"/>
      <c r="I64" s="10" t="s">
        <v>4489</v>
      </c>
      <c r="J64" s="10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10" t="s">
        <v>1615</v>
      </c>
      <c r="E65" s="10" t="s">
        <v>86</v>
      </c>
      <c r="F65" s="10" t="s">
        <v>200</v>
      </c>
      <c r="H65" s="10"/>
      <c r="I65" s="10" t="s">
        <v>4492</v>
      </c>
      <c r="J65" s="10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10" t="s">
        <v>4</v>
      </c>
      <c r="E66" s="10" t="s">
        <v>8</v>
      </c>
      <c r="F66" s="10"/>
      <c r="H66" s="10"/>
      <c r="I66" s="10" t="s">
        <v>4495</v>
      </c>
      <c r="J66" s="10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10" t="s">
        <v>1615</v>
      </c>
      <c r="E67" s="10" t="s">
        <v>86</v>
      </c>
      <c r="F67" s="10" t="s">
        <v>200</v>
      </c>
      <c r="H67" s="10"/>
      <c r="I67" s="10" t="s">
        <v>4498</v>
      </c>
      <c r="J67" s="10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10" t="s">
        <v>1615</v>
      </c>
      <c r="E68" s="10" t="s">
        <v>86</v>
      </c>
      <c r="F68" s="10" t="s">
        <v>5103</v>
      </c>
      <c r="H68" s="10" t="s">
        <v>5104</v>
      </c>
      <c r="I68" s="10" t="s">
        <v>4501</v>
      </c>
      <c r="J68" s="10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10" t="s">
        <v>1615</v>
      </c>
      <c r="E69" s="10" t="s">
        <v>86</v>
      </c>
      <c r="F69" s="10" t="s">
        <v>200</v>
      </c>
      <c r="H69" s="10"/>
      <c r="I69" s="10" t="s">
        <v>4504</v>
      </c>
      <c r="J69" s="10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10" t="s">
        <v>1094</v>
      </c>
      <c r="E70" s="10" t="s">
        <v>4247</v>
      </c>
      <c r="F70" s="10" t="s">
        <v>60</v>
      </c>
      <c r="H70" s="10" t="s">
        <v>5102</v>
      </c>
      <c r="I70" s="10" t="s">
        <v>4507</v>
      </c>
      <c r="J70" s="1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10" t="s">
        <v>1094</v>
      </c>
      <c r="E71" s="10" t="s">
        <v>4247</v>
      </c>
      <c r="F71" s="10" t="s">
        <v>60</v>
      </c>
      <c r="H71" s="10" t="s">
        <v>2936</v>
      </c>
      <c r="I71" s="10" t="s">
        <v>4510</v>
      </c>
      <c r="J71" s="10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10" t="s">
        <v>4</v>
      </c>
      <c r="E72" s="10" t="s">
        <v>8</v>
      </c>
      <c r="F72" s="10"/>
      <c r="H72" s="10" t="s">
        <v>2936</v>
      </c>
      <c r="I72" s="10" t="s">
        <v>4513</v>
      </c>
      <c r="J72" s="10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10" t="s">
        <v>4</v>
      </c>
      <c r="E73" s="10" t="s">
        <v>8</v>
      </c>
      <c r="F73" s="10"/>
      <c r="H73" s="10" t="s">
        <v>2936</v>
      </c>
      <c r="I73" s="10" t="s">
        <v>4516</v>
      </c>
      <c r="J73" s="10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10" t="s">
        <v>4</v>
      </c>
      <c r="E74" s="10" t="s">
        <v>8</v>
      </c>
      <c r="F74" s="10"/>
      <c r="H74" s="10" t="s">
        <v>2936</v>
      </c>
      <c r="I74" s="10" t="s">
        <v>4519</v>
      </c>
      <c r="J74" s="10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10" t="s">
        <v>1606</v>
      </c>
      <c r="E75" s="10" t="s">
        <v>70</v>
      </c>
      <c r="F75" s="10"/>
      <c r="H75" s="10"/>
      <c r="I75" s="10" t="s">
        <v>4522</v>
      </c>
      <c r="J75" s="10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10" t="s">
        <v>290</v>
      </c>
      <c r="E76" s="10" t="s">
        <v>70</v>
      </c>
      <c r="F76" s="10" t="s">
        <v>5093</v>
      </c>
      <c r="H76" s="10"/>
      <c r="I76" s="10" t="s">
        <v>4525</v>
      </c>
      <c r="J76" s="10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10" t="s">
        <v>466</v>
      </c>
      <c r="E77" s="10" t="s">
        <v>86</v>
      </c>
      <c r="F77" s="10" t="s">
        <v>5093</v>
      </c>
      <c r="H77" s="10"/>
      <c r="I77" s="10" t="s">
        <v>4528</v>
      </c>
      <c r="J77" s="10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10" t="s">
        <v>1615</v>
      </c>
      <c r="E78" s="10" t="s">
        <v>86</v>
      </c>
      <c r="F78" s="10" t="s">
        <v>5093</v>
      </c>
      <c r="H78" s="10"/>
      <c r="I78" s="10" t="s">
        <v>4531</v>
      </c>
      <c r="J78" s="10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10" t="s">
        <v>466</v>
      </c>
      <c r="E79" s="10" t="s">
        <v>86</v>
      </c>
      <c r="F79" s="10" t="s">
        <v>5093</v>
      </c>
      <c r="H79" s="10"/>
      <c r="I79" s="10" t="s">
        <v>5099</v>
      </c>
      <c r="J79" s="10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10" t="s">
        <v>5105</v>
      </c>
      <c r="E80" s="10"/>
      <c r="F80" s="10"/>
      <c r="H80" s="10"/>
      <c r="I80" s="10" t="s">
        <v>4534</v>
      </c>
      <c r="J80" s="1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10" t="s">
        <v>1615</v>
      </c>
      <c r="E81" s="10" t="s">
        <v>86</v>
      </c>
      <c r="F81" s="10" t="s">
        <v>5093</v>
      </c>
      <c r="H81" s="10"/>
      <c r="I81" s="10" t="s">
        <v>4537</v>
      </c>
      <c r="J81" s="10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10" t="s">
        <v>4</v>
      </c>
      <c r="E82" s="10" t="s">
        <v>8</v>
      </c>
      <c r="F82" s="10"/>
      <c r="H82" s="10"/>
      <c r="I82" s="10" t="s">
        <v>4540</v>
      </c>
      <c r="J82" s="10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10" t="s">
        <v>1606</v>
      </c>
      <c r="E83" s="10" t="s">
        <v>70</v>
      </c>
      <c r="F83" s="10"/>
      <c r="H83" s="10"/>
      <c r="I83" s="10" t="s">
        <v>4543</v>
      </c>
      <c r="J83" s="10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10" t="s">
        <v>1606</v>
      </c>
      <c r="E84" s="10" t="s">
        <v>55</v>
      </c>
      <c r="F84" s="10"/>
      <c r="H84" s="10"/>
      <c r="I84" s="10" t="s">
        <v>4546</v>
      </c>
      <c r="J84" s="10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10" t="s">
        <v>290</v>
      </c>
      <c r="E85" s="10" t="s">
        <v>70</v>
      </c>
      <c r="F85" s="10" t="s">
        <v>5093</v>
      </c>
      <c r="H85" s="10"/>
      <c r="I85" s="10" t="s">
        <v>4549</v>
      </c>
      <c r="J85" s="10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10" t="s">
        <v>4</v>
      </c>
      <c r="E86" s="10" t="s">
        <v>8</v>
      </c>
      <c r="F86" s="10"/>
      <c r="H86" s="10"/>
      <c r="I86" s="10" t="s">
        <v>4552</v>
      </c>
      <c r="J86" s="10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10" t="s">
        <v>2004</v>
      </c>
      <c r="E87" s="10"/>
      <c r="F87" s="10"/>
      <c r="H87" s="10"/>
      <c r="I87" s="10" t="s">
        <v>4555</v>
      </c>
      <c r="J87" s="10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10" t="s">
        <v>1606</v>
      </c>
      <c r="E88" s="10" t="s">
        <v>5263</v>
      </c>
      <c r="F88" s="10" t="s">
        <v>4233</v>
      </c>
      <c r="H88" s="10"/>
      <c r="I88" s="10" t="s">
        <v>5148</v>
      </c>
      <c r="J88" s="10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10" t="s">
        <v>289</v>
      </c>
      <c r="E89" s="10" t="s">
        <v>5263</v>
      </c>
      <c r="F89" s="10" t="s">
        <v>5093</v>
      </c>
      <c r="H89" s="10"/>
      <c r="I89" s="10" t="s">
        <v>5151</v>
      </c>
      <c r="J89" s="10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10" t="s">
        <v>289</v>
      </c>
      <c r="E90" s="10" t="s">
        <v>5263</v>
      </c>
      <c r="F90" s="10" t="s">
        <v>5093</v>
      </c>
      <c r="H90" s="10" t="s">
        <v>2936</v>
      </c>
      <c r="I90" s="10" t="s">
        <v>5154</v>
      </c>
      <c r="J90" s="1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10" t="s">
        <v>289</v>
      </c>
      <c r="E91" s="10" t="s">
        <v>5263</v>
      </c>
      <c r="F91" s="10" t="s">
        <v>5093</v>
      </c>
      <c r="H91" s="10" t="s">
        <v>2936</v>
      </c>
      <c r="I91" s="10" t="s">
        <v>5157</v>
      </c>
      <c r="J91" s="10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10" t="s">
        <v>289</v>
      </c>
      <c r="E92" s="10" t="s">
        <v>5263</v>
      </c>
      <c r="F92" s="10" t="s">
        <v>5093</v>
      </c>
      <c r="H92" s="10" t="s">
        <v>2936</v>
      </c>
      <c r="I92" s="10" t="s">
        <v>5160</v>
      </c>
      <c r="J92" s="10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10" t="s">
        <v>289</v>
      </c>
      <c r="E93" s="10" t="s">
        <v>5263</v>
      </c>
      <c r="F93" s="10" t="s">
        <v>5093</v>
      </c>
      <c r="H93" s="10" t="s">
        <v>2936</v>
      </c>
      <c r="I93" s="10" t="s">
        <v>5163</v>
      </c>
      <c r="J93" s="10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10" t="s">
        <v>289</v>
      </c>
      <c r="E94" s="10" t="s">
        <v>5263</v>
      </c>
      <c r="F94" s="10" t="s">
        <v>5093</v>
      </c>
      <c r="H94" s="10" t="s">
        <v>2936</v>
      </c>
      <c r="I94" s="10" t="s">
        <v>5166</v>
      </c>
      <c r="J94" s="10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10" t="s">
        <v>4232</v>
      </c>
      <c r="E95" s="10" t="s">
        <v>5263</v>
      </c>
      <c r="F95" s="10" t="s">
        <v>1609</v>
      </c>
      <c r="H95" s="10"/>
      <c r="I95" s="10" t="s">
        <v>5169</v>
      </c>
      <c r="J95" s="10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10" t="s">
        <v>650</v>
      </c>
      <c r="E96" s="10" t="s">
        <v>5263</v>
      </c>
      <c r="F96" s="10" t="s">
        <v>1609</v>
      </c>
      <c r="H96" s="10"/>
      <c r="I96" s="10" t="s">
        <v>5172</v>
      </c>
      <c r="J96" s="10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10" t="s">
        <v>4</v>
      </c>
      <c r="E97" s="10" t="s">
        <v>8</v>
      </c>
      <c r="F97" s="10"/>
      <c r="H97" s="10"/>
      <c r="I97" s="10" t="s">
        <v>5304</v>
      </c>
      <c r="J97" s="10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10" t="s">
        <v>2004</v>
      </c>
      <c r="E98" s="10" t="s">
        <v>8</v>
      </c>
      <c r="F98" s="10"/>
      <c r="H98" s="10"/>
      <c r="I98" s="10" t="s">
        <v>5307</v>
      </c>
      <c r="J98" s="10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10" t="s">
        <v>2004</v>
      </c>
      <c r="E99" s="10" t="s">
        <v>8</v>
      </c>
      <c r="F99" s="10"/>
      <c r="H99" s="10"/>
      <c r="I99" s="10" t="s">
        <v>5708</v>
      </c>
      <c r="J99" s="10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10" t="s">
        <v>4</v>
      </c>
      <c r="E100" s="10" t="s">
        <v>1607</v>
      </c>
      <c r="F100" s="10" t="s">
        <v>6175</v>
      </c>
      <c r="H100" s="10"/>
      <c r="I100" s="10" t="s">
        <v>5711</v>
      </c>
      <c r="J100" s="1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10" t="s">
        <v>2004</v>
      </c>
      <c r="E101" s="10" t="s">
        <v>8</v>
      </c>
      <c r="F101" s="10"/>
      <c r="H101" s="10"/>
      <c r="I101" s="10" t="s">
        <v>5714</v>
      </c>
      <c r="J101" s="10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10" t="s">
        <v>2004</v>
      </c>
      <c r="E102" s="10" t="s">
        <v>8</v>
      </c>
      <c r="F102" s="10"/>
      <c r="H102" s="10"/>
      <c r="I102" s="10" t="s">
        <v>5855</v>
      </c>
      <c r="J102" s="10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10" t="s">
        <v>4</v>
      </c>
      <c r="E103" s="10" t="s">
        <v>55</v>
      </c>
      <c r="F103" s="10" t="s">
        <v>51</v>
      </c>
      <c r="H103" s="10"/>
      <c r="I103" s="10" t="s">
        <v>5858</v>
      </c>
      <c r="J103" s="10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10" t="s">
        <v>650</v>
      </c>
      <c r="E104" s="10" t="s">
        <v>55</v>
      </c>
      <c r="F104" s="10" t="s">
        <v>51</v>
      </c>
      <c r="H104" s="10" t="s">
        <v>6176</v>
      </c>
      <c r="I104" s="10" t="s">
        <v>5861</v>
      </c>
      <c r="J104" s="10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10" t="s">
        <v>4</v>
      </c>
      <c r="E105" s="10" t="s">
        <v>8</v>
      </c>
      <c r="F105" s="10"/>
      <c r="H105" s="10"/>
      <c r="I105" s="10" t="s">
        <v>5864</v>
      </c>
      <c r="J105" s="10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10" t="s">
        <v>2004</v>
      </c>
      <c r="E106" s="10" t="s">
        <v>8</v>
      </c>
      <c r="F106" s="10"/>
      <c r="H106" s="10"/>
      <c r="I106" s="10" t="s">
        <v>6074</v>
      </c>
      <c r="J106" s="10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10" t="s">
        <v>2004</v>
      </c>
      <c r="E107" s="10" t="s">
        <v>8</v>
      </c>
      <c r="F107" s="10"/>
      <c r="H107" s="10"/>
      <c r="I107" s="10" t="s">
        <v>6204</v>
      </c>
      <c r="J107" s="10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10" t="s">
        <v>1606</v>
      </c>
      <c r="E108" s="10" t="s">
        <v>70</v>
      </c>
      <c r="F108" s="10"/>
      <c r="H108" s="10"/>
      <c r="I108" s="10" t="s">
        <v>6313</v>
      </c>
      <c r="J108" s="10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10" t="s">
        <v>4</v>
      </c>
      <c r="E109" s="10" t="s">
        <v>6341</v>
      </c>
      <c r="F109" s="10"/>
      <c r="H109" s="10"/>
      <c r="I109" s="10" t="s">
        <v>6316</v>
      </c>
      <c r="J109" s="10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10" t="s">
        <v>2004</v>
      </c>
      <c r="E110" s="10" t="s">
        <v>8</v>
      </c>
      <c r="F110" s="10"/>
      <c r="H110" s="10"/>
      <c r="I110" s="10" t="s">
        <v>6563</v>
      </c>
      <c r="J110" s="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10" t="s">
        <v>2004</v>
      </c>
      <c r="E111" s="10" t="s">
        <v>8</v>
      </c>
      <c r="F111" s="10"/>
      <c r="H111" s="10"/>
      <c r="I111" s="10" t="s">
        <v>6712</v>
      </c>
      <c r="J111" s="10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10" t="s">
        <v>4</v>
      </c>
      <c r="E112" s="10" t="s">
        <v>8</v>
      </c>
      <c r="F112" s="10"/>
      <c r="H112" s="10"/>
      <c r="I112" s="10" t="s">
        <v>7139</v>
      </c>
      <c r="J112" s="10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10" t="s">
        <v>651</v>
      </c>
      <c r="E113" s="10" t="s">
        <v>4247</v>
      </c>
      <c r="F113" s="10"/>
      <c r="H113" s="10"/>
      <c r="I113" s="10" t="s">
        <v>7142</v>
      </c>
      <c r="J113" s="10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10" t="s">
        <v>12</v>
      </c>
      <c r="E114" s="10" t="s">
        <v>1607</v>
      </c>
      <c r="F114" s="10"/>
      <c r="H114" s="10"/>
      <c r="I114" s="10" t="s">
        <v>7145</v>
      </c>
      <c r="J114" s="10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10" t="s">
        <v>4</v>
      </c>
      <c r="E115" s="10" t="s">
        <v>8</v>
      </c>
      <c r="F115" s="10"/>
      <c r="H115" s="10"/>
      <c r="I115" s="10" t="s">
        <v>7148</v>
      </c>
      <c r="J115" s="10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10" t="s">
        <v>2004</v>
      </c>
      <c r="E116" s="10" t="s">
        <v>8</v>
      </c>
      <c r="F116" s="10"/>
      <c r="H116" s="10"/>
      <c r="I116" s="10" t="s">
        <v>7151</v>
      </c>
      <c r="J116" s="10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10" t="s">
        <v>2004</v>
      </c>
      <c r="E117" s="10" t="s">
        <v>8</v>
      </c>
      <c r="F117" s="10"/>
      <c r="H117" s="10"/>
      <c r="I117" s="10" t="s">
        <v>7154</v>
      </c>
      <c r="J117" s="10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10" t="s">
        <v>2004</v>
      </c>
      <c r="E118" s="10" t="s">
        <v>8</v>
      </c>
      <c r="F118" s="10"/>
      <c r="H118" s="10"/>
      <c r="I118" s="10" t="s">
        <v>7172</v>
      </c>
      <c r="J118" s="10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10" t="s">
        <v>12</v>
      </c>
      <c r="E119" s="10" t="s">
        <v>1607</v>
      </c>
      <c r="F119" s="10"/>
      <c r="H119" s="10"/>
      <c r="I119" s="10" t="s">
        <v>7317</v>
      </c>
      <c r="J119" s="10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10" t="s">
        <v>2004</v>
      </c>
      <c r="E120" s="10" t="s">
        <v>8</v>
      </c>
      <c r="F120" s="10"/>
      <c r="H120" s="10"/>
      <c r="I120" s="10" t="s">
        <v>7320</v>
      </c>
      <c r="J120" s="1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10" t="s">
        <v>2004</v>
      </c>
      <c r="E121" s="10" t="s">
        <v>8</v>
      </c>
      <c r="F121" s="10"/>
      <c r="H121" s="10"/>
      <c r="I121" s="10" t="s">
        <v>7323</v>
      </c>
      <c r="J121" s="10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10" t="s">
        <v>4216</v>
      </c>
      <c r="E122" s="10" t="s">
        <v>7410</v>
      </c>
      <c r="F122" s="10" t="s">
        <v>60</v>
      </c>
      <c r="H122" s="10"/>
      <c r="I122" s="10" t="s">
        <v>7326</v>
      </c>
      <c r="J122" s="10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10" t="s">
        <v>4216</v>
      </c>
      <c r="E123" s="10" t="s">
        <v>7410</v>
      </c>
      <c r="F123" s="10" t="s">
        <v>60</v>
      </c>
      <c r="H123" s="10"/>
      <c r="I123" s="10" t="s">
        <v>7329</v>
      </c>
      <c r="J123" s="10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10" t="s">
        <v>290</v>
      </c>
      <c r="E124" s="10" t="s">
        <v>86</v>
      </c>
      <c r="F124" s="10" t="s">
        <v>60</v>
      </c>
      <c r="G124">
        <v>4</v>
      </c>
      <c r="H124" s="10"/>
      <c r="I124" s="10" t="s">
        <v>7332</v>
      </c>
      <c r="J124" s="10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10" t="s">
        <v>1094</v>
      </c>
      <c r="E125" s="10" t="s">
        <v>86</v>
      </c>
      <c r="F125" s="10" t="s">
        <v>60</v>
      </c>
      <c r="H125" s="10" t="s">
        <v>476</v>
      </c>
      <c r="I125" s="10" t="s">
        <v>7335</v>
      </c>
      <c r="J125" s="10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10" t="s">
        <v>290</v>
      </c>
      <c r="E126" s="10" t="s">
        <v>86</v>
      </c>
      <c r="F126" s="10" t="s">
        <v>60</v>
      </c>
      <c r="G126">
        <v>1</v>
      </c>
      <c r="H126" s="10"/>
      <c r="I126" s="10" t="s">
        <v>7338</v>
      </c>
      <c r="J126" s="10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10" t="s">
        <v>290</v>
      </c>
      <c r="E127" s="10" t="s">
        <v>86</v>
      </c>
      <c r="F127" s="10" t="s">
        <v>60</v>
      </c>
      <c r="G127">
        <v>4</v>
      </c>
      <c r="H127" s="10"/>
      <c r="I127" s="10" t="s">
        <v>7341</v>
      </c>
      <c r="J127" s="10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10" t="s">
        <v>290</v>
      </c>
      <c r="E128" s="10" t="s">
        <v>86</v>
      </c>
      <c r="F128" s="10" t="s">
        <v>60</v>
      </c>
      <c r="G128">
        <v>2</v>
      </c>
      <c r="H128" s="10"/>
      <c r="I128" s="10" t="s">
        <v>7344</v>
      </c>
      <c r="J128" s="10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10" t="s">
        <v>290</v>
      </c>
      <c r="E129" s="10" t="s">
        <v>86</v>
      </c>
      <c r="F129" s="10" t="s">
        <v>60</v>
      </c>
      <c r="G129">
        <v>3</v>
      </c>
      <c r="H129" s="10"/>
      <c r="I129" s="10" t="s">
        <v>7347</v>
      </c>
      <c r="J129" s="10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10" t="s">
        <v>290</v>
      </c>
      <c r="E130" s="10" t="s">
        <v>86</v>
      </c>
      <c r="F130" s="10" t="s">
        <v>60</v>
      </c>
      <c r="G130">
        <v>3</v>
      </c>
      <c r="H130" s="10"/>
      <c r="I130" s="10" t="s">
        <v>7350</v>
      </c>
      <c r="J130" s="1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10" t="s">
        <v>290</v>
      </c>
      <c r="E131" s="10" t="s">
        <v>86</v>
      </c>
      <c r="F131" s="10" t="s">
        <v>60</v>
      </c>
      <c r="G131">
        <v>2</v>
      </c>
      <c r="H131" s="10"/>
      <c r="I131" s="10" t="s">
        <v>7353</v>
      </c>
      <c r="J131" s="10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10" t="s">
        <v>290</v>
      </c>
      <c r="E132" s="10" t="s">
        <v>86</v>
      </c>
      <c r="F132" s="10" t="s">
        <v>60</v>
      </c>
      <c r="G132">
        <v>2</v>
      </c>
      <c r="H132" s="10"/>
      <c r="I132" s="10" t="s">
        <v>7356</v>
      </c>
      <c r="J132" s="10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10" t="s">
        <v>290</v>
      </c>
      <c r="E133" s="10" t="s">
        <v>86</v>
      </c>
      <c r="F133" s="10" t="s">
        <v>60</v>
      </c>
      <c r="G133">
        <v>2</v>
      </c>
      <c r="H133" s="10"/>
      <c r="I133" s="10" t="s">
        <v>7359</v>
      </c>
      <c r="J133" s="10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10" t="s">
        <v>290</v>
      </c>
      <c r="E134" s="10" t="s">
        <v>86</v>
      </c>
      <c r="F134" s="10" t="s">
        <v>60</v>
      </c>
      <c r="G134">
        <v>1</v>
      </c>
      <c r="H134" s="10"/>
      <c r="I134" s="10" t="s">
        <v>7362</v>
      </c>
      <c r="J134" s="10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10" t="s">
        <v>290</v>
      </c>
      <c r="E135" s="10" t="s">
        <v>86</v>
      </c>
      <c r="F135" s="10" t="s">
        <v>60</v>
      </c>
      <c r="G135">
        <v>2</v>
      </c>
      <c r="H135" s="10"/>
      <c r="I135" s="10" t="s">
        <v>7365</v>
      </c>
      <c r="J135" s="10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10" t="s">
        <v>290</v>
      </c>
      <c r="E136" s="10" t="s">
        <v>86</v>
      </c>
      <c r="F136" s="10" t="s">
        <v>60</v>
      </c>
      <c r="G136">
        <v>4</v>
      </c>
      <c r="H136" s="10"/>
      <c r="I136" s="10" t="s">
        <v>7368</v>
      </c>
      <c r="J136" s="10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10" t="s">
        <v>290</v>
      </c>
      <c r="E137" s="10" t="s">
        <v>86</v>
      </c>
      <c r="F137" s="10" t="s">
        <v>60</v>
      </c>
      <c r="G137">
        <v>2</v>
      </c>
      <c r="H137" s="10"/>
      <c r="I137" s="10" t="s">
        <v>7371</v>
      </c>
      <c r="J137" s="10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10" t="s">
        <v>290</v>
      </c>
      <c r="E138" s="10" t="s">
        <v>86</v>
      </c>
      <c r="F138" s="10" t="s">
        <v>60</v>
      </c>
      <c r="G138">
        <v>2</v>
      </c>
      <c r="H138" s="10"/>
      <c r="I138" s="10" t="s">
        <v>7374</v>
      </c>
      <c r="J138" s="10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10" t="s">
        <v>290</v>
      </c>
      <c r="E139" s="10" t="s">
        <v>86</v>
      </c>
      <c r="F139" s="10" t="s">
        <v>60</v>
      </c>
      <c r="G139">
        <v>3</v>
      </c>
      <c r="H139" s="10"/>
      <c r="I139" s="10" t="s">
        <v>7377</v>
      </c>
      <c r="J139" s="10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10" t="s">
        <v>290</v>
      </c>
      <c r="E140" s="10" t="s">
        <v>86</v>
      </c>
      <c r="F140" s="10" t="s">
        <v>60</v>
      </c>
      <c r="G140">
        <v>3</v>
      </c>
      <c r="H140" s="10"/>
      <c r="I140" s="10" t="s">
        <v>7380</v>
      </c>
      <c r="J140" s="1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10" t="s">
        <v>290</v>
      </c>
      <c r="E141" s="10" t="s">
        <v>86</v>
      </c>
      <c r="F141" s="10" t="s">
        <v>60</v>
      </c>
      <c r="G141">
        <v>2</v>
      </c>
      <c r="H141" s="10"/>
      <c r="I141" s="10" t="s">
        <v>7383</v>
      </c>
      <c r="J141" s="10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10" t="s">
        <v>290</v>
      </c>
      <c r="E142" s="10" t="s">
        <v>86</v>
      </c>
      <c r="F142" s="10" t="s">
        <v>60</v>
      </c>
      <c r="G142">
        <v>4</v>
      </c>
      <c r="H142" s="10"/>
      <c r="I142" s="10" t="s">
        <v>7386</v>
      </c>
      <c r="J142" s="10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10" t="s">
        <v>290</v>
      </c>
      <c r="E143" s="10" t="s">
        <v>86</v>
      </c>
      <c r="F143" s="10" t="s">
        <v>60</v>
      </c>
      <c r="G143">
        <v>3</v>
      </c>
      <c r="H143" s="10"/>
      <c r="I143" s="10" t="s">
        <v>7389</v>
      </c>
      <c r="J143" s="10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10" t="s">
        <v>290</v>
      </c>
      <c r="E144" s="10" t="s">
        <v>86</v>
      </c>
      <c r="F144" s="10" t="s">
        <v>60</v>
      </c>
      <c r="G144">
        <v>2</v>
      </c>
      <c r="H144" s="10"/>
      <c r="I144" s="10" t="s">
        <v>7392</v>
      </c>
      <c r="J144" s="10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10" t="s">
        <v>1615</v>
      </c>
      <c r="E145" s="10" t="s">
        <v>86</v>
      </c>
      <c r="F145" s="10" t="s">
        <v>60</v>
      </c>
      <c r="H145" s="10" t="s">
        <v>7707</v>
      </c>
      <c r="I145" s="10" t="s">
        <v>7595</v>
      </c>
      <c r="J145" s="10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10" t="s">
        <v>1615</v>
      </c>
      <c r="E146" s="10" t="s">
        <v>86</v>
      </c>
      <c r="F146" s="10" t="s">
        <v>60</v>
      </c>
      <c r="H146" s="10" t="s">
        <v>7708</v>
      </c>
      <c r="I146" s="10" t="s">
        <v>7598</v>
      </c>
      <c r="J146" s="10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10" t="s">
        <v>4</v>
      </c>
      <c r="E147" s="10" t="s">
        <v>7706</v>
      </c>
      <c r="F147" s="10" t="s">
        <v>60</v>
      </c>
      <c r="H147" s="10"/>
      <c r="I147" s="10" t="s">
        <v>7601</v>
      </c>
      <c r="J147" s="10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10" t="s">
        <v>290</v>
      </c>
      <c r="E148" s="10" t="s">
        <v>86</v>
      </c>
      <c r="F148" s="10" t="s">
        <v>60</v>
      </c>
      <c r="G148">
        <v>3</v>
      </c>
      <c r="H148" s="10"/>
      <c r="I148" s="10" t="s">
        <v>7604</v>
      </c>
      <c r="J148" s="10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10" t="s">
        <v>290</v>
      </c>
      <c r="E149" s="10" t="s">
        <v>86</v>
      </c>
      <c r="F149" s="10" t="s">
        <v>60</v>
      </c>
      <c r="G149">
        <v>2</v>
      </c>
      <c r="H149" s="10"/>
      <c r="I149" s="10" t="s">
        <v>7607</v>
      </c>
      <c r="J149" s="10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10" t="s">
        <v>290</v>
      </c>
      <c r="E150" s="10" t="s">
        <v>86</v>
      </c>
      <c r="F150" s="10" t="s">
        <v>60</v>
      </c>
      <c r="G150">
        <v>2</v>
      </c>
      <c r="H150" s="10"/>
      <c r="I150" s="10" t="s">
        <v>7610</v>
      </c>
      <c r="J150" s="1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10" t="s">
        <v>290</v>
      </c>
      <c r="E151" s="10" t="s">
        <v>86</v>
      </c>
      <c r="F151" s="10" t="s">
        <v>60</v>
      </c>
      <c r="G151">
        <v>3</v>
      </c>
      <c r="H151" s="10"/>
      <c r="I151" s="10" t="s">
        <v>7613</v>
      </c>
      <c r="J151" s="10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10" t="s">
        <v>290</v>
      </c>
      <c r="E152" s="10" t="s">
        <v>86</v>
      </c>
      <c r="F152" s="10" t="s">
        <v>60</v>
      </c>
      <c r="G152">
        <v>4</v>
      </c>
      <c r="H152" s="10"/>
      <c r="I152" s="10" t="s">
        <v>7616</v>
      </c>
      <c r="J152" s="10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10" t="s">
        <v>290</v>
      </c>
      <c r="E153" s="10" t="s">
        <v>86</v>
      </c>
      <c r="F153" s="10" t="s">
        <v>60</v>
      </c>
      <c r="G153">
        <v>3</v>
      </c>
      <c r="H153" s="10"/>
      <c r="I153" s="10" t="s">
        <v>7619</v>
      </c>
      <c r="J153" s="10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10" t="s">
        <v>290</v>
      </c>
      <c r="E154" s="10" t="s">
        <v>86</v>
      </c>
      <c r="F154" s="10" t="s">
        <v>60</v>
      </c>
      <c r="G154">
        <v>3</v>
      </c>
      <c r="H154" s="10"/>
      <c r="I154" s="10" t="s">
        <v>7622</v>
      </c>
      <c r="J154" s="10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10" t="s">
        <v>290</v>
      </c>
      <c r="E155" s="10" t="s">
        <v>86</v>
      </c>
      <c r="F155" s="10" t="s">
        <v>60</v>
      </c>
      <c r="G155">
        <v>2</v>
      </c>
      <c r="H155" s="10"/>
      <c r="I155" s="10" t="s">
        <v>7625</v>
      </c>
      <c r="J155" s="10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10" t="s">
        <v>290</v>
      </c>
      <c r="E156" s="10" t="s">
        <v>86</v>
      </c>
      <c r="F156" s="10" t="s">
        <v>60</v>
      </c>
      <c r="G156">
        <v>2</v>
      </c>
      <c r="H156" s="10"/>
      <c r="I156" s="10" t="s">
        <v>7628</v>
      </c>
      <c r="J156" s="10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10" t="s">
        <v>290</v>
      </c>
      <c r="E157" s="10" t="s">
        <v>86</v>
      </c>
      <c r="F157" s="10" t="s">
        <v>60</v>
      </c>
      <c r="G157">
        <v>3</v>
      </c>
      <c r="H157" s="10"/>
      <c r="I157" s="10" t="s">
        <v>7631</v>
      </c>
      <c r="J157" s="10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10" t="s">
        <v>290</v>
      </c>
      <c r="E158" s="10" t="s">
        <v>86</v>
      </c>
      <c r="F158" s="10" t="s">
        <v>60</v>
      </c>
      <c r="G158">
        <v>3</v>
      </c>
      <c r="H158" s="10"/>
      <c r="I158" s="10" t="s">
        <v>7634</v>
      </c>
      <c r="J158" s="10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10" t="s">
        <v>290</v>
      </c>
      <c r="E159" s="10" t="s">
        <v>86</v>
      </c>
      <c r="F159" s="10" t="s">
        <v>60</v>
      </c>
      <c r="G159">
        <v>2</v>
      </c>
      <c r="H159" s="10"/>
      <c r="I159" s="10" t="s">
        <v>7637</v>
      </c>
      <c r="J159" s="10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10" t="s">
        <v>290</v>
      </c>
      <c r="E160" s="10" t="s">
        <v>86</v>
      </c>
      <c r="F160" s="10" t="s">
        <v>60</v>
      </c>
      <c r="G160">
        <v>1</v>
      </c>
      <c r="H160" s="10"/>
      <c r="I160" s="10" t="s">
        <v>7640</v>
      </c>
      <c r="J160" s="1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10" t="s">
        <v>290</v>
      </c>
      <c r="E161" s="10" t="s">
        <v>86</v>
      </c>
      <c r="F161" s="10" t="s">
        <v>60</v>
      </c>
      <c r="G161">
        <v>4</v>
      </c>
      <c r="H161" s="10"/>
      <c r="I161" s="10" t="s">
        <v>7643</v>
      </c>
      <c r="J161" s="10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10" t="s">
        <v>290</v>
      </c>
      <c r="E162" s="10" t="s">
        <v>86</v>
      </c>
      <c r="F162" s="10" t="s">
        <v>60</v>
      </c>
      <c r="G162">
        <v>3</v>
      </c>
      <c r="H162" s="10"/>
      <c r="I162" s="10" t="s">
        <v>7646</v>
      </c>
      <c r="J162" s="10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10" t="s">
        <v>290</v>
      </c>
      <c r="E163" s="10" t="s">
        <v>86</v>
      </c>
      <c r="F163" s="10" t="s">
        <v>60</v>
      </c>
      <c r="G163">
        <v>3</v>
      </c>
      <c r="H163" s="10"/>
      <c r="I163" s="10" t="s">
        <v>7649</v>
      </c>
      <c r="J163" s="10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10" t="s">
        <v>290</v>
      </c>
      <c r="E164" s="10" t="s">
        <v>86</v>
      </c>
      <c r="F164" s="10" t="s">
        <v>60</v>
      </c>
      <c r="G164">
        <v>3</v>
      </c>
      <c r="H164" s="10"/>
      <c r="I164" s="10" t="s">
        <v>7652</v>
      </c>
      <c r="J164" s="10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10" t="s">
        <v>290</v>
      </c>
      <c r="E165" s="10" t="s">
        <v>86</v>
      </c>
      <c r="F165" s="10" t="s">
        <v>60</v>
      </c>
      <c r="G165">
        <v>2</v>
      </c>
      <c r="H165" s="10"/>
      <c r="I165" s="10" t="s">
        <v>7655</v>
      </c>
      <c r="J165" s="10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10" t="s">
        <v>290</v>
      </c>
      <c r="E166" s="10" t="s">
        <v>86</v>
      </c>
      <c r="F166" s="10" t="s">
        <v>60</v>
      </c>
      <c r="G166">
        <v>3</v>
      </c>
      <c r="H166" s="10"/>
      <c r="I166" s="10" t="s">
        <v>7658</v>
      </c>
      <c r="J166" s="10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10" t="s">
        <v>290</v>
      </c>
      <c r="E167" s="10" t="s">
        <v>86</v>
      </c>
      <c r="F167" s="10" t="s">
        <v>60</v>
      </c>
      <c r="G167">
        <v>3</v>
      </c>
      <c r="H167" s="10"/>
      <c r="I167" s="10" t="s">
        <v>7661</v>
      </c>
      <c r="J167" s="10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10" t="s">
        <v>290</v>
      </c>
      <c r="E168" s="10" t="s">
        <v>86</v>
      </c>
      <c r="F168" s="10" t="s">
        <v>60</v>
      </c>
      <c r="G168">
        <v>3</v>
      </c>
      <c r="H168" s="10"/>
      <c r="I168" s="10" t="s">
        <v>7664</v>
      </c>
      <c r="J168" s="10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10" t="s">
        <v>290</v>
      </c>
      <c r="E169" s="10" t="s">
        <v>86</v>
      </c>
      <c r="F169" s="10" t="s">
        <v>60</v>
      </c>
      <c r="G169">
        <v>4</v>
      </c>
      <c r="H169" s="10"/>
      <c r="I169" s="10" t="s">
        <v>7667</v>
      </c>
      <c r="J169" s="10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10" t="s">
        <v>290</v>
      </c>
      <c r="E170" s="10" t="s">
        <v>86</v>
      </c>
      <c r="F170" s="10" t="s">
        <v>60</v>
      </c>
      <c r="G170">
        <v>2</v>
      </c>
      <c r="H170" s="10"/>
      <c r="I170" s="10" t="s">
        <v>7670</v>
      </c>
      <c r="J170" s="1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10" t="s">
        <v>4</v>
      </c>
      <c r="E171" s="10" t="s">
        <v>4193</v>
      </c>
      <c r="F171" s="10"/>
      <c r="H171" s="10"/>
      <c r="I171" s="10" t="s">
        <v>7673</v>
      </c>
      <c r="J171" s="10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10" t="s">
        <v>2004</v>
      </c>
      <c r="E172" s="10" t="s">
        <v>8</v>
      </c>
      <c r="F172" s="10"/>
      <c r="H172" s="10"/>
      <c r="I172" s="10" t="s">
        <v>7676</v>
      </c>
      <c r="J172" s="10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10" t="s">
        <v>1094</v>
      </c>
      <c r="E173" s="10" t="s">
        <v>86</v>
      </c>
      <c r="F173" s="10" t="s">
        <v>60</v>
      </c>
      <c r="H173" s="10" t="s">
        <v>7870</v>
      </c>
      <c r="I173" s="10" t="s">
        <v>7831</v>
      </c>
      <c r="J173" s="10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10" t="s">
        <v>1094</v>
      </c>
      <c r="E174" s="10" t="s">
        <v>86</v>
      </c>
      <c r="F174" s="10" t="s">
        <v>60</v>
      </c>
      <c r="H174" s="10" t="s">
        <v>7870</v>
      </c>
      <c r="I174" s="10" t="s">
        <v>7834</v>
      </c>
      <c r="J174" s="10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10" t="s">
        <v>1094</v>
      </c>
      <c r="E175" s="10" t="s">
        <v>86</v>
      </c>
      <c r="F175" s="10" t="s">
        <v>60</v>
      </c>
      <c r="H175" s="10" t="s">
        <v>7870</v>
      </c>
      <c r="I175" s="10" t="s">
        <v>7837</v>
      </c>
      <c r="J175" s="10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10" t="s">
        <v>1094</v>
      </c>
      <c r="E176" s="10" t="s">
        <v>86</v>
      </c>
      <c r="F176" s="10" t="s">
        <v>60</v>
      </c>
      <c r="H176" s="10" t="s">
        <v>7870</v>
      </c>
      <c r="I176" s="10" t="s">
        <v>7840</v>
      </c>
      <c r="J176" s="10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10" t="s">
        <v>1094</v>
      </c>
      <c r="E177" s="10" t="s">
        <v>86</v>
      </c>
      <c r="F177" s="10" t="s">
        <v>60</v>
      </c>
      <c r="H177" s="10" t="s">
        <v>7870</v>
      </c>
      <c r="I177" s="10" t="s">
        <v>7843</v>
      </c>
      <c r="J177" s="10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10" t="s">
        <v>1094</v>
      </c>
      <c r="E178" s="10" t="s">
        <v>86</v>
      </c>
      <c r="F178" s="10" t="s">
        <v>60</v>
      </c>
      <c r="H178" s="10" t="s">
        <v>7870</v>
      </c>
      <c r="I178" s="10" t="s">
        <v>7846</v>
      </c>
      <c r="J178" s="10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10" t="s">
        <v>1094</v>
      </c>
      <c r="E179" s="10" t="s">
        <v>86</v>
      </c>
      <c r="F179" s="10" t="s">
        <v>60</v>
      </c>
      <c r="H179" s="10" t="s">
        <v>7870</v>
      </c>
      <c r="I179" s="10" t="s">
        <v>7849</v>
      </c>
      <c r="J179" s="10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10" t="s">
        <v>2004</v>
      </c>
      <c r="E180" s="10" t="s">
        <v>8</v>
      </c>
      <c r="F180" s="10"/>
      <c r="H180" s="10"/>
      <c r="I180" s="10" t="s">
        <v>7852</v>
      </c>
      <c r="J180" s="1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10" t="s">
        <v>2004</v>
      </c>
      <c r="E181" s="10" t="s">
        <v>8</v>
      </c>
      <c r="F181" s="10"/>
      <c r="H181" s="10"/>
      <c r="I181" s="10" t="s">
        <v>7929</v>
      </c>
      <c r="J181" s="10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10" t="s">
        <v>8042</v>
      </c>
      <c r="E182" s="10" t="s">
        <v>6656</v>
      </c>
      <c r="F182" s="10"/>
      <c r="H182" s="10"/>
      <c r="I182" s="10" t="s">
        <v>7932</v>
      </c>
      <c r="J182" s="10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10" t="s">
        <v>4</v>
      </c>
      <c r="E183" s="10" t="s">
        <v>8045</v>
      </c>
      <c r="F183" s="10"/>
      <c r="H183" s="10"/>
      <c r="I183" s="10" t="s">
        <v>7935</v>
      </c>
      <c r="J183" s="10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10" t="s">
        <v>4</v>
      </c>
      <c r="E184" s="10" t="s">
        <v>8045</v>
      </c>
      <c r="F184" s="10"/>
      <c r="H184" s="10"/>
      <c r="I184" s="10" t="s">
        <v>7938</v>
      </c>
      <c r="J184" s="10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10" t="s">
        <v>4</v>
      </c>
      <c r="E185" s="10" t="s">
        <v>8045</v>
      </c>
      <c r="F185" s="10"/>
      <c r="H185" s="10"/>
      <c r="I185" s="10" t="s">
        <v>7941</v>
      </c>
      <c r="J185" s="10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10" t="s">
        <v>4</v>
      </c>
      <c r="E186" s="10" t="s">
        <v>8331</v>
      </c>
      <c r="F186" s="10"/>
      <c r="H186" s="10"/>
      <c r="I186" s="10" t="s">
        <v>8285</v>
      </c>
      <c r="J186" s="10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10" t="s">
        <v>4</v>
      </c>
      <c r="E187" s="10" t="s">
        <v>8331</v>
      </c>
      <c r="F187" s="10"/>
      <c r="H187" s="10"/>
      <c r="I187" s="10" t="s">
        <v>8288</v>
      </c>
      <c r="J187" s="10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10" t="s">
        <v>2004</v>
      </c>
      <c r="E188" s="10" t="s">
        <v>8</v>
      </c>
      <c r="F188" s="10"/>
      <c r="H188" s="10"/>
      <c r="I188" s="10" t="s">
        <v>8291</v>
      </c>
      <c r="J188" s="10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10" t="s">
        <v>4</v>
      </c>
      <c r="E189" s="10" t="s">
        <v>1607</v>
      </c>
      <c r="F189" s="10" t="s">
        <v>7169</v>
      </c>
      <c r="H189" s="10"/>
      <c r="I189" s="10" t="s">
        <v>8294</v>
      </c>
      <c r="J189" s="10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10" t="s">
        <v>2004</v>
      </c>
      <c r="E190" s="10" t="s">
        <v>8</v>
      </c>
      <c r="F190" s="10"/>
      <c r="H190" s="10"/>
      <c r="I190" s="10" t="s">
        <v>8297</v>
      </c>
      <c r="J190" s="1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10" t="s">
        <v>2004</v>
      </c>
      <c r="E191" s="10" t="s">
        <v>8</v>
      </c>
      <c r="F191" s="10"/>
      <c r="H191" s="10"/>
      <c r="I191" s="10" t="s">
        <v>8300</v>
      </c>
      <c r="J191" s="10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10" t="s">
        <v>2004</v>
      </c>
      <c r="E192" s="10" t="s">
        <v>8</v>
      </c>
      <c r="F192" s="10"/>
      <c r="H192" s="10"/>
      <c r="I192" s="10" t="s">
        <v>8429</v>
      </c>
      <c r="J192" s="10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10" t="s">
        <v>4</v>
      </c>
      <c r="E193" s="10" t="s">
        <v>8483</v>
      </c>
      <c r="F193" s="10"/>
      <c r="H193" s="10" t="s">
        <v>8042</v>
      </c>
      <c r="I193" s="10" t="s">
        <v>8432</v>
      </c>
      <c r="J193" s="10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10" t="s">
        <v>2004</v>
      </c>
      <c r="E194" s="10" t="s">
        <v>8</v>
      </c>
      <c r="F194" s="10"/>
      <c r="H194" s="10"/>
      <c r="I194" s="10" t="s">
        <v>8435</v>
      </c>
      <c r="J194" s="10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10" t="s">
        <v>2004</v>
      </c>
      <c r="E195" s="10" t="s">
        <v>8</v>
      </c>
      <c r="F195" s="10"/>
      <c r="H195" s="10"/>
      <c r="I195" s="10" t="s">
        <v>8556</v>
      </c>
      <c r="J195" s="10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10" t="s">
        <v>4</v>
      </c>
      <c r="E196" s="10" t="s">
        <v>8805</v>
      </c>
      <c r="F196" s="10"/>
      <c r="H196" s="10"/>
      <c r="I196" s="10" t="s">
        <v>8559</v>
      </c>
      <c r="J196" s="10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10" t="s">
        <v>2004</v>
      </c>
      <c r="E197" s="10" t="s">
        <v>8</v>
      </c>
      <c r="F197" s="10"/>
      <c r="H197" s="10"/>
      <c r="I197" s="10" t="s">
        <v>8562</v>
      </c>
      <c r="J197" s="10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10" t="s">
        <v>2004</v>
      </c>
      <c r="E198" s="10" t="s">
        <v>8</v>
      </c>
      <c r="F198" s="10"/>
      <c r="H198" s="10"/>
      <c r="I198" s="10" t="s">
        <v>8565</v>
      </c>
      <c r="J198" s="10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10" t="s">
        <v>2004</v>
      </c>
      <c r="E199" s="10" t="s">
        <v>8</v>
      </c>
      <c r="F199" s="10"/>
      <c r="H199" s="10"/>
      <c r="I199" s="10" t="s">
        <v>8568</v>
      </c>
      <c r="J199" s="10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10" t="s">
        <v>2004</v>
      </c>
      <c r="E200" s="10" t="s">
        <v>8</v>
      </c>
      <c r="F200" s="10"/>
      <c r="H200" s="10"/>
      <c r="I200" s="10" t="s">
        <v>8571</v>
      </c>
      <c r="J200" s="1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10" t="s">
        <v>2004</v>
      </c>
      <c r="E201" s="10" t="s">
        <v>8</v>
      </c>
      <c r="F201" s="10"/>
      <c r="H201" s="10"/>
      <c r="I201" s="10" t="s">
        <v>8574</v>
      </c>
      <c r="J201" s="10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10" t="s">
        <v>2004</v>
      </c>
      <c r="E202" s="10" t="s">
        <v>8</v>
      </c>
      <c r="F202" s="10"/>
      <c r="H202" s="10"/>
      <c r="I202" s="10" t="s">
        <v>364</v>
      </c>
      <c r="J202" s="10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10" t="s">
        <v>2004</v>
      </c>
      <c r="E203" s="10" t="s">
        <v>8</v>
      </c>
      <c r="F203" s="10"/>
      <c r="H203" s="10"/>
      <c r="I203" s="10" t="s">
        <v>367</v>
      </c>
      <c r="J203" s="10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10" t="s">
        <v>2004</v>
      </c>
      <c r="E204" s="10" t="s">
        <v>8</v>
      </c>
      <c r="F204" s="10"/>
      <c r="H204" s="10"/>
      <c r="I204" s="10" t="s">
        <v>370</v>
      </c>
      <c r="J204" s="10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10" t="s">
        <v>2004</v>
      </c>
      <c r="E205" s="10" t="s">
        <v>8</v>
      </c>
      <c r="F205" s="10"/>
      <c r="H205" s="10"/>
      <c r="I205" s="10" t="s">
        <v>373</v>
      </c>
      <c r="J205" s="10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10" t="s">
        <v>2004</v>
      </c>
      <c r="E206" s="10" t="s">
        <v>8</v>
      </c>
      <c r="F206" s="10"/>
      <c r="H206" s="10"/>
      <c r="I206" s="10" t="s">
        <v>376</v>
      </c>
      <c r="J206" s="10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10" t="s">
        <v>6191</v>
      </c>
      <c r="E207" s="10" t="s">
        <v>5480</v>
      </c>
      <c r="F207" s="10" t="s">
        <v>9190</v>
      </c>
      <c r="H207" s="10"/>
      <c r="I207" s="10" t="s">
        <v>8861</v>
      </c>
      <c r="J207" s="10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10" t="s">
        <v>6191</v>
      </c>
      <c r="E208" s="10" t="s">
        <v>5480</v>
      </c>
      <c r="F208" s="10" t="s">
        <v>9190</v>
      </c>
      <c r="H208" s="10" t="s">
        <v>2936</v>
      </c>
      <c r="I208" s="10" t="s">
        <v>8864</v>
      </c>
      <c r="J208" s="10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10" t="s">
        <v>1094</v>
      </c>
      <c r="E209" s="10" t="s">
        <v>86</v>
      </c>
      <c r="F209" s="10" t="s">
        <v>60</v>
      </c>
      <c r="H209" s="10"/>
      <c r="I209" s="10" t="s">
        <v>8867</v>
      </c>
      <c r="J209" s="10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10" t="s">
        <v>1094</v>
      </c>
      <c r="E210" s="10" t="s">
        <v>86</v>
      </c>
      <c r="F210" s="10" t="s">
        <v>60</v>
      </c>
      <c r="H210" s="10" t="s">
        <v>2936</v>
      </c>
      <c r="I210" s="10" t="s">
        <v>8870</v>
      </c>
      <c r="J210" s="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10" t="s">
        <v>1094</v>
      </c>
      <c r="E211" s="10" t="s">
        <v>86</v>
      </c>
      <c r="F211" s="10" t="s">
        <v>60</v>
      </c>
      <c r="H211" s="10" t="s">
        <v>2936</v>
      </c>
      <c r="I211" s="10" t="s">
        <v>8873</v>
      </c>
      <c r="J211" s="10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10" t="s">
        <v>1094</v>
      </c>
      <c r="E212" s="10" t="s">
        <v>4247</v>
      </c>
      <c r="F212" s="10" t="s">
        <v>60</v>
      </c>
      <c r="H212" s="10"/>
      <c r="I212" s="10" t="s">
        <v>8876</v>
      </c>
      <c r="J212" s="10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10" t="s">
        <v>1094</v>
      </c>
      <c r="E213" s="10" t="s">
        <v>4247</v>
      </c>
      <c r="F213" s="10" t="s">
        <v>60</v>
      </c>
      <c r="H213" s="10" t="s">
        <v>2936</v>
      </c>
      <c r="I213" s="10" t="s">
        <v>8879</v>
      </c>
      <c r="J213" s="10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10" t="s">
        <v>1094</v>
      </c>
      <c r="E214" s="10" t="s">
        <v>4247</v>
      </c>
      <c r="F214" s="10" t="s">
        <v>60</v>
      </c>
      <c r="H214" s="10" t="s">
        <v>2936</v>
      </c>
      <c r="I214" s="10" t="s">
        <v>8882</v>
      </c>
      <c r="J214" s="10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10" t="s">
        <v>4</v>
      </c>
      <c r="E215" s="10" t="s">
        <v>8</v>
      </c>
      <c r="F215" s="10"/>
      <c r="H215" s="10"/>
      <c r="I215" s="10" t="s">
        <v>8885</v>
      </c>
      <c r="J215" s="10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10" t="s">
        <v>4</v>
      </c>
      <c r="E216" s="10" t="s">
        <v>8045</v>
      </c>
      <c r="F216" s="10"/>
      <c r="H216" s="10"/>
      <c r="I216" s="10" t="s">
        <v>8888</v>
      </c>
      <c r="J216" s="10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10" t="s">
        <v>4</v>
      </c>
      <c r="E217" s="10" t="s">
        <v>8045</v>
      </c>
      <c r="F217" s="10"/>
      <c r="H217" s="10"/>
      <c r="I217" s="10" t="s">
        <v>8891</v>
      </c>
      <c r="J217" s="10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10" t="s">
        <v>4</v>
      </c>
      <c r="E218" s="10" t="s">
        <v>8</v>
      </c>
      <c r="F218" s="10"/>
      <c r="H218" s="10"/>
      <c r="I218" s="10" t="s">
        <v>8894</v>
      </c>
      <c r="J218" s="10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10" t="s">
        <v>4</v>
      </c>
      <c r="E219" s="10" t="s">
        <v>8045</v>
      </c>
      <c r="F219" s="10"/>
      <c r="H219" s="10"/>
      <c r="I219" s="10" t="s">
        <v>9258</v>
      </c>
      <c r="J219" s="10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10" t="s">
        <v>4</v>
      </c>
      <c r="E220" s="10" t="s">
        <v>8045</v>
      </c>
      <c r="F220" s="10"/>
      <c r="H220" s="10" t="s">
        <v>2936</v>
      </c>
      <c r="I220" s="10" t="s">
        <v>9261</v>
      </c>
      <c r="J220" s="1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10" t="s">
        <v>4</v>
      </c>
      <c r="E221" s="10" t="s">
        <v>8045</v>
      </c>
      <c r="F221" s="10"/>
      <c r="H221" s="10" t="s">
        <v>2936</v>
      </c>
      <c r="I221" s="10" t="s">
        <v>9264</v>
      </c>
      <c r="J221" s="10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10" t="s">
        <v>1094</v>
      </c>
      <c r="E222" s="10" t="s">
        <v>4247</v>
      </c>
      <c r="F222" s="10" t="s">
        <v>60</v>
      </c>
      <c r="H222" s="10"/>
      <c r="I222" s="10" t="s">
        <v>9369</v>
      </c>
      <c r="J222" s="10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10" t="s">
        <v>4</v>
      </c>
      <c r="E223" s="10" t="s">
        <v>8045</v>
      </c>
      <c r="F223" s="10"/>
      <c r="H223" s="10"/>
      <c r="I223" s="10" t="s">
        <v>9372</v>
      </c>
      <c r="J223" s="10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10" t="s">
        <v>4</v>
      </c>
      <c r="E224" s="10" t="s">
        <v>8045</v>
      </c>
      <c r="F224" s="10"/>
      <c r="H224" s="10"/>
      <c r="I224" s="10" t="s">
        <v>9375</v>
      </c>
      <c r="J224" s="10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10" t="s">
        <v>4</v>
      </c>
      <c r="E225" s="10" t="s">
        <v>8045</v>
      </c>
      <c r="F225" s="10"/>
      <c r="H225" s="10"/>
      <c r="I225" s="10" t="s">
        <v>9378</v>
      </c>
      <c r="J225" s="10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10" t="s">
        <v>4</v>
      </c>
      <c r="E226" s="10" t="s">
        <v>8045</v>
      </c>
      <c r="F226" s="10"/>
      <c r="H226" s="10"/>
      <c r="I226" s="10" t="s">
        <v>9381</v>
      </c>
      <c r="J226" s="10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10" t="s">
        <v>4</v>
      </c>
      <c r="E227" s="10" t="s">
        <v>8</v>
      </c>
      <c r="F227" s="10"/>
      <c r="H227" s="10"/>
      <c r="I227" s="10" t="s">
        <v>9384</v>
      </c>
      <c r="J227" s="10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10" t="s">
        <v>4</v>
      </c>
      <c r="E228" s="10" t="s">
        <v>8045</v>
      </c>
      <c r="F228" s="10"/>
      <c r="H228" s="10"/>
      <c r="I228" s="10" t="s">
        <v>9639</v>
      </c>
      <c r="J228" s="10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10" t="s">
        <v>4</v>
      </c>
      <c r="E229" s="10" t="s">
        <v>8045</v>
      </c>
      <c r="F229" s="10"/>
      <c r="H229" s="10"/>
      <c r="I229" s="10" t="s">
        <v>9642</v>
      </c>
      <c r="J229" s="10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10" t="s">
        <v>4</v>
      </c>
      <c r="E230" s="10" t="s">
        <v>8045</v>
      </c>
      <c r="F230" s="10"/>
      <c r="H230" s="10"/>
      <c r="I230" s="10" t="s">
        <v>9645</v>
      </c>
      <c r="J230" s="1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10" t="s">
        <v>4</v>
      </c>
      <c r="E231" s="10" t="s">
        <v>9876</v>
      </c>
      <c r="F231" s="10"/>
      <c r="H231" s="10"/>
      <c r="I231" s="10" t="s">
        <v>9693</v>
      </c>
      <c r="J231" s="10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10" t="s">
        <v>4</v>
      </c>
      <c r="E232" s="10" t="s">
        <v>9876</v>
      </c>
      <c r="F232" s="10"/>
      <c r="H232" s="10"/>
      <c r="I232" s="10" t="s">
        <v>9696</v>
      </c>
      <c r="J232" s="10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10" t="s">
        <v>4</v>
      </c>
      <c r="E233" s="10" t="s">
        <v>9876</v>
      </c>
      <c r="F233" s="10"/>
      <c r="H233" s="10"/>
      <c r="I233" s="10" t="s">
        <v>9699</v>
      </c>
      <c r="J233" s="10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10" t="s">
        <v>4</v>
      </c>
      <c r="E234" s="10" t="s">
        <v>9876</v>
      </c>
      <c r="F234" s="10"/>
      <c r="H234" s="10"/>
      <c r="I234" s="10" t="s">
        <v>9702</v>
      </c>
      <c r="J234" s="10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10" t="s">
        <v>4</v>
      </c>
      <c r="E235" s="10" t="s">
        <v>9876</v>
      </c>
      <c r="F235" s="10"/>
      <c r="H235" s="10"/>
      <c r="I235" s="10" t="s">
        <v>9705</v>
      </c>
      <c r="J235" s="10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10" t="s">
        <v>4</v>
      </c>
      <c r="E236" s="10" t="s">
        <v>9876</v>
      </c>
      <c r="F236" s="10"/>
      <c r="H236" s="10"/>
      <c r="I236" s="10" t="s">
        <v>9936</v>
      </c>
      <c r="J236" s="10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10" t="s">
        <v>4</v>
      </c>
      <c r="E237" s="10" t="s">
        <v>9876</v>
      </c>
      <c r="F237" s="10"/>
      <c r="H237" s="10"/>
      <c r="I237" s="10" t="s">
        <v>9939</v>
      </c>
      <c r="J237" s="10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10" t="s">
        <v>4</v>
      </c>
      <c r="E238" s="10" t="s">
        <v>9876</v>
      </c>
      <c r="F238" s="10"/>
      <c r="H238" s="10"/>
      <c r="I238" s="10" t="s">
        <v>9942</v>
      </c>
      <c r="J238" s="10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10" t="s">
        <v>4</v>
      </c>
      <c r="E239" s="10" t="s">
        <v>9876</v>
      </c>
      <c r="F239" s="10"/>
      <c r="H239" s="10"/>
      <c r="I239" s="10" t="s">
        <v>9945</v>
      </c>
      <c r="J239" s="10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10" t="s">
        <v>4</v>
      </c>
      <c r="E240" s="10" t="s">
        <v>8</v>
      </c>
      <c r="F240" s="10"/>
      <c r="H240" s="10"/>
      <c r="I240" s="10" t="s">
        <v>9948</v>
      </c>
      <c r="J240" s="1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10" t="s">
        <v>290</v>
      </c>
      <c r="E241" s="10" t="s">
        <v>86</v>
      </c>
      <c r="F241" s="10" t="s">
        <v>60</v>
      </c>
      <c r="G241">
        <v>2</v>
      </c>
      <c r="H241" s="10" t="s">
        <v>10210</v>
      </c>
      <c r="I241" s="10" t="s">
        <v>10180</v>
      </c>
      <c r="J241" s="10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10" t="s">
        <v>290</v>
      </c>
      <c r="E242" s="10" t="s">
        <v>86</v>
      </c>
      <c r="F242" s="10" t="s">
        <v>60</v>
      </c>
      <c r="G242">
        <v>4</v>
      </c>
      <c r="H242" s="10"/>
      <c r="I242" s="10" t="s">
        <v>10183</v>
      </c>
      <c r="J242" s="10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10" t="s">
        <v>290</v>
      </c>
      <c r="E243" s="10" t="s">
        <v>86</v>
      </c>
      <c r="F243" s="10" t="s">
        <v>60</v>
      </c>
      <c r="G243">
        <v>3</v>
      </c>
      <c r="H243" s="10"/>
      <c r="I243" s="10" t="s">
        <v>10189</v>
      </c>
      <c r="J243" s="10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10" t="s">
        <v>290</v>
      </c>
      <c r="E244" s="10" t="s">
        <v>86</v>
      </c>
      <c r="F244" s="10" t="s">
        <v>60</v>
      </c>
      <c r="G244">
        <v>4</v>
      </c>
      <c r="H244" s="10"/>
      <c r="I244" s="10" t="s">
        <v>10192</v>
      </c>
      <c r="J244" s="10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10" t="s">
        <v>290</v>
      </c>
      <c r="E245" s="10" t="s">
        <v>86</v>
      </c>
      <c r="F245" s="10" t="s">
        <v>60</v>
      </c>
      <c r="G245">
        <v>3</v>
      </c>
      <c r="H245" s="10"/>
      <c r="I245" s="10" t="s">
        <v>10195</v>
      </c>
      <c r="J245" s="10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10" t="s">
        <v>290</v>
      </c>
      <c r="E246" s="10" t="s">
        <v>86</v>
      </c>
      <c r="F246" s="10" t="s">
        <v>60</v>
      </c>
      <c r="H246" s="10" t="s">
        <v>2936</v>
      </c>
      <c r="I246" s="10" t="s">
        <v>10198</v>
      </c>
      <c r="J246" s="10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10" t="s">
        <v>290</v>
      </c>
      <c r="E247" s="10" t="s">
        <v>86</v>
      </c>
      <c r="F247" s="10" t="s">
        <v>60</v>
      </c>
      <c r="G247">
        <v>3</v>
      </c>
      <c r="H247" s="10"/>
      <c r="I247" s="10" t="s">
        <v>10204</v>
      </c>
      <c r="J247" s="10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10" t="s">
        <v>290</v>
      </c>
      <c r="E248" s="10" t="s">
        <v>86</v>
      </c>
      <c r="F248" s="10" t="s">
        <v>60</v>
      </c>
      <c r="G248">
        <v>1</v>
      </c>
      <c r="H248" s="10"/>
      <c r="I248" s="10" t="s">
        <v>10201</v>
      </c>
      <c r="J248" s="10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10" t="s">
        <v>290</v>
      </c>
      <c r="E249" s="10" t="s">
        <v>86</v>
      </c>
      <c r="F249" s="10" t="s">
        <v>60</v>
      </c>
      <c r="G249">
        <v>3</v>
      </c>
      <c r="H249" s="10"/>
      <c r="I249" s="10" t="s">
        <v>10207</v>
      </c>
      <c r="J249" s="10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10" t="s">
        <v>290</v>
      </c>
      <c r="E250" s="10" t="s">
        <v>86</v>
      </c>
      <c r="F250" s="10" t="s">
        <v>60</v>
      </c>
      <c r="G250">
        <v>2</v>
      </c>
      <c r="H250" s="10"/>
      <c r="I250" s="10" t="s">
        <v>10211</v>
      </c>
      <c r="J250" s="1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10" t="s">
        <v>290</v>
      </c>
      <c r="E251" s="10" t="s">
        <v>86</v>
      </c>
      <c r="F251" s="10" t="s">
        <v>60</v>
      </c>
      <c r="G251">
        <v>3</v>
      </c>
      <c r="H251" s="10"/>
      <c r="I251" s="10" t="s">
        <v>10214</v>
      </c>
      <c r="J251" s="10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10" t="s">
        <v>290</v>
      </c>
      <c r="E252" s="10" t="s">
        <v>86</v>
      </c>
      <c r="F252" s="10" t="s">
        <v>60</v>
      </c>
      <c r="H252" s="10" t="s">
        <v>2936</v>
      </c>
      <c r="I252" s="10" t="s">
        <v>10217</v>
      </c>
      <c r="J252" s="10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10" t="s">
        <v>290</v>
      </c>
      <c r="E253" s="10" t="s">
        <v>86</v>
      </c>
      <c r="F253" s="10" t="s">
        <v>60</v>
      </c>
      <c r="G253">
        <v>2</v>
      </c>
      <c r="H253" s="10"/>
      <c r="I253" s="10" t="s">
        <v>10220</v>
      </c>
      <c r="J253" s="10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10" t="s">
        <v>290</v>
      </c>
      <c r="E254" s="10" t="s">
        <v>86</v>
      </c>
      <c r="F254" s="10" t="s">
        <v>60</v>
      </c>
      <c r="G254">
        <v>4</v>
      </c>
      <c r="H254" s="10"/>
      <c r="I254" s="10" t="s">
        <v>10223</v>
      </c>
      <c r="J254" s="10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10" t="s">
        <v>290</v>
      </c>
      <c r="E255" s="10" t="s">
        <v>86</v>
      </c>
      <c r="F255" s="10" t="s">
        <v>60</v>
      </c>
      <c r="G255">
        <v>1</v>
      </c>
      <c r="H255" s="10"/>
      <c r="I255" s="10" t="s">
        <v>10226</v>
      </c>
      <c r="J255" s="10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10" t="s">
        <v>290</v>
      </c>
      <c r="E256" s="10" t="s">
        <v>86</v>
      </c>
      <c r="F256" s="10" t="s">
        <v>60</v>
      </c>
      <c r="G256">
        <v>3</v>
      </c>
      <c r="H256" s="10"/>
      <c r="I256" s="10" t="s">
        <v>10229</v>
      </c>
      <c r="J256" s="10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10" t="s">
        <v>290</v>
      </c>
      <c r="E257" s="10" t="s">
        <v>86</v>
      </c>
      <c r="F257" s="10" t="s">
        <v>60</v>
      </c>
      <c r="G257">
        <v>3</v>
      </c>
      <c r="H257" s="10"/>
      <c r="I257" s="10" t="s">
        <v>10232</v>
      </c>
      <c r="J257" s="10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10" t="s">
        <v>290</v>
      </c>
      <c r="E258" s="10" t="s">
        <v>86</v>
      </c>
      <c r="F258" s="10" t="s">
        <v>60</v>
      </c>
      <c r="G258">
        <v>2</v>
      </c>
      <c r="H258" s="10"/>
      <c r="I258" s="10" t="s">
        <v>10235</v>
      </c>
      <c r="J258" s="10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10" t="s">
        <v>290</v>
      </c>
      <c r="E259" s="10" t="s">
        <v>86</v>
      </c>
      <c r="F259" s="10" t="s">
        <v>60</v>
      </c>
      <c r="G259">
        <v>2</v>
      </c>
      <c r="H259" s="10"/>
      <c r="I259" s="10" t="s">
        <v>10238</v>
      </c>
      <c r="J259" s="10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10" t="s">
        <v>290</v>
      </c>
      <c r="E260" s="10" t="s">
        <v>86</v>
      </c>
      <c r="F260" s="10" t="s">
        <v>60</v>
      </c>
      <c r="G260">
        <v>3</v>
      </c>
      <c r="H260" s="10"/>
      <c r="I260" s="10" t="s">
        <v>10241</v>
      </c>
      <c r="J260" s="1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10" t="s">
        <v>290</v>
      </c>
      <c r="E261" s="10" t="s">
        <v>86</v>
      </c>
      <c r="F261" s="10" t="s">
        <v>60</v>
      </c>
      <c r="G261">
        <v>2</v>
      </c>
      <c r="H261" s="10"/>
      <c r="I261" s="10" t="s">
        <v>10244</v>
      </c>
      <c r="J261" s="10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10" t="s">
        <v>290</v>
      </c>
      <c r="E262" s="10" t="s">
        <v>86</v>
      </c>
      <c r="F262" s="10" t="s">
        <v>60</v>
      </c>
      <c r="G262">
        <v>2</v>
      </c>
      <c r="H262" s="10"/>
      <c r="I262" s="10" t="s">
        <v>10247</v>
      </c>
      <c r="J262" s="10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10" t="s">
        <v>290</v>
      </c>
      <c r="E263" s="10" t="s">
        <v>86</v>
      </c>
      <c r="F263" s="10" t="s">
        <v>60</v>
      </c>
      <c r="G263">
        <v>3</v>
      </c>
      <c r="H263" s="10"/>
      <c r="I263" s="10" t="s">
        <v>10250</v>
      </c>
      <c r="J263" s="10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10" t="s">
        <v>290</v>
      </c>
      <c r="E264" s="10" t="s">
        <v>86</v>
      </c>
      <c r="F264" s="10" t="s">
        <v>60</v>
      </c>
      <c r="H264" s="10" t="s">
        <v>2936</v>
      </c>
      <c r="I264" s="10" t="s">
        <v>10253</v>
      </c>
      <c r="J264" s="10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10" t="s">
        <v>290</v>
      </c>
      <c r="E265" s="10" t="s">
        <v>86</v>
      </c>
      <c r="F265" s="10" t="s">
        <v>60</v>
      </c>
      <c r="G265">
        <v>4</v>
      </c>
      <c r="H265" s="10"/>
      <c r="I265" s="10" t="s">
        <v>10256</v>
      </c>
      <c r="J265" s="10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10" t="s">
        <v>290</v>
      </c>
      <c r="E266" s="10" t="s">
        <v>86</v>
      </c>
      <c r="F266" s="10" t="s">
        <v>60</v>
      </c>
      <c r="G266">
        <v>3</v>
      </c>
      <c r="H266" s="10"/>
      <c r="I266" s="10" t="s">
        <v>10259</v>
      </c>
      <c r="J266" s="10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10" t="s">
        <v>290</v>
      </c>
      <c r="E267" s="10" t="s">
        <v>86</v>
      </c>
      <c r="F267" s="10" t="s">
        <v>60</v>
      </c>
      <c r="G267">
        <v>3</v>
      </c>
      <c r="H267" s="10"/>
      <c r="I267" s="10" t="s">
        <v>10262</v>
      </c>
      <c r="J267" s="10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10" t="s">
        <v>290</v>
      </c>
      <c r="E268" s="10" t="s">
        <v>86</v>
      </c>
      <c r="F268" s="10" t="s">
        <v>60</v>
      </c>
      <c r="G268">
        <v>2</v>
      </c>
      <c r="H268" s="10"/>
      <c r="I268" s="10" t="s">
        <v>10265</v>
      </c>
      <c r="J268" s="10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10" t="s">
        <v>290</v>
      </c>
      <c r="E269" s="10" t="s">
        <v>86</v>
      </c>
      <c r="F269" s="10" t="s">
        <v>60</v>
      </c>
      <c r="G269">
        <v>2</v>
      </c>
      <c r="H269" s="10" t="s">
        <v>10347</v>
      </c>
      <c r="I269" s="10" t="s">
        <v>10281</v>
      </c>
      <c r="J269" s="10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10" t="s">
        <v>290</v>
      </c>
      <c r="E270" s="10" t="s">
        <v>86</v>
      </c>
      <c r="F270" s="10" t="s">
        <v>60</v>
      </c>
      <c r="G270">
        <v>3</v>
      </c>
      <c r="H270" s="10" t="s">
        <v>10347</v>
      </c>
      <c r="I270" s="10" t="s">
        <v>10284</v>
      </c>
      <c r="J270" s="1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10" t="s">
        <v>290</v>
      </c>
      <c r="E271" s="10" t="s">
        <v>86</v>
      </c>
      <c r="F271" s="10" t="s">
        <v>60</v>
      </c>
      <c r="G271">
        <v>3</v>
      </c>
      <c r="H271" s="10" t="s">
        <v>10347</v>
      </c>
      <c r="I271" s="10" t="s">
        <v>10287</v>
      </c>
      <c r="J271" s="10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10" t="s">
        <v>290</v>
      </c>
      <c r="E272" s="10" t="s">
        <v>86</v>
      </c>
      <c r="F272" s="10" t="s">
        <v>60</v>
      </c>
      <c r="G272">
        <v>4</v>
      </c>
      <c r="H272" s="10" t="s">
        <v>10347</v>
      </c>
      <c r="I272" s="10" t="s">
        <v>10290</v>
      </c>
      <c r="J272" s="10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10" t="s">
        <v>290</v>
      </c>
      <c r="E273" s="10" t="s">
        <v>86</v>
      </c>
      <c r="F273" s="10" t="s">
        <v>60</v>
      </c>
      <c r="G273">
        <v>4</v>
      </c>
      <c r="H273" s="10" t="s">
        <v>10347</v>
      </c>
      <c r="I273" s="10" t="s">
        <v>10293</v>
      </c>
      <c r="J273" s="10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10" t="s">
        <v>290</v>
      </c>
      <c r="E274" s="10" t="s">
        <v>86</v>
      </c>
      <c r="F274" s="10" t="s">
        <v>60</v>
      </c>
      <c r="G274">
        <v>4</v>
      </c>
      <c r="H274" s="10" t="s">
        <v>10347</v>
      </c>
      <c r="I274" s="10" t="s">
        <v>10296</v>
      </c>
      <c r="J274" s="10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10" t="s">
        <v>290</v>
      </c>
      <c r="E275" s="10" t="s">
        <v>86</v>
      </c>
      <c r="F275" s="10" t="s">
        <v>60</v>
      </c>
      <c r="G275">
        <v>5</v>
      </c>
      <c r="H275" s="10" t="s">
        <v>10347</v>
      </c>
      <c r="I275" s="10" t="s">
        <v>10299</v>
      </c>
      <c r="J275" s="10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10" t="s">
        <v>290</v>
      </c>
      <c r="E276" s="10" t="s">
        <v>86</v>
      </c>
      <c r="F276" s="10" t="s">
        <v>60</v>
      </c>
      <c r="G276">
        <v>2</v>
      </c>
      <c r="H276" s="10" t="s">
        <v>10347</v>
      </c>
      <c r="I276" s="10" t="s">
        <v>10302</v>
      </c>
      <c r="J276" s="10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10" t="s">
        <v>290</v>
      </c>
      <c r="E277" s="10" t="s">
        <v>86</v>
      </c>
      <c r="F277" s="10" t="s">
        <v>60</v>
      </c>
      <c r="G277">
        <v>3</v>
      </c>
      <c r="H277" s="10" t="s">
        <v>10347</v>
      </c>
      <c r="I277" s="10" t="s">
        <v>10305</v>
      </c>
      <c r="J277" s="10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10" t="s">
        <v>290</v>
      </c>
      <c r="E278" s="10" t="s">
        <v>86</v>
      </c>
      <c r="F278" s="10" t="s">
        <v>60</v>
      </c>
      <c r="G278">
        <v>3</v>
      </c>
      <c r="H278" s="10" t="s">
        <v>10347</v>
      </c>
      <c r="I278" s="10" t="s">
        <v>10308</v>
      </c>
      <c r="J278" s="10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10" t="s">
        <v>290</v>
      </c>
      <c r="E279" s="10" t="s">
        <v>86</v>
      </c>
      <c r="F279" s="10" t="s">
        <v>60</v>
      </c>
      <c r="G279">
        <v>3</v>
      </c>
      <c r="H279" s="10" t="s">
        <v>10347</v>
      </c>
      <c r="I279" s="10" t="s">
        <v>10311</v>
      </c>
      <c r="J279" s="10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10" t="s">
        <v>290</v>
      </c>
      <c r="E280" s="10" t="s">
        <v>86</v>
      </c>
      <c r="F280" s="10" t="s">
        <v>60</v>
      </c>
      <c r="G280">
        <v>2</v>
      </c>
      <c r="H280" s="10" t="s">
        <v>10347</v>
      </c>
      <c r="I280" s="10" t="s">
        <v>10314</v>
      </c>
      <c r="J280" s="1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10" t="s">
        <v>290</v>
      </c>
      <c r="E281" s="10" t="s">
        <v>86</v>
      </c>
      <c r="F281" s="10" t="s">
        <v>60</v>
      </c>
      <c r="G281">
        <v>2</v>
      </c>
      <c r="H281" s="10" t="s">
        <v>10347</v>
      </c>
      <c r="I281" s="10" t="s">
        <v>10317</v>
      </c>
      <c r="J281" s="10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10" t="s">
        <v>290</v>
      </c>
      <c r="E282" s="10" t="s">
        <v>86</v>
      </c>
      <c r="F282" s="10" t="s">
        <v>60</v>
      </c>
      <c r="G282">
        <v>3</v>
      </c>
      <c r="H282" s="10" t="s">
        <v>10347</v>
      </c>
      <c r="I282" s="10" t="s">
        <v>10320</v>
      </c>
      <c r="J282" s="10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10" t="s">
        <v>290</v>
      </c>
      <c r="E283" s="10" t="s">
        <v>86</v>
      </c>
      <c r="F283" s="10" t="s">
        <v>60</v>
      </c>
      <c r="G283">
        <v>3</v>
      </c>
      <c r="H283" s="10" t="s">
        <v>10347</v>
      </c>
      <c r="I283" s="10" t="s">
        <v>10323</v>
      </c>
      <c r="J283" s="10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10" t="s">
        <v>290</v>
      </c>
      <c r="E284" s="10" t="s">
        <v>86</v>
      </c>
      <c r="F284" s="10" t="s">
        <v>60</v>
      </c>
      <c r="G284">
        <v>3</v>
      </c>
      <c r="H284" s="10" t="s">
        <v>10347</v>
      </c>
      <c r="I284" s="10" t="s">
        <v>10326</v>
      </c>
      <c r="J284" s="10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10" t="s">
        <v>290</v>
      </c>
      <c r="E285" s="10" t="s">
        <v>86</v>
      </c>
      <c r="F285" s="10" t="s">
        <v>60</v>
      </c>
      <c r="G285">
        <v>2</v>
      </c>
      <c r="H285" s="10" t="s">
        <v>10347</v>
      </c>
      <c r="I285" s="10" t="s">
        <v>10329</v>
      </c>
      <c r="J285" s="10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10" t="s">
        <v>290</v>
      </c>
      <c r="E286" s="10" t="s">
        <v>86</v>
      </c>
      <c r="F286" s="10" t="s">
        <v>60</v>
      </c>
      <c r="G286">
        <v>2</v>
      </c>
      <c r="H286" s="10" t="s">
        <v>10347</v>
      </c>
      <c r="I286" s="10" t="s">
        <v>10332</v>
      </c>
      <c r="J286" s="10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10" t="s">
        <v>290</v>
      </c>
      <c r="E287" s="10" t="s">
        <v>86</v>
      </c>
      <c r="F287" s="10" t="s">
        <v>60</v>
      </c>
      <c r="G287">
        <v>2</v>
      </c>
      <c r="H287" s="10" t="s">
        <v>10347</v>
      </c>
      <c r="I287" s="10" t="s">
        <v>10335</v>
      </c>
      <c r="J287" s="10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10" t="s">
        <v>10348</v>
      </c>
      <c r="E288" s="10" t="s">
        <v>86</v>
      </c>
      <c r="F288" s="10" t="s">
        <v>10167</v>
      </c>
      <c r="G288">
        <v>1</v>
      </c>
      <c r="H288" s="10" t="s">
        <v>10349</v>
      </c>
      <c r="I288" s="10" t="s">
        <v>10338</v>
      </c>
      <c r="J288" s="10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10" t="s">
        <v>4</v>
      </c>
      <c r="E289" s="10" t="s">
        <v>9876</v>
      </c>
      <c r="F289" s="10"/>
      <c r="H289" s="10"/>
      <c r="I289" s="10" t="s">
        <v>10341</v>
      </c>
      <c r="J289" s="10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10" t="s">
        <v>4</v>
      </c>
      <c r="E290" s="10" t="s">
        <v>2932</v>
      </c>
      <c r="F290" s="10"/>
      <c r="H290" s="10"/>
      <c r="I290" s="10" t="s">
        <v>10344</v>
      </c>
      <c r="J290" s="1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10" t="s">
        <v>2004</v>
      </c>
      <c r="E291" s="10" t="s">
        <v>8</v>
      </c>
      <c r="F291" s="10"/>
      <c r="H291" s="10"/>
      <c r="I291" s="10" t="s">
        <v>10500</v>
      </c>
      <c r="J291" s="10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10" t="s">
        <v>2004</v>
      </c>
      <c r="E292" s="10" t="s">
        <v>8</v>
      </c>
      <c r="F292" s="10"/>
      <c r="H292" s="10"/>
      <c r="I292" s="10" t="s">
        <v>10503</v>
      </c>
      <c r="J292" s="10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10" t="s">
        <v>4</v>
      </c>
      <c r="E293" s="10" t="s">
        <v>2932</v>
      </c>
      <c r="F293" s="10"/>
      <c r="H293" s="10"/>
      <c r="I293" s="10" t="s">
        <v>10546</v>
      </c>
      <c r="J293" s="10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10" t="s">
        <v>4</v>
      </c>
      <c r="E294" s="10" t="s">
        <v>10630</v>
      </c>
      <c r="F294" s="10"/>
      <c r="H294" s="10"/>
      <c r="I294" s="10" t="s">
        <v>10549</v>
      </c>
      <c r="J294" s="10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10" t="s">
        <v>4</v>
      </c>
      <c r="E295" s="10" t="s">
        <v>9876</v>
      </c>
      <c r="F295" s="10"/>
      <c r="H295" s="10"/>
      <c r="I295" s="10" t="s">
        <v>10722</v>
      </c>
      <c r="J295" s="10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10" t="s">
        <v>158</v>
      </c>
      <c r="E296" s="10" t="s">
        <v>86</v>
      </c>
      <c r="F296" s="10" t="s">
        <v>60</v>
      </c>
      <c r="H296" s="10" t="s">
        <v>10887</v>
      </c>
      <c r="I296" s="10" t="s">
        <v>10725</v>
      </c>
      <c r="J296" s="10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10" t="s">
        <v>4</v>
      </c>
      <c r="E297" s="10" t="s">
        <v>2932</v>
      </c>
      <c r="F297" s="10"/>
      <c r="H297" s="10"/>
      <c r="I297" s="10" t="s">
        <v>10728</v>
      </c>
      <c r="J297" s="10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10" t="s">
        <v>4</v>
      </c>
      <c r="E298" s="10" t="s">
        <v>9876</v>
      </c>
      <c r="F298" s="10"/>
      <c r="H298" s="10"/>
      <c r="I298" s="10" t="s">
        <v>10731</v>
      </c>
      <c r="J298" s="10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10" t="s">
        <v>4</v>
      </c>
      <c r="E299" s="10" t="s">
        <v>9876</v>
      </c>
      <c r="F299" s="10"/>
      <c r="H299" s="10"/>
      <c r="I299" s="10" t="s">
        <v>10734</v>
      </c>
      <c r="J299" s="10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10" t="s">
        <v>4</v>
      </c>
      <c r="E300" s="10" t="s">
        <v>8045</v>
      </c>
      <c r="F300" s="10"/>
      <c r="H300" s="10"/>
      <c r="I300" s="10" t="s">
        <v>10914</v>
      </c>
      <c r="J300" s="1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10" t="s">
        <v>4</v>
      </c>
      <c r="E301" s="10" t="s">
        <v>8045</v>
      </c>
      <c r="F301" s="10"/>
      <c r="H301" s="10"/>
      <c r="I301" s="10" t="s">
        <v>10917</v>
      </c>
      <c r="J301" s="10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10" t="s">
        <v>4</v>
      </c>
      <c r="E302" s="10" t="s">
        <v>8</v>
      </c>
      <c r="F302" s="10"/>
      <c r="H302" s="10"/>
      <c r="I302" s="10" t="s">
        <v>11067</v>
      </c>
      <c r="J302" s="10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10" t="s">
        <v>650</v>
      </c>
      <c r="E303" s="10" t="s">
        <v>11125</v>
      </c>
      <c r="F303" s="10"/>
      <c r="H303" s="10" t="s">
        <v>11126</v>
      </c>
      <c r="I303" s="10" t="s">
        <v>11070</v>
      </c>
      <c r="J303" s="10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10" t="s">
        <v>4</v>
      </c>
      <c r="E304" s="10" t="s">
        <v>9876</v>
      </c>
      <c r="F304" s="10"/>
      <c r="H304" s="10"/>
      <c r="I304" s="10" t="s">
        <v>11073</v>
      </c>
      <c r="J304" s="10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10" t="s">
        <v>4</v>
      </c>
      <c r="E305" s="10" t="s">
        <v>9876</v>
      </c>
      <c r="F305" s="10"/>
      <c r="H305" s="10"/>
      <c r="I305" s="10" t="s">
        <v>11160</v>
      </c>
      <c r="J305" s="10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10" t="s">
        <v>4</v>
      </c>
      <c r="E306" s="10" t="s">
        <v>9876</v>
      </c>
      <c r="F306" s="10"/>
      <c r="H306" s="10"/>
      <c r="I306" s="10" t="s">
        <v>11163</v>
      </c>
      <c r="J306" s="10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10" t="s">
        <v>4</v>
      </c>
      <c r="E307" s="10" t="s">
        <v>9876</v>
      </c>
      <c r="F307" s="10"/>
      <c r="H307" s="10"/>
      <c r="I307" s="10" t="s">
        <v>11166</v>
      </c>
      <c r="J307" s="10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10" t="s">
        <v>4</v>
      </c>
      <c r="E308" s="10" t="s">
        <v>9876</v>
      </c>
      <c r="F308" s="10"/>
      <c r="H308" s="10"/>
      <c r="I308" s="10" t="s">
        <v>11169</v>
      </c>
      <c r="J308" s="10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10" t="s">
        <v>4</v>
      </c>
      <c r="E309" s="10" t="s">
        <v>8</v>
      </c>
      <c r="F309" s="10"/>
      <c r="H309" s="10"/>
      <c r="I309" s="10" t="s">
        <v>11604</v>
      </c>
      <c r="J309" s="10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10" t="s">
        <v>4</v>
      </c>
      <c r="E310" s="10" t="s">
        <v>11638</v>
      </c>
      <c r="F310" s="10"/>
      <c r="H310" s="10"/>
      <c r="I310" s="10" t="s">
        <v>11607</v>
      </c>
      <c r="J310" s="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10" t="s">
        <v>4</v>
      </c>
      <c r="E311" s="10" t="s">
        <v>8</v>
      </c>
      <c r="F311" s="10"/>
      <c r="H311" s="10"/>
      <c r="I311" s="10" t="s">
        <v>11610</v>
      </c>
      <c r="J311" s="10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10" t="s">
        <v>2004</v>
      </c>
      <c r="E312" s="10" t="s">
        <v>8</v>
      </c>
      <c r="F312" s="10"/>
      <c r="H312" s="10"/>
      <c r="I312" s="10" t="s">
        <v>11676</v>
      </c>
      <c r="J312" s="10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10" t="s">
        <v>4</v>
      </c>
      <c r="E313" s="10" t="s">
        <v>2932</v>
      </c>
      <c r="F313" s="10"/>
      <c r="H313" s="10"/>
      <c r="I313" s="10" t="s">
        <v>11679</v>
      </c>
      <c r="J313" s="10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10" t="s">
        <v>4</v>
      </c>
      <c r="E314" s="10" t="s">
        <v>2932</v>
      </c>
      <c r="F314" s="10"/>
      <c r="H314" s="10"/>
      <c r="I314" s="10" t="s">
        <v>11903</v>
      </c>
      <c r="J314" s="10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10" t="s">
        <v>6171</v>
      </c>
      <c r="E315" s="10" t="s">
        <v>11958</v>
      </c>
      <c r="F315" s="10"/>
      <c r="H315" s="10"/>
      <c r="I315" s="10" t="s">
        <v>11906</v>
      </c>
      <c r="J315" s="10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10" t="s">
        <v>159</v>
      </c>
      <c r="E316" s="10" t="s">
        <v>11958</v>
      </c>
      <c r="F316" s="10"/>
      <c r="H316" s="10"/>
      <c r="I316" s="10" t="s">
        <v>11909</v>
      </c>
      <c r="J316" s="10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10" t="s">
        <v>201</v>
      </c>
      <c r="E317" s="10" t="s">
        <v>11958</v>
      </c>
      <c r="F317" s="10"/>
      <c r="H317" s="10"/>
      <c r="I317" s="10" t="s">
        <v>11912</v>
      </c>
      <c r="J317" s="10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10" t="s">
        <v>4</v>
      </c>
      <c r="E318" s="10" t="s">
        <v>8</v>
      </c>
      <c r="F318" s="10"/>
      <c r="H318" s="10"/>
      <c r="I318" s="10" t="s">
        <v>11915</v>
      </c>
      <c r="J318" s="10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10" t="s">
        <v>159</v>
      </c>
      <c r="E319" s="10" t="s">
        <v>4193</v>
      </c>
      <c r="F319" s="10"/>
      <c r="H319" s="10"/>
      <c r="I319" s="10" t="s">
        <v>11918</v>
      </c>
      <c r="J319" s="10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10" t="s">
        <v>201</v>
      </c>
      <c r="E320" s="10" t="s">
        <v>4193</v>
      </c>
      <c r="F320" s="10"/>
      <c r="H320" s="10"/>
      <c r="I320" s="10" t="s">
        <v>11921</v>
      </c>
      <c r="J320" s="1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10" t="s">
        <v>4</v>
      </c>
      <c r="E321" s="10" t="s">
        <v>8</v>
      </c>
      <c r="F321" s="10"/>
      <c r="H321" s="10"/>
      <c r="I321" s="10" t="s">
        <v>11924</v>
      </c>
      <c r="J321" s="10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10" t="s">
        <v>159</v>
      </c>
      <c r="E322" s="10" t="s">
        <v>70</v>
      </c>
      <c r="F322" s="10"/>
      <c r="H322" s="10"/>
      <c r="I322" s="10" t="s">
        <v>11927</v>
      </c>
      <c r="J322" s="10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10" t="s">
        <v>4</v>
      </c>
      <c r="E323" s="10" t="s">
        <v>8</v>
      </c>
      <c r="F323" s="10"/>
      <c r="H323" s="10"/>
      <c r="I323" s="10" t="s">
        <v>11930</v>
      </c>
      <c r="J323" s="10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10" t="s">
        <v>651</v>
      </c>
      <c r="E324" s="10" t="s">
        <v>86</v>
      </c>
      <c r="F324" s="10"/>
      <c r="H324" s="10"/>
      <c r="I324" s="10" t="s">
        <v>11995</v>
      </c>
      <c r="J324" s="10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10" t="s">
        <v>11957</v>
      </c>
      <c r="E325" s="10" t="s">
        <v>12014</v>
      </c>
      <c r="F325" s="10"/>
      <c r="H325" s="10"/>
      <c r="I325" s="10" t="s">
        <v>11998</v>
      </c>
      <c r="J325" s="10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10" t="s">
        <v>201</v>
      </c>
      <c r="E326" s="10" t="s">
        <v>12014</v>
      </c>
      <c r="F326" s="10"/>
      <c r="H326" s="10"/>
      <c r="I326" s="10" t="s">
        <v>12001</v>
      </c>
      <c r="J326" s="10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10" t="s">
        <v>2004</v>
      </c>
      <c r="E327" s="10" t="s">
        <v>8</v>
      </c>
      <c r="F327" s="10"/>
      <c r="H327" s="10"/>
      <c r="I327" s="10" t="s">
        <v>12028</v>
      </c>
      <c r="J327" s="10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10" t="s">
        <v>4</v>
      </c>
      <c r="E328" s="10" t="s">
        <v>10638</v>
      </c>
      <c r="F328" s="10"/>
      <c r="H328" s="10"/>
      <c r="I328" s="10" t="s">
        <v>12040</v>
      </c>
      <c r="J328" s="10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  <row r="329" spans="1:13" x14ac:dyDescent="0.25">
      <c r="A329" s="2" t="s">
        <v>13</v>
      </c>
      <c r="B329" s="4">
        <v>46069</v>
      </c>
      <c r="C329" s="5">
        <v>0.59663194444444445</v>
      </c>
      <c r="D329" s="10" t="s">
        <v>651</v>
      </c>
      <c r="E329" s="10" t="s">
        <v>86</v>
      </c>
      <c r="F329" s="10"/>
      <c r="H329" s="10"/>
      <c r="I329" s="10" t="s">
        <v>12191</v>
      </c>
      <c r="J329" s="10" t="s">
        <v>2982</v>
      </c>
      <c r="K329" t="s">
        <v>12192</v>
      </c>
      <c r="L329" t="s">
        <v>12193</v>
      </c>
      <c r="M329" s="3" t="str">
        <f>HYPERLINK(склад2въезд1319[[#This Row],[RelativePath]])</f>
        <v>5 Крыльцо общага\K07156189_22_20260216T141909Z.jpg</v>
      </c>
    </row>
    <row r="330" spans="1:13" x14ac:dyDescent="0.25">
      <c r="A330" s="2" t="s">
        <v>14</v>
      </c>
      <c r="B330" s="4">
        <v>46070</v>
      </c>
      <c r="C330" s="5">
        <v>0.60394675925925922</v>
      </c>
      <c r="D330" s="10" t="s">
        <v>12377</v>
      </c>
      <c r="E330" s="10" t="s">
        <v>86</v>
      </c>
      <c r="F330" s="10"/>
      <c r="H330" s="10"/>
      <c r="I330" s="10" t="s">
        <v>12194</v>
      </c>
      <c r="J330" s="10" t="s">
        <v>2982</v>
      </c>
      <c r="K330" t="s">
        <v>12195</v>
      </c>
      <c r="L330" t="s">
        <v>12196</v>
      </c>
      <c r="M330" s="3" t="str">
        <f>HYPERLINK(склад2въезд1319[[#This Row],[RelativePath]])</f>
        <v>5 Крыльцо общага\K07156189_22_20260217T142941Z.jpg</v>
      </c>
    </row>
    <row r="331" spans="1:13" x14ac:dyDescent="0.25">
      <c r="A331" s="2" t="s">
        <v>14</v>
      </c>
      <c r="B331" s="4">
        <v>46070</v>
      </c>
      <c r="C331" s="5">
        <v>0.70093749999999999</v>
      </c>
      <c r="D331" s="10" t="s">
        <v>11961</v>
      </c>
      <c r="E331" s="10"/>
      <c r="F331" s="10"/>
      <c r="H331" s="10"/>
      <c r="I331" s="10" t="s">
        <v>12197</v>
      </c>
      <c r="J331" s="10" t="s">
        <v>2982</v>
      </c>
      <c r="K331" t="s">
        <v>12198</v>
      </c>
      <c r="L331" t="s">
        <v>12199</v>
      </c>
      <c r="M331" s="3" t="str">
        <f>HYPERLINK(склад2въезд1319[[#This Row],[RelativePath]])</f>
        <v>5 Крыльцо общага\K07156189_22_20260217T164921Z.jpg</v>
      </c>
    </row>
    <row r="332" spans="1:13" x14ac:dyDescent="0.25">
      <c r="A332" s="2" t="s">
        <v>15</v>
      </c>
      <c r="B332" s="4">
        <v>46071</v>
      </c>
      <c r="C332" s="5">
        <v>0.39153935185185185</v>
      </c>
      <c r="D332" s="10" t="s">
        <v>11957</v>
      </c>
      <c r="E332" s="10" t="s">
        <v>12378</v>
      </c>
      <c r="F332" s="10"/>
      <c r="H332" s="10"/>
      <c r="I332" s="10" t="s">
        <v>12200</v>
      </c>
      <c r="J332" s="10" t="s">
        <v>2982</v>
      </c>
      <c r="K332" t="s">
        <v>12201</v>
      </c>
      <c r="L332" t="s">
        <v>12202</v>
      </c>
      <c r="M332" s="3" t="str">
        <f>HYPERLINK(склад2въезд1319[[#This Row],[RelativePath]])</f>
        <v>5 Крыльцо общага\K07156189_22_20260218T092349Z.jpg</v>
      </c>
    </row>
    <row r="333" spans="1:13" x14ac:dyDescent="0.25">
      <c r="A333" s="2" t="s">
        <v>15</v>
      </c>
      <c r="B333" s="4">
        <v>46071</v>
      </c>
      <c r="C333" s="5">
        <v>0.39587962962962964</v>
      </c>
      <c r="D333" s="10" t="s">
        <v>62</v>
      </c>
      <c r="E333" s="10" t="s">
        <v>12378</v>
      </c>
      <c r="F333" s="10" t="s">
        <v>12379</v>
      </c>
      <c r="H333" s="10" t="s">
        <v>12380</v>
      </c>
      <c r="I333" s="10" t="s">
        <v>12203</v>
      </c>
      <c r="J333" s="10" t="s">
        <v>2982</v>
      </c>
      <c r="K333" t="s">
        <v>12204</v>
      </c>
      <c r="L333" t="s">
        <v>12205</v>
      </c>
      <c r="M333" s="3" t="str">
        <f>HYPERLINK(склад2въезд1319[[#This Row],[RelativePath]])</f>
        <v>5 Крыльцо общага\K07156189_22_20260218T093004Z.jpg</v>
      </c>
    </row>
    <row r="334" spans="1:13" x14ac:dyDescent="0.25">
      <c r="A334" s="2" t="s">
        <v>15</v>
      </c>
      <c r="B334" s="4">
        <v>46071</v>
      </c>
      <c r="C334" s="5">
        <v>0.40994212962962961</v>
      </c>
      <c r="D334" s="10" t="s">
        <v>159</v>
      </c>
      <c r="E334" s="10" t="s">
        <v>4193</v>
      </c>
      <c r="F334" s="10"/>
      <c r="H334" s="10"/>
      <c r="I334" s="10" t="s">
        <v>12206</v>
      </c>
      <c r="J334" s="10" t="s">
        <v>2982</v>
      </c>
      <c r="K334" t="s">
        <v>12207</v>
      </c>
      <c r="L334" t="s">
        <v>12208</v>
      </c>
      <c r="M334" s="3" t="str">
        <f>HYPERLINK(склад2въезд1319[[#This Row],[RelativePath]])</f>
        <v>5 Крыльцо общага\K07156189_22_20260218T095019Z.jpg</v>
      </c>
    </row>
    <row r="335" spans="1:13" x14ac:dyDescent="0.25">
      <c r="A335" s="2" t="s">
        <v>15</v>
      </c>
      <c r="B335" s="4">
        <v>46071</v>
      </c>
      <c r="C335" s="5">
        <v>0.43244212962962963</v>
      </c>
      <c r="D335" s="10" t="s">
        <v>12381</v>
      </c>
      <c r="E335" s="10" t="s">
        <v>86</v>
      </c>
      <c r="F335" s="10"/>
      <c r="H335" s="10"/>
      <c r="I335" s="10" t="s">
        <v>12209</v>
      </c>
      <c r="J335" s="10" t="s">
        <v>2982</v>
      </c>
      <c r="K335" t="s">
        <v>12210</v>
      </c>
      <c r="L335" t="s">
        <v>12211</v>
      </c>
      <c r="M335" s="3" t="str">
        <f>HYPERLINK(склад2въезд1319[[#This Row],[RelativePath]])</f>
        <v>5 Крыльцо общага\K07156189_22_20260218T102243Z.jpg</v>
      </c>
    </row>
  </sheetData>
  <conditionalFormatting sqref="E336:E349 D336:D346 G2:H335 D2:E335">
    <cfRule type="containsText" dxfId="717" priority="17" operator="containsText" text="Выезд с территории">
      <formula>NOT(ISERROR(SEARCH("Выезд с территории",D2)))</formula>
    </cfRule>
  </conditionalFormatting>
  <conditionalFormatting sqref="F2:F335">
    <cfRule type="notContainsText" dxfId="716" priority="16" operator="notContains" text="порожний">
      <formula>ISERROR(SEARCH("порожний",F2))</formula>
    </cfRule>
  </conditionalFormatting>
  <conditionalFormatting sqref="E2:E349">
    <cfRule type="containsText" dxfId="715" priority="14" operator="containsText" text="Газель базы">
      <formula>NOT(ISERROR(SEARCH("Газель базы",E2)))</formula>
    </cfRule>
    <cfRule type="containsText" dxfId="714" priority="15" operator="containsText" text="Погрузчик базы">
      <formula>NOT(ISERROR(SEARCH("Погрузчик базы",E2)))</formula>
    </cfRule>
  </conditionalFormatting>
  <conditionalFormatting sqref="E2:E349">
    <cfRule type="containsText" dxfId="713" priority="13" operator="containsText" text="Трактор базы">
      <formula>NOT(ISERROR(SEARCH("Трактор базы",E2)))</formula>
    </cfRule>
  </conditionalFormatting>
  <conditionalFormatting sqref="A2:C335">
    <cfRule type="expression" dxfId="712" priority="12">
      <formula>$A2="пн"</formula>
    </cfRule>
  </conditionalFormatting>
  <conditionalFormatting sqref="A2:C337">
    <cfRule type="expression" dxfId="711" priority="6">
      <formula>$A2="вс"</formula>
    </cfRule>
    <cfRule type="expression" dxfId="710" priority="7">
      <formula>$A2="сб"</formula>
    </cfRule>
    <cfRule type="expression" dxfId="709" priority="8">
      <formula>$A2="пт"</formula>
    </cfRule>
    <cfRule type="expression" dxfId="708" priority="9">
      <formula>$A2="чт"</formula>
    </cfRule>
    <cfRule type="expression" dxfId="707" priority="10">
      <formula>$A2="ср"</formula>
    </cfRule>
    <cfRule type="expression" dxfId="706" priority="11">
      <formula>$A2="вт"</formula>
    </cfRule>
  </conditionalFormatting>
  <conditionalFormatting sqref="D2:D346">
    <cfRule type="containsText" dxfId="70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70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55"/>
  <sheetViews>
    <sheetView zoomScale="90" zoomScaleNormal="90" workbookViewId="0">
      <pane ySplit="1" topLeftCell="A136" activePane="bottomLeft" state="frozen"/>
      <selection pane="bottomLeft" activeCell="I147" sqref="I147:I15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10" t="s">
        <v>4</v>
      </c>
      <c r="E2" s="10" t="s">
        <v>8</v>
      </c>
      <c r="F2" s="10"/>
      <c r="H2" s="10" t="s">
        <v>5</v>
      </c>
      <c r="I2" s="10" t="s">
        <v>480</v>
      </c>
      <c r="J2" s="10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10" t="s">
        <v>4</v>
      </c>
      <c r="E3" s="10" t="s">
        <v>8</v>
      </c>
      <c r="F3" s="10"/>
      <c r="H3" s="10" t="s">
        <v>6</v>
      </c>
      <c r="I3" s="10" t="s">
        <v>483</v>
      </c>
      <c r="J3" s="10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10" t="s">
        <v>4</v>
      </c>
      <c r="E4" s="10" t="s">
        <v>8</v>
      </c>
      <c r="F4" s="10"/>
      <c r="H4" s="10" t="s">
        <v>5</v>
      </c>
      <c r="I4" s="10" t="s">
        <v>486</v>
      </c>
      <c r="J4" s="10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10" t="s">
        <v>289</v>
      </c>
      <c r="E5" s="10" t="s">
        <v>86</v>
      </c>
      <c r="F5" s="10" t="s">
        <v>528</v>
      </c>
      <c r="H5" s="10"/>
      <c r="I5" s="10" t="s">
        <v>489</v>
      </c>
      <c r="J5" s="10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10" t="s">
        <v>159</v>
      </c>
      <c r="E6" s="10" t="s">
        <v>86</v>
      </c>
      <c r="F6" s="10" t="s">
        <v>528</v>
      </c>
      <c r="H6" s="10"/>
      <c r="I6" s="10" t="s">
        <v>492</v>
      </c>
      <c r="J6" s="10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10" t="s">
        <v>4</v>
      </c>
      <c r="E7" s="10" t="s">
        <v>8</v>
      </c>
      <c r="F7" s="10"/>
      <c r="H7" s="10"/>
      <c r="I7" s="10" t="s">
        <v>495</v>
      </c>
      <c r="J7" s="10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10" t="s">
        <v>4</v>
      </c>
      <c r="E8" s="10" t="s">
        <v>8</v>
      </c>
      <c r="F8" s="10"/>
      <c r="H8" s="10"/>
      <c r="I8" s="10" t="s">
        <v>498</v>
      </c>
      <c r="J8" s="10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10" t="s">
        <v>4</v>
      </c>
      <c r="E9" s="10" t="s">
        <v>529</v>
      </c>
      <c r="F9" s="10"/>
      <c r="H9" s="10"/>
      <c r="I9" s="10" t="s">
        <v>501</v>
      </c>
      <c r="J9" s="10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10" t="s">
        <v>4</v>
      </c>
      <c r="E10" s="10" t="s">
        <v>8</v>
      </c>
      <c r="F10" s="10"/>
      <c r="H10" s="10" t="s">
        <v>6</v>
      </c>
      <c r="I10" s="10" t="s">
        <v>504</v>
      </c>
      <c r="J10" s="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10" t="s">
        <v>4</v>
      </c>
      <c r="E11" s="10" t="s">
        <v>8</v>
      </c>
      <c r="F11" s="10"/>
      <c r="H11" s="10" t="s">
        <v>5</v>
      </c>
      <c r="I11" s="10" t="s">
        <v>507</v>
      </c>
      <c r="J11" s="10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10" t="s">
        <v>289</v>
      </c>
      <c r="E12" s="10" t="s">
        <v>86</v>
      </c>
      <c r="F12" s="10" t="s">
        <v>530</v>
      </c>
      <c r="H12" s="10"/>
      <c r="I12" s="10" t="s">
        <v>510</v>
      </c>
      <c r="J12" s="10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10" t="s">
        <v>289</v>
      </c>
      <c r="E13" s="10" t="s">
        <v>86</v>
      </c>
      <c r="F13" s="10" t="s">
        <v>530</v>
      </c>
      <c r="H13" s="10"/>
      <c r="I13" s="10" t="s">
        <v>513</v>
      </c>
      <c r="J13" s="10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10" t="s">
        <v>533</v>
      </c>
      <c r="E14" s="10" t="s">
        <v>531</v>
      </c>
      <c r="F14" s="10" t="s">
        <v>534</v>
      </c>
      <c r="H14" s="10"/>
      <c r="I14" s="10" t="s">
        <v>516</v>
      </c>
      <c r="J14" s="10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10" t="s">
        <v>289</v>
      </c>
      <c r="E15" s="10" t="s">
        <v>86</v>
      </c>
      <c r="F15" s="10" t="s">
        <v>532</v>
      </c>
      <c r="H15" s="10"/>
      <c r="I15" s="10" t="s">
        <v>519</v>
      </c>
      <c r="J15" s="10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10" t="s">
        <v>289</v>
      </c>
      <c r="E16" s="10" t="s">
        <v>86</v>
      </c>
      <c r="F16" s="10" t="s">
        <v>532</v>
      </c>
      <c r="H16" s="10"/>
      <c r="I16" s="10" t="s">
        <v>522</v>
      </c>
      <c r="J16" s="10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10" t="s">
        <v>4</v>
      </c>
      <c r="E17" s="10" t="s">
        <v>8</v>
      </c>
      <c r="F17" s="10"/>
      <c r="H17" s="10" t="s">
        <v>6</v>
      </c>
      <c r="I17" s="10" t="s">
        <v>525</v>
      </c>
      <c r="J17" s="10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10" t="s">
        <v>4</v>
      </c>
      <c r="E18" s="10" t="s">
        <v>8</v>
      </c>
      <c r="F18" s="10"/>
      <c r="H18" s="10" t="s">
        <v>2009</v>
      </c>
      <c r="I18" s="10" t="s">
        <v>2015</v>
      </c>
      <c r="J18" s="10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10" t="s">
        <v>4</v>
      </c>
      <c r="E19" s="10" t="s">
        <v>8</v>
      </c>
      <c r="F19" s="10"/>
      <c r="H19" s="10" t="s">
        <v>2004</v>
      </c>
      <c r="I19" s="10" t="s">
        <v>2018</v>
      </c>
      <c r="J19" s="10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10" t="s">
        <v>4</v>
      </c>
      <c r="E20" s="10" t="s">
        <v>8</v>
      </c>
      <c r="F20" s="10"/>
      <c r="H20" s="10" t="s">
        <v>2004</v>
      </c>
      <c r="I20" s="10" t="s">
        <v>2021</v>
      </c>
      <c r="J20" s="1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10" t="s">
        <v>2004</v>
      </c>
      <c r="E21" s="10"/>
      <c r="F21" s="10"/>
      <c r="H21" s="10"/>
      <c r="I21" s="10" t="s">
        <v>2115</v>
      </c>
      <c r="J21" s="10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10" t="s">
        <v>4</v>
      </c>
      <c r="E22" s="10" t="s">
        <v>8</v>
      </c>
      <c r="F22" s="10"/>
      <c r="H22" s="10" t="s">
        <v>2932</v>
      </c>
      <c r="I22" s="10" t="s">
        <v>2934</v>
      </c>
      <c r="J22" s="10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10" t="s">
        <v>2004</v>
      </c>
      <c r="E23" s="10"/>
      <c r="F23" s="10"/>
      <c r="H23" s="10"/>
      <c r="I23" s="10" t="s">
        <v>2118</v>
      </c>
      <c r="J23" s="10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10" t="s">
        <v>2004</v>
      </c>
      <c r="E24" s="10"/>
      <c r="F24" s="10"/>
      <c r="H24" s="10"/>
      <c r="I24" s="10" t="s">
        <v>2121</v>
      </c>
      <c r="J24" s="10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10" t="s">
        <v>2004</v>
      </c>
      <c r="E25" s="10"/>
      <c r="F25" s="10"/>
      <c r="H25" s="10"/>
      <c r="I25" s="10" t="s">
        <v>2124</v>
      </c>
      <c r="J25" s="10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10" t="s">
        <v>2004</v>
      </c>
      <c r="E26" s="10"/>
      <c r="F26" s="10"/>
      <c r="H26" s="10"/>
      <c r="I26" s="10" t="s">
        <v>2127</v>
      </c>
      <c r="J26" s="10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10" t="s">
        <v>2004</v>
      </c>
      <c r="E27" s="10"/>
      <c r="F27" s="10"/>
      <c r="H27" s="10"/>
      <c r="I27" s="10" t="s">
        <v>2130</v>
      </c>
      <c r="J27" s="10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10" t="s">
        <v>4</v>
      </c>
      <c r="E28" s="10" t="s">
        <v>8</v>
      </c>
      <c r="F28" s="10"/>
      <c r="H28" s="10"/>
      <c r="I28" s="10" t="s">
        <v>3405</v>
      </c>
      <c r="J28" s="10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10" t="s">
        <v>4</v>
      </c>
      <c r="E29" s="10" t="s">
        <v>8</v>
      </c>
      <c r="F29" s="10"/>
      <c r="H29" s="10"/>
      <c r="I29" s="10" t="s">
        <v>4206</v>
      </c>
      <c r="J29" s="10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10" t="s">
        <v>4</v>
      </c>
      <c r="E30" s="10" t="s">
        <v>8</v>
      </c>
      <c r="F30" s="10"/>
      <c r="H30" s="10"/>
      <c r="I30" s="10" t="s">
        <v>3408</v>
      </c>
      <c r="J30" s="1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10" t="s">
        <v>4209</v>
      </c>
      <c r="E31" s="10" t="s">
        <v>4210</v>
      </c>
      <c r="F31" s="10"/>
      <c r="H31" s="10"/>
      <c r="I31" s="10" t="s">
        <v>3411</v>
      </c>
      <c r="J31" s="10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10" t="s">
        <v>4209</v>
      </c>
      <c r="E32" s="10" t="s">
        <v>4210</v>
      </c>
      <c r="F32" s="10"/>
      <c r="H32" s="10" t="s">
        <v>2936</v>
      </c>
      <c r="I32" s="10" t="s">
        <v>3414</v>
      </c>
      <c r="J32" s="10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10" t="s">
        <v>4209</v>
      </c>
      <c r="E33" s="10" t="s">
        <v>4210</v>
      </c>
      <c r="F33" s="10"/>
      <c r="H33" s="10" t="s">
        <v>2936</v>
      </c>
      <c r="I33" s="10" t="s">
        <v>3417</v>
      </c>
      <c r="J33" s="10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10" t="s">
        <v>4209</v>
      </c>
      <c r="E34" s="10" t="s">
        <v>4210</v>
      </c>
      <c r="F34" s="10"/>
      <c r="H34" s="10" t="s">
        <v>2936</v>
      </c>
      <c r="I34" s="10" t="s">
        <v>3420</v>
      </c>
      <c r="J34" s="10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10" t="s">
        <v>4209</v>
      </c>
      <c r="E35" s="10" t="s">
        <v>4210</v>
      </c>
      <c r="F35" s="10"/>
      <c r="H35" s="10" t="s">
        <v>2936</v>
      </c>
      <c r="I35" s="10" t="s">
        <v>3423</v>
      </c>
      <c r="J35" s="10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10" t="s">
        <v>4209</v>
      </c>
      <c r="E36" s="10" t="s">
        <v>4210</v>
      </c>
      <c r="F36" s="10"/>
      <c r="H36" s="10" t="s">
        <v>2936</v>
      </c>
      <c r="I36" s="10" t="s">
        <v>3426</v>
      </c>
      <c r="J36" s="10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10" t="s">
        <v>4209</v>
      </c>
      <c r="E37" s="10" t="s">
        <v>4210</v>
      </c>
      <c r="F37" s="10"/>
      <c r="H37" s="10" t="s">
        <v>2936</v>
      </c>
      <c r="I37" s="10" t="s">
        <v>3429</v>
      </c>
      <c r="J37" s="10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10" t="s">
        <v>4209</v>
      </c>
      <c r="E38" s="10" t="s">
        <v>4210</v>
      </c>
      <c r="F38" s="10"/>
      <c r="H38" s="10" t="s">
        <v>2936</v>
      </c>
      <c r="I38" s="10" t="s">
        <v>3432</v>
      </c>
      <c r="J38" s="10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10" t="s">
        <v>4209</v>
      </c>
      <c r="E39" s="10" t="s">
        <v>4210</v>
      </c>
      <c r="F39" s="10"/>
      <c r="H39" s="10" t="s">
        <v>2936</v>
      </c>
      <c r="I39" s="10" t="s">
        <v>3435</v>
      </c>
      <c r="J39" s="10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10" t="s">
        <v>4209</v>
      </c>
      <c r="E40" s="10" t="s">
        <v>4210</v>
      </c>
      <c r="F40" s="10"/>
      <c r="H40" s="10" t="s">
        <v>2936</v>
      </c>
      <c r="I40" s="10" t="s">
        <v>3438</v>
      </c>
      <c r="J40" s="1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10" t="s">
        <v>4209</v>
      </c>
      <c r="E41" s="10" t="s">
        <v>4210</v>
      </c>
      <c r="F41" s="10"/>
      <c r="H41" s="10" t="s">
        <v>2936</v>
      </c>
      <c r="I41" s="10" t="s">
        <v>3441</v>
      </c>
      <c r="J41" s="10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10" t="s">
        <v>4209</v>
      </c>
      <c r="E42" s="10" t="s">
        <v>4210</v>
      </c>
      <c r="F42" s="10"/>
      <c r="H42" s="10" t="s">
        <v>2936</v>
      </c>
      <c r="I42" s="10" t="s">
        <v>3444</v>
      </c>
      <c r="J42" s="10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10" t="s">
        <v>4</v>
      </c>
      <c r="E43" s="10" t="s">
        <v>8</v>
      </c>
      <c r="F43" s="10"/>
      <c r="H43" s="10"/>
      <c r="I43" s="10" t="s">
        <v>3447</v>
      </c>
      <c r="J43" s="10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10" t="s">
        <v>289</v>
      </c>
      <c r="E44" s="10" t="s">
        <v>4211</v>
      </c>
      <c r="F44" s="10"/>
      <c r="H44" s="10"/>
      <c r="I44" s="10" t="s">
        <v>3450</v>
      </c>
      <c r="J44" s="10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10" t="s">
        <v>289</v>
      </c>
      <c r="E45" s="10" t="s">
        <v>4211</v>
      </c>
      <c r="F45" s="10"/>
      <c r="H45" s="10" t="s">
        <v>2936</v>
      </c>
      <c r="I45" s="10" t="s">
        <v>3453</v>
      </c>
      <c r="J45" s="10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10" t="s">
        <v>289</v>
      </c>
      <c r="E46" s="10" t="s">
        <v>4211</v>
      </c>
      <c r="F46" s="10"/>
      <c r="H46" s="10" t="s">
        <v>2936</v>
      </c>
      <c r="I46" s="10" t="s">
        <v>3456</v>
      </c>
      <c r="J46" s="10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10" t="s">
        <v>289</v>
      </c>
      <c r="E47" s="10" t="s">
        <v>4211</v>
      </c>
      <c r="F47" s="10"/>
      <c r="H47" s="10" t="s">
        <v>2936</v>
      </c>
      <c r="I47" s="10" t="s">
        <v>3459</v>
      </c>
      <c r="J47" s="10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10" t="s">
        <v>289</v>
      </c>
      <c r="E48" s="10" t="s">
        <v>4211</v>
      </c>
      <c r="F48" s="10"/>
      <c r="H48" s="10" t="s">
        <v>2936</v>
      </c>
      <c r="I48" s="10" t="s">
        <v>3462</v>
      </c>
      <c r="J48" s="10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10" t="s">
        <v>4</v>
      </c>
      <c r="E49" s="10" t="s">
        <v>8</v>
      </c>
      <c r="F49" s="10"/>
      <c r="H49" s="10"/>
      <c r="I49" s="10" t="s">
        <v>3465</v>
      </c>
      <c r="J49" s="10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10" t="s">
        <v>2004</v>
      </c>
      <c r="E50" s="10"/>
      <c r="F50" s="10"/>
      <c r="H50" s="10"/>
      <c r="I50" s="10" t="s">
        <v>4273</v>
      </c>
      <c r="J50" s="1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10" t="s">
        <v>1615</v>
      </c>
      <c r="E51" s="10" t="s">
        <v>86</v>
      </c>
      <c r="F51" s="10" t="s">
        <v>200</v>
      </c>
      <c r="H51" s="10"/>
      <c r="I51" s="10" t="s">
        <v>5110</v>
      </c>
      <c r="J51" s="10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10" t="s">
        <v>1094</v>
      </c>
      <c r="E52" s="10" t="s">
        <v>4247</v>
      </c>
      <c r="F52" s="10" t="s">
        <v>60</v>
      </c>
      <c r="H52" s="10"/>
      <c r="I52" s="10" t="s">
        <v>5112</v>
      </c>
      <c r="J52" s="10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10" t="s">
        <v>533</v>
      </c>
      <c r="E53" s="10" t="s">
        <v>1607</v>
      </c>
      <c r="F53" s="10" t="s">
        <v>58</v>
      </c>
      <c r="H53" s="10"/>
      <c r="I53" s="10" t="s">
        <v>5114</v>
      </c>
      <c r="J53" s="10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10" t="s">
        <v>1615</v>
      </c>
      <c r="E54" s="10" t="s">
        <v>86</v>
      </c>
      <c r="F54" s="10" t="s">
        <v>200</v>
      </c>
      <c r="H54" s="10"/>
      <c r="I54" s="10" t="s">
        <v>4576</v>
      </c>
      <c r="J54" s="10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10" t="s">
        <v>1094</v>
      </c>
      <c r="E55" s="10" t="s">
        <v>4247</v>
      </c>
      <c r="F55" s="10" t="s">
        <v>200</v>
      </c>
      <c r="H55" s="10"/>
      <c r="I55" s="10" t="s">
        <v>4579</v>
      </c>
      <c r="J55" s="10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10" t="s">
        <v>1094</v>
      </c>
      <c r="E56" s="10" t="s">
        <v>4247</v>
      </c>
      <c r="F56" s="10" t="s">
        <v>200</v>
      </c>
      <c r="H56" s="10"/>
      <c r="I56" s="10" t="s">
        <v>4582</v>
      </c>
      <c r="J56" s="10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10" t="s">
        <v>5109</v>
      </c>
      <c r="E57" s="10" t="s">
        <v>86</v>
      </c>
      <c r="F57" s="10"/>
      <c r="H57" s="10"/>
      <c r="I57" s="10" t="s">
        <v>4585</v>
      </c>
      <c r="J57" s="10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10" t="s">
        <v>4</v>
      </c>
      <c r="E58" s="10" t="s">
        <v>8</v>
      </c>
      <c r="F58" s="10"/>
      <c r="H58" s="10"/>
      <c r="I58" s="10" t="s">
        <v>4588</v>
      </c>
      <c r="J58" s="10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10" t="s">
        <v>5109</v>
      </c>
      <c r="E59" s="10" t="s">
        <v>86</v>
      </c>
      <c r="F59" s="10"/>
      <c r="H59" s="10"/>
      <c r="I59" s="10" t="s">
        <v>4591</v>
      </c>
      <c r="J59" s="10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10" t="s">
        <v>5109</v>
      </c>
      <c r="E60" s="10" t="s">
        <v>86</v>
      </c>
      <c r="F60" s="10"/>
      <c r="H60" s="10"/>
      <c r="I60" s="10" t="s">
        <v>4594</v>
      </c>
      <c r="J60" s="1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10" t="s">
        <v>2004</v>
      </c>
      <c r="E61" s="10" t="s">
        <v>8</v>
      </c>
      <c r="F61" s="10"/>
      <c r="H61" s="10"/>
      <c r="I61" s="10" t="s">
        <v>4597</v>
      </c>
      <c r="J61" s="10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10" t="s">
        <v>2004</v>
      </c>
      <c r="E62" s="10" t="s">
        <v>8</v>
      </c>
      <c r="F62" s="10"/>
      <c r="H62" s="10"/>
      <c r="I62" s="10" t="s">
        <v>5175</v>
      </c>
      <c r="J62" s="10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10" t="s">
        <v>4</v>
      </c>
      <c r="E63" s="10" t="s">
        <v>8</v>
      </c>
      <c r="F63" s="10"/>
      <c r="H63" s="10"/>
      <c r="I63" s="10" t="s">
        <v>5310</v>
      </c>
      <c r="J63" s="10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10" t="s">
        <v>2004</v>
      </c>
      <c r="E64" s="10" t="s">
        <v>8</v>
      </c>
      <c r="F64" s="10"/>
      <c r="H64" s="10"/>
      <c r="I64" s="10" t="s">
        <v>5313</v>
      </c>
      <c r="J64" s="10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10" t="s">
        <v>2004</v>
      </c>
      <c r="E65" s="10" t="s">
        <v>8</v>
      </c>
      <c r="F65" s="10"/>
      <c r="H65" s="10"/>
      <c r="I65" s="10" t="s">
        <v>5539</v>
      </c>
      <c r="J65" s="10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10" t="s">
        <v>2004</v>
      </c>
      <c r="E66" s="10" t="s">
        <v>8</v>
      </c>
      <c r="F66" s="10"/>
      <c r="H66" s="10"/>
      <c r="I66" s="10" t="s">
        <v>5542</v>
      </c>
      <c r="J66" s="10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10" t="s">
        <v>2004</v>
      </c>
      <c r="E67" s="10" t="s">
        <v>8</v>
      </c>
      <c r="F67" s="10"/>
      <c r="H67" s="10"/>
      <c r="I67" s="10" t="s">
        <v>5545</v>
      </c>
      <c r="J67" s="10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10" t="s">
        <v>1615</v>
      </c>
      <c r="E68" s="10" t="s">
        <v>86</v>
      </c>
      <c r="F68" s="10" t="s">
        <v>200</v>
      </c>
      <c r="H68" s="10"/>
      <c r="I68" s="10" t="s">
        <v>5867</v>
      </c>
      <c r="J68" s="10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10" t="s">
        <v>1615</v>
      </c>
      <c r="E69" s="10" t="s">
        <v>86</v>
      </c>
      <c r="F69" s="10" t="s">
        <v>200</v>
      </c>
      <c r="H69" s="10"/>
      <c r="I69" s="10" t="s">
        <v>5870</v>
      </c>
      <c r="J69" s="10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10" t="s">
        <v>1615</v>
      </c>
      <c r="E70" s="10" t="s">
        <v>86</v>
      </c>
      <c r="F70" s="10" t="s">
        <v>200</v>
      </c>
      <c r="H70" s="10"/>
      <c r="I70" s="10" t="s">
        <v>5873</v>
      </c>
      <c r="J70" s="1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10" t="s">
        <v>2004</v>
      </c>
      <c r="E71" s="10" t="s">
        <v>8</v>
      </c>
      <c r="F71" s="10"/>
      <c r="H71" s="10"/>
      <c r="I71" s="10" t="s">
        <v>6077</v>
      </c>
      <c r="J71" s="10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10" t="s">
        <v>2004</v>
      </c>
      <c r="E72" s="10" t="s">
        <v>8</v>
      </c>
      <c r="F72" s="10"/>
      <c r="H72" s="10"/>
      <c r="I72" s="10" t="s">
        <v>6207</v>
      </c>
      <c r="J72" s="10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10" t="s">
        <v>2004</v>
      </c>
      <c r="E73" s="10" t="s">
        <v>8</v>
      </c>
      <c r="F73" s="10"/>
      <c r="H73" s="10"/>
      <c r="I73" s="10" t="s">
        <v>6326</v>
      </c>
      <c r="J73" s="10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10" t="s">
        <v>2004</v>
      </c>
      <c r="E74" s="10" t="s">
        <v>8</v>
      </c>
      <c r="F74" s="10"/>
      <c r="H74" s="10"/>
      <c r="I74" s="10" t="s">
        <v>6566</v>
      </c>
      <c r="J74" s="10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10" t="s">
        <v>2004</v>
      </c>
      <c r="E75" s="10" t="s">
        <v>8</v>
      </c>
      <c r="F75" s="10"/>
      <c r="H75" s="10"/>
      <c r="I75" s="10" t="s">
        <v>6715</v>
      </c>
      <c r="J75" s="10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10" t="s">
        <v>2004</v>
      </c>
      <c r="E76" s="10" t="s">
        <v>8</v>
      </c>
      <c r="F76" s="10"/>
      <c r="H76" s="10"/>
      <c r="I76" s="10" t="s">
        <v>6917</v>
      </c>
      <c r="J76" s="10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10" t="s">
        <v>2004</v>
      </c>
      <c r="E77" s="10" t="s">
        <v>8</v>
      </c>
      <c r="F77" s="10"/>
      <c r="H77" s="10"/>
      <c r="I77" s="10" t="s">
        <v>6920</v>
      </c>
      <c r="J77" s="10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10" t="s">
        <v>2004</v>
      </c>
      <c r="E78" s="10" t="s">
        <v>8</v>
      </c>
      <c r="F78" s="10"/>
      <c r="H78" s="10"/>
      <c r="I78" s="10" t="s">
        <v>6923</v>
      </c>
      <c r="J78" s="10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10" t="s">
        <v>2004</v>
      </c>
      <c r="E79" s="10" t="s">
        <v>8</v>
      </c>
      <c r="F79" s="10"/>
      <c r="H79" s="10"/>
      <c r="I79" s="10" t="s">
        <v>7187</v>
      </c>
      <c r="J79" s="10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10" t="s">
        <v>2004</v>
      </c>
      <c r="E80" s="10" t="s">
        <v>8</v>
      </c>
      <c r="F80" s="10"/>
      <c r="H80" s="10"/>
      <c r="I80" s="10" t="s">
        <v>7254</v>
      </c>
      <c r="J80" s="1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10" t="s">
        <v>2004</v>
      </c>
      <c r="E81" s="10" t="s">
        <v>8</v>
      </c>
      <c r="F81" s="10"/>
      <c r="H81" s="10"/>
      <c r="I81" s="10" t="s">
        <v>7257</v>
      </c>
      <c r="J81" s="10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10" t="s">
        <v>2004</v>
      </c>
      <c r="E82" s="10" t="s">
        <v>8</v>
      </c>
      <c r="F82" s="10"/>
      <c r="H82" s="10"/>
      <c r="I82" s="10" t="s">
        <v>7694</v>
      </c>
      <c r="J82" s="10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10" t="s">
        <v>2004</v>
      </c>
      <c r="E83" s="10" t="s">
        <v>8</v>
      </c>
      <c r="F83" s="10"/>
      <c r="H83" s="10"/>
      <c r="I83" s="10" t="s">
        <v>7697</v>
      </c>
      <c r="J83" s="10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10" t="s">
        <v>290</v>
      </c>
      <c r="E84" s="10" t="s">
        <v>86</v>
      </c>
      <c r="F84" s="10" t="s">
        <v>60</v>
      </c>
      <c r="H84" s="10" t="s">
        <v>5104</v>
      </c>
      <c r="I84" s="10" t="s">
        <v>7855</v>
      </c>
      <c r="J84" s="10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10" t="s">
        <v>290</v>
      </c>
      <c r="E85" s="10" t="s">
        <v>86</v>
      </c>
      <c r="F85" s="10" t="s">
        <v>60</v>
      </c>
      <c r="H85" s="10" t="s">
        <v>2936</v>
      </c>
      <c r="I85" s="10" t="s">
        <v>7858</v>
      </c>
      <c r="J85" s="10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10" t="s">
        <v>290</v>
      </c>
      <c r="E86" s="10" t="s">
        <v>86</v>
      </c>
      <c r="F86" s="10" t="s">
        <v>60</v>
      </c>
      <c r="H86" s="10" t="s">
        <v>2936</v>
      </c>
      <c r="I86" s="10" t="s">
        <v>7861</v>
      </c>
      <c r="J86" s="10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10" t="s">
        <v>2004</v>
      </c>
      <c r="E87" s="10" t="s">
        <v>8</v>
      </c>
      <c r="F87" s="10"/>
      <c r="H87" s="10"/>
      <c r="I87" s="10" t="s">
        <v>8016</v>
      </c>
      <c r="J87" s="10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10" t="s">
        <v>2004</v>
      </c>
      <c r="E88" s="10" t="s">
        <v>8</v>
      </c>
      <c r="F88" s="10"/>
      <c r="H88" s="10"/>
      <c r="I88" s="10" t="s">
        <v>8019</v>
      </c>
      <c r="J88" s="10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10" t="s">
        <v>2004</v>
      </c>
      <c r="E89" s="10" t="s">
        <v>8</v>
      </c>
      <c r="F89" s="10"/>
      <c r="H89" s="10"/>
      <c r="I89" s="10" t="s">
        <v>8303</v>
      </c>
      <c r="J89" s="10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10" t="s">
        <v>2004</v>
      </c>
      <c r="E90" s="10" t="s">
        <v>8</v>
      </c>
      <c r="F90" s="10"/>
      <c r="H90" s="10"/>
      <c r="I90" s="10" t="s">
        <v>8306</v>
      </c>
      <c r="J90" s="1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10" t="s">
        <v>2004</v>
      </c>
      <c r="E91" s="10" t="s">
        <v>8</v>
      </c>
      <c r="F91" s="10"/>
      <c r="H91" s="10"/>
      <c r="I91" s="10" t="s">
        <v>8309</v>
      </c>
      <c r="J91" s="10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10" t="s">
        <v>2004</v>
      </c>
      <c r="E92" s="10" t="s">
        <v>8</v>
      </c>
      <c r="F92" s="10"/>
      <c r="H92" s="10"/>
      <c r="I92" s="10" t="s">
        <v>8312</v>
      </c>
      <c r="J92" s="10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10" t="s">
        <v>2004</v>
      </c>
      <c r="E93" s="10" t="s">
        <v>8</v>
      </c>
      <c r="F93" s="10"/>
      <c r="H93" s="10"/>
      <c r="I93" s="10" t="s">
        <v>8393</v>
      </c>
      <c r="J93" s="10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10" t="s">
        <v>2004</v>
      </c>
      <c r="E94" s="10" t="s">
        <v>8</v>
      </c>
      <c r="F94" s="10"/>
      <c r="H94" s="10"/>
      <c r="I94" s="10" t="s">
        <v>8396</v>
      </c>
      <c r="J94" s="10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10" t="s">
        <v>2004</v>
      </c>
      <c r="E95" s="10" t="s">
        <v>8</v>
      </c>
      <c r="F95" s="10"/>
      <c r="H95" s="10"/>
      <c r="I95" s="10" t="s">
        <v>8399</v>
      </c>
      <c r="J95" s="10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10" t="s">
        <v>2004</v>
      </c>
      <c r="E96" s="10" t="s">
        <v>8</v>
      </c>
      <c r="F96" s="10"/>
      <c r="H96" s="10"/>
      <c r="I96" s="10" t="s">
        <v>8577</v>
      </c>
      <c r="J96" s="10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10" t="s">
        <v>2004</v>
      </c>
      <c r="E97" s="10" t="s">
        <v>8</v>
      </c>
      <c r="F97" s="10"/>
      <c r="H97" s="10"/>
      <c r="I97" s="10" t="s">
        <v>8580</v>
      </c>
      <c r="J97" s="10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10" t="s">
        <v>2004</v>
      </c>
      <c r="E98" s="10" t="s">
        <v>8</v>
      </c>
      <c r="F98" s="10"/>
      <c r="H98" s="10"/>
      <c r="I98" s="10" t="s">
        <v>8583</v>
      </c>
      <c r="J98" s="10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10" t="s">
        <v>2004</v>
      </c>
      <c r="E99" s="10" t="s">
        <v>8</v>
      </c>
      <c r="F99" s="10"/>
      <c r="H99" s="10"/>
      <c r="I99" s="10" t="s">
        <v>8586</v>
      </c>
      <c r="J99" s="10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10" t="s">
        <v>2004</v>
      </c>
      <c r="E100" s="10" t="s">
        <v>8</v>
      </c>
      <c r="F100" s="10"/>
      <c r="H100" s="10"/>
      <c r="I100" s="10" t="s">
        <v>8589</v>
      </c>
      <c r="J100" s="1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10" t="s">
        <v>2004</v>
      </c>
      <c r="E101" s="10" t="s">
        <v>8</v>
      </c>
      <c r="F101" s="10"/>
      <c r="H101" s="10"/>
      <c r="I101" s="10" t="s">
        <v>8592</v>
      </c>
      <c r="J101" s="10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10" t="s">
        <v>2004</v>
      </c>
      <c r="E102" s="10" t="s">
        <v>8</v>
      </c>
      <c r="F102" s="10"/>
      <c r="H102" s="10"/>
      <c r="I102" s="10" t="s">
        <v>8595</v>
      </c>
      <c r="J102" s="10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10" t="s">
        <v>9191</v>
      </c>
      <c r="E103" s="10" t="s">
        <v>5480</v>
      </c>
      <c r="F103" s="10" t="s">
        <v>9190</v>
      </c>
      <c r="H103" s="10"/>
      <c r="I103" s="10" t="s">
        <v>8994</v>
      </c>
      <c r="J103" s="10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10" t="s">
        <v>2004</v>
      </c>
      <c r="E104" s="10" t="s">
        <v>8</v>
      </c>
      <c r="F104" s="10"/>
      <c r="H104" s="10"/>
      <c r="I104" s="10" t="s">
        <v>8997</v>
      </c>
      <c r="J104" s="10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10" t="s">
        <v>2004</v>
      </c>
      <c r="E105" s="10" t="s">
        <v>8</v>
      </c>
      <c r="F105" s="10"/>
      <c r="H105" s="10"/>
      <c r="I105" s="10" t="s">
        <v>9267</v>
      </c>
      <c r="J105" s="10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10" t="s">
        <v>2004</v>
      </c>
      <c r="E106" s="10" t="s">
        <v>8</v>
      </c>
      <c r="F106" s="10"/>
      <c r="H106" s="10"/>
      <c r="I106" s="10" t="s">
        <v>9387</v>
      </c>
      <c r="J106" s="10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10" t="s">
        <v>9399</v>
      </c>
      <c r="E107" s="10" t="s">
        <v>60</v>
      </c>
      <c r="F107" s="10"/>
      <c r="H107" s="10"/>
      <c r="I107" s="10" t="s">
        <v>9390</v>
      </c>
      <c r="J107" s="10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10" t="s">
        <v>1094</v>
      </c>
      <c r="E108" s="10" t="s">
        <v>4247</v>
      </c>
      <c r="F108" s="10" t="s">
        <v>60</v>
      </c>
      <c r="H108" s="10"/>
      <c r="I108" s="10" t="s">
        <v>9393</v>
      </c>
      <c r="J108" s="10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10" t="s">
        <v>4</v>
      </c>
      <c r="E109" s="10" t="s">
        <v>8</v>
      </c>
      <c r="F109" s="10"/>
      <c r="H109" s="10"/>
      <c r="I109" s="10" t="s">
        <v>9396</v>
      </c>
      <c r="J109" s="10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10" t="s">
        <v>2004</v>
      </c>
      <c r="E110" s="10" t="s">
        <v>8</v>
      </c>
      <c r="F110" s="10"/>
      <c r="H110" s="10"/>
      <c r="I110" s="10" t="s">
        <v>9612</v>
      </c>
      <c r="J110" s="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10" t="s">
        <v>2004</v>
      </c>
      <c r="E111" s="10" t="s">
        <v>8</v>
      </c>
      <c r="F111" s="10"/>
      <c r="H111" s="10"/>
      <c r="I111" s="10" t="s">
        <v>9615</v>
      </c>
      <c r="J111" s="10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10" t="s">
        <v>2004</v>
      </c>
      <c r="E112" s="10" t="s">
        <v>8</v>
      </c>
      <c r="F112" s="10"/>
      <c r="H112" s="10"/>
      <c r="I112" s="10" t="s">
        <v>9735</v>
      </c>
      <c r="J112" s="10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10" t="s">
        <v>2004</v>
      </c>
      <c r="E113" s="10" t="s">
        <v>8</v>
      </c>
      <c r="F113" s="10"/>
      <c r="H113" s="10"/>
      <c r="I113" s="10" t="s">
        <v>9738</v>
      </c>
      <c r="J113" s="10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10" t="s">
        <v>2004</v>
      </c>
      <c r="E114" s="10" t="s">
        <v>8</v>
      </c>
      <c r="F114" s="10"/>
      <c r="H114" s="10"/>
      <c r="I114" s="10" t="s">
        <v>9969</v>
      </c>
      <c r="J114" s="10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10" t="s">
        <v>4</v>
      </c>
      <c r="E115" s="10" t="s">
        <v>8</v>
      </c>
      <c r="F115" s="10"/>
      <c r="H115" s="10"/>
      <c r="I115" s="10" t="s">
        <v>9972</v>
      </c>
      <c r="J115" s="10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10" t="s">
        <v>4</v>
      </c>
      <c r="E116" s="10" t="s">
        <v>8</v>
      </c>
      <c r="F116" s="10"/>
      <c r="H116" s="10" t="s">
        <v>2936</v>
      </c>
      <c r="I116" s="10" t="s">
        <v>9975</v>
      </c>
      <c r="J116" s="10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10" t="s">
        <v>2004</v>
      </c>
      <c r="E117" s="10" t="s">
        <v>8</v>
      </c>
      <c r="F117" s="10"/>
      <c r="H117" s="10"/>
      <c r="I117" s="10" t="s">
        <v>10350</v>
      </c>
      <c r="J117" s="10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10" t="s">
        <v>2004</v>
      </c>
      <c r="E118" s="10" t="s">
        <v>8</v>
      </c>
      <c r="F118" s="10"/>
      <c r="H118" s="10"/>
      <c r="I118" s="10" t="s">
        <v>10506</v>
      </c>
      <c r="J118" s="10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10" t="s">
        <v>2004</v>
      </c>
      <c r="E119" s="10" t="s">
        <v>8</v>
      </c>
      <c r="F119" s="10"/>
      <c r="H119" s="10"/>
      <c r="I119" s="10" t="s">
        <v>10509</v>
      </c>
      <c r="J119" s="10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10" t="s">
        <v>2004</v>
      </c>
      <c r="E120" s="10" t="s">
        <v>8</v>
      </c>
      <c r="F120" s="10"/>
      <c r="H120" s="10"/>
      <c r="I120" s="10" t="s">
        <v>10552</v>
      </c>
      <c r="J120" s="1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10" t="s">
        <v>2004</v>
      </c>
      <c r="E121" s="10" t="s">
        <v>8</v>
      </c>
      <c r="F121" s="10"/>
      <c r="H121" s="10"/>
      <c r="I121" s="10" t="s">
        <v>10555</v>
      </c>
      <c r="J121" s="10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10" t="s">
        <v>2004</v>
      </c>
      <c r="E122" s="10" t="s">
        <v>8</v>
      </c>
      <c r="F122" s="10"/>
      <c r="H122" s="10"/>
      <c r="I122" s="10" t="s">
        <v>10782</v>
      </c>
      <c r="J122" s="10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10" t="s">
        <v>2004</v>
      </c>
      <c r="E123" s="10" t="s">
        <v>8</v>
      </c>
      <c r="F123" s="10"/>
      <c r="H123" s="10"/>
      <c r="I123" s="10" t="s">
        <v>10785</v>
      </c>
      <c r="J123" s="10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10" t="s">
        <v>2004</v>
      </c>
      <c r="E124" s="10" t="s">
        <v>8</v>
      </c>
      <c r="F124" s="10"/>
      <c r="H124" s="10"/>
      <c r="I124" s="10" t="s">
        <v>10920</v>
      </c>
      <c r="J124" s="10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10" t="s">
        <v>4</v>
      </c>
      <c r="E125" s="10" t="s">
        <v>8045</v>
      </c>
      <c r="F125" s="10"/>
      <c r="H125" s="10"/>
      <c r="I125" s="10" t="s">
        <v>11034</v>
      </c>
      <c r="J125" s="10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10" t="s">
        <v>2004</v>
      </c>
      <c r="E126" s="10" t="s">
        <v>8</v>
      </c>
      <c r="F126" s="10"/>
      <c r="H126" s="10"/>
      <c r="I126" s="10" t="s">
        <v>11037</v>
      </c>
      <c r="J126" s="10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10" t="s">
        <v>2004</v>
      </c>
      <c r="E127" s="10" t="s">
        <v>8</v>
      </c>
      <c r="F127" s="10"/>
      <c r="H127" s="10"/>
      <c r="I127" s="10" t="s">
        <v>11181</v>
      </c>
      <c r="J127" s="10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10" t="s">
        <v>4</v>
      </c>
      <c r="E128" s="10" t="s">
        <v>8045</v>
      </c>
      <c r="F128" s="10"/>
      <c r="H128" s="10"/>
      <c r="I128" s="10" t="s">
        <v>11184</v>
      </c>
      <c r="J128" s="10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10" t="s">
        <v>4</v>
      </c>
      <c r="E129" s="10" t="s">
        <v>8805</v>
      </c>
      <c r="F129" s="10"/>
      <c r="H129" s="10"/>
      <c r="I129" s="10" t="s">
        <v>11639</v>
      </c>
      <c r="J129" s="10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10" t="s">
        <v>2004</v>
      </c>
      <c r="E130" s="10" t="s">
        <v>8</v>
      </c>
      <c r="F130" s="10"/>
      <c r="H130" s="10"/>
      <c r="I130" s="10" t="s">
        <v>11613</v>
      </c>
      <c r="J130" s="1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10" t="s">
        <v>2004</v>
      </c>
      <c r="E131" s="10" t="s">
        <v>8</v>
      </c>
      <c r="F131" s="10"/>
      <c r="H131" s="10"/>
      <c r="I131" s="10" t="s">
        <v>11616</v>
      </c>
      <c r="J131" s="10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10" t="s">
        <v>2004</v>
      </c>
      <c r="E132" s="10" t="s">
        <v>8</v>
      </c>
      <c r="F132" s="10"/>
      <c r="H132" s="10"/>
      <c r="I132" s="10" t="s">
        <v>11691</v>
      </c>
      <c r="J132" s="10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10" t="s">
        <v>2004</v>
      </c>
      <c r="E133" s="10" t="s">
        <v>8</v>
      </c>
      <c r="F133" s="10"/>
      <c r="H133" s="10"/>
      <c r="I133" s="10" t="s">
        <v>11694</v>
      </c>
      <c r="J133" s="10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10" t="s">
        <v>2004</v>
      </c>
      <c r="E134" s="10" t="s">
        <v>8</v>
      </c>
      <c r="F134" s="10"/>
      <c r="H134" s="10"/>
      <c r="I134" s="10" t="s">
        <v>11933</v>
      </c>
      <c r="J134" s="10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10" t="s">
        <v>11960</v>
      </c>
      <c r="E135" s="10"/>
      <c r="F135" s="10"/>
      <c r="H135" s="10"/>
      <c r="I135" s="10" t="s">
        <v>11936</v>
      </c>
      <c r="J135" s="10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10" t="s">
        <v>11961</v>
      </c>
      <c r="E136" s="10"/>
      <c r="F136" s="10"/>
      <c r="H136" s="10"/>
      <c r="I136" s="10" t="s">
        <v>11939</v>
      </c>
      <c r="J136" s="10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10" t="s">
        <v>2004</v>
      </c>
      <c r="E137" s="10" t="s">
        <v>8</v>
      </c>
      <c r="F137" s="10"/>
      <c r="H137" s="10"/>
      <c r="I137" s="10" t="s">
        <v>11942</v>
      </c>
      <c r="J137" s="10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10" t="s">
        <v>4</v>
      </c>
      <c r="E138" s="10" t="s">
        <v>8045</v>
      </c>
      <c r="F138" s="10"/>
      <c r="H138" s="10"/>
      <c r="I138" s="10" t="s">
        <v>11945</v>
      </c>
      <c r="J138" s="10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10" t="s">
        <v>4</v>
      </c>
      <c r="E139" s="10" t="s">
        <v>8</v>
      </c>
      <c r="F139" s="10"/>
      <c r="H139" s="10"/>
      <c r="I139" s="10" t="s">
        <v>11948</v>
      </c>
      <c r="J139" s="10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10" t="s">
        <v>4</v>
      </c>
      <c r="E140" s="10" t="s">
        <v>8045</v>
      </c>
      <c r="F140" s="10"/>
      <c r="H140" s="10"/>
      <c r="I140" s="10" t="s">
        <v>11951</v>
      </c>
      <c r="J140" s="1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10" t="s">
        <v>4</v>
      </c>
      <c r="E141" s="10" t="s">
        <v>8045</v>
      </c>
      <c r="F141" s="10"/>
      <c r="H141" s="10"/>
      <c r="I141" s="10" t="s">
        <v>11954</v>
      </c>
      <c r="J141" s="10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10" t="s">
        <v>4</v>
      </c>
      <c r="E142" s="10" t="s">
        <v>8045</v>
      </c>
      <c r="F142" s="10"/>
      <c r="H142" s="10"/>
      <c r="I142" s="10" t="s">
        <v>12004</v>
      </c>
      <c r="J142" s="10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10" t="s">
        <v>4</v>
      </c>
      <c r="E143" s="10" t="s">
        <v>8</v>
      </c>
      <c r="F143" s="10"/>
      <c r="H143" s="10"/>
      <c r="I143" s="10" t="s">
        <v>12007</v>
      </c>
      <c r="J143" s="10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10" t="s">
        <v>4</v>
      </c>
      <c r="E144" s="10" t="s">
        <v>8045</v>
      </c>
      <c r="F144" s="10"/>
      <c r="H144" s="10"/>
      <c r="I144" s="10" t="s">
        <v>12010</v>
      </c>
      <c r="J144" s="10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10" t="s">
        <v>4</v>
      </c>
      <c r="E145" s="10" t="s">
        <v>8045</v>
      </c>
      <c r="F145" s="10"/>
      <c r="H145" s="10"/>
      <c r="I145" s="10" t="s">
        <v>12031</v>
      </c>
      <c r="J145" s="10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10" t="s">
        <v>4</v>
      </c>
      <c r="E146" s="10" t="s">
        <v>8</v>
      </c>
      <c r="F146" s="10"/>
      <c r="H146" s="10" t="s">
        <v>2936</v>
      </c>
      <c r="I146" s="10" t="s">
        <v>12034</v>
      </c>
      <c r="J146" s="10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  <row r="147" spans="1:13" x14ac:dyDescent="0.25">
      <c r="A147" s="2" t="s">
        <v>13</v>
      </c>
      <c r="B147" s="4">
        <v>46069</v>
      </c>
      <c r="C147" s="5">
        <v>0.37565972222222221</v>
      </c>
      <c r="D147" s="10" t="s">
        <v>12382</v>
      </c>
      <c r="E147" s="10"/>
      <c r="F147" s="10"/>
      <c r="H147" s="10"/>
      <c r="I147" s="10" t="s">
        <v>12333</v>
      </c>
      <c r="J147" s="10" t="s">
        <v>2983</v>
      </c>
      <c r="K147" t="s">
        <v>12334</v>
      </c>
      <c r="L147" t="s">
        <v>12335</v>
      </c>
      <c r="M147" s="3" t="str">
        <f>HYPERLINK(склад2въезд131920[[#This Row],[RelativePath]])</f>
        <v>6 Площадка 1 общага\826398429_1_20260216T090057Z.jpg</v>
      </c>
    </row>
    <row r="148" spans="1:13" x14ac:dyDescent="0.25">
      <c r="A148" s="2" t="s">
        <v>13</v>
      </c>
      <c r="B148" s="4">
        <v>46069</v>
      </c>
      <c r="C148" s="5">
        <v>0.39288194444444446</v>
      </c>
      <c r="D148" s="10" t="s">
        <v>12382</v>
      </c>
      <c r="E148" s="10"/>
      <c r="F148" s="10"/>
      <c r="H148" s="10"/>
      <c r="I148" s="10" t="s">
        <v>12336</v>
      </c>
      <c r="J148" s="10" t="s">
        <v>2983</v>
      </c>
      <c r="K148" t="s">
        <v>12337</v>
      </c>
      <c r="L148" t="s">
        <v>12338</v>
      </c>
      <c r="M148" s="3" t="str">
        <f>HYPERLINK(склад2въезд131920[[#This Row],[RelativePath]])</f>
        <v>6 Площадка 1 общага\826398429_1_20260216T092545Z.jpg</v>
      </c>
    </row>
    <row r="149" spans="1:13" x14ac:dyDescent="0.25">
      <c r="A149" s="2" t="s">
        <v>13</v>
      </c>
      <c r="B149" s="4">
        <v>46069</v>
      </c>
      <c r="C149" s="5">
        <v>0.41275462962962961</v>
      </c>
      <c r="D149" s="10" t="s">
        <v>12382</v>
      </c>
      <c r="E149" s="10"/>
      <c r="F149" s="10"/>
      <c r="H149" s="10"/>
      <c r="I149" s="10" t="s">
        <v>12339</v>
      </c>
      <c r="J149" s="10" t="s">
        <v>2983</v>
      </c>
      <c r="K149" t="s">
        <v>12340</v>
      </c>
      <c r="L149" t="s">
        <v>12341</v>
      </c>
      <c r="M149" s="3" t="str">
        <f>HYPERLINK(склад2въезд131920[[#This Row],[RelativePath]])</f>
        <v>6 Площадка 1 общага\826398429_1_20260216T095422Z.jpg</v>
      </c>
    </row>
    <row r="150" spans="1:13" x14ac:dyDescent="0.25">
      <c r="A150" s="2" t="s">
        <v>13</v>
      </c>
      <c r="B150" s="4">
        <v>46069</v>
      </c>
      <c r="C150" s="5">
        <v>0.45247685185185182</v>
      </c>
      <c r="D150" s="10" t="s">
        <v>12382</v>
      </c>
      <c r="E150" s="10"/>
      <c r="F150" s="10"/>
      <c r="H150" s="10"/>
      <c r="I150" s="10" t="s">
        <v>12342</v>
      </c>
      <c r="J150" s="10" t="s">
        <v>2983</v>
      </c>
      <c r="K150" t="s">
        <v>12343</v>
      </c>
      <c r="L150" t="s">
        <v>12344</v>
      </c>
      <c r="M150" s="3" t="str">
        <f>HYPERLINK(склад2въезд131920[[#This Row],[RelativePath]])</f>
        <v>6 Площадка 1 общага\826398429_1_20260216T105134Z.jpg</v>
      </c>
    </row>
    <row r="151" spans="1:13" x14ac:dyDescent="0.25">
      <c r="A151" s="2" t="s">
        <v>13</v>
      </c>
      <c r="B151" s="4">
        <v>46069</v>
      </c>
      <c r="C151" s="5">
        <v>0.52258101851851857</v>
      </c>
      <c r="D151" s="10" t="s">
        <v>12382</v>
      </c>
      <c r="E151" s="10"/>
      <c r="F151" s="10"/>
      <c r="H151" s="10"/>
      <c r="I151" s="10" t="s">
        <v>12345</v>
      </c>
      <c r="J151" s="10" t="s">
        <v>2983</v>
      </c>
      <c r="K151" t="s">
        <v>12346</v>
      </c>
      <c r="L151" t="s">
        <v>12347</v>
      </c>
      <c r="M151" s="3" t="str">
        <f>HYPERLINK(склад2въезд131920[[#This Row],[RelativePath]])</f>
        <v>6 Площадка 1 общага\826398429_1_20260216T123231Z.jpg</v>
      </c>
    </row>
    <row r="152" spans="1:13" x14ac:dyDescent="0.25">
      <c r="A152" s="2" t="s">
        <v>13</v>
      </c>
      <c r="B152" s="4">
        <v>46069</v>
      </c>
      <c r="C152" s="5">
        <v>0.60519675925925931</v>
      </c>
      <c r="D152" s="10" t="s">
        <v>12382</v>
      </c>
      <c r="E152" s="10"/>
      <c r="F152" s="10"/>
      <c r="H152" s="10"/>
      <c r="I152" s="10" t="s">
        <v>12348</v>
      </c>
      <c r="J152" s="10" t="s">
        <v>2983</v>
      </c>
      <c r="K152" t="s">
        <v>12349</v>
      </c>
      <c r="L152" t="s">
        <v>12350</v>
      </c>
      <c r="M152" s="3" t="str">
        <f>HYPERLINK(склад2въезд131920[[#This Row],[RelativePath]])</f>
        <v>6 Площадка 1 общага\826398429_1_20260216T143129Z.jpg</v>
      </c>
    </row>
    <row r="153" spans="1:13" x14ac:dyDescent="0.25">
      <c r="A153" s="2" t="s">
        <v>13</v>
      </c>
      <c r="B153" s="4">
        <v>46069</v>
      </c>
      <c r="C153" s="5">
        <v>0.73550925925925925</v>
      </c>
      <c r="D153" s="10" t="s">
        <v>4</v>
      </c>
      <c r="E153" s="10" t="s">
        <v>8</v>
      </c>
      <c r="F153" s="10"/>
      <c r="H153" s="10"/>
      <c r="I153" s="10" t="s">
        <v>12351</v>
      </c>
      <c r="J153" s="10" t="s">
        <v>2983</v>
      </c>
      <c r="K153" t="s">
        <v>12352</v>
      </c>
      <c r="L153" t="s">
        <v>12353</v>
      </c>
      <c r="M153" s="3" t="str">
        <f>HYPERLINK(склад2въезд131920[[#This Row],[RelativePath]])</f>
        <v>6 Площадка 1 общага\826398429_1_20260216T173908Z.jpg</v>
      </c>
    </row>
    <row r="154" spans="1:13" x14ac:dyDescent="0.25">
      <c r="A154" s="2" t="s">
        <v>14</v>
      </c>
      <c r="B154" s="4">
        <v>46070</v>
      </c>
      <c r="C154" s="5">
        <v>0.67186342592592596</v>
      </c>
      <c r="D154" s="10" t="s">
        <v>2004</v>
      </c>
      <c r="E154" s="10" t="s">
        <v>8</v>
      </c>
      <c r="F154" s="10"/>
      <c r="H154" s="10"/>
      <c r="I154" s="10" t="s">
        <v>12354</v>
      </c>
      <c r="J154" s="10" t="s">
        <v>2983</v>
      </c>
      <c r="K154" t="s">
        <v>12355</v>
      </c>
      <c r="L154" t="s">
        <v>12356</v>
      </c>
      <c r="M154" s="3" t="str">
        <f>HYPERLINK(склад2въезд131920[[#This Row],[RelativePath]])</f>
        <v>6 Площадка 1 общага\826398429_1_20260217T160729Z.jpg</v>
      </c>
    </row>
    <row r="155" spans="1:13" x14ac:dyDescent="0.25">
      <c r="A155" s="2" t="s">
        <v>15</v>
      </c>
      <c r="B155" s="4">
        <v>46071</v>
      </c>
      <c r="C155" s="5">
        <v>0.50901620370370371</v>
      </c>
      <c r="D155" s="10" t="s">
        <v>2004</v>
      </c>
      <c r="E155" s="10" t="s">
        <v>8</v>
      </c>
      <c r="F155" s="10"/>
      <c r="H155" s="10"/>
      <c r="I155" s="10" t="s">
        <v>12357</v>
      </c>
      <c r="J155" s="10" t="s">
        <v>2983</v>
      </c>
      <c r="K155" t="s">
        <v>12358</v>
      </c>
      <c r="L155" t="s">
        <v>12359</v>
      </c>
      <c r="M155" s="3" t="str">
        <f>HYPERLINK(склад2въезд131920[[#This Row],[RelativePath]])</f>
        <v>6 Площадка 1 общага\826398429_1_20260218T121259Z.jpg</v>
      </c>
    </row>
  </sheetData>
  <conditionalFormatting sqref="D156:D166 E156:E169 G2:H155 D2:E155">
    <cfRule type="containsText" dxfId="703" priority="14" operator="containsText" text="Выезд с территории">
      <formula>NOT(ISERROR(SEARCH("Выезд с территории",D2)))</formula>
    </cfRule>
  </conditionalFormatting>
  <conditionalFormatting sqref="F2:F155">
    <cfRule type="notContainsText" dxfId="702" priority="13" operator="notContains" text="порожний">
      <formula>ISERROR(SEARCH("порожний",F2))</formula>
    </cfRule>
  </conditionalFormatting>
  <conditionalFormatting sqref="E2:E169">
    <cfRule type="containsText" dxfId="701" priority="11" operator="containsText" text="Газель базы">
      <formula>NOT(ISERROR(SEARCH("Газель базы",E2)))</formula>
    </cfRule>
    <cfRule type="containsText" dxfId="700" priority="12" operator="containsText" text="Погрузчик базы">
      <formula>NOT(ISERROR(SEARCH("Погрузчик базы",E2)))</formula>
    </cfRule>
  </conditionalFormatting>
  <conditionalFormatting sqref="E2:E169">
    <cfRule type="containsText" dxfId="699" priority="10" operator="containsText" text="Трактор базы">
      <formula>NOT(ISERROR(SEARCH("Трактор базы",E2)))</formula>
    </cfRule>
  </conditionalFormatting>
  <conditionalFormatting sqref="A2:C155">
    <cfRule type="expression" dxfId="698" priority="9">
      <formula>$A2="пн"</formula>
    </cfRule>
  </conditionalFormatting>
  <conditionalFormatting sqref="A2:C157">
    <cfRule type="expression" dxfId="697" priority="3">
      <formula>$A2="вс"</formula>
    </cfRule>
    <cfRule type="expression" dxfId="696" priority="4">
      <formula>$A2="сб"</formula>
    </cfRule>
    <cfRule type="expression" dxfId="695" priority="5">
      <formula>$A2="пт"</formula>
    </cfRule>
    <cfRule type="expression" dxfId="694" priority="6">
      <formula>$A2="чт"</formula>
    </cfRule>
    <cfRule type="expression" dxfId="693" priority="7">
      <formula>$A2="ср"</formula>
    </cfRule>
    <cfRule type="expression" dxfId="692" priority="8">
      <formula>$A2="вт"</formula>
    </cfRule>
  </conditionalFormatting>
  <conditionalFormatting sqref="D2:D166">
    <cfRule type="containsText" dxfId="6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6">
    <cfRule type="containsText" dxfId="6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94"/>
  <sheetViews>
    <sheetView zoomScale="90" zoomScaleNormal="90" workbookViewId="0">
      <pane ySplit="1" topLeftCell="A278" activePane="bottomLeft" state="frozen"/>
      <selection pane="bottomLeft" activeCell="I284" sqref="I284:I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10" t="s">
        <v>4</v>
      </c>
      <c r="E2" s="10" t="s">
        <v>8</v>
      </c>
      <c r="F2" s="10"/>
      <c r="H2" s="10" t="s">
        <v>5</v>
      </c>
      <c r="I2" s="10" t="s">
        <v>535</v>
      </c>
      <c r="J2" s="10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10" t="s">
        <v>4</v>
      </c>
      <c r="E3" s="10" t="s">
        <v>11</v>
      </c>
      <c r="F3" s="10"/>
      <c r="H3" s="10"/>
      <c r="I3" s="10" t="s">
        <v>538</v>
      </c>
      <c r="J3" s="10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10" t="s">
        <v>4</v>
      </c>
      <c r="E4" s="10" t="s">
        <v>19</v>
      </c>
      <c r="F4" s="10"/>
      <c r="H4" s="10"/>
      <c r="I4" s="10" t="s">
        <v>541</v>
      </c>
      <c r="J4" s="10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10" t="s">
        <v>4</v>
      </c>
      <c r="E5" s="10" t="s">
        <v>19</v>
      </c>
      <c r="F5" s="10"/>
      <c r="H5" s="10"/>
      <c r="I5" s="10" t="s">
        <v>544</v>
      </c>
      <c r="J5" s="10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10" t="s">
        <v>4</v>
      </c>
      <c r="E6" s="10" t="s">
        <v>8</v>
      </c>
      <c r="F6" s="10"/>
      <c r="H6" s="10" t="s">
        <v>6</v>
      </c>
      <c r="I6" s="10" t="s">
        <v>547</v>
      </c>
      <c r="J6" s="10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10" t="s">
        <v>4</v>
      </c>
      <c r="E7" s="10" t="s">
        <v>8</v>
      </c>
      <c r="F7" s="10"/>
      <c r="H7" s="10" t="s">
        <v>5</v>
      </c>
      <c r="I7" s="10" t="s">
        <v>550</v>
      </c>
      <c r="J7" s="10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10" t="s">
        <v>4</v>
      </c>
      <c r="E8" s="10" t="s">
        <v>19</v>
      </c>
      <c r="F8" s="10"/>
      <c r="H8" s="10"/>
      <c r="I8" s="10" t="s">
        <v>553</v>
      </c>
      <c r="J8" s="10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10" t="s">
        <v>4</v>
      </c>
      <c r="E9" s="10" t="s">
        <v>19</v>
      </c>
      <c r="F9" s="10"/>
      <c r="H9" s="10"/>
      <c r="I9" s="10" t="s">
        <v>556</v>
      </c>
      <c r="J9" s="10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10" t="s">
        <v>648</v>
      </c>
      <c r="E10" s="10" t="s">
        <v>86</v>
      </c>
      <c r="F10" s="10" t="s">
        <v>528</v>
      </c>
      <c r="H10" s="10"/>
      <c r="I10" s="10" t="s">
        <v>559</v>
      </c>
      <c r="J10" s="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10" t="s">
        <v>4</v>
      </c>
      <c r="E11" s="10" t="s">
        <v>19</v>
      </c>
      <c r="F11" s="10"/>
      <c r="H11" s="10"/>
      <c r="I11" s="10" t="s">
        <v>562</v>
      </c>
      <c r="J11" s="10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10" t="s">
        <v>158</v>
      </c>
      <c r="E12" s="10" t="s">
        <v>86</v>
      </c>
      <c r="F12" s="10" t="s">
        <v>649</v>
      </c>
      <c r="H12" s="10"/>
      <c r="I12" s="10" t="s">
        <v>565</v>
      </c>
      <c r="J12" s="10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10" t="s">
        <v>290</v>
      </c>
      <c r="E13" s="10" t="s">
        <v>86</v>
      </c>
      <c r="F13" s="10" t="s">
        <v>649</v>
      </c>
      <c r="H13" s="10"/>
      <c r="I13" s="10" t="s">
        <v>568</v>
      </c>
      <c r="J13" s="10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10" t="s">
        <v>289</v>
      </c>
      <c r="E14" s="10" t="s">
        <v>86</v>
      </c>
      <c r="F14" s="10" t="s">
        <v>60</v>
      </c>
      <c r="G14">
        <v>2</v>
      </c>
      <c r="H14" s="10"/>
      <c r="I14" s="10" t="s">
        <v>571</v>
      </c>
      <c r="J14" s="10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10" t="s">
        <v>650</v>
      </c>
      <c r="E15" s="10" t="s">
        <v>86</v>
      </c>
      <c r="F15" s="10" t="s">
        <v>60</v>
      </c>
      <c r="H15" s="10"/>
      <c r="I15" s="10" t="s">
        <v>574</v>
      </c>
      <c r="J15" s="10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10" t="s">
        <v>4</v>
      </c>
      <c r="E16" s="10" t="s">
        <v>12</v>
      </c>
      <c r="F16" s="10"/>
      <c r="H16" s="10"/>
      <c r="I16" s="10" t="s">
        <v>577</v>
      </c>
      <c r="J16" s="10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10" t="s">
        <v>4</v>
      </c>
      <c r="E17" s="10" t="s">
        <v>651</v>
      </c>
      <c r="F17" s="10"/>
      <c r="H17" s="10"/>
      <c r="I17" s="10" t="s">
        <v>580</v>
      </c>
      <c r="J17" s="10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10" t="s">
        <v>4</v>
      </c>
      <c r="E18" s="10" t="s">
        <v>8</v>
      </c>
      <c r="F18" s="10"/>
      <c r="H18" s="10" t="s">
        <v>6</v>
      </c>
      <c r="I18" s="10" t="s">
        <v>583</v>
      </c>
      <c r="J18" s="10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10" t="s">
        <v>4</v>
      </c>
      <c r="E19" s="10" t="s">
        <v>652</v>
      </c>
      <c r="F19" s="10"/>
      <c r="H19" s="10"/>
      <c r="I19" s="10" t="s">
        <v>586</v>
      </c>
      <c r="J19" s="10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10" t="s">
        <v>4</v>
      </c>
      <c r="E20" s="10" t="s">
        <v>652</v>
      </c>
      <c r="F20" s="10"/>
      <c r="H20" s="10"/>
      <c r="I20" s="10" t="s">
        <v>589</v>
      </c>
      <c r="J20" s="1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10" t="s">
        <v>4</v>
      </c>
      <c r="E21" s="10" t="s">
        <v>7</v>
      </c>
      <c r="F21" s="10"/>
      <c r="H21" s="10"/>
      <c r="I21" s="10" t="s">
        <v>592</v>
      </c>
      <c r="J21" s="10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10" t="s">
        <v>4</v>
      </c>
      <c r="E22" s="10" t="s">
        <v>652</v>
      </c>
      <c r="F22" s="10"/>
      <c r="H22" s="10"/>
      <c r="I22" s="10" t="s">
        <v>595</v>
      </c>
      <c r="J22" s="10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10" t="s">
        <v>4</v>
      </c>
      <c r="E23" s="10" t="s">
        <v>8</v>
      </c>
      <c r="F23" s="10"/>
      <c r="H23" s="10" t="s">
        <v>5</v>
      </c>
      <c r="I23" s="10" t="s">
        <v>598</v>
      </c>
      <c r="J23" s="10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10" t="s">
        <v>4</v>
      </c>
      <c r="E24" s="10" t="s">
        <v>652</v>
      </c>
      <c r="F24" s="10"/>
      <c r="H24" s="10"/>
      <c r="I24" s="10" t="s">
        <v>601</v>
      </c>
      <c r="J24" s="10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10" t="s">
        <v>4</v>
      </c>
      <c r="E25" s="10" t="s">
        <v>7</v>
      </c>
      <c r="F25" s="10"/>
      <c r="H25" s="10"/>
      <c r="I25" s="10" t="s">
        <v>603</v>
      </c>
      <c r="J25" s="10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10" t="s">
        <v>4</v>
      </c>
      <c r="E26" s="10" t="s">
        <v>7</v>
      </c>
      <c r="F26" s="10"/>
      <c r="H26" s="10"/>
      <c r="I26" s="10" t="s">
        <v>606</v>
      </c>
      <c r="J26" s="10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10" t="s">
        <v>4</v>
      </c>
      <c r="E27" s="10" t="s">
        <v>652</v>
      </c>
      <c r="F27" s="10"/>
      <c r="H27" s="10"/>
      <c r="I27" s="10" t="s">
        <v>609</v>
      </c>
      <c r="J27" s="10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10" t="s">
        <v>4</v>
      </c>
      <c r="E28" s="10" t="s">
        <v>652</v>
      </c>
      <c r="F28" s="10"/>
      <c r="H28" s="10"/>
      <c r="I28" s="10" t="s">
        <v>612</v>
      </c>
      <c r="J28" s="10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10" t="s">
        <v>4</v>
      </c>
      <c r="E29" s="10" t="s">
        <v>8</v>
      </c>
      <c r="F29" s="10"/>
      <c r="H29" s="10" t="s">
        <v>6</v>
      </c>
      <c r="I29" s="10" t="s">
        <v>615</v>
      </c>
      <c r="J29" s="10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10" t="s">
        <v>4</v>
      </c>
      <c r="E30" s="10" t="s">
        <v>12</v>
      </c>
      <c r="F30" s="10"/>
      <c r="H30" s="10"/>
      <c r="I30" s="10" t="s">
        <v>618</v>
      </c>
      <c r="J30" s="1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10" t="s">
        <v>4</v>
      </c>
      <c r="E31" s="10" t="s">
        <v>11</v>
      </c>
      <c r="F31" s="10"/>
      <c r="H31" s="10"/>
      <c r="I31" s="10" t="s">
        <v>621</v>
      </c>
      <c r="J31" s="10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10" t="s">
        <v>4</v>
      </c>
      <c r="E32" s="10" t="s">
        <v>11</v>
      </c>
      <c r="F32" s="10"/>
      <c r="H32" s="10"/>
      <c r="I32" s="10" t="s">
        <v>624</v>
      </c>
      <c r="J32" s="10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10" t="s">
        <v>289</v>
      </c>
      <c r="E33" s="10" t="s">
        <v>86</v>
      </c>
      <c r="F33" s="10" t="s">
        <v>60</v>
      </c>
      <c r="G33">
        <v>1</v>
      </c>
      <c r="H33" s="10"/>
      <c r="I33" s="10" t="s">
        <v>627</v>
      </c>
      <c r="J33" s="10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10" t="s">
        <v>653</v>
      </c>
      <c r="E34" s="10" t="s">
        <v>86</v>
      </c>
      <c r="F34" s="10" t="s">
        <v>200</v>
      </c>
      <c r="H34" s="10"/>
      <c r="I34" s="10" t="s">
        <v>630</v>
      </c>
      <c r="J34" s="10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10" t="s">
        <v>650</v>
      </c>
      <c r="E35" s="10" t="s">
        <v>86</v>
      </c>
      <c r="F35" s="10" t="s">
        <v>200</v>
      </c>
      <c r="H35" s="10"/>
      <c r="I35" s="10" t="s">
        <v>633</v>
      </c>
      <c r="J35" s="10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10" t="s">
        <v>289</v>
      </c>
      <c r="E36" s="10" t="s">
        <v>86</v>
      </c>
      <c r="F36" s="10" t="s">
        <v>200</v>
      </c>
      <c r="H36" s="10"/>
      <c r="I36" s="10" t="s">
        <v>636</v>
      </c>
      <c r="J36" s="10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10" t="s">
        <v>650</v>
      </c>
      <c r="E37" s="10" t="s">
        <v>86</v>
      </c>
      <c r="F37" s="10" t="s">
        <v>200</v>
      </c>
      <c r="H37" s="10"/>
      <c r="I37" s="10" t="s">
        <v>639</v>
      </c>
      <c r="J37" s="10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10" t="s">
        <v>4</v>
      </c>
      <c r="E38" s="10" t="s">
        <v>11</v>
      </c>
      <c r="F38" s="10"/>
      <c r="H38" s="10"/>
      <c r="I38" s="10" t="s">
        <v>642</v>
      </c>
      <c r="J38" s="10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10" t="s">
        <v>4</v>
      </c>
      <c r="E39" s="10" t="s">
        <v>8</v>
      </c>
      <c r="F39" s="10"/>
      <c r="H39" s="10" t="s">
        <v>6</v>
      </c>
      <c r="I39" s="10" t="s">
        <v>645</v>
      </c>
      <c r="J39" s="10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10" t="s">
        <v>4</v>
      </c>
      <c r="E40" s="10" t="s">
        <v>8</v>
      </c>
      <c r="F40" s="10"/>
      <c r="H40" s="10"/>
      <c r="I40" s="10" t="s">
        <v>1115</v>
      </c>
      <c r="J40" s="1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10" t="s">
        <v>4</v>
      </c>
      <c r="E41" s="10" t="s">
        <v>8</v>
      </c>
      <c r="F41" s="10"/>
      <c r="H41" s="10" t="s">
        <v>2004</v>
      </c>
      <c r="I41" s="10" t="s">
        <v>1118</v>
      </c>
      <c r="J41" s="10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10" t="s">
        <v>4</v>
      </c>
      <c r="E42" s="10" t="s">
        <v>8</v>
      </c>
      <c r="F42" s="10"/>
      <c r="H42" s="10"/>
      <c r="I42" s="10" t="s">
        <v>1121</v>
      </c>
      <c r="J42" s="10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10" t="s">
        <v>4</v>
      </c>
      <c r="E43" s="10" t="s">
        <v>8</v>
      </c>
      <c r="F43" s="10"/>
      <c r="H43" s="10" t="s">
        <v>2004</v>
      </c>
      <c r="I43" s="10" t="s">
        <v>1124</v>
      </c>
      <c r="J43" s="10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10" t="s">
        <v>4</v>
      </c>
      <c r="E44" s="10" t="s">
        <v>8</v>
      </c>
      <c r="F44" s="10"/>
      <c r="H44" s="10"/>
      <c r="I44" s="10" t="s">
        <v>1127</v>
      </c>
      <c r="J44" s="10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10" t="s">
        <v>11</v>
      </c>
      <c r="E45" s="10"/>
      <c r="F45" s="10"/>
      <c r="H45" s="10"/>
      <c r="I45" s="10" t="s">
        <v>2154</v>
      </c>
      <c r="J45" s="10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10" t="s">
        <v>11</v>
      </c>
      <c r="E46" s="10"/>
      <c r="F46" s="10"/>
      <c r="H46" s="10"/>
      <c r="I46" s="10" t="s">
        <v>2157</v>
      </c>
      <c r="J46" s="10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10" t="s">
        <v>11</v>
      </c>
      <c r="E47" s="10"/>
      <c r="F47" s="10"/>
      <c r="H47" s="10"/>
      <c r="I47" s="10" t="s">
        <v>2160</v>
      </c>
      <c r="J47" s="10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10" t="s">
        <v>11</v>
      </c>
      <c r="E48" s="10"/>
      <c r="F48" s="10"/>
      <c r="H48" s="10"/>
      <c r="I48" s="10" t="s">
        <v>2163</v>
      </c>
      <c r="J48" s="10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10" t="s">
        <v>11</v>
      </c>
      <c r="E49" s="10"/>
      <c r="F49" s="10"/>
      <c r="H49" s="10"/>
      <c r="I49" s="10" t="s">
        <v>2166</v>
      </c>
      <c r="J49" s="10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10" t="s">
        <v>11</v>
      </c>
      <c r="E50" s="10"/>
      <c r="F50" s="10"/>
      <c r="H50" s="10"/>
      <c r="I50" s="10" t="s">
        <v>2169</v>
      </c>
      <c r="J50" s="1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10" t="s">
        <v>11</v>
      </c>
      <c r="E51" s="10"/>
      <c r="F51" s="10"/>
      <c r="H51" s="10"/>
      <c r="I51" s="10" t="s">
        <v>2172</v>
      </c>
      <c r="J51" s="10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10" t="s">
        <v>11</v>
      </c>
      <c r="E52" s="10"/>
      <c r="F52" s="10"/>
      <c r="H52" s="10"/>
      <c r="I52" s="10" t="s">
        <v>2175</v>
      </c>
      <c r="J52" s="10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10" t="s">
        <v>11</v>
      </c>
      <c r="E53" s="10"/>
      <c r="F53" s="10"/>
      <c r="H53" s="10"/>
      <c r="I53" s="10" t="s">
        <v>2178</v>
      </c>
      <c r="J53" s="10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10" t="s">
        <v>4</v>
      </c>
      <c r="E54" s="10" t="s">
        <v>8</v>
      </c>
      <c r="F54" s="10"/>
      <c r="H54" s="10" t="s">
        <v>1625</v>
      </c>
      <c r="I54" s="10" t="s">
        <v>2181</v>
      </c>
      <c r="J54" s="10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10" t="s">
        <v>11</v>
      </c>
      <c r="E55" s="10"/>
      <c r="F55" s="10"/>
      <c r="H55" s="10"/>
      <c r="I55" s="10" t="s">
        <v>2184</v>
      </c>
      <c r="J55" s="10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10" t="s">
        <v>11</v>
      </c>
      <c r="E56" s="10"/>
      <c r="F56" s="10"/>
      <c r="H56" s="10"/>
      <c r="I56" s="10" t="s">
        <v>2187</v>
      </c>
      <c r="J56" s="10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10" t="s">
        <v>11</v>
      </c>
      <c r="E57" s="10"/>
      <c r="F57" s="10"/>
      <c r="H57" s="10"/>
      <c r="I57" s="10" t="s">
        <v>2190</v>
      </c>
      <c r="J57" s="10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10" t="s">
        <v>11</v>
      </c>
      <c r="E58" s="10"/>
      <c r="F58" s="10"/>
      <c r="H58" s="10"/>
      <c r="I58" s="10" t="s">
        <v>2193</v>
      </c>
      <c r="J58" s="10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10" t="s">
        <v>11</v>
      </c>
      <c r="E59" s="10"/>
      <c r="F59" s="10"/>
      <c r="H59" s="10"/>
      <c r="I59" s="10" t="s">
        <v>2196</v>
      </c>
      <c r="J59" s="10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10" t="s">
        <v>11</v>
      </c>
      <c r="E60" s="10"/>
      <c r="F60" s="10"/>
      <c r="H60" s="10"/>
      <c r="I60" s="10" t="s">
        <v>2199</v>
      </c>
      <c r="J60" s="1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10" t="s">
        <v>11</v>
      </c>
      <c r="E61" s="10"/>
      <c r="F61" s="10"/>
      <c r="H61" s="10"/>
      <c r="I61" s="10" t="s">
        <v>2202</v>
      </c>
      <c r="J61" s="10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10" t="s">
        <v>11</v>
      </c>
      <c r="E62" s="10"/>
      <c r="F62" s="10"/>
      <c r="H62" s="10"/>
      <c r="I62" s="10" t="s">
        <v>2205</v>
      </c>
      <c r="J62" s="10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10" t="s">
        <v>11</v>
      </c>
      <c r="E63" s="10"/>
      <c r="F63" s="10"/>
      <c r="H63" s="10"/>
      <c r="I63" s="10" t="s">
        <v>2208</v>
      </c>
      <c r="J63" s="10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10" t="s">
        <v>11</v>
      </c>
      <c r="E64" s="10"/>
      <c r="F64" s="10"/>
      <c r="H64" s="10"/>
      <c r="I64" s="10" t="s">
        <v>2211</v>
      </c>
      <c r="J64" s="10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10" t="s">
        <v>11</v>
      </c>
      <c r="E65" s="10"/>
      <c r="F65" s="10"/>
      <c r="H65" s="10"/>
      <c r="I65" s="10" t="s">
        <v>2214</v>
      </c>
      <c r="J65" s="10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10" t="s">
        <v>11</v>
      </c>
      <c r="E66" s="10"/>
      <c r="F66" s="10"/>
      <c r="H66" s="10"/>
      <c r="I66" s="10" t="s">
        <v>2217</v>
      </c>
      <c r="J66" s="10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10" t="s">
        <v>11</v>
      </c>
      <c r="E67" s="10"/>
      <c r="F67" s="10"/>
      <c r="H67" s="10"/>
      <c r="I67" s="10" t="s">
        <v>2220</v>
      </c>
      <c r="J67" s="10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10" t="s">
        <v>4</v>
      </c>
      <c r="E68" s="10" t="s">
        <v>8</v>
      </c>
      <c r="F68" s="10"/>
      <c r="H68" s="10" t="s">
        <v>1625</v>
      </c>
      <c r="I68" s="10" t="s">
        <v>2223</v>
      </c>
      <c r="J68" s="10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10" t="s">
        <v>2004</v>
      </c>
      <c r="E69" s="10"/>
      <c r="F69" s="10"/>
      <c r="H69" s="10"/>
      <c r="I69" s="10" t="s">
        <v>2226</v>
      </c>
      <c r="J69" s="10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10" t="s">
        <v>2004</v>
      </c>
      <c r="E70" s="10"/>
      <c r="F70" s="10"/>
      <c r="H70" s="10"/>
      <c r="I70" s="10" t="s">
        <v>2229</v>
      </c>
      <c r="J70" s="1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10" t="s">
        <v>4</v>
      </c>
      <c r="E71" s="10" t="s">
        <v>8</v>
      </c>
      <c r="F71" s="10"/>
      <c r="H71" s="10"/>
      <c r="I71" s="10" t="s">
        <v>3468</v>
      </c>
      <c r="J71" s="10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10" t="s">
        <v>4</v>
      </c>
      <c r="E72" s="10" t="s">
        <v>8</v>
      </c>
      <c r="F72" s="10"/>
      <c r="H72" s="10"/>
      <c r="I72" s="10" t="s">
        <v>3471</v>
      </c>
      <c r="J72" s="10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10" t="s">
        <v>4</v>
      </c>
      <c r="E73" s="10" t="s">
        <v>8</v>
      </c>
      <c r="F73" s="10"/>
      <c r="H73" s="10"/>
      <c r="I73" s="10" t="s">
        <v>3474</v>
      </c>
      <c r="J73" s="10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10" t="s">
        <v>4212</v>
      </c>
      <c r="E74" s="10"/>
      <c r="F74" s="10"/>
      <c r="H74" s="10"/>
      <c r="I74" s="10" t="s">
        <v>4213</v>
      </c>
      <c r="J74" s="10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10" t="s">
        <v>4</v>
      </c>
      <c r="E75" s="10" t="s">
        <v>8</v>
      </c>
      <c r="F75" s="10"/>
      <c r="H75" s="10"/>
      <c r="I75" s="10" t="s">
        <v>3477</v>
      </c>
      <c r="J75" s="10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10" t="s">
        <v>4209</v>
      </c>
      <c r="E76" s="10" t="s">
        <v>4210</v>
      </c>
      <c r="F76" s="10"/>
      <c r="H76" s="10"/>
      <c r="I76" s="10" t="s">
        <v>3480</v>
      </c>
      <c r="J76" s="10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10" t="s">
        <v>4209</v>
      </c>
      <c r="E77" s="10" t="s">
        <v>4210</v>
      </c>
      <c r="F77" s="10"/>
      <c r="H77" s="10" t="s">
        <v>2936</v>
      </c>
      <c r="I77" s="10" t="s">
        <v>3483</v>
      </c>
      <c r="J77" s="10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10" t="s">
        <v>4209</v>
      </c>
      <c r="E78" s="10" t="s">
        <v>4210</v>
      </c>
      <c r="F78" s="10"/>
      <c r="H78" s="10" t="s">
        <v>2936</v>
      </c>
      <c r="I78" s="10" t="s">
        <v>3486</v>
      </c>
      <c r="J78" s="10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10" t="s">
        <v>4209</v>
      </c>
      <c r="E79" s="10" t="s">
        <v>4210</v>
      </c>
      <c r="F79" s="10"/>
      <c r="H79" s="10" t="s">
        <v>2936</v>
      </c>
      <c r="I79" s="10" t="s">
        <v>3489</v>
      </c>
      <c r="J79" s="10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10" t="s">
        <v>4209</v>
      </c>
      <c r="E80" s="10" t="s">
        <v>4210</v>
      </c>
      <c r="F80" s="10"/>
      <c r="H80" s="10" t="s">
        <v>2936</v>
      </c>
      <c r="I80" s="10" t="s">
        <v>3492</v>
      </c>
      <c r="J80" s="1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10" t="s">
        <v>4209</v>
      </c>
      <c r="E81" s="10" t="s">
        <v>4210</v>
      </c>
      <c r="F81" s="10"/>
      <c r="H81" s="10" t="s">
        <v>2936</v>
      </c>
      <c r="I81" s="10" t="s">
        <v>3495</v>
      </c>
      <c r="J81" s="10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10" t="s">
        <v>4209</v>
      </c>
      <c r="E82" s="10" t="s">
        <v>4210</v>
      </c>
      <c r="F82" s="10"/>
      <c r="H82" s="10" t="s">
        <v>2936</v>
      </c>
      <c r="I82" s="10" t="s">
        <v>3498</v>
      </c>
      <c r="J82" s="10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10" t="s">
        <v>4209</v>
      </c>
      <c r="E83" s="10" t="s">
        <v>4210</v>
      </c>
      <c r="F83" s="10"/>
      <c r="H83" s="10" t="s">
        <v>2936</v>
      </c>
      <c r="I83" s="10" t="s">
        <v>3501</v>
      </c>
      <c r="J83" s="10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10" t="s">
        <v>4209</v>
      </c>
      <c r="E84" s="10" t="s">
        <v>4210</v>
      </c>
      <c r="F84" s="10"/>
      <c r="H84" s="10" t="s">
        <v>2936</v>
      </c>
      <c r="I84" s="10" t="s">
        <v>3504</v>
      </c>
      <c r="J84" s="10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10" t="s">
        <v>4209</v>
      </c>
      <c r="E85" s="10" t="s">
        <v>4210</v>
      </c>
      <c r="F85" s="10"/>
      <c r="H85" s="10" t="s">
        <v>2936</v>
      </c>
      <c r="I85" s="10" t="s">
        <v>3507</v>
      </c>
      <c r="J85" s="10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10" t="s">
        <v>4209</v>
      </c>
      <c r="E86" s="10" t="s">
        <v>4210</v>
      </c>
      <c r="F86" s="10"/>
      <c r="H86" s="10" t="s">
        <v>2936</v>
      </c>
      <c r="I86" s="10" t="s">
        <v>3510</v>
      </c>
      <c r="J86" s="10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10" t="s">
        <v>4209</v>
      </c>
      <c r="E87" s="10" t="s">
        <v>4210</v>
      </c>
      <c r="F87" s="10"/>
      <c r="H87" s="10" t="s">
        <v>2936</v>
      </c>
      <c r="I87" s="10" t="s">
        <v>3513</v>
      </c>
      <c r="J87" s="10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10" t="s">
        <v>4209</v>
      </c>
      <c r="E88" s="10" t="s">
        <v>4210</v>
      </c>
      <c r="F88" s="10"/>
      <c r="H88" s="10" t="s">
        <v>2936</v>
      </c>
      <c r="I88" s="10" t="s">
        <v>3516</v>
      </c>
      <c r="J88" s="10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10" t="s">
        <v>4209</v>
      </c>
      <c r="E89" s="10" t="s">
        <v>4210</v>
      </c>
      <c r="F89" s="10"/>
      <c r="H89" s="10" t="s">
        <v>2936</v>
      </c>
      <c r="I89" s="10" t="s">
        <v>3519</v>
      </c>
      <c r="J89" s="10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10" t="s">
        <v>4209</v>
      </c>
      <c r="E90" s="10" t="s">
        <v>4210</v>
      </c>
      <c r="F90" s="10"/>
      <c r="H90" s="10" t="s">
        <v>2936</v>
      </c>
      <c r="I90" s="10" t="s">
        <v>3522</v>
      </c>
      <c r="J90" s="1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10" t="s">
        <v>4209</v>
      </c>
      <c r="E91" s="10" t="s">
        <v>4210</v>
      </c>
      <c r="F91" s="10"/>
      <c r="H91" s="10" t="s">
        <v>2936</v>
      </c>
      <c r="I91" s="10" t="s">
        <v>3525</v>
      </c>
      <c r="J91" s="10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10" t="s">
        <v>4209</v>
      </c>
      <c r="E92" s="10" t="s">
        <v>4210</v>
      </c>
      <c r="F92" s="10"/>
      <c r="H92" s="10" t="s">
        <v>2936</v>
      </c>
      <c r="I92" s="10" t="s">
        <v>3528</v>
      </c>
      <c r="J92" s="10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10" t="s">
        <v>4209</v>
      </c>
      <c r="E93" s="10" t="s">
        <v>4210</v>
      </c>
      <c r="F93" s="10"/>
      <c r="H93" s="10" t="s">
        <v>2936</v>
      </c>
      <c r="I93" s="10" t="s">
        <v>3531</v>
      </c>
      <c r="J93" s="10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10" t="s">
        <v>4209</v>
      </c>
      <c r="E94" s="10" t="s">
        <v>4210</v>
      </c>
      <c r="F94" s="10"/>
      <c r="H94" s="10" t="s">
        <v>2936</v>
      </c>
      <c r="I94" s="10" t="s">
        <v>3534</v>
      </c>
      <c r="J94" s="10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10" t="s">
        <v>4209</v>
      </c>
      <c r="E95" s="10" t="s">
        <v>4210</v>
      </c>
      <c r="F95" s="10"/>
      <c r="H95" s="10" t="s">
        <v>2936</v>
      </c>
      <c r="I95" s="10" t="s">
        <v>3537</v>
      </c>
      <c r="J95" s="10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10" t="s">
        <v>4216</v>
      </c>
      <c r="E96" s="10" t="s">
        <v>4211</v>
      </c>
      <c r="F96" s="10"/>
      <c r="H96" s="10"/>
      <c r="I96" s="10" t="s">
        <v>3540</v>
      </c>
      <c r="J96" s="10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10" t="s">
        <v>4216</v>
      </c>
      <c r="E97" s="10" t="s">
        <v>4211</v>
      </c>
      <c r="F97" s="10"/>
      <c r="H97" s="10" t="s">
        <v>2936</v>
      </c>
      <c r="I97" s="10" t="s">
        <v>3543</v>
      </c>
      <c r="J97" s="10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10" t="s">
        <v>4216</v>
      </c>
      <c r="E98" s="10" t="s">
        <v>4211</v>
      </c>
      <c r="F98" s="10"/>
      <c r="H98" s="10" t="s">
        <v>2936</v>
      </c>
      <c r="I98" s="10" t="s">
        <v>3546</v>
      </c>
      <c r="J98" s="10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10" t="s">
        <v>4216</v>
      </c>
      <c r="E99" s="10" t="s">
        <v>4211</v>
      </c>
      <c r="F99" s="10"/>
      <c r="H99" s="10" t="s">
        <v>2936</v>
      </c>
      <c r="I99" s="10" t="s">
        <v>3549</v>
      </c>
      <c r="J99" s="10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10" t="s">
        <v>4216</v>
      </c>
      <c r="E100" s="10" t="s">
        <v>4211</v>
      </c>
      <c r="F100" s="10"/>
      <c r="H100" s="10" t="s">
        <v>2936</v>
      </c>
      <c r="I100" s="10" t="s">
        <v>3552</v>
      </c>
      <c r="J100" s="1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10" t="s">
        <v>4216</v>
      </c>
      <c r="E101" s="10" t="s">
        <v>4211</v>
      </c>
      <c r="F101" s="10"/>
      <c r="H101" s="10" t="s">
        <v>2936</v>
      </c>
      <c r="I101" s="10" t="s">
        <v>3555</v>
      </c>
      <c r="J101" s="10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10" t="s">
        <v>4</v>
      </c>
      <c r="E102" s="10" t="s">
        <v>8</v>
      </c>
      <c r="F102" s="10"/>
      <c r="H102" s="10"/>
      <c r="I102" s="10" t="s">
        <v>3558</v>
      </c>
      <c r="J102" s="10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10" t="s">
        <v>1606</v>
      </c>
      <c r="E103" s="10" t="s">
        <v>4194</v>
      </c>
      <c r="F103" s="10"/>
      <c r="H103" s="10"/>
      <c r="I103" s="10" t="s">
        <v>3561</v>
      </c>
      <c r="J103" s="10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10" t="s">
        <v>1606</v>
      </c>
      <c r="E104" s="10" t="s">
        <v>4217</v>
      </c>
      <c r="F104" s="10"/>
      <c r="H104" s="10"/>
      <c r="I104" s="10" t="s">
        <v>3564</v>
      </c>
      <c r="J104" s="10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10" t="s">
        <v>289</v>
      </c>
      <c r="E105" s="10" t="s">
        <v>4217</v>
      </c>
      <c r="F105" s="10" t="s">
        <v>4211</v>
      </c>
      <c r="H105" s="10"/>
      <c r="I105" s="10" t="s">
        <v>3567</v>
      </c>
      <c r="J105" s="10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10" t="s">
        <v>289</v>
      </c>
      <c r="E106" s="10" t="s">
        <v>4217</v>
      </c>
      <c r="F106" s="10" t="s">
        <v>4211</v>
      </c>
      <c r="H106" s="10" t="s">
        <v>2936</v>
      </c>
      <c r="I106" s="10" t="s">
        <v>3570</v>
      </c>
      <c r="J106" s="10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10" t="s">
        <v>289</v>
      </c>
      <c r="E107" s="10" t="s">
        <v>4217</v>
      </c>
      <c r="F107" s="10" t="s">
        <v>4211</v>
      </c>
      <c r="H107" s="10" t="s">
        <v>2936</v>
      </c>
      <c r="I107" s="10" t="s">
        <v>3573</v>
      </c>
      <c r="J107" s="10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10" t="s">
        <v>289</v>
      </c>
      <c r="E108" s="10" t="s">
        <v>4217</v>
      </c>
      <c r="F108" s="10" t="s">
        <v>4211</v>
      </c>
      <c r="H108" s="10" t="s">
        <v>2936</v>
      </c>
      <c r="I108" s="10" t="s">
        <v>3576</v>
      </c>
      <c r="J108" s="10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10" t="s">
        <v>289</v>
      </c>
      <c r="E109" s="10" t="s">
        <v>4217</v>
      </c>
      <c r="F109" s="10" t="s">
        <v>4211</v>
      </c>
      <c r="H109" s="10" t="s">
        <v>2936</v>
      </c>
      <c r="I109" s="10" t="s">
        <v>3579</v>
      </c>
      <c r="J109" s="10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10" t="s">
        <v>289</v>
      </c>
      <c r="E110" s="10" t="s">
        <v>4217</v>
      </c>
      <c r="F110" s="10" t="s">
        <v>4211</v>
      </c>
      <c r="H110" s="10" t="s">
        <v>2936</v>
      </c>
      <c r="I110" s="10" t="s">
        <v>3582</v>
      </c>
      <c r="J110" s="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10" t="s">
        <v>289</v>
      </c>
      <c r="E111" s="10" t="s">
        <v>4217</v>
      </c>
      <c r="F111" s="10" t="s">
        <v>4211</v>
      </c>
      <c r="H111" s="10" t="s">
        <v>2936</v>
      </c>
      <c r="I111" s="10" t="s">
        <v>3585</v>
      </c>
      <c r="J111" s="10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10" t="s">
        <v>289</v>
      </c>
      <c r="E112" s="10" t="s">
        <v>4217</v>
      </c>
      <c r="F112" s="10" t="s">
        <v>4211</v>
      </c>
      <c r="H112" s="10" t="s">
        <v>2936</v>
      </c>
      <c r="I112" s="10" t="s">
        <v>3588</v>
      </c>
      <c r="J112" s="10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10" t="s">
        <v>289</v>
      </c>
      <c r="E113" s="10" t="s">
        <v>4217</v>
      </c>
      <c r="F113" s="10" t="s">
        <v>4211</v>
      </c>
      <c r="H113" s="10" t="s">
        <v>2936</v>
      </c>
      <c r="I113" s="10" t="s">
        <v>3591</v>
      </c>
      <c r="J113" s="10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10" t="s">
        <v>289</v>
      </c>
      <c r="E114" s="10" t="s">
        <v>4217</v>
      </c>
      <c r="F114" s="10" t="s">
        <v>4211</v>
      </c>
      <c r="H114" s="10" t="s">
        <v>2936</v>
      </c>
      <c r="I114" s="10" t="s">
        <v>3594</v>
      </c>
      <c r="J114" s="10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10" t="s">
        <v>289</v>
      </c>
      <c r="E115" s="10" t="s">
        <v>4217</v>
      </c>
      <c r="F115" s="10" t="s">
        <v>4211</v>
      </c>
      <c r="H115" s="10" t="s">
        <v>2936</v>
      </c>
      <c r="I115" s="10" t="s">
        <v>3597</v>
      </c>
      <c r="J115" s="10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10" t="s">
        <v>289</v>
      </c>
      <c r="E116" s="10" t="s">
        <v>4217</v>
      </c>
      <c r="F116" s="10" t="s">
        <v>4211</v>
      </c>
      <c r="H116" s="10" t="s">
        <v>2936</v>
      </c>
      <c r="I116" s="10" t="s">
        <v>3600</v>
      </c>
      <c r="J116" s="10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10" t="s">
        <v>289</v>
      </c>
      <c r="E117" s="10" t="s">
        <v>4217</v>
      </c>
      <c r="F117" s="10" t="s">
        <v>4211</v>
      </c>
      <c r="H117" s="10" t="s">
        <v>2936</v>
      </c>
      <c r="I117" s="10" t="s">
        <v>3603</v>
      </c>
      <c r="J117" s="10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10" t="s">
        <v>289</v>
      </c>
      <c r="E118" s="10" t="s">
        <v>4217</v>
      </c>
      <c r="F118" s="10" t="s">
        <v>4211</v>
      </c>
      <c r="H118" s="10" t="s">
        <v>2936</v>
      </c>
      <c r="I118" s="10" t="s">
        <v>3606</v>
      </c>
      <c r="J118" s="10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10" t="s">
        <v>650</v>
      </c>
      <c r="E119" s="10" t="s">
        <v>4217</v>
      </c>
      <c r="F119" s="10" t="s">
        <v>4211</v>
      </c>
      <c r="H119" s="10" t="s">
        <v>4218</v>
      </c>
      <c r="I119" s="10" t="s">
        <v>3609</v>
      </c>
      <c r="J119" s="10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10" t="s">
        <v>289</v>
      </c>
      <c r="E120" s="10" t="s">
        <v>4194</v>
      </c>
      <c r="F120" s="10" t="s">
        <v>4211</v>
      </c>
      <c r="H120" s="10"/>
      <c r="I120" s="10" t="s">
        <v>3612</v>
      </c>
      <c r="J120" s="1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10" t="s">
        <v>289</v>
      </c>
      <c r="E121" s="10" t="s">
        <v>4194</v>
      </c>
      <c r="F121" s="10" t="s">
        <v>4211</v>
      </c>
      <c r="H121" s="10" t="s">
        <v>2936</v>
      </c>
      <c r="I121" s="10" t="s">
        <v>3615</v>
      </c>
      <c r="J121" s="10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10" t="s">
        <v>289</v>
      </c>
      <c r="E122" s="10" t="s">
        <v>4194</v>
      </c>
      <c r="F122" s="10" t="s">
        <v>4211</v>
      </c>
      <c r="H122" s="10" t="s">
        <v>2936</v>
      </c>
      <c r="I122" s="10" t="s">
        <v>3618</v>
      </c>
      <c r="J122" s="10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10" t="s">
        <v>289</v>
      </c>
      <c r="E123" s="10" t="s">
        <v>4194</v>
      </c>
      <c r="F123" s="10" t="s">
        <v>4211</v>
      </c>
      <c r="H123" s="10" t="s">
        <v>2936</v>
      </c>
      <c r="I123" s="10" t="s">
        <v>3621</v>
      </c>
      <c r="J123" s="10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10" t="s">
        <v>289</v>
      </c>
      <c r="E124" s="10" t="s">
        <v>4194</v>
      </c>
      <c r="F124" s="10" t="s">
        <v>4211</v>
      </c>
      <c r="H124" s="10" t="s">
        <v>2936</v>
      </c>
      <c r="I124" s="10" t="s">
        <v>3624</v>
      </c>
      <c r="J124" s="10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10" t="s">
        <v>289</v>
      </c>
      <c r="E125" s="10" t="s">
        <v>4194</v>
      </c>
      <c r="F125" s="10" t="s">
        <v>4211</v>
      </c>
      <c r="H125" s="10" t="s">
        <v>2936</v>
      </c>
      <c r="I125" s="10" t="s">
        <v>3627</v>
      </c>
      <c r="J125" s="10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10" t="s">
        <v>289</v>
      </c>
      <c r="E126" s="10" t="s">
        <v>4194</v>
      </c>
      <c r="F126" s="10" t="s">
        <v>4211</v>
      </c>
      <c r="H126" s="10" t="s">
        <v>2936</v>
      </c>
      <c r="I126" s="10" t="s">
        <v>3630</v>
      </c>
      <c r="J126" s="10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10" t="s">
        <v>289</v>
      </c>
      <c r="E127" s="10" t="s">
        <v>4194</v>
      </c>
      <c r="F127" s="10" t="s">
        <v>4211</v>
      </c>
      <c r="H127" s="10" t="s">
        <v>2936</v>
      </c>
      <c r="I127" s="10" t="s">
        <v>3633</v>
      </c>
      <c r="J127" s="10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10" t="s">
        <v>289</v>
      </c>
      <c r="E128" s="10" t="s">
        <v>4194</v>
      </c>
      <c r="F128" s="10" t="s">
        <v>4211</v>
      </c>
      <c r="H128" s="10" t="s">
        <v>2936</v>
      </c>
      <c r="I128" s="10" t="s">
        <v>3636</v>
      </c>
      <c r="J128" s="10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10" t="s">
        <v>289</v>
      </c>
      <c r="E129" s="10" t="s">
        <v>4194</v>
      </c>
      <c r="F129" s="10" t="s">
        <v>4211</v>
      </c>
      <c r="H129" s="10" t="s">
        <v>2936</v>
      </c>
      <c r="I129" s="10" t="s">
        <v>3639</v>
      </c>
      <c r="J129" s="10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10" t="s">
        <v>289</v>
      </c>
      <c r="E130" s="10" t="s">
        <v>4194</v>
      </c>
      <c r="F130" s="10" t="s">
        <v>4211</v>
      </c>
      <c r="H130" s="10" t="s">
        <v>2936</v>
      </c>
      <c r="I130" s="10" t="s">
        <v>3642</v>
      </c>
      <c r="J130" s="1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10" t="s">
        <v>289</v>
      </c>
      <c r="E131" s="10" t="s">
        <v>4194</v>
      </c>
      <c r="F131" s="10" t="s">
        <v>87</v>
      </c>
      <c r="H131" s="10"/>
      <c r="I131" s="10" t="s">
        <v>3645</v>
      </c>
      <c r="J131" s="10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10" t="s">
        <v>1606</v>
      </c>
      <c r="E132" s="10" t="s">
        <v>4195</v>
      </c>
      <c r="F132" s="10"/>
      <c r="H132" s="10"/>
      <c r="I132" s="10" t="s">
        <v>3648</v>
      </c>
      <c r="J132" s="10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10" t="s">
        <v>1606</v>
      </c>
      <c r="E133" s="10" t="s">
        <v>4195</v>
      </c>
      <c r="F133" s="10"/>
      <c r="H133" s="10" t="s">
        <v>2936</v>
      </c>
      <c r="I133" s="10" t="s">
        <v>3650</v>
      </c>
      <c r="J133" s="10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10" t="s">
        <v>289</v>
      </c>
      <c r="E134" s="10" t="s">
        <v>4195</v>
      </c>
      <c r="F134" s="10" t="s">
        <v>4211</v>
      </c>
      <c r="H134" s="10"/>
      <c r="I134" s="10" t="s">
        <v>3653</v>
      </c>
      <c r="J134" s="10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10" t="s">
        <v>289</v>
      </c>
      <c r="E135" s="10" t="s">
        <v>4195</v>
      </c>
      <c r="F135" s="10" t="s">
        <v>4211</v>
      </c>
      <c r="H135" s="10" t="s">
        <v>2936</v>
      </c>
      <c r="I135" s="10" t="s">
        <v>3656</v>
      </c>
      <c r="J135" s="10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10" t="s">
        <v>289</v>
      </c>
      <c r="E136" s="10" t="s">
        <v>4195</v>
      </c>
      <c r="F136" s="10" t="s">
        <v>4211</v>
      </c>
      <c r="H136" s="10" t="s">
        <v>2936</v>
      </c>
      <c r="I136" s="10" t="s">
        <v>3659</v>
      </c>
      <c r="J136" s="10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10" t="s">
        <v>289</v>
      </c>
      <c r="E137" s="10" t="s">
        <v>4195</v>
      </c>
      <c r="F137" s="10" t="s">
        <v>4211</v>
      </c>
      <c r="H137" s="10" t="s">
        <v>2936</v>
      </c>
      <c r="I137" s="10" t="s">
        <v>3662</v>
      </c>
      <c r="J137" s="10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10" t="s">
        <v>289</v>
      </c>
      <c r="E138" s="10" t="s">
        <v>4195</v>
      </c>
      <c r="F138" s="10" t="s">
        <v>4211</v>
      </c>
      <c r="H138" s="10" t="s">
        <v>2936</v>
      </c>
      <c r="I138" s="10" t="s">
        <v>3665</v>
      </c>
      <c r="J138" s="10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10" t="s">
        <v>289</v>
      </c>
      <c r="E139" s="10" t="s">
        <v>4195</v>
      </c>
      <c r="F139" s="10" t="s">
        <v>4211</v>
      </c>
      <c r="H139" s="10" t="s">
        <v>2936</v>
      </c>
      <c r="I139" s="10" t="s">
        <v>3668</v>
      </c>
      <c r="J139" s="10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10" t="s">
        <v>289</v>
      </c>
      <c r="E140" s="10" t="s">
        <v>4195</v>
      </c>
      <c r="F140" s="10" t="s">
        <v>4211</v>
      </c>
      <c r="H140" s="10" t="s">
        <v>2936</v>
      </c>
      <c r="I140" s="10" t="s">
        <v>3671</v>
      </c>
      <c r="J140" s="1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10" t="s">
        <v>289</v>
      </c>
      <c r="E141" s="10" t="s">
        <v>4195</v>
      </c>
      <c r="F141" s="10" t="s">
        <v>4211</v>
      </c>
      <c r="H141" s="10" t="s">
        <v>2936</v>
      </c>
      <c r="I141" s="10" t="s">
        <v>3674</v>
      </c>
      <c r="J141" s="10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10" t="s">
        <v>289</v>
      </c>
      <c r="E142" s="10" t="s">
        <v>4195</v>
      </c>
      <c r="F142" s="10" t="s">
        <v>4211</v>
      </c>
      <c r="H142" s="10" t="s">
        <v>2936</v>
      </c>
      <c r="I142" s="10" t="s">
        <v>3677</v>
      </c>
      <c r="J142" s="10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10" t="s">
        <v>289</v>
      </c>
      <c r="E143" s="10" t="s">
        <v>4195</v>
      </c>
      <c r="F143" s="10" t="s">
        <v>4211</v>
      </c>
      <c r="H143" s="10" t="s">
        <v>2936</v>
      </c>
      <c r="I143" s="10" t="s">
        <v>3680</v>
      </c>
      <c r="J143" s="10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10" t="s">
        <v>289</v>
      </c>
      <c r="E144" s="10" t="s">
        <v>4195</v>
      </c>
      <c r="F144" s="10" t="s">
        <v>4211</v>
      </c>
      <c r="H144" s="10" t="s">
        <v>2936</v>
      </c>
      <c r="I144" s="10" t="s">
        <v>3683</v>
      </c>
      <c r="J144" s="10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10" t="s">
        <v>289</v>
      </c>
      <c r="E145" s="10" t="s">
        <v>4195</v>
      </c>
      <c r="F145" s="10" t="s">
        <v>4211</v>
      </c>
      <c r="H145" s="10" t="s">
        <v>2936</v>
      </c>
      <c r="I145" s="10" t="s">
        <v>3686</v>
      </c>
      <c r="J145" s="10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10" t="s">
        <v>289</v>
      </c>
      <c r="E146" s="10" t="s">
        <v>4195</v>
      </c>
      <c r="F146" s="10" t="s">
        <v>4211</v>
      </c>
      <c r="H146" s="10" t="s">
        <v>2936</v>
      </c>
      <c r="I146" s="10" t="s">
        <v>3689</v>
      </c>
      <c r="J146" s="10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10" t="s">
        <v>289</v>
      </c>
      <c r="E147" s="10" t="s">
        <v>4195</v>
      </c>
      <c r="F147" s="10" t="s">
        <v>4211</v>
      </c>
      <c r="H147" s="10" t="s">
        <v>2936</v>
      </c>
      <c r="I147" s="10" t="s">
        <v>3692</v>
      </c>
      <c r="J147" s="10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10" t="s">
        <v>289</v>
      </c>
      <c r="E148" s="10" t="s">
        <v>4195</v>
      </c>
      <c r="F148" s="10" t="s">
        <v>4211</v>
      </c>
      <c r="H148" s="10" t="s">
        <v>2936</v>
      </c>
      <c r="I148" s="10" t="s">
        <v>3695</v>
      </c>
      <c r="J148" s="10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10" t="s">
        <v>289</v>
      </c>
      <c r="E149" s="10" t="s">
        <v>4195</v>
      </c>
      <c r="F149" s="10" t="s">
        <v>4211</v>
      </c>
      <c r="H149" s="10" t="s">
        <v>2936</v>
      </c>
      <c r="I149" s="10" t="s">
        <v>3698</v>
      </c>
      <c r="J149" s="10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10" t="s">
        <v>289</v>
      </c>
      <c r="E150" s="10" t="s">
        <v>4195</v>
      </c>
      <c r="F150" s="10" t="s">
        <v>4211</v>
      </c>
      <c r="H150" s="10" t="s">
        <v>2936</v>
      </c>
      <c r="I150" s="10" t="s">
        <v>3701</v>
      </c>
      <c r="J150" s="1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10" t="s">
        <v>289</v>
      </c>
      <c r="E151" s="10" t="s">
        <v>4195</v>
      </c>
      <c r="F151" s="10" t="s">
        <v>4211</v>
      </c>
      <c r="H151" s="10" t="s">
        <v>2936</v>
      </c>
      <c r="I151" s="10" t="s">
        <v>3704</v>
      </c>
      <c r="J151" s="10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10" t="s">
        <v>289</v>
      </c>
      <c r="E152" s="10" t="s">
        <v>4195</v>
      </c>
      <c r="F152" s="10" t="s">
        <v>4211</v>
      </c>
      <c r="H152" s="10" t="s">
        <v>2936</v>
      </c>
      <c r="I152" s="10" t="s">
        <v>3707</v>
      </c>
      <c r="J152" s="10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10" t="s">
        <v>289</v>
      </c>
      <c r="E153" s="10" t="s">
        <v>4195</v>
      </c>
      <c r="F153" s="10" t="s">
        <v>4211</v>
      </c>
      <c r="H153" s="10" t="s">
        <v>2936</v>
      </c>
      <c r="I153" s="10" t="s">
        <v>3710</v>
      </c>
      <c r="J153" s="10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10" t="s">
        <v>471</v>
      </c>
      <c r="E154" s="10" t="s">
        <v>4195</v>
      </c>
      <c r="F154" s="10"/>
      <c r="H154" s="10"/>
      <c r="I154" s="10" t="s">
        <v>3713</v>
      </c>
      <c r="J154" s="10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10" t="s">
        <v>650</v>
      </c>
      <c r="E155" s="10" t="s">
        <v>4195</v>
      </c>
      <c r="F155" s="10" t="s">
        <v>4211</v>
      </c>
      <c r="H155" s="10" t="s">
        <v>4219</v>
      </c>
      <c r="I155" s="10" t="s">
        <v>3716</v>
      </c>
      <c r="J155" s="10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10" t="s">
        <v>4297</v>
      </c>
      <c r="E156" s="10" t="s">
        <v>55</v>
      </c>
      <c r="F156" s="10"/>
      <c r="H156" s="10"/>
      <c r="I156" s="10" t="s">
        <v>4276</v>
      </c>
      <c r="J156" s="10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10" t="s">
        <v>289</v>
      </c>
      <c r="E157" s="10" t="s">
        <v>86</v>
      </c>
      <c r="F157" s="10" t="s">
        <v>200</v>
      </c>
      <c r="H157" s="10"/>
      <c r="I157" s="10" t="s">
        <v>4999</v>
      </c>
      <c r="J157" s="10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10" t="s">
        <v>289</v>
      </c>
      <c r="E158" s="10" t="s">
        <v>86</v>
      </c>
      <c r="F158" s="10" t="s">
        <v>200</v>
      </c>
      <c r="H158" s="10"/>
      <c r="I158" s="10" t="s">
        <v>5002</v>
      </c>
      <c r="J158" s="10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10" t="s">
        <v>289</v>
      </c>
      <c r="E159" s="10" t="s">
        <v>86</v>
      </c>
      <c r="F159" s="10" t="s">
        <v>200</v>
      </c>
      <c r="H159" s="10"/>
      <c r="I159" s="10" t="s">
        <v>5005</v>
      </c>
      <c r="J159" s="10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10" t="s">
        <v>1094</v>
      </c>
      <c r="E160" s="10" t="s">
        <v>4247</v>
      </c>
      <c r="F160" s="10" t="s">
        <v>58</v>
      </c>
      <c r="H160" s="10"/>
      <c r="I160" s="10" t="s">
        <v>5008</v>
      </c>
      <c r="J160" s="1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10" t="s">
        <v>289</v>
      </c>
      <c r="E161" s="10" t="s">
        <v>86</v>
      </c>
      <c r="F161" s="10" t="s">
        <v>200</v>
      </c>
      <c r="H161" s="10"/>
      <c r="I161" s="10" t="s">
        <v>5011</v>
      </c>
      <c r="J161" s="10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10" t="s">
        <v>1094</v>
      </c>
      <c r="E162" s="10" t="s">
        <v>4247</v>
      </c>
      <c r="F162" s="10" t="s">
        <v>58</v>
      </c>
      <c r="H162" s="10"/>
      <c r="I162" s="10" t="s">
        <v>5014</v>
      </c>
      <c r="J162" s="10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10" t="s">
        <v>1094</v>
      </c>
      <c r="E163" s="10" t="s">
        <v>531</v>
      </c>
      <c r="F163" s="10" t="s">
        <v>58</v>
      </c>
      <c r="H163" s="10"/>
      <c r="I163" s="10" t="s">
        <v>5017</v>
      </c>
      <c r="J163" s="10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10" t="s">
        <v>4</v>
      </c>
      <c r="E164" s="10" t="s">
        <v>8</v>
      </c>
      <c r="F164" s="10"/>
      <c r="H164" s="10"/>
      <c r="I164" s="10" t="s">
        <v>5020</v>
      </c>
      <c r="J164" s="10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10" t="s">
        <v>289</v>
      </c>
      <c r="E165" s="10" t="s">
        <v>86</v>
      </c>
      <c r="F165" s="10" t="s">
        <v>60</v>
      </c>
      <c r="H165" s="10"/>
      <c r="I165" s="10" t="s">
        <v>5023</v>
      </c>
      <c r="J165" s="10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10" t="s">
        <v>289</v>
      </c>
      <c r="E166" s="10" t="s">
        <v>86</v>
      </c>
      <c r="F166" s="10" t="s">
        <v>60</v>
      </c>
      <c r="H166" s="10"/>
      <c r="I166" s="10" t="s">
        <v>5026</v>
      </c>
      <c r="J166" s="10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10" t="s">
        <v>289</v>
      </c>
      <c r="E167" s="10" t="s">
        <v>86</v>
      </c>
      <c r="F167" s="10" t="s">
        <v>200</v>
      </c>
      <c r="H167" s="10"/>
      <c r="I167" s="10" t="s">
        <v>5029</v>
      </c>
      <c r="J167" s="10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10" t="s">
        <v>4</v>
      </c>
      <c r="E168" s="10" t="s">
        <v>8</v>
      </c>
      <c r="F168" s="10"/>
      <c r="H168" s="10"/>
      <c r="I168" s="10" t="s">
        <v>5032</v>
      </c>
      <c r="J168" s="10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10" t="s">
        <v>289</v>
      </c>
      <c r="E169" s="10" t="s">
        <v>86</v>
      </c>
      <c r="F169" s="10" t="s">
        <v>60</v>
      </c>
      <c r="H169" s="10"/>
      <c r="I169" s="10" t="s">
        <v>5035</v>
      </c>
      <c r="J169" s="10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10" t="s">
        <v>289</v>
      </c>
      <c r="E170" s="10" t="s">
        <v>86</v>
      </c>
      <c r="F170" s="10" t="s">
        <v>60</v>
      </c>
      <c r="H170" s="10"/>
      <c r="I170" s="10" t="s">
        <v>5038</v>
      </c>
      <c r="J170" s="1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10" t="s">
        <v>4</v>
      </c>
      <c r="E171" s="10" t="s">
        <v>8</v>
      </c>
      <c r="F171" s="10"/>
      <c r="H171" s="10"/>
      <c r="I171" s="10" t="s">
        <v>5041</v>
      </c>
      <c r="J171" s="10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10" t="s">
        <v>1094</v>
      </c>
      <c r="E172" s="10" t="s">
        <v>4247</v>
      </c>
      <c r="F172" s="10" t="s">
        <v>60</v>
      </c>
      <c r="H172" s="10"/>
      <c r="I172" s="10" t="s">
        <v>5116</v>
      </c>
      <c r="J172" s="10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10" t="s">
        <v>1094</v>
      </c>
      <c r="E173" s="10" t="s">
        <v>4247</v>
      </c>
      <c r="F173" s="10" t="s">
        <v>200</v>
      </c>
      <c r="H173" s="10"/>
      <c r="I173" s="10" t="s">
        <v>5119</v>
      </c>
      <c r="J173" s="10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10" t="s">
        <v>1094</v>
      </c>
      <c r="E174" s="10" t="s">
        <v>4247</v>
      </c>
      <c r="F174" s="10" t="s">
        <v>200</v>
      </c>
      <c r="H174" s="10"/>
      <c r="I174" s="10" t="s">
        <v>5122</v>
      </c>
      <c r="J174" s="10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10" t="s">
        <v>4</v>
      </c>
      <c r="E175" s="10" t="s">
        <v>8</v>
      </c>
      <c r="F175" s="10"/>
      <c r="H175" s="10" t="s">
        <v>2936</v>
      </c>
      <c r="I175" s="10" t="s">
        <v>5125</v>
      </c>
      <c r="J175" s="10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10" t="s">
        <v>4</v>
      </c>
      <c r="E176" s="10" t="s">
        <v>8</v>
      </c>
      <c r="F176" s="10"/>
      <c r="H176" s="10" t="s">
        <v>2936</v>
      </c>
      <c r="I176" s="10" t="s">
        <v>5128</v>
      </c>
      <c r="J176" s="10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10" t="s">
        <v>4</v>
      </c>
      <c r="E177" s="10" t="s">
        <v>8</v>
      </c>
      <c r="F177" s="10"/>
      <c r="H177" s="10" t="s">
        <v>2936</v>
      </c>
      <c r="I177" s="10" t="s">
        <v>5131</v>
      </c>
      <c r="J177" s="10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10" t="s">
        <v>4</v>
      </c>
      <c r="E178" s="10" t="s">
        <v>8</v>
      </c>
      <c r="F178" s="10"/>
      <c r="H178" s="10" t="s">
        <v>2936</v>
      </c>
      <c r="I178" s="10" t="s">
        <v>5044</v>
      </c>
      <c r="J178" s="10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10" t="s">
        <v>4</v>
      </c>
      <c r="E179" s="10" t="s">
        <v>8</v>
      </c>
      <c r="F179" s="10"/>
      <c r="H179" s="10" t="s">
        <v>2936</v>
      </c>
      <c r="I179" s="10" t="s">
        <v>5047</v>
      </c>
      <c r="J179" s="10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10" t="s">
        <v>4</v>
      </c>
      <c r="E180" s="10" t="s">
        <v>8</v>
      </c>
      <c r="F180" s="10"/>
      <c r="H180" s="10" t="s">
        <v>2936</v>
      </c>
      <c r="I180" s="10" t="s">
        <v>5050</v>
      </c>
      <c r="J180" s="1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10" t="s">
        <v>289</v>
      </c>
      <c r="E181" s="10" t="s">
        <v>86</v>
      </c>
      <c r="F181" s="10" t="s">
        <v>200</v>
      </c>
      <c r="H181" s="10"/>
      <c r="I181" s="10" t="s">
        <v>5053</v>
      </c>
      <c r="J181" s="10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10" t="s">
        <v>289</v>
      </c>
      <c r="E182" s="10" t="s">
        <v>86</v>
      </c>
      <c r="F182" s="10" t="s">
        <v>200</v>
      </c>
      <c r="H182" s="10"/>
      <c r="I182" s="10" t="s">
        <v>5056</v>
      </c>
      <c r="J182" s="10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10" t="s">
        <v>289</v>
      </c>
      <c r="E183" s="10" t="s">
        <v>86</v>
      </c>
      <c r="F183" s="10" t="s">
        <v>200</v>
      </c>
      <c r="H183" s="10"/>
      <c r="I183" s="10" t="s">
        <v>5059</v>
      </c>
      <c r="J183" s="10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10" t="s">
        <v>289</v>
      </c>
      <c r="E184" s="10" t="s">
        <v>86</v>
      </c>
      <c r="F184" s="10" t="s">
        <v>200</v>
      </c>
      <c r="H184" s="10"/>
      <c r="I184" s="10" t="s">
        <v>5062</v>
      </c>
      <c r="J184" s="10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10" t="s">
        <v>289</v>
      </c>
      <c r="E185" s="10" t="s">
        <v>86</v>
      </c>
      <c r="F185" s="10" t="s">
        <v>200</v>
      </c>
      <c r="H185" s="10"/>
      <c r="I185" s="10" t="s">
        <v>5065</v>
      </c>
      <c r="J185" s="10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10" t="s">
        <v>5134</v>
      </c>
      <c r="E186" s="10"/>
      <c r="F186" s="10"/>
      <c r="H186" s="10"/>
      <c r="I186" s="10" t="s">
        <v>5068</v>
      </c>
      <c r="J186" s="10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10" t="s">
        <v>2004</v>
      </c>
      <c r="E187" s="10"/>
      <c r="F187" s="10"/>
      <c r="H187" s="10"/>
      <c r="I187" s="10" t="s">
        <v>5071</v>
      </c>
      <c r="J187" s="10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10" t="s">
        <v>2004</v>
      </c>
      <c r="E188" s="10"/>
      <c r="F188" s="10"/>
      <c r="H188" s="10"/>
      <c r="I188" s="10" t="s">
        <v>5229</v>
      </c>
      <c r="J188" s="10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10" t="s">
        <v>4</v>
      </c>
      <c r="E189" s="10" t="s">
        <v>8</v>
      </c>
      <c r="F189" s="10"/>
      <c r="H189" s="10"/>
      <c r="I189" s="10" t="s">
        <v>5316</v>
      </c>
      <c r="J189" s="10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10" t="s">
        <v>289</v>
      </c>
      <c r="E190" s="10" t="s">
        <v>86</v>
      </c>
      <c r="F190" s="10" t="s">
        <v>200</v>
      </c>
      <c r="H190" s="10"/>
      <c r="I190" s="10" t="s">
        <v>5319</v>
      </c>
      <c r="J190" s="1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10" t="s">
        <v>289</v>
      </c>
      <c r="E191" s="10" t="s">
        <v>86</v>
      </c>
      <c r="F191" s="10" t="s">
        <v>200</v>
      </c>
      <c r="H191" s="10"/>
      <c r="I191" s="10" t="s">
        <v>5322</v>
      </c>
      <c r="J191" s="10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10" t="s">
        <v>2004</v>
      </c>
      <c r="E192" s="10" t="s">
        <v>8</v>
      </c>
      <c r="F192" s="10"/>
      <c r="H192" s="10"/>
      <c r="I192" s="10" t="s">
        <v>5548</v>
      </c>
      <c r="J192" s="10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10" t="s">
        <v>2004</v>
      </c>
      <c r="E193" s="10" t="s">
        <v>8</v>
      </c>
      <c r="F193" s="10"/>
      <c r="H193" s="10"/>
      <c r="I193" s="10" t="s">
        <v>5551</v>
      </c>
      <c r="J193" s="10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10" t="s">
        <v>2004</v>
      </c>
      <c r="E194" s="10" t="s">
        <v>8</v>
      </c>
      <c r="F194" s="10"/>
      <c r="H194" s="10"/>
      <c r="I194" s="10" t="s">
        <v>5554</v>
      </c>
      <c r="J194" s="10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10" t="s">
        <v>4212</v>
      </c>
      <c r="E195" s="10"/>
      <c r="F195" s="10"/>
      <c r="H195" s="10"/>
      <c r="I195" s="10" t="s">
        <v>6330</v>
      </c>
      <c r="J195" s="10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10" t="s">
        <v>4212</v>
      </c>
      <c r="E196" s="10"/>
      <c r="F196" s="10"/>
      <c r="H196" s="10"/>
      <c r="I196" s="10" t="s">
        <v>6333</v>
      </c>
      <c r="J196" s="10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10" t="s">
        <v>4212</v>
      </c>
      <c r="E197" s="10"/>
      <c r="F197" s="10"/>
      <c r="H197" s="10"/>
      <c r="I197" s="10" t="s">
        <v>6336</v>
      </c>
      <c r="J197" s="10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10" t="s">
        <v>2004</v>
      </c>
      <c r="E198" s="10" t="s">
        <v>8</v>
      </c>
      <c r="F198" s="10"/>
      <c r="H198" s="10"/>
      <c r="I198" s="10" t="s">
        <v>6320</v>
      </c>
      <c r="J198" s="10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10" t="s">
        <v>2004</v>
      </c>
      <c r="E199" s="10" t="s">
        <v>8</v>
      </c>
      <c r="F199" s="10"/>
      <c r="H199" s="10"/>
      <c r="I199" s="10" t="s">
        <v>6560</v>
      </c>
      <c r="J199" s="10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10" t="s">
        <v>4</v>
      </c>
      <c r="E200" s="10" t="s">
        <v>6868</v>
      </c>
      <c r="F200" s="10"/>
      <c r="H200" s="10"/>
      <c r="I200" s="10" t="s">
        <v>6875</v>
      </c>
      <c r="J200" s="1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10" t="s">
        <v>2004</v>
      </c>
      <c r="E201" s="10" t="s">
        <v>8</v>
      </c>
      <c r="F201" s="10"/>
      <c r="H201" s="10"/>
      <c r="I201" s="10" t="s">
        <v>6926</v>
      </c>
      <c r="J201" s="10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10" t="s">
        <v>4212</v>
      </c>
      <c r="E202" s="10"/>
      <c r="F202" s="10"/>
      <c r="H202" s="10"/>
      <c r="I202" s="10" t="s">
        <v>7160</v>
      </c>
      <c r="J202" s="10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10" t="s">
        <v>2004</v>
      </c>
      <c r="E203" s="10" t="s">
        <v>8</v>
      </c>
      <c r="F203" s="10"/>
      <c r="H203" s="10"/>
      <c r="I203" s="10" t="s">
        <v>6929</v>
      </c>
      <c r="J203" s="10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10" t="s">
        <v>2004</v>
      </c>
      <c r="E204" s="10" t="s">
        <v>8</v>
      </c>
      <c r="F204" s="10"/>
      <c r="H204" s="10"/>
      <c r="I204" s="10" t="s">
        <v>7214</v>
      </c>
      <c r="J204" s="10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10" t="s">
        <v>2004</v>
      </c>
      <c r="E205" s="10" t="s">
        <v>8</v>
      </c>
      <c r="F205" s="10"/>
      <c r="H205" s="10"/>
      <c r="I205" s="10" t="s">
        <v>7411</v>
      </c>
      <c r="J205" s="10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10" t="s">
        <v>2004</v>
      </c>
      <c r="E206" s="10" t="s">
        <v>8</v>
      </c>
      <c r="F206" s="10"/>
      <c r="H206" s="10"/>
      <c r="I206" s="10" t="s">
        <v>7414</v>
      </c>
      <c r="J206" s="10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10" t="s">
        <v>2004</v>
      </c>
      <c r="E207" s="10" t="s">
        <v>8</v>
      </c>
      <c r="F207" s="10"/>
      <c r="H207" s="10"/>
      <c r="I207" s="10" t="s">
        <v>7700</v>
      </c>
      <c r="J207" s="10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10" t="s">
        <v>2004</v>
      </c>
      <c r="E208" s="10" t="s">
        <v>8</v>
      </c>
      <c r="F208" s="10"/>
      <c r="H208" s="10"/>
      <c r="I208" s="10" t="s">
        <v>7703</v>
      </c>
      <c r="J208" s="10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10" t="s">
        <v>2004</v>
      </c>
      <c r="E209" s="10" t="s">
        <v>8</v>
      </c>
      <c r="F209" s="10"/>
      <c r="H209" s="10"/>
      <c r="I209" s="10" t="s">
        <v>7867</v>
      </c>
      <c r="J209" s="10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10" t="s">
        <v>2004</v>
      </c>
      <c r="E210" s="10" t="s">
        <v>8</v>
      </c>
      <c r="F210" s="10"/>
      <c r="H210" s="10"/>
      <c r="I210" s="10" t="s">
        <v>8046</v>
      </c>
      <c r="J210" s="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10" t="s">
        <v>2004</v>
      </c>
      <c r="E211" s="10" t="s">
        <v>8</v>
      </c>
      <c r="F211" s="10"/>
      <c r="H211" s="10"/>
      <c r="I211" s="10" t="s">
        <v>8049</v>
      </c>
      <c r="J211" s="10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10" t="s">
        <v>2004</v>
      </c>
      <c r="E212" s="10" t="s">
        <v>8</v>
      </c>
      <c r="F212" s="10"/>
      <c r="H212" s="10"/>
      <c r="I212" s="10" t="s">
        <v>8336</v>
      </c>
      <c r="J212" s="10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10" t="s">
        <v>2004</v>
      </c>
      <c r="E213" s="10" t="s">
        <v>8</v>
      </c>
      <c r="F213" s="10"/>
      <c r="H213" s="10"/>
      <c r="I213" s="10" t="s">
        <v>8339</v>
      </c>
      <c r="J213" s="10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10" t="s">
        <v>2004</v>
      </c>
      <c r="E214" s="10" t="s">
        <v>8</v>
      </c>
      <c r="F214" s="10"/>
      <c r="H214" s="10"/>
      <c r="I214" s="10" t="s">
        <v>8342</v>
      </c>
      <c r="J214" s="10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10" t="s">
        <v>2004</v>
      </c>
      <c r="E215" s="10" t="s">
        <v>8</v>
      </c>
      <c r="F215" s="10"/>
      <c r="H215" s="10"/>
      <c r="I215" s="10" t="s">
        <v>8348</v>
      </c>
      <c r="J215" s="10" t="s">
        <v>2984</v>
      </c>
      <c r="K215" t="s">
        <v>8349</v>
      </c>
      <c r="L215" t="s">
        <v>8345</v>
      </c>
      <c r="M215" s="3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10" t="s">
        <v>2004</v>
      </c>
      <c r="E216" s="10" t="s">
        <v>8</v>
      </c>
      <c r="F216" s="10"/>
      <c r="H216" s="10"/>
      <c r="I216" s="10" t="s">
        <v>8346</v>
      </c>
      <c r="J216" s="10" t="s">
        <v>2984</v>
      </c>
      <c r="K216" t="s">
        <v>8347</v>
      </c>
      <c r="L216" t="s">
        <v>8345</v>
      </c>
      <c r="M216" s="3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10" t="s">
        <v>2004</v>
      </c>
      <c r="E217" s="10" t="s">
        <v>8</v>
      </c>
      <c r="F217" s="10"/>
      <c r="H217" s="10"/>
      <c r="I217" s="10" t="s">
        <v>8474</v>
      </c>
      <c r="J217" s="10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10" t="s">
        <v>2004</v>
      </c>
      <c r="E218" s="10" t="s">
        <v>8</v>
      </c>
      <c r="F218" s="10"/>
      <c r="H218" s="10"/>
      <c r="I218" s="10" t="s">
        <v>8477</v>
      </c>
      <c r="J218" s="10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10" t="s">
        <v>2004</v>
      </c>
      <c r="E219" s="10" t="s">
        <v>8</v>
      </c>
      <c r="F219" s="10"/>
      <c r="H219" s="10"/>
      <c r="I219" s="10" t="s">
        <v>8480</v>
      </c>
      <c r="J219" s="10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10" t="s">
        <v>2004</v>
      </c>
      <c r="E220" s="10" t="s">
        <v>8</v>
      </c>
      <c r="F220" s="10"/>
      <c r="H220" s="10"/>
      <c r="I220" s="10" t="s">
        <v>8679</v>
      </c>
      <c r="J220" s="1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10" t="s">
        <v>2004</v>
      </c>
      <c r="E221" s="10" t="s">
        <v>8</v>
      </c>
      <c r="F221" s="10"/>
      <c r="H221" s="10"/>
      <c r="I221" s="10" t="s">
        <v>8806</v>
      </c>
      <c r="J221" s="10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10" t="s">
        <v>2004</v>
      </c>
      <c r="E222" s="10" t="s">
        <v>8</v>
      </c>
      <c r="F222" s="10"/>
      <c r="H222" s="10"/>
      <c r="I222" s="10" t="s">
        <v>8809</v>
      </c>
      <c r="J222" s="10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10" t="s">
        <v>2004</v>
      </c>
      <c r="E223" s="10" t="s">
        <v>8</v>
      </c>
      <c r="F223" s="10"/>
      <c r="H223" s="10"/>
      <c r="I223" s="10" t="s">
        <v>8812</v>
      </c>
      <c r="J223" s="10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10" t="s">
        <v>2004</v>
      </c>
      <c r="E224" s="10" t="s">
        <v>8</v>
      </c>
      <c r="F224" s="10"/>
      <c r="H224" s="10"/>
      <c r="I224" s="10" t="s">
        <v>8815</v>
      </c>
      <c r="J224" s="10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10" t="s">
        <v>2004</v>
      </c>
      <c r="E225" s="10" t="s">
        <v>8</v>
      </c>
      <c r="F225" s="10"/>
      <c r="H225" s="10"/>
      <c r="I225" s="10" t="s">
        <v>8818</v>
      </c>
      <c r="J225" s="10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10" t="s">
        <v>2004</v>
      </c>
      <c r="E226" s="10" t="s">
        <v>8</v>
      </c>
      <c r="F226" s="10"/>
      <c r="H226" s="10"/>
      <c r="I226" s="10" t="s">
        <v>8821</v>
      </c>
      <c r="J226" s="10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10" t="s">
        <v>2004</v>
      </c>
      <c r="E227" s="10" t="s">
        <v>8</v>
      </c>
      <c r="F227" s="10"/>
      <c r="H227" s="10"/>
      <c r="I227" s="10" t="s">
        <v>9192</v>
      </c>
      <c r="J227" s="10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10" t="s">
        <v>2004</v>
      </c>
      <c r="E228" s="10" t="s">
        <v>8</v>
      </c>
      <c r="F228" s="10"/>
      <c r="H228" s="10"/>
      <c r="I228" s="10" t="s">
        <v>9195</v>
      </c>
      <c r="J228" s="10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10" t="s">
        <v>2004</v>
      </c>
      <c r="E229" s="10" t="s">
        <v>8</v>
      </c>
      <c r="F229" s="10"/>
      <c r="H229" s="10"/>
      <c r="I229" s="10" t="s">
        <v>9400</v>
      </c>
      <c r="J229" s="10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10" t="s">
        <v>2004</v>
      </c>
      <c r="E230" s="10" t="s">
        <v>8</v>
      </c>
      <c r="F230" s="10"/>
      <c r="H230" s="10"/>
      <c r="I230" s="10" t="s">
        <v>9403</v>
      </c>
      <c r="J230" s="1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10" t="s">
        <v>2004</v>
      </c>
      <c r="E231" s="10" t="s">
        <v>8</v>
      </c>
      <c r="F231" s="10"/>
      <c r="H231" s="10"/>
      <c r="I231" s="10" t="s">
        <v>9406</v>
      </c>
      <c r="J231" s="10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10" t="s">
        <v>2004</v>
      </c>
      <c r="E232" s="10" t="s">
        <v>8</v>
      </c>
      <c r="F232" s="10"/>
      <c r="H232" s="10"/>
      <c r="I232" s="10" t="s">
        <v>9686</v>
      </c>
      <c r="J232" s="10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10" t="s">
        <v>2004</v>
      </c>
      <c r="E233" s="10" t="s">
        <v>8</v>
      </c>
      <c r="F233" s="10"/>
      <c r="H233" s="10"/>
      <c r="I233" s="10" t="s">
        <v>9688</v>
      </c>
      <c r="J233" s="10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10" t="s">
        <v>4</v>
      </c>
      <c r="E234" s="10" t="s">
        <v>9913</v>
      </c>
      <c r="F234" s="10"/>
      <c r="H234" s="10"/>
      <c r="I234" s="10" t="s">
        <v>9877</v>
      </c>
      <c r="J234" s="10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10" t="s">
        <v>4</v>
      </c>
      <c r="E235" s="10" t="s">
        <v>9913</v>
      </c>
      <c r="F235" s="10"/>
      <c r="H235" s="10" t="s">
        <v>2936</v>
      </c>
      <c r="I235" s="10" t="s">
        <v>9880</v>
      </c>
      <c r="J235" s="10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10" t="s">
        <v>4</v>
      </c>
      <c r="E236" s="10" t="s">
        <v>9913</v>
      </c>
      <c r="F236" s="10"/>
      <c r="H236" s="10" t="s">
        <v>2936</v>
      </c>
      <c r="I236" s="10" t="s">
        <v>9883</v>
      </c>
      <c r="J236" s="10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10" t="s">
        <v>4</v>
      </c>
      <c r="E237" s="10" t="s">
        <v>9913</v>
      </c>
      <c r="F237" s="10"/>
      <c r="H237" s="10" t="s">
        <v>2936</v>
      </c>
      <c r="I237" s="10" t="s">
        <v>9886</v>
      </c>
      <c r="J237" s="10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10" t="s">
        <v>4</v>
      </c>
      <c r="E238" s="10" t="s">
        <v>9913</v>
      </c>
      <c r="F238" s="10"/>
      <c r="H238" s="10" t="s">
        <v>2936</v>
      </c>
      <c r="I238" s="10" t="s">
        <v>9889</v>
      </c>
      <c r="J238" s="10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10" t="s">
        <v>4</v>
      </c>
      <c r="E239" s="10" t="s">
        <v>9913</v>
      </c>
      <c r="F239" s="10"/>
      <c r="H239" s="10" t="s">
        <v>2936</v>
      </c>
      <c r="I239" s="10" t="s">
        <v>9892</v>
      </c>
      <c r="J239" s="10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10" t="s">
        <v>4</v>
      </c>
      <c r="E240" s="10" t="s">
        <v>9913</v>
      </c>
      <c r="F240" s="10"/>
      <c r="H240" s="10" t="s">
        <v>2936</v>
      </c>
      <c r="I240" s="10" t="s">
        <v>9895</v>
      </c>
      <c r="J240" s="1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10" t="s">
        <v>4</v>
      </c>
      <c r="E241" s="10" t="s">
        <v>9913</v>
      </c>
      <c r="F241" s="10"/>
      <c r="H241" s="10" t="s">
        <v>2936</v>
      </c>
      <c r="I241" s="10" t="s">
        <v>9898</v>
      </c>
      <c r="J241" s="10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10" t="s">
        <v>4</v>
      </c>
      <c r="E242" s="10" t="s">
        <v>9913</v>
      </c>
      <c r="F242" s="10"/>
      <c r="H242" s="10" t="s">
        <v>2936</v>
      </c>
      <c r="I242" s="10" t="s">
        <v>9901</v>
      </c>
      <c r="J242" s="10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10" t="s">
        <v>4</v>
      </c>
      <c r="E243" s="10" t="s">
        <v>9913</v>
      </c>
      <c r="F243" s="10"/>
      <c r="H243" s="10" t="s">
        <v>2936</v>
      </c>
      <c r="I243" s="10" t="s">
        <v>9904</v>
      </c>
      <c r="J243" s="10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10" t="s">
        <v>4</v>
      </c>
      <c r="E244" s="10" t="s">
        <v>9913</v>
      </c>
      <c r="F244" s="10"/>
      <c r="H244" s="10" t="s">
        <v>2936</v>
      </c>
      <c r="I244" s="10" t="s">
        <v>9907</v>
      </c>
      <c r="J244" s="10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10" t="s">
        <v>4</v>
      </c>
      <c r="E245" s="10" t="s">
        <v>9913</v>
      </c>
      <c r="F245" s="10"/>
      <c r="H245" s="10" t="s">
        <v>2936</v>
      </c>
      <c r="I245" s="10" t="s">
        <v>9910</v>
      </c>
      <c r="J245" s="10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10" t="s">
        <v>4</v>
      </c>
      <c r="E246" s="10" t="s">
        <v>9913</v>
      </c>
      <c r="F246" s="10"/>
      <c r="H246" s="10" t="s">
        <v>2936</v>
      </c>
      <c r="I246" s="10" t="s">
        <v>10125</v>
      </c>
      <c r="J246" s="10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10" t="s">
        <v>4</v>
      </c>
      <c r="E247" s="10" t="s">
        <v>9913</v>
      </c>
      <c r="F247" s="10"/>
      <c r="H247" s="10" t="s">
        <v>2936</v>
      </c>
      <c r="I247" s="10" t="s">
        <v>10128</v>
      </c>
      <c r="J247" s="10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10" t="s">
        <v>4</v>
      </c>
      <c r="E248" s="10" t="s">
        <v>9913</v>
      </c>
      <c r="F248" s="10"/>
      <c r="H248" s="10" t="s">
        <v>2936</v>
      </c>
      <c r="I248" s="10" t="s">
        <v>10131</v>
      </c>
      <c r="J248" s="10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10" t="s">
        <v>4</v>
      </c>
      <c r="E249" s="10" t="s">
        <v>9913</v>
      </c>
      <c r="F249" s="10"/>
      <c r="H249" s="10" t="s">
        <v>2936</v>
      </c>
      <c r="I249" s="10" t="s">
        <v>10134</v>
      </c>
      <c r="J249" s="10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10" t="s">
        <v>2004</v>
      </c>
      <c r="E250" s="10" t="s">
        <v>8</v>
      </c>
      <c r="F250" s="10"/>
      <c r="H250" s="10"/>
      <c r="I250" s="10" t="s">
        <v>10137</v>
      </c>
      <c r="J250" s="1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10" t="s">
        <v>4</v>
      </c>
      <c r="E251" s="10" t="s">
        <v>10392</v>
      </c>
      <c r="F251" s="10"/>
      <c r="H251" s="10"/>
      <c r="I251" s="10" t="s">
        <v>10389</v>
      </c>
      <c r="J251" s="10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10" t="s">
        <v>2004</v>
      </c>
      <c r="E252" s="10" t="s">
        <v>8</v>
      </c>
      <c r="F252" s="10"/>
      <c r="H252" s="10"/>
      <c r="I252" s="10" t="s">
        <v>10512</v>
      </c>
      <c r="J252" s="10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10" t="s">
        <v>2004</v>
      </c>
      <c r="E253" s="10" t="s">
        <v>8</v>
      </c>
      <c r="F253" s="10"/>
      <c r="H253" s="10"/>
      <c r="I253" s="10" t="s">
        <v>10515</v>
      </c>
      <c r="J253" s="10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10" t="s">
        <v>2004</v>
      </c>
      <c r="E254" s="10" t="s">
        <v>8</v>
      </c>
      <c r="F254" s="10"/>
      <c r="H254" s="10"/>
      <c r="I254" s="10" t="s">
        <v>10631</v>
      </c>
      <c r="J254" s="10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10" t="s">
        <v>2004</v>
      </c>
      <c r="E255" s="10" t="s">
        <v>8</v>
      </c>
      <c r="F255" s="10"/>
      <c r="H255" s="10"/>
      <c r="I255" s="10" t="s">
        <v>10634</v>
      </c>
      <c r="J255" s="10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10" t="s">
        <v>2004</v>
      </c>
      <c r="E256" s="10" t="s">
        <v>8</v>
      </c>
      <c r="F256" s="10"/>
      <c r="H256" s="10"/>
      <c r="I256" s="10" t="s">
        <v>10878</v>
      </c>
      <c r="J256" s="10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10" t="s">
        <v>2004</v>
      </c>
      <c r="E257" s="10" t="s">
        <v>8</v>
      </c>
      <c r="F257" s="10"/>
      <c r="H257" s="10"/>
      <c r="I257" s="10" t="s">
        <v>10881</v>
      </c>
      <c r="J257" s="10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10" t="s">
        <v>2004</v>
      </c>
      <c r="E258" s="10" t="s">
        <v>8</v>
      </c>
      <c r="F258" s="10"/>
      <c r="H258" s="10"/>
      <c r="I258" s="10" t="s">
        <v>11004</v>
      </c>
      <c r="J258" s="10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10" t="s">
        <v>2004</v>
      </c>
      <c r="E259" s="10" t="s">
        <v>8</v>
      </c>
      <c r="F259" s="10"/>
      <c r="H259" s="10"/>
      <c r="I259" s="10" t="s">
        <v>11127</v>
      </c>
      <c r="J259" s="10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10" t="s">
        <v>2004</v>
      </c>
      <c r="E260" s="10" t="s">
        <v>8</v>
      </c>
      <c r="F260" s="10"/>
      <c r="H260" s="10"/>
      <c r="I260" s="10" t="s">
        <v>11130</v>
      </c>
      <c r="J260" s="1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10" t="s">
        <v>2004</v>
      </c>
      <c r="E261" s="10" t="s">
        <v>8</v>
      </c>
      <c r="F261" s="10"/>
      <c r="H261" s="10"/>
      <c r="I261" s="10" t="s">
        <v>11414</v>
      </c>
      <c r="J261" s="10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10" t="s">
        <v>2004</v>
      </c>
      <c r="E262" s="10" t="s">
        <v>8</v>
      </c>
      <c r="F262" s="10"/>
      <c r="H262" s="10"/>
      <c r="I262" s="10" t="s">
        <v>11417</v>
      </c>
      <c r="J262" s="10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10" t="s">
        <v>2004</v>
      </c>
      <c r="E263" s="10" t="s">
        <v>8</v>
      </c>
      <c r="F263" s="10"/>
      <c r="H263" s="10"/>
      <c r="I263" s="10" t="s">
        <v>11642</v>
      </c>
      <c r="J263" s="10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10" t="s">
        <v>2004</v>
      </c>
      <c r="E264" s="10" t="s">
        <v>8</v>
      </c>
      <c r="F264" s="10"/>
      <c r="H264" s="10"/>
      <c r="I264" s="10" t="s">
        <v>11645</v>
      </c>
      <c r="J264" s="10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10" t="s">
        <v>2004</v>
      </c>
      <c r="E265" s="10" t="s">
        <v>8</v>
      </c>
      <c r="F265" s="10"/>
      <c r="H265" s="10"/>
      <c r="I265" s="10" t="s">
        <v>11648</v>
      </c>
      <c r="J265" s="10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10" t="s">
        <v>2004</v>
      </c>
      <c r="E266" s="10" t="s">
        <v>8</v>
      </c>
      <c r="F266" s="10"/>
      <c r="H266" s="10"/>
      <c r="I266" s="10" t="s">
        <v>11776</v>
      </c>
      <c r="J266" s="10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10" t="s">
        <v>2004</v>
      </c>
      <c r="E267" s="10" t="s">
        <v>8</v>
      </c>
      <c r="F267" s="10"/>
      <c r="H267" s="10"/>
      <c r="I267" s="10" t="s">
        <v>11779</v>
      </c>
      <c r="J267" s="10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10" t="s">
        <v>4</v>
      </c>
      <c r="E268" s="10" t="s">
        <v>9913</v>
      </c>
      <c r="F268" s="10"/>
      <c r="H268" s="10"/>
      <c r="I268" s="10" t="s">
        <v>11784</v>
      </c>
      <c r="J268" s="10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10" t="s">
        <v>4</v>
      </c>
      <c r="E269" s="10" t="s">
        <v>8</v>
      </c>
      <c r="F269" s="10"/>
      <c r="H269" s="10"/>
      <c r="I269" s="10" t="s">
        <v>11787</v>
      </c>
      <c r="J269" s="10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10" t="s">
        <v>4</v>
      </c>
      <c r="E270" s="10" t="s">
        <v>9913</v>
      </c>
      <c r="F270" s="10"/>
      <c r="H270" s="10"/>
      <c r="I270" s="10" t="s">
        <v>11790</v>
      </c>
      <c r="J270" s="1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10" t="s">
        <v>4</v>
      </c>
      <c r="E271" s="10" t="s">
        <v>9913</v>
      </c>
      <c r="F271" s="10"/>
      <c r="H271" s="10"/>
      <c r="I271" s="10" t="s">
        <v>11793</v>
      </c>
      <c r="J271" s="10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10" t="s">
        <v>11961</v>
      </c>
      <c r="E272" s="10"/>
      <c r="F272" s="10"/>
      <c r="H272" s="10"/>
      <c r="I272" s="10" t="s">
        <v>11796</v>
      </c>
      <c r="J272" s="10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10" t="s">
        <v>4</v>
      </c>
      <c r="E273" s="10" t="s">
        <v>8</v>
      </c>
      <c r="F273" s="10"/>
      <c r="H273" s="10"/>
      <c r="I273" s="10" t="s">
        <v>11799</v>
      </c>
      <c r="J273" s="10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10" t="s">
        <v>4</v>
      </c>
      <c r="E274" s="10" t="s">
        <v>8</v>
      </c>
      <c r="F274" s="10"/>
      <c r="H274" s="10"/>
      <c r="I274" s="10" t="s">
        <v>11802</v>
      </c>
      <c r="J274" s="10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10" t="s">
        <v>4</v>
      </c>
      <c r="E275" s="10" t="s">
        <v>8</v>
      </c>
      <c r="F275" s="10"/>
      <c r="H275" s="10"/>
      <c r="I275" s="10" t="s">
        <v>11805</v>
      </c>
      <c r="J275" s="10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10" t="s">
        <v>4</v>
      </c>
      <c r="E276" s="10" t="s">
        <v>8</v>
      </c>
      <c r="F276" s="10"/>
      <c r="H276" s="10"/>
      <c r="I276" s="10" t="s">
        <v>11808</v>
      </c>
      <c r="J276" s="10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10" t="s">
        <v>11962</v>
      </c>
      <c r="E277" s="10" t="s">
        <v>2932</v>
      </c>
      <c r="F277" s="10"/>
      <c r="H277" s="10"/>
      <c r="I277" s="10" t="s">
        <v>11811</v>
      </c>
      <c r="J277" s="10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10" t="s">
        <v>4</v>
      </c>
      <c r="E278" s="10" t="s">
        <v>9913</v>
      </c>
      <c r="F278" s="10"/>
      <c r="H278" s="10"/>
      <c r="I278" s="10" t="s">
        <v>11814</v>
      </c>
      <c r="J278" s="10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10" t="s">
        <v>4</v>
      </c>
      <c r="E279" s="10" t="s">
        <v>8</v>
      </c>
      <c r="F279" s="10"/>
      <c r="H279" s="10"/>
      <c r="I279" s="10" t="s">
        <v>11817</v>
      </c>
      <c r="J279" s="10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10" t="s">
        <v>4</v>
      </c>
      <c r="E280" s="10" t="s">
        <v>4248</v>
      </c>
      <c r="F280" s="10"/>
      <c r="H280" s="10"/>
      <c r="I280" s="10" t="s">
        <v>12018</v>
      </c>
      <c r="J280" s="1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10" t="s">
        <v>4</v>
      </c>
      <c r="E281" s="10" t="s">
        <v>4248</v>
      </c>
      <c r="F281" s="10"/>
      <c r="H281" s="10" t="s">
        <v>2936</v>
      </c>
      <c r="I281" s="10" t="s">
        <v>12021</v>
      </c>
      <c r="J281" s="10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10" t="s">
        <v>2004</v>
      </c>
      <c r="E282" s="10" t="s">
        <v>8</v>
      </c>
      <c r="F282" s="10"/>
      <c r="H282" s="10"/>
      <c r="I282" s="10" t="s">
        <v>12024</v>
      </c>
      <c r="J282" s="10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10" t="s">
        <v>2004</v>
      </c>
      <c r="E283" s="10" t="s">
        <v>8</v>
      </c>
      <c r="F283" s="10"/>
      <c r="H283" s="10"/>
      <c r="I283" s="10" t="s">
        <v>12058</v>
      </c>
      <c r="J283" s="10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2" t="s">
        <v>13</v>
      </c>
      <c r="B284" s="4">
        <v>46069</v>
      </c>
      <c r="C284" s="5">
        <v>0.50343749999999998</v>
      </c>
      <c r="D284" s="10" t="s">
        <v>4</v>
      </c>
      <c r="E284" s="10" t="s">
        <v>12383</v>
      </c>
      <c r="F284" s="10"/>
      <c r="H284" s="10"/>
      <c r="I284" s="10" t="s">
        <v>12212</v>
      </c>
      <c r="J284" s="10" t="s">
        <v>2984</v>
      </c>
      <c r="K284" t="s">
        <v>12213</v>
      </c>
      <c r="L284" t="s">
        <v>12360</v>
      </c>
      <c r="M284" s="3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2" t="s">
        <v>13</v>
      </c>
      <c r="B285" s="4">
        <v>46069</v>
      </c>
      <c r="C285" s="5">
        <v>0.51503472222222224</v>
      </c>
      <c r="D285" s="10" t="s">
        <v>9876</v>
      </c>
      <c r="E285" s="10"/>
      <c r="F285" s="10"/>
      <c r="H285" s="10"/>
      <c r="I285" s="10" t="s">
        <v>12214</v>
      </c>
      <c r="J285" s="10" t="s">
        <v>2984</v>
      </c>
      <c r="K285" t="s">
        <v>12215</v>
      </c>
      <c r="L285" t="s">
        <v>12361</v>
      </c>
      <c r="M285" s="3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2" t="s">
        <v>13</v>
      </c>
      <c r="B286" s="4">
        <v>46069</v>
      </c>
      <c r="C286" s="5">
        <v>0.56626157407407407</v>
      </c>
      <c r="D286" s="10" t="s">
        <v>9876</v>
      </c>
      <c r="E286" s="10"/>
      <c r="F286" s="10"/>
      <c r="H286" s="10"/>
      <c r="I286" s="10" t="s">
        <v>12216</v>
      </c>
      <c r="J286" s="10" t="s">
        <v>2984</v>
      </c>
      <c r="K286" t="s">
        <v>12217</v>
      </c>
      <c r="L286" t="s">
        <v>12362</v>
      </c>
      <c r="M286" s="3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2" t="s">
        <v>13</v>
      </c>
      <c r="B287" s="4">
        <v>46069</v>
      </c>
      <c r="C287" s="5">
        <v>0.68730324074074078</v>
      </c>
      <c r="D287" s="10" t="s">
        <v>9876</v>
      </c>
      <c r="E287" s="10"/>
      <c r="F287" s="10"/>
      <c r="H287" s="10"/>
      <c r="I287" s="10" t="s">
        <v>12218</v>
      </c>
      <c r="J287" s="10" t="s">
        <v>2984</v>
      </c>
      <c r="K287" t="s">
        <v>12219</v>
      </c>
      <c r="L287" t="s">
        <v>12363</v>
      </c>
      <c r="M287" s="3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2" t="s">
        <v>14</v>
      </c>
      <c r="B288" s="4">
        <v>46070</v>
      </c>
      <c r="C288" s="5">
        <v>0.44559027777777777</v>
      </c>
      <c r="D288" s="10" t="s">
        <v>9876</v>
      </c>
      <c r="E288" s="10"/>
      <c r="F288" s="10"/>
      <c r="H288" s="10"/>
      <c r="I288" s="10" t="s">
        <v>12220</v>
      </c>
      <c r="J288" s="10" t="s">
        <v>2984</v>
      </c>
      <c r="K288" t="s">
        <v>12221</v>
      </c>
      <c r="L288" t="s">
        <v>12364</v>
      </c>
      <c r="M288" s="3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2" t="s">
        <v>14</v>
      </c>
      <c r="B289" s="4">
        <v>46070</v>
      </c>
      <c r="C289" s="5">
        <v>0.60366898148148151</v>
      </c>
      <c r="D289" s="10" t="s">
        <v>9876</v>
      </c>
      <c r="E289" s="10"/>
      <c r="F289" s="10"/>
      <c r="H289" s="10"/>
      <c r="I289" s="10" t="s">
        <v>12222</v>
      </c>
      <c r="J289" s="10" t="s">
        <v>2984</v>
      </c>
      <c r="K289" t="s">
        <v>12223</v>
      </c>
      <c r="L289" t="s">
        <v>12365</v>
      </c>
      <c r="M289" s="3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2" t="s">
        <v>14</v>
      </c>
      <c r="B290" s="4">
        <v>46070</v>
      </c>
      <c r="C290" s="5">
        <v>0.71502314814814816</v>
      </c>
      <c r="D290" s="10" t="s">
        <v>9876</v>
      </c>
      <c r="E290" s="10"/>
      <c r="F290" s="10"/>
      <c r="H290" s="10"/>
      <c r="I290" s="10" t="s">
        <v>12224</v>
      </c>
      <c r="J290" s="10" t="s">
        <v>2984</v>
      </c>
      <c r="K290" t="s">
        <v>12225</v>
      </c>
      <c r="L290" t="s">
        <v>12366</v>
      </c>
      <c r="M290" s="3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2" t="s">
        <v>15</v>
      </c>
      <c r="B291" s="4">
        <v>46071</v>
      </c>
      <c r="C291" s="5">
        <v>0.40998842592592594</v>
      </c>
      <c r="D291" s="10" t="s">
        <v>9876</v>
      </c>
      <c r="E291" s="10"/>
      <c r="F291" s="10"/>
      <c r="H291" s="10"/>
      <c r="I291" s="10" t="s">
        <v>12226</v>
      </c>
      <c r="J291" s="10" t="s">
        <v>2984</v>
      </c>
      <c r="K291" t="s">
        <v>12227</v>
      </c>
      <c r="L291" t="s">
        <v>12367</v>
      </c>
      <c r="M291" s="3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2" t="s">
        <v>15</v>
      </c>
      <c r="B292" s="4">
        <v>46071</v>
      </c>
      <c r="C292" s="5">
        <v>0.42702546296296295</v>
      </c>
      <c r="D292" s="10" t="s">
        <v>9876</v>
      </c>
      <c r="E292" s="10"/>
      <c r="F292" s="10"/>
      <c r="H292" s="10"/>
      <c r="I292" s="10" t="s">
        <v>12228</v>
      </c>
      <c r="J292" s="10" t="s">
        <v>2984</v>
      </c>
      <c r="K292" t="s">
        <v>12229</v>
      </c>
      <c r="L292" t="s">
        <v>12368</v>
      </c>
      <c r="M292" s="3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2" t="s">
        <v>15</v>
      </c>
      <c r="B293" s="4">
        <v>46071</v>
      </c>
      <c r="C293" s="5">
        <v>0.51657407407407407</v>
      </c>
      <c r="D293" s="10" t="s">
        <v>159</v>
      </c>
      <c r="E293" s="10" t="s">
        <v>12373</v>
      </c>
      <c r="F293" s="10"/>
      <c r="H293" s="10"/>
      <c r="I293" s="10" t="s">
        <v>12230</v>
      </c>
      <c r="J293" s="10" t="s">
        <v>2984</v>
      </c>
      <c r="K293" t="s">
        <v>12231</v>
      </c>
      <c r="L293" t="s">
        <v>12369</v>
      </c>
      <c r="M293" s="3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2" t="s">
        <v>15</v>
      </c>
      <c r="B294" s="4">
        <v>46071</v>
      </c>
      <c r="C294" s="5">
        <v>0.77922453703703709</v>
      </c>
      <c r="D294" s="10" t="s">
        <v>4</v>
      </c>
      <c r="E294" s="10" t="s">
        <v>8</v>
      </c>
      <c r="F294" s="10"/>
      <c r="H294" s="10"/>
      <c r="I294" s="10" t="s">
        <v>12232</v>
      </c>
      <c r="J294" s="10" t="s">
        <v>2984</v>
      </c>
      <c r="K294" t="s">
        <v>12233</v>
      </c>
      <c r="L294" t="s">
        <v>12370</v>
      </c>
      <c r="M294" s="3" t="str">
        <f>HYPERLINK(склад2въезд13192021[[#This Row],[RelativePath]])</f>
        <v>7 Площадка 2 бетонщики\134160575_1_20260218T184205Z.jpg</v>
      </c>
    </row>
  </sheetData>
  <conditionalFormatting sqref="E295:E308 D1:D197 D295:D1048576 G2:H294 D2:E294">
    <cfRule type="containsText" dxfId="689" priority="18" operator="containsText" text="Выезд с территории">
      <formula>NOT(ISERROR(SEARCH("Выезд с территории",D1)))</formula>
    </cfRule>
  </conditionalFormatting>
  <conditionalFormatting sqref="F2:F294">
    <cfRule type="notContainsText" dxfId="688" priority="17" operator="notContains" text="порожний">
      <formula>ISERROR(SEARCH("порожний",F2))</formula>
    </cfRule>
  </conditionalFormatting>
  <conditionalFormatting sqref="E2:E308">
    <cfRule type="containsText" dxfId="687" priority="15" operator="containsText" text="Газель базы">
      <formula>NOT(ISERROR(SEARCH("Газель базы",E2)))</formula>
    </cfRule>
    <cfRule type="containsText" dxfId="686" priority="16" operator="containsText" text="Погрузчик базы">
      <formula>NOT(ISERROR(SEARCH("Погрузчик базы",E2)))</formula>
    </cfRule>
  </conditionalFormatting>
  <conditionalFormatting sqref="E2:E308">
    <cfRule type="containsText" dxfId="685" priority="14" operator="containsText" text="Трактор базы">
      <formula>NOT(ISERROR(SEARCH("Трактор базы",E2)))</formula>
    </cfRule>
  </conditionalFormatting>
  <conditionalFormatting sqref="A2:C294">
    <cfRule type="expression" dxfId="684" priority="13">
      <formula>$A2="пн"</formula>
    </cfRule>
  </conditionalFormatting>
  <conditionalFormatting sqref="A2:C296">
    <cfRule type="expression" dxfId="683" priority="7">
      <formula>$A2="вс"</formula>
    </cfRule>
    <cfRule type="expression" dxfId="682" priority="8">
      <formula>$A2="сб"</formula>
    </cfRule>
    <cfRule type="expression" dxfId="681" priority="9">
      <formula>$A2="пт"</formula>
    </cfRule>
    <cfRule type="expression" dxfId="680" priority="10">
      <formula>$A2="чт"</formula>
    </cfRule>
    <cfRule type="expression" dxfId="679" priority="11">
      <formula>$A2="ср"</formula>
    </cfRule>
    <cfRule type="expression" dxfId="678" priority="12">
      <formula>$A2="вт"</formula>
    </cfRule>
  </conditionalFormatting>
  <conditionalFormatting sqref="D1:D1048576">
    <cfRule type="containsText" dxfId="67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7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7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674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673" priority="13" operator="notContains" text="порожний">
      <formula>ISERROR(SEARCH("порожний",F2))</formula>
    </cfRule>
  </conditionalFormatting>
  <conditionalFormatting sqref="E2:E304">
    <cfRule type="containsText" dxfId="672" priority="11" operator="containsText" text="Газель базы">
      <formula>NOT(ISERROR(SEARCH("Газель базы",E2)))</formula>
    </cfRule>
    <cfRule type="containsText" dxfId="671" priority="12" operator="containsText" text="Погрузчик базы">
      <formula>NOT(ISERROR(SEARCH("Погрузчик базы",E2)))</formula>
    </cfRule>
  </conditionalFormatting>
  <conditionalFormatting sqref="E2:E304">
    <cfRule type="containsText" dxfId="670" priority="10" operator="containsText" text="Трактор базы">
      <formula>NOT(ISERROR(SEARCH("Трактор базы",E2)))</formula>
    </cfRule>
  </conditionalFormatting>
  <conditionalFormatting sqref="A2:C290">
    <cfRule type="expression" dxfId="669" priority="9">
      <formula>$A2="пн"</formula>
    </cfRule>
  </conditionalFormatting>
  <conditionalFormatting sqref="A2:C292">
    <cfRule type="expression" dxfId="668" priority="3">
      <formula>$A2="вс"</formula>
    </cfRule>
    <cfRule type="expression" dxfId="667" priority="4">
      <formula>$A2="сб"</formula>
    </cfRule>
    <cfRule type="expression" dxfId="666" priority="5">
      <formula>$A2="пт"</formula>
    </cfRule>
    <cfRule type="expression" dxfId="665" priority="6">
      <formula>$A2="чт"</formula>
    </cfRule>
    <cfRule type="expression" dxfId="664" priority="7">
      <formula>$A2="ср"</formula>
    </cfRule>
    <cfRule type="expression" dxfId="663" priority="8">
      <formula>$A2="вт"</formula>
    </cfRule>
  </conditionalFormatting>
  <conditionalFormatting sqref="D2:D301">
    <cfRule type="containsText" dxfId="6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6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660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659" priority="13" operator="notContains" text="порожний">
      <formula>ISERROR(SEARCH("порожний",F2))</formula>
    </cfRule>
  </conditionalFormatting>
  <conditionalFormatting sqref="E2:E617">
    <cfRule type="containsText" dxfId="658" priority="11" operator="containsText" text="Газель базы">
      <formula>NOT(ISERROR(SEARCH("Газель базы",E2)))</formula>
    </cfRule>
    <cfRule type="containsText" dxfId="657" priority="12" operator="containsText" text="Погрузчик базы">
      <formula>NOT(ISERROR(SEARCH("Погрузчик базы",E2)))</formula>
    </cfRule>
  </conditionalFormatting>
  <conditionalFormatting sqref="E2:E617">
    <cfRule type="containsText" dxfId="656" priority="10" operator="containsText" text="Трактор базы">
      <formula>NOT(ISERROR(SEARCH("Трактор базы",E2)))</formula>
    </cfRule>
  </conditionalFormatting>
  <conditionalFormatting sqref="A2:C603">
    <cfRule type="expression" dxfId="655" priority="9">
      <formula>$A2="пн"</formula>
    </cfRule>
  </conditionalFormatting>
  <conditionalFormatting sqref="A2:C605">
    <cfRule type="expression" dxfId="654" priority="3">
      <formula>$A2="вс"</formula>
    </cfRule>
    <cfRule type="expression" dxfId="653" priority="4">
      <formula>$A2="сб"</formula>
    </cfRule>
    <cfRule type="expression" dxfId="652" priority="5">
      <formula>$A2="пт"</formula>
    </cfRule>
    <cfRule type="expression" dxfId="651" priority="6">
      <formula>$A2="чт"</formula>
    </cfRule>
    <cfRule type="expression" dxfId="650" priority="7">
      <formula>$A2="ср"</formula>
    </cfRule>
    <cfRule type="expression" dxfId="649" priority="8">
      <formula>$A2="вт"</formula>
    </cfRule>
  </conditionalFormatting>
  <conditionalFormatting sqref="D2:D614">
    <cfRule type="containsText" dxfId="6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6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646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645" priority="13" operator="notContains" text="порожний">
      <formula>ISERROR(SEARCH("порожний",F2))</formula>
    </cfRule>
  </conditionalFormatting>
  <conditionalFormatting sqref="E2:E636">
    <cfRule type="containsText" dxfId="644" priority="11" operator="containsText" text="Газель базы">
      <formula>NOT(ISERROR(SEARCH("Газель базы",E2)))</formula>
    </cfRule>
    <cfRule type="containsText" dxfId="643" priority="12" operator="containsText" text="Погрузчик базы">
      <formula>NOT(ISERROR(SEARCH("Погрузчик базы",E2)))</formula>
    </cfRule>
  </conditionalFormatting>
  <conditionalFormatting sqref="E2:E636">
    <cfRule type="containsText" dxfId="642" priority="10" operator="containsText" text="Трактор базы">
      <formula>NOT(ISERROR(SEARCH("Трактор базы",E2)))</formula>
    </cfRule>
  </conditionalFormatting>
  <conditionalFormatting sqref="A2:C622">
    <cfRule type="expression" dxfId="641" priority="9">
      <formula>$A2="пн"</formula>
    </cfRule>
  </conditionalFormatting>
  <conditionalFormatting sqref="A2:C624">
    <cfRule type="expression" dxfId="640" priority="3">
      <formula>$A2="вс"</formula>
    </cfRule>
    <cfRule type="expression" dxfId="639" priority="4">
      <formula>$A2="сб"</formula>
    </cfRule>
    <cfRule type="expression" dxfId="638" priority="5">
      <formula>$A2="пт"</formula>
    </cfRule>
    <cfRule type="expression" dxfId="637" priority="6">
      <formula>$A2="чт"</formula>
    </cfRule>
    <cfRule type="expression" dxfId="636" priority="7">
      <formula>$A2="ср"</formula>
    </cfRule>
    <cfRule type="expression" dxfId="635" priority="8">
      <formula>$A2="вт"</formula>
    </cfRule>
  </conditionalFormatting>
  <conditionalFormatting sqref="D2:D633">
    <cfRule type="containsText" dxfId="6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6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632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631" priority="13" operator="notContains" text="порожний">
      <formula>ISERROR(SEARCH("порожний",F2))</formula>
    </cfRule>
  </conditionalFormatting>
  <conditionalFormatting sqref="E2:E317">
    <cfRule type="containsText" dxfId="630" priority="11" operator="containsText" text="Газель базы">
      <formula>NOT(ISERROR(SEARCH("Газель базы",E2)))</formula>
    </cfRule>
    <cfRule type="containsText" dxfId="629" priority="12" operator="containsText" text="Погрузчик базы">
      <formula>NOT(ISERROR(SEARCH("Погрузчик базы",E2)))</formula>
    </cfRule>
  </conditionalFormatting>
  <conditionalFormatting sqref="E2:E317">
    <cfRule type="containsText" dxfId="628" priority="10" operator="containsText" text="Трактор базы">
      <formula>NOT(ISERROR(SEARCH("Трактор базы",E2)))</formula>
    </cfRule>
  </conditionalFormatting>
  <conditionalFormatting sqref="A2:C303">
    <cfRule type="expression" dxfId="627" priority="9">
      <formula>$A2="пн"</formula>
    </cfRule>
  </conditionalFormatting>
  <conditionalFormatting sqref="A2:C305">
    <cfRule type="expression" dxfId="626" priority="3">
      <formula>$A2="вс"</formula>
    </cfRule>
    <cfRule type="expression" dxfId="625" priority="4">
      <formula>$A2="сб"</formula>
    </cfRule>
    <cfRule type="expression" dxfId="624" priority="5">
      <formula>$A2="пт"</formula>
    </cfRule>
    <cfRule type="expression" dxfId="623" priority="6">
      <formula>$A2="чт"</formula>
    </cfRule>
    <cfRule type="expression" dxfId="622" priority="7">
      <formula>$A2="ср"</formula>
    </cfRule>
    <cfRule type="expression" dxfId="621" priority="8">
      <formula>$A2="вт"</formula>
    </cfRule>
  </conditionalFormatting>
  <conditionalFormatting sqref="D2:D314">
    <cfRule type="containsText" dxfId="6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6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13"/>
  <sheetViews>
    <sheetView zoomScale="90" zoomScaleNormal="90" workbookViewId="0">
      <pane ySplit="1" topLeftCell="A197" activePane="bottomLeft" state="frozen"/>
      <selection pane="bottomLeft" activeCell="I206" sqref="I206:I2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10" t="s">
        <v>4</v>
      </c>
      <c r="E2" s="10" t="s">
        <v>8</v>
      </c>
      <c r="F2" s="10"/>
      <c r="H2" s="10" t="s">
        <v>5</v>
      </c>
      <c r="I2" s="10" t="s">
        <v>1826</v>
      </c>
      <c r="J2" s="10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10" t="s">
        <v>4</v>
      </c>
      <c r="E3" s="10" t="s">
        <v>8</v>
      </c>
      <c r="F3" s="10"/>
      <c r="H3" s="10"/>
      <c r="I3" s="10" t="s">
        <v>1829</v>
      </c>
      <c r="J3" s="10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10" t="s">
        <v>4</v>
      </c>
      <c r="E4" s="10" t="s">
        <v>8</v>
      </c>
      <c r="F4" s="10"/>
      <c r="H4" s="10"/>
      <c r="I4" s="10" t="s">
        <v>1832</v>
      </c>
      <c r="J4" s="10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10" t="s">
        <v>4</v>
      </c>
      <c r="E5" s="10" t="s">
        <v>1935</v>
      </c>
      <c r="F5" s="10"/>
      <c r="H5" s="10"/>
      <c r="I5" s="10" t="s">
        <v>1835</v>
      </c>
      <c r="J5" s="10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10" t="s">
        <v>4</v>
      </c>
      <c r="E6" s="10" t="s">
        <v>8</v>
      </c>
      <c r="F6" s="10"/>
      <c r="H6" s="10"/>
      <c r="I6" s="10" t="s">
        <v>1838</v>
      </c>
      <c r="J6" s="10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10" t="s">
        <v>4</v>
      </c>
      <c r="E7" s="10" t="s">
        <v>8</v>
      </c>
      <c r="F7" s="10"/>
      <c r="H7" s="10"/>
      <c r="I7" s="10" t="s">
        <v>1841</v>
      </c>
      <c r="J7" s="10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10" t="s">
        <v>4</v>
      </c>
      <c r="E8" s="10" t="s">
        <v>21</v>
      </c>
      <c r="F8" s="10"/>
      <c r="H8" s="10"/>
      <c r="I8" s="10" t="s">
        <v>1844</v>
      </c>
      <c r="J8" s="10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10" t="s">
        <v>4</v>
      </c>
      <c r="E9" s="10" t="s">
        <v>8</v>
      </c>
      <c r="F9" s="10"/>
      <c r="H9" s="10"/>
      <c r="I9" s="10" t="s">
        <v>1847</v>
      </c>
      <c r="J9" s="10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10" t="s">
        <v>4</v>
      </c>
      <c r="E10" s="10" t="s">
        <v>8</v>
      </c>
      <c r="F10" s="10"/>
      <c r="H10" s="10"/>
      <c r="I10" s="10" t="s">
        <v>1850</v>
      </c>
      <c r="J10" s="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10" t="s">
        <v>4</v>
      </c>
      <c r="E11" s="10" t="s">
        <v>8</v>
      </c>
      <c r="F11" s="10"/>
      <c r="H11" s="10" t="s">
        <v>1625</v>
      </c>
      <c r="I11" s="10" t="s">
        <v>1853</v>
      </c>
      <c r="J11" s="10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10" t="s">
        <v>4</v>
      </c>
      <c r="E12" s="10" t="s">
        <v>1936</v>
      </c>
      <c r="F12" s="10"/>
      <c r="H12" s="10"/>
      <c r="I12" s="10" t="s">
        <v>1856</v>
      </c>
      <c r="J12" s="10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10" t="s">
        <v>4</v>
      </c>
      <c r="E13" s="10" t="s">
        <v>1936</v>
      </c>
      <c r="F13" s="10"/>
      <c r="H13" s="10"/>
      <c r="I13" s="10" t="s">
        <v>1859</v>
      </c>
      <c r="J13" s="10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10" t="s">
        <v>4</v>
      </c>
      <c r="E14" s="10" t="s">
        <v>8</v>
      </c>
      <c r="F14" s="10"/>
      <c r="H14" s="10" t="s">
        <v>5</v>
      </c>
      <c r="I14" s="10" t="s">
        <v>1862</v>
      </c>
      <c r="J14" s="10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10" t="s">
        <v>4</v>
      </c>
      <c r="E15" s="10" t="s">
        <v>8</v>
      </c>
      <c r="F15" s="10"/>
      <c r="H15" s="10"/>
      <c r="I15" s="10" t="s">
        <v>1865</v>
      </c>
      <c r="J15" s="10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10" t="s">
        <v>4</v>
      </c>
      <c r="E16" s="10" t="s">
        <v>8</v>
      </c>
      <c r="F16" s="10"/>
      <c r="H16" s="10"/>
      <c r="I16" s="10" t="s">
        <v>1868</v>
      </c>
      <c r="J16" s="10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10" t="s">
        <v>4</v>
      </c>
      <c r="E17" s="10" t="s">
        <v>8</v>
      </c>
      <c r="F17" s="10"/>
      <c r="H17" s="10"/>
      <c r="I17" s="10" t="s">
        <v>1871</v>
      </c>
      <c r="J17" s="10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10" t="s">
        <v>4</v>
      </c>
      <c r="E18" s="10" t="s">
        <v>8</v>
      </c>
      <c r="F18" s="10"/>
      <c r="H18" s="10" t="s">
        <v>1625</v>
      </c>
      <c r="I18" s="10" t="s">
        <v>1874</v>
      </c>
      <c r="J18" s="10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10" t="s">
        <v>4</v>
      </c>
      <c r="E19" s="10" t="s">
        <v>8</v>
      </c>
      <c r="F19" s="10"/>
      <c r="H19" s="10"/>
      <c r="I19" s="10" t="s">
        <v>1877</v>
      </c>
      <c r="J19" s="10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10" t="s">
        <v>4</v>
      </c>
      <c r="E20" s="10" t="s">
        <v>8</v>
      </c>
      <c r="F20" s="10"/>
      <c r="H20" s="10"/>
      <c r="I20" s="10" t="s">
        <v>1880</v>
      </c>
      <c r="J20" s="1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10" t="s">
        <v>4</v>
      </c>
      <c r="E21" s="10" t="s">
        <v>21</v>
      </c>
      <c r="F21" s="10"/>
      <c r="H21" s="10"/>
      <c r="I21" s="10" t="s">
        <v>1883</v>
      </c>
      <c r="J21" s="10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10" t="s">
        <v>4</v>
      </c>
      <c r="E22" s="10" t="s">
        <v>8</v>
      </c>
      <c r="F22" s="10"/>
      <c r="H22" s="10"/>
      <c r="I22" s="10" t="s">
        <v>1886</v>
      </c>
      <c r="J22" s="10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10" t="s">
        <v>4</v>
      </c>
      <c r="E23" s="10" t="s">
        <v>21</v>
      </c>
      <c r="F23" s="10"/>
      <c r="H23" s="10"/>
      <c r="I23" s="10" t="s">
        <v>1889</v>
      </c>
      <c r="J23" s="10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10" t="s">
        <v>4</v>
      </c>
      <c r="E24" s="10" t="s">
        <v>8</v>
      </c>
      <c r="F24" s="10"/>
      <c r="H24" s="10"/>
      <c r="I24" s="10" t="s">
        <v>1892</v>
      </c>
      <c r="J24" s="10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10" t="s">
        <v>4</v>
      </c>
      <c r="E25" s="10" t="s">
        <v>21</v>
      </c>
      <c r="F25" s="10"/>
      <c r="H25" s="10"/>
      <c r="I25" s="10" t="s">
        <v>1895</v>
      </c>
      <c r="J25" s="10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10" t="s">
        <v>4</v>
      </c>
      <c r="E26" s="10" t="s">
        <v>8</v>
      </c>
      <c r="F26" s="10"/>
      <c r="H26" s="10" t="s">
        <v>1625</v>
      </c>
      <c r="I26" s="10" t="s">
        <v>1898</v>
      </c>
      <c r="J26" s="10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10" t="s">
        <v>4</v>
      </c>
      <c r="E27" s="10" t="s">
        <v>8</v>
      </c>
      <c r="F27" s="10"/>
      <c r="H27" s="10"/>
      <c r="I27" s="10" t="s">
        <v>1901</v>
      </c>
      <c r="J27" s="10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10" t="s">
        <v>289</v>
      </c>
      <c r="E28" s="10" t="s">
        <v>86</v>
      </c>
      <c r="F28" s="10" t="s">
        <v>200</v>
      </c>
      <c r="H28" s="10"/>
      <c r="I28" s="10" t="s">
        <v>1904</v>
      </c>
      <c r="J28" s="10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10" t="s">
        <v>289</v>
      </c>
      <c r="E29" s="10" t="s">
        <v>86</v>
      </c>
      <c r="F29" s="10" t="s">
        <v>200</v>
      </c>
      <c r="H29" s="10"/>
      <c r="I29" s="10" t="s">
        <v>1907</v>
      </c>
      <c r="J29" s="10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10" t="s">
        <v>289</v>
      </c>
      <c r="E30" s="10" t="s">
        <v>86</v>
      </c>
      <c r="F30" s="10" t="s">
        <v>200</v>
      </c>
      <c r="H30" s="10"/>
      <c r="I30" s="10" t="s">
        <v>1910</v>
      </c>
      <c r="J30" s="1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10" t="s">
        <v>289</v>
      </c>
      <c r="E31" s="10" t="s">
        <v>86</v>
      </c>
      <c r="F31" s="10" t="s">
        <v>200</v>
      </c>
      <c r="H31" s="10"/>
      <c r="I31" s="10" t="s">
        <v>1913</v>
      </c>
      <c r="J31" s="10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10" t="s">
        <v>4</v>
      </c>
      <c r="E32" s="10" t="s">
        <v>8</v>
      </c>
      <c r="F32" s="10"/>
      <c r="H32" s="10" t="s">
        <v>1625</v>
      </c>
      <c r="I32" s="10" t="s">
        <v>1916</v>
      </c>
      <c r="J32" s="10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10" t="s">
        <v>4</v>
      </c>
      <c r="E33" s="10" t="s">
        <v>8</v>
      </c>
      <c r="F33" s="10"/>
      <c r="H33" s="10" t="s">
        <v>5</v>
      </c>
      <c r="I33" s="10" t="s">
        <v>1919</v>
      </c>
      <c r="J33" s="10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10" t="s">
        <v>4</v>
      </c>
      <c r="E34" s="10" t="s">
        <v>8</v>
      </c>
      <c r="F34" s="10"/>
      <c r="H34" s="10" t="s">
        <v>1625</v>
      </c>
      <c r="I34" s="10" t="s">
        <v>1922</v>
      </c>
      <c r="J34" s="10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10" t="s">
        <v>4</v>
      </c>
      <c r="E35" s="10" t="s">
        <v>8</v>
      </c>
      <c r="F35" s="10"/>
      <c r="H35" s="10" t="s">
        <v>5</v>
      </c>
      <c r="I35" s="10" t="s">
        <v>1925</v>
      </c>
      <c r="J35" s="10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10" t="s">
        <v>4</v>
      </c>
      <c r="E36" s="10" t="s">
        <v>8</v>
      </c>
      <c r="F36" s="10"/>
      <c r="H36" s="10"/>
      <c r="I36" s="10" t="s">
        <v>1928</v>
      </c>
      <c r="J36" s="10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10" t="s">
        <v>4</v>
      </c>
      <c r="E37" s="10" t="s">
        <v>8</v>
      </c>
      <c r="F37" s="10"/>
      <c r="H37" s="10"/>
      <c r="I37" s="10" t="s">
        <v>1931</v>
      </c>
      <c r="J37" s="10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10" t="s">
        <v>4</v>
      </c>
      <c r="E38" s="10" t="s">
        <v>8</v>
      </c>
      <c r="F38" s="10"/>
      <c r="H38" s="10"/>
      <c r="I38" s="10" t="s">
        <v>2589</v>
      </c>
      <c r="J38" s="10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10" t="s">
        <v>7</v>
      </c>
      <c r="E39" s="10"/>
      <c r="F39" s="10"/>
      <c r="H39" s="10"/>
      <c r="I39" s="10" t="s">
        <v>2592</v>
      </c>
      <c r="J39" s="10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10" t="s">
        <v>4</v>
      </c>
      <c r="E40" s="10" t="s">
        <v>8</v>
      </c>
      <c r="F40" s="10"/>
      <c r="H40" s="10"/>
      <c r="I40" s="10" t="s">
        <v>2595</v>
      </c>
      <c r="J40" s="1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10" t="s">
        <v>11</v>
      </c>
      <c r="E41" s="10"/>
      <c r="F41" s="10"/>
      <c r="H41" s="10"/>
      <c r="I41" s="10" t="s">
        <v>2598</v>
      </c>
      <c r="J41" s="10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10" t="s">
        <v>4</v>
      </c>
      <c r="E42" s="10" t="s">
        <v>8</v>
      </c>
      <c r="F42" s="10"/>
      <c r="H42" s="10"/>
      <c r="I42" s="10" t="s">
        <v>2601</v>
      </c>
      <c r="J42" s="10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10" t="s">
        <v>2004</v>
      </c>
      <c r="E43" s="10"/>
      <c r="F43" s="10"/>
      <c r="H43" s="10"/>
      <c r="I43" s="10" t="s">
        <v>2604</v>
      </c>
      <c r="J43" s="10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10" t="s">
        <v>4</v>
      </c>
      <c r="E44" s="10" t="s">
        <v>8</v>
      </c>
      <c r="F44" s="10"/>
      <c r="H44" s="10"/>
      <c r="I44" s="10" t="s">
        <v>2607</v>
      </c>
      <c r="J44" s="10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10" t="s">
        <v>2004</v>
      </c>
      <c r="E45" s="10"/>
      <c r="F45" s="10"/>
      <c r="H45" s="10"/>
      <c r="I45" s="10" t="s">
        <v>2610</v>
      </c>
      <c r="J45" s="10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10" t="s">
        <v>4</v>
      </c>
      <c r="E46" s="10" t="s">
        <v>8</v>
      </c>
      <c r="F46" s="10"/>
      <c r="H46" s="10"/>
      <c r="I46" s="10" t="s">
        <v>2613</v>
      </c>
      <c r="J46" s="10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10" t="s">
        <v>2004</v>
      </c>
      <c r="E47" s="10"/>
      <c r="F47" s="10"/>
      <c r="H47" s="10"/>
      <c r="I47" s="10" t="s">
        <v>2616</v>
      </c>
      <c r="J47" s="10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10" t="s">
        <v>4</v>
      </c>
      <c r="E48" s="10" t="s">
        <v>8</v>
      </c>
      <c r="F48" s="10"/>
      <c r="H48" s="10"/>
      <c r="I48" s="10" t="s">
        <v>2619</v>
      </c>
      <c r="J48" s="10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10" t="s">
        <v>2004</v>
      </c>
      <c r="E49" s="10"/>
      <c r="F49" s="10"/>
      <c r="H49" s="10"/>
      <c r="I49" s="10" t="s">
        <v>2622</v>
      </c>
      <c r="J49" s="10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10" t="s">
        <v>4</v>
      </c>
      <c r="E50" s="10" t="s">
        <v>8</v>
      </c>
      <c r="F50" s="10"/>
      <c r="H50" s="10"/>
      <c r="I50" s="10" t="s">
        <v>2625</v>
      </c>
      <c r="J50" s="1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10" t="s">
        <v>2004</v>
      </c>
      <c r="E51" s="10"/>
      <c r="F51" s="10"/>
      <c r="H51" s="10"/>
      <c r="I51" s="10" t="s">
        <v>2628</v>
      </c>
      <c r="J51" s="10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10" t="s">
        <v>7</v>
      </c>
      <c r="E52" s="10"/>
      <c r="F52" s="10"/>
      <c r="H52" s="10"/>
      <c r="I52" s="10" t="s">
        <v>4127</v>
      </c>
      <c r="J52" s="10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10" t="s">
        <v>4246</v>
      </c>
      <c r="E53" s="10" t="s">
        <v>4247</v>
      </c>
      <c r="F53" s="10"/>
      <c r="H53" s="10"/>
      <c r="I53" s="10" t="s">
        <v>4130</v>
      </c>
      <c r="J53" s="10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10" t="s">
        <v>4246</v>
      </c>
      <c r="E54" s="10" t="s">
        <v>4247</v>
      </c>
      <c r="F54" s="10"/>
      <c r="H54" s="10"/>
      <c r="I54" s="10" t="s">
        <v>4133</v>
      </c>
      <c r="J54" s="10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10" t="s">
        <v>4246</v>
      </c>
      <c r="E55" s="10" t="s">
        <v>4247</v>
      </c>
      <c r="F55" s="10"/>
      <c r="H55" s="10"/>
      <c r="I55" s="10" t="s">
        <v>4136</v>
      </c>
      <c r="J55" s="10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10" t="s">
        <v>4246</v>
      </c>
      <c r="E56" s="10" t="s">
        <v>4247</v>
      </c>
      <c r="F56" s="10"/>
      <c r="H56" s="10"/>
      <c r="I56" s="10" t="s">
        <v>4139</v>
      </c>
      <c r="J56" s="10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10" t="s">
        <v>4246</v>
      </c>
      <c r="E57" s="10" t="s">
        <v>4247</v>
      </c>
      <c r="F57" s="10"/>
      <c r="H57" s="10"/>
      <c r="I57" s="10" t="s">
        <v>4142</v>
      </c>
      <c r="J57" s="10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10" t="s">
        <v>7</v>
      </c>
      <c r="E58" s="10" t="s">
        <v>4248</v>
      </c>
      <c r="F58" s="10"/>
      <c r="H58" s="10"/>
      <c r="I58" s="10" t="s">
        <v>4145</v>
      </c>
      <c r="J58" s="10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10" t="s">
        <v>7</v>
      </c>
      <c r="E59" s="10" t="s">
        <v>4248</v>
      </c>
      <c r="F59" s="10"/>
      <c r="H59" s="10"/>
      <c r="I59" s="10" t="s">
        <v>4148</v>
      </c>
      <c r="J59" s="10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10" t="s">
        <v>7</v>
      </c>
      <c r="E60" s="10" t="s">
        <v>4248</v>
      </c>
      <c r="F60" s="10"/>
      <c r="H60" s="10"/>
      <c r="I60" s="10" t="s">
        <v>4151</v>
      </c>
      <c r="J60" s="1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10" t="s">
        <v>7</v>
      </c>
      <c r="E61" s="10" t="s">
        <v>4248</v>
      </c>
      <c r="F61" s="10"/>
      <c r="H61" s="10"/>
      <c r="I61" s="10" t="s">
        <v>4154</v>
      </c>
      <c r="J61" s="10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10" t="s">
        <v>7</v>
      </c>
      <c r="E62" s="10" t="s">
        <v>4248</v>
      </c>
      <c r="F62" s="10"/>
      <c r="H62" s="10"/>
      <c r="I62" s="10" t="s">
        <v>4157</v>
      </c>
      <c r="J62" s="10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10" t="s">
        <v>7</v>
      </c>
      <c r="E63" s="10" t="s">
        <v>4248</v>
      </c>
      <c r="F63" s="10"/>
      <c r="H63" s="10"/>
      <c r="I63" s="10" t="s">
        <v>4160</v>
      </c>
      <c r="J63" s="10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10" t="s">
        <v>4</v>
      </c>
      <c r="E64" s="10" t="s">
        <v>8</v>
      </c>
      <c r="F64" s="10"/>
      <c r="H64" s="10"/>
      <c r="I64" s="10" t="s">
        <v>4163</v>
      </c>
      <c r="J64" s="10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10" t="s">
        <v>2004</v>
      </c>
      <c r="E65" s="10"/>
      <c r="F65" s="10"/>
      <c r="H65" s="10"/>
      <c r="I65" s="10" t="s">
        <v>4291</v>
      </c>
      <c r="J65" s="10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10" t="s">
        <v>4</v>
      </c>
      <c r="E66" s="10" t="s">
        <v>8</v>
      </c>
      <c r="F66" s="10"/>
      <c r="H66" s="10"/>
      <c r="I66" s="10" t="s">
        <v>4921</v>
      </c>
      <c r="J66" s="10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10" t="s">
        <v>4</v>
      </c>
      <c r="E67" s="10" t="s">
        <v>8</v>
      </c>
      <c r="F67" s="10"/>
      <c r="H67" s="10" t="s">
        <v>2936</v>
      </c>
      <c r="I67" s="10" t="s">
        <v>4924</v>
      </c>
      <c r="J67" s="10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10" t="s">
        <v>4</v>
      </c>
      <c r="E68" s="10" t="s">
        <v>8</v>
      </c>
      <c r="F68" s="10"/>
      <c r="H68" s="10" t="s">
        <v>2936</v>
      </c>
      <c r="I68" s="10" t="s">
        <v>4927</v>
      </c>
      <c r="J68" s="10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10" t="s">
        <v>4</v>
      </c>
      <c r="E69" s="10" t="s">
        <v>8</v>
      </c>
      <c r="F69" s="10"/>
      <c r="H69" s="10" t="s">
        <v>2936</v>
      </c>
      <c r="I69" s="10" t="s">
        <v>4930</v>
      </c>
      <c r="J69" s="10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10" t="s">
        <v>4</v>
      </c>
      <c r="E70" s="10" t="s">
        <v>8</v>
      </c>
      <c r="F70" s="10"/>
      <c r="H70" s="10" t="s">
        <v>2936</v>
      </c>
      <c r="I70" s="10" t="s">
        <v>4933</v>
      </c>
      <c r="J70" s="1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10" t="s">
        <v>4</v>
      </c>
      <c r="E71" s="10" t="s">
        <v>8</v>
      </c>
      <c r="F71" s="10"/>
      <c r="H71" s="10" t="s">
        <v>2936</v>
      </c>
      <c r="I71" s="10" t="s">
        <v>4936</v>
      </c>
      <c r="J71" s="10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10" t="s">
        <v>4</v>
      </c>
      <c r="E72" s="10" t="s">
        <v>8</v>
      </c>
      <c r="F72" s="10"/>
      <c r="H72" s="10" t="s">
        <v>2936</v>
      </c>
      <c r="I72" s="10" t="s">
        <v>4939</v>
      </c>
      <c r="J72" s="10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10" t="s">
        <v>4</v>
      </c>
      <c r="E73" s="10" t="s">
        <v>8</v>
      </c>
      <c r="F73" s="10"/>
      <c r="H73" s="10" t="s">
        <v>2936</v>
      </c>
      <c r="I73" s="10" t="s">
        <v>4942</v>
      </c>
      <c r="J73" s="10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10" t="s">
        <v>4</v>
      </c>
      <c r="E74" s="10" t="s">
        <v>8</v>
      </c>
      <c r="F74" s="10"/>
      <c r="H74" s="10" t="s">
        <v>2936</v>
      </c>
      <c r="I74" s="10" t="s">
        <v>4945</v>
      </c>
      <c r="J74" s="10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10" t="s">
        <v>4</v>
      </c>
      <c r="E75" s="10" t="s">
        <v>8</v>
      </c>
      <c r="F75" s="10"/>
      <c r="H75" s="10" t="s">
        <v>2936</v>
      </c>
      <c r="I75" s="10" t="s">
        <v>4948</v>
      </c>
      <c r="J75" s="10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10" t="s">
        <v>4</v>
      </c>
      <c r="E76" s="10" t="s">
        <v>8</v>
      </c>
      <c r="F76" s="10"/>
      <c r="H76" s="10" t="s">
        <v>2936</v>
      </c>
      <c r="I76" s="10" t="s">
        <v>4951</v>
      </c>
      <c r="J76" s="10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10" t="s">
        <v>4</v>
      </c>
      <c r="E77" s="10" t="s">
        <v>8</v>
      </c>
      <c r="F77" s="10"/>
      <c r="H77" s="10" t="s">
        <v>2936</v>
      </c>
      <c r="I77" s="10" t="s">
        <v>4954</v>
      </c>
      <c r="J77" s="10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10" t="s">
        <v>4</v>
      </c>
      <c r="E78" s="10" t="s">
        <v>8</v>
      </c>
      <c r="F78" s="10"/>
      <c r="H78" s="10" t="s">
        <v>2936</v>
      </c>
      <c r="I78" s="10" t="s">
        <v>4957</v>
      </c>
      <c r="J78" s="10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10" t="s">
        <v>4</v>
      </c>
      <c r="E79" s="10" t="s">
        <v>8</v>
      </c>
      <c r="F79" s="10"/>
      <c r="H79" s="10" t="s">
        <v>2936</v>
      </c>
      <c r="I79" s="10" t="s">
        <v>4960</v>
      </c>
      <c r="J79" s="10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10" t="s">
        <v>4</v>
      </c>
      <c r="E80" s="10" t="s">
        <v>8</v>
      </c>
      <c r="F80" s="10"/>
      <c r="H80" s="10" t="s">
        <v>2936</v>
      </c>
      <c r="I80" s="10" t="s">
        <v>4963</v>
      </c>
      <c r="J80" s="1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10" t="s">
        <v>4</v>
      </c>
      <c r="E81" s="10" t="s">
        <v>8</v>
      </c>
      <c r="F81" s="10"/>
      <c r="H81" s="10" t="s">
        <v>2936</v>
      </c>
      <c r="I81" s="10" t="s">
        <v>4966</v>
      </c>
      <c r="J81" s="10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10" t="s">
        <v>4</v>
      </c>
      <c r="E82" s="10" t="s">
        <v>8</v>
      </c>
      <c r="F82" s="10"/>
      <c r="H82" s="10" t="s">
        <v>2936</v>
      </c>
      <c r="I82" s="10" t="s">
        <v>4969</v>
      </c>
      <c r="J82" s="10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10" t="s">
        <v>4</v>
      </c>
      <c r="E83" s="10" t="s">
        <v>8</v>
      </c>
      <c r="F83" s="10"/>
      <c r="H83" s="10" t="s">
        <v>2936</v>
      </c>
      <c r="I83" s="10" t="s">
        <v>4972</v>
      </c>
      <c r="J83" s="10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10" t="s">
        <v>4</v>
      </c>
      <c r="E84" s="10" t="s">
        <v>8</v>
      </c>
      <c r="F84" s="10"/>
      <c r="H84" s="10" t="s">
        <v>2936</v>
      </c>
      <c r="I84" s="10" t="s">
        <v>4975</v>
      </c>
      <c r="J84" s="10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10" t="s">
        <v>2004</v>
      </c>
      <c r="E85" s="10" t="s">
        <v>8</v>
      </c>
      <c r="F85" s="10"/>
      <c r="H85" s="10"/>
      <c r="I85" s="10" t="s">
        <v>4978</v>
      </c>
      <c r="J85" s="10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10" t="s">
        <v>2004</v>
      </c>
      <c r="E86" s="10" t="s">
        <v>8</v>
      </c>
      <c r="F86" s="10"/>
      <c r="H86" s="10"/>
      <c r="I86" s="10" t="s">
        <v>5217</v>
      </c>
      <c r="J86" s="10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10" t="s">
        <v>4</v>
      </c>
      <c r="E87" s="10" t="s">
        <v>5478</v>
      </c>
      <c r="F87" s="10"/>
      <c r="H87" s="10"/>
      <c r="I87" s="10" t="s">
        <v>5459</v>
      </c>
      <c r="J87" s="10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10" t="s">
        <v>4</v>
      </c>
      <c r="E88" s="10" t="s">
        <v>8</v>
      </c>
      <c r="F88" s="10"/>
      <c r="H88" s="10"/>
      <c r="I88" s="10" t="s">
        <v>5462</v>
      </c>
      <c r="J88" s="10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10" t="s">
        <v>4</v>
      </c>
      <c r="E89" s="10" t="s">
        <v>5478</v>
      </c>
      <c r="F89" s="10"/>
      <c r="H89" s="10" t="s">
        <v>5479</v>
      </c>
      <c r="I89" s="10" t="s">
        <v>5465</v>
      </c>
      <c r="J89" s="10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10" t="s">
        <v>2004</v>
      </c>
      <c r="E90" s="10" t="s">
        <v>8</v>
      </c>
      <c r="F90" s="10"/>
      <c r="H90" s="10"/>
      <c r="I90" s="10" t="s">
        <v>5657</v>
      </c>
      <c r="J90" s="1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10" t="s">
        <v>2004</v>
      </c>
      <c r="E91" s="10" t="s">
        <v>8</v>
      </c>
      <c r="F91" s="10"/>
      <c r="H91" s="10"/>
      <c r="I91" s="10" t="s">
        <v>5660</v>
      </c>
      <c r="J91" s="10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10" t="s">
        <v>2004</v>
      </c>
      <c r="E92" s="10" t="s">
        <v>8</v>
      </c>
      <c r="F92" s="10"/>
      <c r="H92" s="10"/>
      <c r="I92" s="10" t="s">
        <v>5663</v>
      </c>
      <c r="J92" s="10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10" t="s">
        <v>4</v>
      </c>
      <c r="E93" s="10" t="s">
        <v>8</v>
      </c>
      <c r="F93" s="10"/>
      <c r="H93" s="10"/>
      <c r="I93" s="10" t="s">
        <v>6005</v>
      </c>
      <c r="J93" s="10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10" t="s">
        <v>650</v>
      </c>
      <c r="E94" s="10" t="s">
        <v>6190</v>
      </c>
      <c r="F94" s="10"/>
      <c r="H94" s="10"/>
      <c r="I94" s="10" t="s">
        <v>6008</v>
      </c>
      <c r="J94" s="10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10" t="s">
        <v>650</v>
      </c>
      <c r="E95" s="10" t="s">
        <v>6190</v>
      </c>
      <c r="F95" s="10"/>
      <c r="H95" s="10" t="s">
        <v>2936</v>
      </c>
      <c r="I95" s="10" t="s">
        <v>6011</v>
      </c>
      <c r="J95" s="10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10" t="s">
        <v>4</v>
      </c>
      <c r="E96" s="10" t="s">
        <v>8</v>
      </c>
      <c r="F96" s="10"/>
      <c r="H96" s="10"/>
      <c r="I96" s="10" t="s">
        <v>6014</v>
      </c>
      <c r="J96" s="10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10" t="s">
        <v>2004</v>
      </c>
      <c r="E97" s="10" t="s">
        <v>8</v>
      </c>
      <c r="F97" s="10"/>
      <c r="H97" s="10"/>
      <c r="I97" s="10" t="s">
        <v>6017</v>
      </c>
      <c r="J97" s="10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10" t="s">
        <v>2004</v>
      </c>
      <c r="E98" s="10" t="s">
        <v>8</v>
      </c>
      <c r="F98" s="10"/>
      <c r="H98" s="10"/>
      <c r="I98" s="10" t="s">
        <v>6252</v>
      </c>
      <c r="J98" s="10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10" t="s">
        <v>4</v>
      </c>
      <c r="E99" s="10" t="s">
        <v>8</v>
      </c>
      <c r="F99" s="10"/>
      <c r="H99" s="10"/>
      <c r="I99" s="10" t="s">
        <v>6500</v>
      </c>
      <c r="J99" s="10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10" t="s">
        <v>4</v>
      </c>
      <c r="E100" s="10" t="s">
        <v>8</v>
      </c>
      <c r="F100" s="10"/>
      <c r="H100" s="10"/>
      <c r="I100" s="10" t="s">
        <v>6503</v>
      </c>
      <c r="J100" s="1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10" t="s">
        <v>2004</v>
      </c>
      <c r="E101" s="10" t="s">
        <v>8</v>
      </c>
      <c r="F101" s="10"/>
      <c r="H101" s="10"/>
      <c r="I101" s="10" t="s">
        <v>6641</v>
      </c>
      <c r="J101" s="10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10" t="s">
        <v>4</v>
      </c>
      <c r="E102" s="10" t="s">
        <v>8</v>
      </c>
      <c r="F102" s="10"/>
      <c r="H102" s="10"/>
      <c r="I102" s="10" t="s">
        <v>6823</v>
      </c>
      <c r="J102" s="10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10" t="s">
        <v>4</v>
      </c>
      <c r="E103" s="10" t="s">
        <v>8</v>
      </c>
      <c r="F103" s="10"/>
      <c r="H103" s="10" t="s">
        <v>2936</v>
      </c>
      <c r="I103" s="10" t="s">
        <v>6826</v>
      </c>
      <c r="J103" s="10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10" t="s">
        <v>4</v>
      </c>
      <c r="E104" s="10" t="s">
        <v>8</v>
      </c>
      <c r="F104" s="10"/>
      <c r="H104" s="10"/>
      <c r="I104" s="10" t="s">
        <v>7127</v>
      </c>
      <c r="J104" s="10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10" t="s">
        <v>4</v>
      </c>
      <c r="E105" s="10" t="s">
        <v>8</v>
      </c>
      <c r="F105" s="10"/>
      <c r="H105" s="10" t="s">
        <v>2936</v>
      </c>
      <c r="I105" s="10" t="s">
        <v>7130</v>
      </c>
      <c r="J105" s="10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10" t="s">
        <v>2004</v>
      </c>
      <c r="E106" s="10" t="s">
        <v>8</v>
      </c>
      <c r="F106" s="10"/>
      <c r="H106" s="10"/>
      <c r="I106" s="10" t="s">
        <v>7133</v>
      </c>
      <c r="J106" s="10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10" t="s">
        <v>2004</v>
      </c>
      <c r="E107" s="10" t="s">
        <v>8</v>
      </c>
      <c r="F107" s="10"/>
      <c r="H107" s="10" t="s">
        <v>2014</v>
      </c>
      <c r="I107" s="10" t="s">
        <v>7136</v>
      </c>
      <c r="J107" s="10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10" t="s">
        <v>2004</v>
      </c>
      <c r="E108" s="10" t="s">
        <v>8</v>
      </c>
      <c r="F108" s="10"/>
      <c r="H108" s="10"/>
      <c r="I108" s="10" t="s">
        <v>7208</v>
      </c>
      <c r="J108" s="10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10" t="s">
        <v>2004</v>
      </c>
      <c r="E109" s="10" t="s">
        <v>8</v>
      </c>
      <c r="F109" s="10"/>
      <c r="H109" s="10"/>
      <c r="I109" s="10" t="s">
        <v>7401</v>
      </c>
      <c r="J109" s="10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10" t="s">
        <v>2004</v>
      </c>
      <c r="E110" s="10" t="s">
        <v>8</v>
      </c>
      <c r="F110" s="10"/>
      <c r="H110" s="10"/>
      <c r="I110" s="10" t="s">
        <v>7404</v>
      </c>
      <c r="J110" s="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10" t="s">
        <v>4</v>
      </c>
      <c r="E111" s="10" t="s">
        <v>7417</v>
      </c>
      <c r="F111" s="10"/>
      <c r="H111" s="10"/>
      <c r="I111" s="10" t="s">
        <v>7407</v>
      </c>
      <c r="J111" s="10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10" t="s">
        <v>4</v>
      </c>
      <c r="E112" s="10" t="s">
        <v>7715</v>
      </c>
      <c r="F112" s="10"/>
      <c r="H112" s="10"/>
      <c r="I112" s="10" t="s">
        <v>7583</v>
      </c>
      <c r="J112" s="10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10" t="s">
        <v>4</v>
      </c>
      <c r="E113" s="10" t="s">
        <v>7716</v>
      </c>
      <c r="F113" s="10"/>
      <c r="H113" s="10" t="s">
        <v>2936</v>
      </c>
      <c r="I113" s="10" t="s">
        <v>7586</v>
      </c>
      <c r="J113" s="10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10" t="s">
        <v>4</v>
      </c>
      <c r="E114" s="10" t="s">
        <v>8</v>
      </c>
      <c r="F114" s="10"/>
      <c r="H114" s="10" t="s">
        <v>7717</v>
      </c>
      <c r="I114" s="10" t="s">
        <v>7589</v>
      </c>
      <c r="J114" s="10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10" t="s">
        <v>4</v>
      </c>
      <c r="E115" s="10" t="s">
        <v>8</v>
      </c>
      <c r="F115" s="10"/>
      <c r="H115" s="10" t="s">
        <v>3078</v>
      </c>
      <c r="I115" s="10" t="s">
        <v>7592</v>
      </c>
      <c r="J115" s="10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10" t="s">
        <v>4</v>
      </c>
      <c r="E116" s="10" t="s">
        <v>8</v>
      </c>
      <c r="F116" s="10"/>
      <c r="H116" s="10"/>
      <c r="I116" s="10" t="s">
        <v>7777</v>
      </c>
      <c r="J116" s="10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10" t="s">
        <v>4</v>
      </c>
      <c r="E117" s="10" t="s">
        <v>8</v>
      </c>
      <c r="F117" s="10"/>
      <c r="H117" s="10" t="s">
        <v>2936</v>
      </c>
      <c r="I117" s="10" t="s">
        <v>7780</v>
      </c>
      <c r="J117" s="10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10" t="s">
        <v>4</v>
      </c>
      <c r="E118" s="10" t="s">
        <v>8</v>
      </c>
      <c r="F118" s="10"/>
      <c r="H118" s="10" t="s">
        <v>2936</v>
      </c>
      <c r="I118" s="10" t="s">
        <v>7783</v>
      </c>
      <c r="J118" s="10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10" t="s">
        <v>4</v>
      </c>
      <c r="E119" s="10" t="s">
        <v>8</v>
      </c>
      <c r="F119" s="10"/>
      <c r="H119" s="10" t="s">
        <v>2936</v>
      </c>
      <c r="I119" s="10" t="s">
        <v>7786</v>
      </c>
      <c r="J119" s="10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10" t="s">
        <v>4</v>
      </c>
      <c r="E120" s="10" t="s">
        <v>8</v>
      </c>
      <c r="F120" s="10"/>
      <c r="H120" s="10" t="s">
        <v>2936</v>
      </c>
      <c r="I120" s="10" t="s">
        <v>7789</v>
      </c>
      <c r="J120" s="1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10" t="s">
        <v>4</v>
      </c>
      <c r="E121" s="10" t="s">
        <v>8</v>
      </c>
      <c r="F121" s="10"/>
      <c r="H121" s="10"/>
      <c r="I121" s="10" t="s">
        <v>7971</v>
      </c>
      <c r="J121" s="10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10" t="s">
        <v>4</v>
      </c>
      <c r="E122" s="10" t="s">
        <v>12</v>
      </c>
      <c r="F122" s="10"/>
      <c r="H122" s="10"/>
      <c r="I122" s="10" t="s">
        <v>7974</v>
      </c>
      <c r="J122" s="10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10" t="s">
        <v>4</v>
      </c>
      <c r="E123" s="10" t="s">
        <v>8</v>
      </c>
      <c r="F123" s="10"/>
      <c r="H123" s="10"/>
      <c r="I123" s="10" t="s">
        <v>7977</v>
      </c>
      <c r="J123" s="10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10" t="s">
        <v>4</v>
      </c>
      <c r="E124" s="10" t="s">
        <v>12</v>
      </c>
      <c r="F124" s="10"/>
      <c r="H124" s="10"/>
      <c r="I124" s="10" t="s">
        <v>7980</v>
      </c>
      <c r="J124" s="10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10" t="s">
        <v>2004</v>
      </c>
      <c r="E125" s="10" t="s">
        <v>8</v>
      </c>
      <c r="F125" s="10"/>
      <c r="H125" s="10"/>
      <c r="I125" s="10" t="s">
        <v>8315</v>
      </c>
      <c r="J125" s="10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10" t="s">
        <v>2004</v>
      </c>
      <c r="E126" s="10" t="s">
        <v>8</v>
      </c>
      <c r="F126" s="10"/>
      <c r="H126" s="10"/>
      <c r="I126" s="10" t="s">
        <v>8318</v>
      </c>
      <c r="J126" s="10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10" t="s">
        <v>2004</v>
      </c>
      <c r="E127" s="10" t="s">
        <v>8</v>
      </c>
      <c r="F127" s="10"/>
      <c r="H127" s="10"/>
      <c r="I127" s="10" t="s">
        <v>8321</v>
      </c>
      <c r="J127" s="10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10" t="s">
        <v>2004</v>
      </c>
      <c r="E128" s="10" t="s">
        <v>8</v>
      </c>
      <c r="F128" s="10"/>
      <c r="H128" s="10"/>
      <c r="I128" s="10" t="s">
        <v>8324</v>
      </c>
      <c r="J128" s="10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10" t="s">
        <v>2004</v>
      </c>
      <c r="E129" s="10" t="s">
        <v>8</v>
      </c>
      <c r="F129" s="10"/>
      <c r="H129" s="10"/>
      <c r="I129" s="10" t="s">
        <v>8327</v>
      </c>
      <c r="J129" s="10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10" t="s">
        <v>2004</v>
      </c>
      <c r="E130" s="10" t="s">
        <v>8</v>
      </c>
      <c r="F130" s="10"/>
      <c r="H130" s="10"/>
      <c r="I130" s="10" t="s">
        <v>8456</v>
      </c>
      <c r="J130" s="1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10" t="s">
        <v>2004</v>
      </c>
      <c r="E131" s="10" t="s">
        <v>8</v>
      </c>
      <c r="F131" s="10"/>
      <c r="H131" s="10"/>
      <c r="I131" s="10" t="s">
        <v>8459</v>
      </c>
      <c r="J131" s="10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10" t="s">
        <v>2004</v>
      </c>
      <c r="E132" s="10" t="s">
        <v>8</v>
      </c>
      <c r="F132" s="10"/>
      <c r="H132" s="10"/>
      <c r="I132" s="10" t="s">
        <v>8462</v>
      </c>
      <c r="J132" s="10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10" t="s">
        <v>2004</v>
      </c>
      <c r="E133" s="10" t="s">
        <v>8</v>
      </c>
      <c r="F133" s="10"/>
      <c r="H133" s="10"/>
      <c r="I133" s="10" t="s">
        <v>8757</v>
      </c>
      <c r="J133" s="10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10" t="s">
        <v>2004</v>
      </c>
      <c r="E134" s="10" t="s">
        <v>8</v>
      </c>
      <c r="F134" s="10"/>
      <c r="H134" s="10"/>
      <c r="I134" s="10" t="s">
        <v>8760</v>
      </c>
      <c r="J134" s="10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10" t="s">
        <v>2004</v>
      </c>
      <c r="E135" s="10" t="s">
        <v>8</v>
      </c>
      <c r="F135" s="10"/>
      <c r="H135" s="10"/>
      <c r="I135" s="10" t="s">
        <v>8763</v>
      </c>
      <c r="J135" s="10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10" t="s">
        <v>2004</v>
      </c>
      <c r="E136" s="10" t="s">
        <v>8</v>
      </c>
      <c r="F136" s="10"/>
      <c r="H136" s="10"/>
      <c r="I136" s="10" t="s">
        <v>8766</v>
      </c>
      <c r="J136" s="10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10" t="s">
        <v>2004</v>
      </c>
      <c r="E137" s="10" t="s">
        <v>8</v>
      </c>
      <c r="F137" s="10"/>
      <c r="H137" s="10"/>
      <c r="I137" s="10" t="s">
        <v>8769</v>
      </c>
      <c r="J137" s="10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10" t="s">
        <v>2004</v>
      </c>
      <c r="E138" s="10" t="s">
        <v>8</v>
      </c>
      <c r="F138" s="10"/>
      <c r="H138" s="10"/>
      <c r="I138" s="10" t="s">
        <v>8772</v>
      </c>
      <c r="J138" s="10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10" t="s">
        <v>2004</v>
      </c>
      <c r="E139" s="10" t="s">
        <v>8</v>
      </c>
      <c r="F139" s="10"/>
      <c r="H139" s="10"/>
      <c r="I139" s="10" t="s">
        <v>8775</v>
      </c>
      <c r="J139" s="10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10" t="s">
        <v>4</v>
      </c>
      <c r="E140" s="10" t="s">
        <v>5480</v>
      </c>
      <c r="F140" s="10" t="s">
        <v>9190</v>
      </c>
      <c r="H140" s="10"/>
      <c r="I140" s="10" t="s">
        <v>9147</v>
      </c>
      <c r="J140" s="1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10" t="s">
        <v>4</v>
      </c>
      <c r="E141" s="10" t="s">
        <v>8</v>
      </c>
      <c r="F141" s="10"/>
      <c r="H141" s="10"/>
      <c r="I141" s="10" t="s">
        <v>9150</v>
      </c>
      <c r="J141" s="10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10" t="s">
        <v>4</v>
      </c>
      <c r="E142" s="10" t="s">
        <v>12</v>
      </c>
      <c r="F142" s="10"/>
      <c r="H142" s="10"/>
      <c r="I142" s="10" t="s">
        <v>9153</v>
      </c>
      <c r="J142" s="10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10" t="s">
        <v>4</v>
      </c>
      <c r="E143" s="10" t="s">
        <v>9211</v>
      </c>
      <c r="F143" s="10"/>
      <c r="H143" s="10"/>
      <c r="I143" s="10" t="s">
        <v>9156</v>
      </c>
      <c r="J143" s="10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10" t="s">
        <v>4</v>
      </c>
      <c r="E144" s="10" t="s">
        <v>8</v>
      </c>
      <c r="F144" s="10"/>
      <c r="H144" s="10"/>
      <c r="I144" s="10" t="s">
        <v>9159</v>
      </c>
      <c r="J144" s="10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10" t="s">
        <v>4</v>
      </c>
      <c r="E145" s="10" t="s">
        <v>12</v>
      </c>
      <c r="F145" s="10"/>
      <c r="H145" s="10"/>
      <c r="I145" s="10" t="s">
        <v>9162</v>
      </c>
      <c r="J145" s="10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10" t="s">
        <v>4</v>
      </c>
      <c r="E146" s="10" t="s">
        <v>12</v>
      </c>
      <c r="F146" s="10"/>
      <c r="H146" s="10"/>
      <c r="I146" s="10" t="s">
        <v>9165</v>
      </c>
      <c r="J146" s="10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10" t="s">
        <v>4</v>
      </c>
      <c r="E147" s="10" t="s">
        <v>8</v>
      </c>
      <c r="F147" s="10"/>
      <c r="H147" s="10"/>
      <c r="I147" s="10" t="s">
        <v>9315</v>
      </c>
      <c r="J147" s="10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10" t="s">
        <v>4</v>
      </c>
      <c r="E148" s="10" t="s">
        <v>12</v>
      </c>
      <c r="F148" s="10"/>
      <c r="H148" s="10"/>
      <c r="I148" s="10" t="s">
        <v>9318</v>
      </c>
      <c r="J148" s="10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10" t="s">
        <v>4</v>
      </c>
      <c r="E149" s="10" t="s">
        <v>8</v>
      </c>
      <c r="F149" s="10"/>
      <c r="H149" s="10"/>
      <c r="I149" s="10" t="s">
        <v>9321</v>
      </c>
      <c r="J149" s="10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10" t="s">
        <v>4</v>
      </c>
      <c r="E150" s="10" t="s">
        <v>12</v>
      </c>
      <c r="F150" s="10"/>
      <c r="H150" s="10"/>
      <c r="I150" s="10" t="s">
        <v>9543</v>
      </c>
      <c r="J150" s="1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10" t="s">
        <v>4</v>
      </c>
      <c r="E151" s="10" t="s">
        <v>12</v>
      </c>
      <c r="F151" s="10"/>
      <c r="H151" s="10"/>
      <c r="I151" s="10" t="s">
        <v>9546</v>
      </c>
      <c r="J151" s="10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10" t="s">
        <v>2004</v>
      </c>
      <c r="E152" s="10" t="s">
        <v>8</v>
      </c>
      <c r="F152" s="10"/>
      <c r="H152" s="10"/>
      <c r="I152" s="10" t="s">
        <v>9671</v>
      </c>
      <c r="J152" s="10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10" t="s">
        <v>2004</v>
      </c>
      <c r="E153" s="10" t="s">
        <v>8</v>
      </c>
      <c r="F153" s="10"/>
      <c r="H153" s="10"/>
      <c r="I153" s="10" t="s">
        <v>9674</v>
      </c>
      <c r="J153" s="10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10" t="s">
        <v>9876</v>
      </c>
      <c r="E154" s="10" t="s">
        <v>9201</v>
      </c>
      <c r="F154" s="10"/>
      <c r="H154" s="10"/>
      <c r="I154" s="10" t="s">
        <v>9852</v>
      </c>
      <c r="J154" s="10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10" t="s">
        <v>9876</v>
      </c>
      <c r="E155" s="10" t="s">
        <v>9201</v>
      </c>
      <c r="F155" s="10"/>
      <c r="H155" s="10" t="s">
        <v>2936</v>
      </c>
      <c r="I155" s="10" t="s">
        <v>9855</v>
      </c>
      <c r="J155" s="10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10" t="s">
        <v>9876</v>
      </c>
      <c r="E156" s="10" t="s">
        <v>9201</v>
      </c>
      <c r="F156" s="10"/>
      <c r="H156" s="10" t="s">
        <v>2936</v>
      </c>
      <c r="I156" s="10" t="s">
        <v>9858</v>
      </c>
      <c r="J156" s="10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10" t="s">
        <v>9914</v>
      </c>
      <c r="E157" s="10" t="s">
        <v>4247</v>
      </c>
      <c r="F157" s="10"/>
      <c r="H157" s="10" t="s">
        <v>2936</v>
      </c>
      <c r="I157" s="10" t="s">
        <v>9861</v>
      </c>
      <c r="J157" s="10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10" t="s">
        <v>9876</v>
      </c>
      <c r="E158" s="10" t="s">
        <v>9201</v>
      </c>
      <c r="F158" s="10"/>
      <c r="H158" s="10" t="s">
        <v>2936</v>
      </c>
      <c r="I158" s="10" t="s">
        <v>9864</v>
      </c>
      <c r="J158" s="10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10" t="s">
        <v>4</v>
      </c>
      <c r="E159" s="10" t="s">
        <v>8</v>
      </c>
      <c r="F159" s="10"/>
      <c r="H159" s="10"/>
      <c r="I159" s="10" t="s">
        <v>9867</v>
      </c>
      <c r="J159" s="10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10" t="s">
        <v>4</v>
      </c>
      <c r="E160" s="10" t="s">
        <v>8</v>
      </c>
      <c r="F160" s="10"/>
      <c r="H160" s="10"/>
      <c r="I160" s="10" t="s">
        <v>10104</v>
      </c>
      <c r="J160" s="1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10" t="s">
        <v>9876</v>
      </c>
      <c r="E161" s="10" t="s">
        <v>9201</v>
      </c>
      <c r="F161" s="10"/>
      <c r="H161" s="10"/>
      <c r="I161" s="10" t="s">
        <v>10107</v>
      </c>
      <c r="J161" s="10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10" t="s">
        <v>9876</v>
      </c>
      <c r="E162" s="10" t="s">
        <v>9201</v>
      </c>
      <c r="F162" s="10"/>
      <c r="H162" s="10"/>
      <c r="I162" s="10" t="s">
        <v>10110</v>
      </c>
      <c r="J162" s="10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10" t="s">
        <v>4</v>
      </c>
      <c r="E163" s="10" t="s">
        <v>8</v>
      </c>
      <c r="F163" s="10"/>
      <c r="H163" s="10"/>
      <c r="I163" s="10" t="s">
        <v>10424</v>
      </c>
      <c r="J163" s="10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10" t="s">
        <v>4</v>
      </c>
      <c r="E164" s="10" t="s">
        <v>8</v>
      </c>
      <c r="F164" s="10"/>
      <c r="H164" s="10" t="s">
        <v>2936</v>
      </c>
      <c r="I164" s="10" t="s">
        <v>10427</v>
      </c>
      <c r="J164" s="10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10" t="s">
        <v>4</v>
      </c>
      <c r="E165" s="10" t="s">
        <v>8</v>
      </c>
      <c r="F165" s="10"/>
      <c r="H165" s="10" t="s">
        <v>2936</v>
      </c>
      <c r="I165" s="10" t="s">
        <v>10430</v>
      </c>
      <c r="J165" s="10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10" t="s">
        <v>2004</v>
      </c>
      <c r="E166" s="10" t="s">
        <v>8</v>
      </c>
      <c r="F166" s="10"/>
      <c r="H166" s="10"/>
      <c r="I166" s="10" t="s">
        <v>10479</v>
      </c>
      <c r="J166" s="10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10" t="s">
        <v>2004</v>
      </c>
      <c r="E167" s="10" t="s">
        <v>8</v>
      </c>
      <c r="F167" s="10"/>
      <c r="H167" s="10"/>
      <c r="I167" s="10" t="s">
        <v>10482</v>
      </c>
      <c r="J167" s="10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10" t="s">
        <v>2004</v>
      </c>
      <c r="E168" s="10" t="s">
        <v>8</v>
      </c>
      <c r="F168" s="10"/>
      <c r="H168" s="10"/>
      <c r="I168" s="10" t="s">
        <v>10618</v>
      </c>
      <c r="J168" s="10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10" t="s">
        <v>9914</v>
      </c>
      <c r="E169" s="10" t="s">
        <v>4247</v>
      </c>
      <c r="F169" s="10"/>
      <c r="H169" s="10"/>
      <c r="I169" s="10" t="s">
        <v>10621</v>
      </c>
      <c r="J169" s="10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10" t="s">
        <v>9876</v>
      </c>
      <c r="E170" s="10" t="s">
        <v>9201</v>
      </c>
      <c r="F170" s="10"/>
      <c r="H170" s="10"/>
      <c r="I170" s="10" t="s">
        <v>10860</v>
      </c>
      <c r="J170" s="1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10" t="s">
        <v>9876</v>
      </c>
      <c r="E171" s="10" t="s">
        <v>9201</v>
      </c>
      <c r="F171" s="10"/>
      <c r="H171" s="10" t="s">
        <v>2936</v>
      </c>
      <c r="I171" s="10" t="s">
        <v>10863</v>
      </c>
      <c r="J171" s="10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10" t="s">
        <v>9876</v>
      </c>
      <c r="E172" s="10" t="s">
        <v>9201</v>
      </c>
      <c r="F172" s="10"/>
      <c r="H172" s="10" t="s">
        <v>2936</v>
      </c>
      <c r="I172" s="10" t="s">
        <v>10866</v>
      </c>
      <c r="J172" s="10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10" t="s">
        <v>9876</v>
      </c>
      <c r="E173" s="10" t="s">
        <v>9201</v>
      </c>
      <c r="F173" s="10"/>
      <c r="H173" s="10" t="s">
        <v>2936</v>
      </c>
      <c r="I173" s="10" t="s">
        <v>10869</v>
      </c>
      <c r="J173" s="10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10" t="s">
        <v>11009</v>
      </c>
      <c r="E174" s="10" t="s">
        <v>9201</v>
      </c>
      <c r="F174" s="10"/>
      <c r="H174" s="10"/>
      <c r="I174" s="10" t="s">
        <v>10995</v>
      </c>
      <c r="J174" s="10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10" t="s">
        <v>4</v>
      </c>
      <c r="E175" s="10" t="s">
        <v>8</v>
      </c>
      <c r="F175" s="10"/>
      <c r="H175" s="10"/>
      <c r="I175" s="10" t="s">
        <v>10998</v>
      </c>
      <c r="J175" s="10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10" t="s">
        <v>2004</v>
      </c>
      <c r="E176" s="10" t="s">
        <v>8</v>
      </c>
      <c r="F176" s="10"/>
      <c r="H176" s="10" t="s">
        <v>2014</v>
      </c>
      <c r="I176" s="10" t="s">
        <v>11118</v>
      </c>
      <c r="J176" s="10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10" t="s">
        <v>2004</v>
      </c>
      <c r="E177" s="10" t="s">
        <v>8</v>
      </c>
      <c r="F177" s="10"/>
      <c r="H177" s="10" t="s">
        <v>2014</v>
      </c>
      <c r="I177" s="10" t="s">
        <v>11121</v>
      </c>
      <c r="J177" s="10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10" t="s">
        <v>4</v>
      </c>
      <c r="E178" s="10" t="s">
        <v>8</v>
      </c>
      <c r="F178" s="10"/>
      <c r="H178" s="10"/>
      <c r="I178" s="10" t="s">
        <v>11379</v>
      </c>
      <c r="J178" s="10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10" t="s">
        <v>9876</v>
      </c>
      <c r="E179" s="10" t="s">
        <v>5137</v>
      </c>
      <c r="F179" s="10"/>
      <c r="H179" s="10"/>
      <c r="I179" s="10" t="s">
        <v>11382</v>
      </c>
      <c r="J179" s="10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10" t="s">
        <v>9876</v>
      </c>
      <c r="E180" s="10" t="s">
        <v>5137</v>
      </c>
      <c r="F180" s="10"/>
      <c r="H180" s="10"/>
      <c r="I180" s="10" t="s">
        <v>11385</v>
      </c>
      <c r="J180" s="1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10" t="s">
        <v>9876</v>
      </c>
      <c r="E181" s="10" t="s">
        <v>5137</v>
      </c>
      <c r="F181" s="10"/>
      <c r="H181" s="10"/>
      <c r="I181" s="10" t="s">
        <v>11388</v>
      </c>
      <c r="J181" s="10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10" t="s">
        <v>9914</v>
      </c>
      <c r="E182" s="10" t="s">
        <v>4247</v>
      </c>
      <c r="F182" s="10"/>
      <c r="H182" s="10"/>
      <c r="I182" s="10" t="s">
        <v>11547</v>
      </c>
      <c r="J182" s="10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10" t="s">
        <v>2004</v>
      </c>
      <c r="E183" s="10" t="s">
        <v>8</v>
      </c>
      <c r="F183" s="10"/>
      <c r="H183" s="10"/>
      <c r="I183" s="10" t="s">
        <v>11550</v>
      </c>
      <c r="J183" s="10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10" t="s">
        <v>4</v>
      </c>
      <c r="E184" s="10" t="s">
        <v>8</v>
      </c>
      <c r="F184" s="10"/>
      <c r="H184" s="10"/>
      <c r="I184" s="10" t="s">
        <v>11553</v>
      </c>
      <c r="J184" s="10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10" t="s">
        <v>9876</v>
      </c>
      <c r="E185" s="10" t="s">
        <v>5137</v>
      </c>
      <c r="F185" s="10"/>
      <c r="H185" s="10"/>
      <c r="I185" s="10" t="s">
        <v>11556</v>
      </c>
      <c r="J185" s="10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10" t="s">
        <v>4</v>
      </c>
      <c r="E186" s="10" t="s">
        <v>8</v>
      </c>
      <c r="F186" s="10"/>
      <c r="H186" s="10"/>
      <c r="I186" s="10" t="s">
        <v>11559</v>
      </c>
      <c r="J186" s="10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10" t="s">
        <v>2004</v>
      </c>
      <c r="E187" s="10" t="s">
        <v>8</v>
      </c>
      <c r="F187" s="10"/>
      <c r="H187" s="10"/>
      <c r="I187" s="10" t="s">
        <v>11754</v>
      </c>
      <c r="J187" s="10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10" t="s">
        <v>9876</v>
      </c>
      <c r="E188" s="10" t="s">
        <v>5137</v>
      </c>
      <c r="F188" s="10"/>
      <c r="H188" s="10"/>
      <c r="I188" s="10" t="s">
        <v>11757</v>
      </c>
      <c r="J188" s="10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10" t="s">
        <v>9876</v>
      </c>
      <c r="E189" s="10" t="s">
        <v>5137</v>
      </c>
      <c r="F189" s="10"/>
      <c r="H189" s="10"/>
      <c r="I189" s="10" t="s">
        <v>11760</v>
      </c>
      <c r="J189" s="10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10" t="s">
        <v>4</v>
      </c>
      <c r="E190" s="10" t="s">
        <v>8</v>
      </c>
      <c r="F190" s="10"/>
      <c r="H190" s="10"/>
      <c r="I190" s="10" t="s">
        <v>11763</v>
      </c>
      <c r="J190" s="1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10" t="s">
        <v>4</v>
      </c>
      <c r="E191" s="10" t="s">
        <v>8</v>
      </c>
      <c r="F191" s="10"/>
      <c r="H191" s="10"/>
      <c r="I191" s="10" t="s">
        <v>11820</v>
      </c>
      <c r="J191" s="10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10" t="s">
        <v>4</v>
      </c>
      <c r="E192" s="10" t="s">
        <v>8</v>
      </c>
      <c r="F192" s="10"/>
      <c r="H192" s="10" t="s">
        <v>2936</v>
      </c>
      <c r="I192" s="10" t="s">
        <v>11823</v>
      </c>
      <c r="J192" s="10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10" t="s">
        <v>4</v>
      </c>
      <c r="E193" s="10" t="s">
        <v>2932</v>
      </c>
      <c r="F193" s="10"/>
      <c r="H193" s="10"/>
      <c r="I193" s="10" t="s">
        <v>11826</v>
      </c>
      <c r="J193" s="10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10" t="s">
        <v>4</v>
      </c>
      <c r="E194" s="10" t="s">
        <v>2932</v>
      </c>
      <c r="F194" s="10"/>
      <c r="H194" s="10"/>
      <c r="I194" s="10" t="s">
        <v>11829</v>
      </c>
      <c r="J194" s="10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10" t="s">
        <v>11961</v>
      </c>
      <c r="E195" s="10"/>
      <c r="F195" s="10"/>
      <c r="H195" s="10"/>
      <c r="I195" s="10" t="s">
        <v>11832</v>
      </c>
      <c r="J195" s="10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10" t="s">
        <v>4</v>
      </c>
      <c r="E196" s="10" t="s">
        <v>8</v>
      </c>
      <c r="F196" s="10"/>
      <c r="H196" s="10"/>
      <c r="I196" s="10" t="s">
        <v>11835</v>
      </c>
      <c r="J196" s="10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10" t="s">
        <v>2004</v>
      </c>
      <c r="E197" s="10" t="s">
        <v>8</v>
      </c>
      <c r="F197" s="10"/>
      <c r="H197" s="10"/>
      <c r="I197" s="10" t="s">
        <v>11838</v>
      </c>
      <c r="J197" s="10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10" t="s">
        <v>4</v>
      </c>
      <c r="E198" s="10" t="s">
        <v>11963</v>
      </c>
      <c r="F198" s="10"/>
      <c r="H198" s="10"/>
      <c r="I198" s="10" t="s">
        <v>11841</v>
      </c>
      <c r="J198" s="10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10" t="s">
        <v>4</v>
      </c>
      <c r="E199" s="10" t="s">
        <v>11963</v>
      </c>
      <c r="F199" s="10"/>
      <c r="H199" s="10" t="s">
        <v>2936</v>
      </c>
      <c r="I199" s="10" t="s">
        <v>11844</v>
      </c>
      <c r="J199" s="10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10" t="s">
        <v>4</v>
      </c>
      <c r="E200" s="10" t="s">
        <v>12027</v>
      </c>
      <c r="F200" s="10"/>
      <c r="H200" s="10"/>
      <c r="I200" s="10" t="s">
        <v>11965</v>
      </c>
      <c r="J200" s="1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10" t="s">
        <v>2004</v>
      </c>
      <c r="E201" s="10" t="s">
        <v>8</v>
      </c>
      <c r="F201" s="10"/>
      <c r="H201" s="10"/>
      <c r="I201" s="10" t="s">
        <v>11968</v>
      </c>
      <c r="J201" s="10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10" t="s">
        <v>4</v>
      </c>
      <c r="E202" s="10" t="s">
        <v>10638</v>
      </c>
      <c r="F202" s="10"/>
      <c r="H202" s="10"/>
      <c r="I202" s="10" t="s">
        <v>12043</v>
      </c>
      <c r="J202" s="10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10" t="s">
        <v>4</v>
      </c>
      <c r="E203" s="10" t="s">
        <v>12061</v>
      </c>
      <c r="F203" s="10"/>
      <c r="H203" s="10" t="s">
        <v>2936</v>
      </c>
      <c r="I203" s="10" t="s">
        <v>12046</v>
      </c>
      <c r="J203" s="10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10" t="s">
        <v>12</v>
      </c>
      <c r="E204" s="10"/>
      <c r="F204" s="10"/>
      <c r="H204" s="10"/>
      <c r="I204" s="10" t="s">
        <v>12049</v>
      </c>
      <c r="J204" s="10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10" t="s">
        <v>4</v>
      </c>
      <c r="E205" s="10" t="s">
        <v>8</v>
      </c>
      <c r="F205" s="10"/>
      <c r="H205" s="10" t="s">
        <v>2936</v>
      </c>
      <c r="I205" s="10" t="s">
        <v>12052</v>
      </c>
      <c r="J205" s="10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  <row r="206" spans="1:13" x14ac:dyDescent="0.25">
      <c r="A206" s="2" t="s">
        <v>13</v>
      </c>
      <c r="B206" s="4">
        <v>46069</v>
      </c>
      <c r="C206" s="5">
        <v>0.39932870370370371</v>
      </c>
      <c r="D206" s="10" t="s">
        <v>12</v>
      </c>
      <c r="E206" s="10" t="s">
        <v>1607</v>
      </c>
      <c r="F206" s="10"/>
      <c r="H206" s="10"/>
      <c r="I206" s="10" t="s">
        <v>12234</v>
      </c>
      <c r="J206" s="10" t="s">
        <v>2987</v>
      </c>
      <c r="K206" t="s">
        <v>12235</v>
      </c>
      <c r="L206" t="s">
        <v>12236</v>
      </c>
      <c r="M206" s="3" t="str">
        <f>HYPERLINK(склад2въезд13192021222378[[#This Row],[RelativePath]])</f>
        <v>12 Площадка 3 кран\K07156189_20_20260216T093502Z.jpg</v>
      </c>
    </row>
    <row r="207" spans="1:13" x14ac:dyDescent="0.25">
      <c r="A207" s="2" t="s">
        <v>13</v>
      </c>
      <c r="B207" s="4">
        <v>46069</v>
      </c>
      <c r="C207" s="5">
        <v>0.62368055555555557</v>
      </c>
      <c r="D207" s="10" t="s">
        <v>9211</v>
      </c>
      <c r="E207" s="10" t="s">
        <v>86</v>
      </c>
      <c r="F207" s="10"/>
      <c r="H207" s="10"/>
      <c r="I207" s="10" t="s">
        <v>12237</v>
      </c>
      <c r="J207" s="10" t="s">
        <v>2987</v>
      </c>
      <c r="K207" t="s">
        <v>12238</v>
      </c>
      <c r="L207" t="s">
        <v>12239</v>
      </c>
      <c r="M207" s="3" t="str">
        <f>HYPERLINK(склад2въезд13192021222378[[#This Row],[RelativePath]])</f>
        <v>12 Площадка 3 кран\K07156189_20_20260216T145806Z.jpg</v>
      </c>
    </row>
    <row r="208" spans="1:13" x14ac:dyDescent="0.25">
      <c r="A208" s="2" t="s">
        <v>13</v>
      </c>
      <c r="B208" s="4">
        <v>46069</v>
      </c>
      <c r="C208" s="5">
        <v>0.70622685185185186</v>
      </c>
      <c r="D208" s="10" t="s">
        <v>12</v>
      </c>
      <c r="E208" s="10" t="s">
        <v>1607</v>
      </c>
      <c r="F208" s="10"/>
      <c r="H208" s="10"/>
      <c r="I208" s="10" t="s">
        <v>12240</v>
      </c>
      <c r="J208" s="10" t="s">
        <v>2987</v>
      </c>
      <c r="K208" t="s">
        <v>12241</v>
      </c>
      <c r="L208" t="s">
        <v>12242</v>
      </c>
      <c r="M208" s="3" t="str">
        <f>HYPERLINK(склад2въезд13192021222378[[#This Row],[RelativePath]])</f>
        <v>12 Площадка 3 кран\K07156189_20_20260216T165658Z.jpg</v>
      </c>
    </row>
    <row r="209" spans="1:13" x14ac:dyDescent="0.25">
      <c r="A209" s="2" t="s">
        <v>14</v>
      </c>
      <c r="B209" s="4">
        <v>46070</v>
      </c>
      <c r="C209" s="5">
        <v>0.46946759259259258</v>
      </c>
      <c r="D209" s="10" t="s">
        <v>7</v>
      </c>
      <c r="E209" s="10"/>
      <c r="F209" s="10"/>
      <c r="H209" s="10"/>
      <c r="I209" s="10" t="s">
        <v>12243</v>
      </c>
      <c r="J209" s="10" t="s">
        <v>2987</v>
      </c>
      <c r="K209" t="s">
        <v>12244</v>
      </c>
      <c r="L209" t="s">
        <v>12245</v>
      </c>
      <c r="M209" s="3" t="str">
        <f>HYPERLINK(склад2въезд13192021222378[[#This Row],[RelativePath]])</f>
        <v>12 Площадка 3 кран\K07156189_20_20260217T111602Z.jpg</v>
      </c>
    </row>
    <row r="210" spans="1:13" x14ac:dyDescent="0.25">
      <c r="A210" s="2" t="s">
        <v>14</v>
      </c>
      <c r="B210" s="4">
        <v>46070</v>
      </c>
      <c r="C210" s="5">
        <v>0.53052083333333333</v>
      </c>
      <c r="D210" s="10" t="s">
        <v>12382</v>
      </c>
      <c r="E210" s="10" t="s">
        <v>1607</v>
      </c>
      <c r="F210" s="10"/>
      <c r="H210" s="10"/>
      <c r="I210" s="10" t="s">
        <v>12246</v>
      </c>
      <c r="J210" s="10" t="s">
        <v>2987</v>
      </c>
      <c r="K210" t="s">
        <v>12247</v>
      </c>
      <c r="L210" t="s">
        <v>12248</v>
      </c>
      <c r="M210" s="3" t="str">
        <f>HYPERLINK(склад2въезд13192021222378[[#This Row],[RelativePath]])</f>
        <v>12 Площадка 3 кран\K07156189_20_20260217T124357Z.jpg</v>
      </c>
    </row>
    <row r="211" spans="1:13" x14ac:dyDescent="0.25">
      <c r="A211" s="2" t="s">
        <v>14</v>
      </c>
      <c r="B211" s="4">
        <v>46070</v>
      </c>
      <c r="C211" s="5">
        <v>0.76012731481481477</v>
      </c>
      <c r="D211" s="10" t="s">
        <v>4</v>
      </c>
      <c r="E211" s="10" t="s">
        <v>8</v>
      </c>
      <c r="F211" s="10"/>
      <c r="H211" s="10"/>
      <c r="I211" s="10" t="s">
        <v>12249</v>
      </c>
      <c r="J211" s="10" t="s">
        <v>2987</v>
      </c>
      <c r="K211" t="s">
        <v>12250</v>
      </c>
      <c r="L211" t="s">
        <v>12251</v>
      </c>
      <c r="M211" s="3" t="str">
        <f>HYPERLINK(склад2въезд13192021222378[[#This Row],[RelativePath]])</f>
        <v>12 Площадка 3 кран\K07156189_20_20260217T181435Z.jpg</v>
      </c>
    </row>
    <row r="212" spans="1:13" x14ac:dyDescent="0.25">
      <c r="A212" s="2" t="s">
        <v>15</v>
      </c>
      <c r="B212" s="4">
        <v>46071</v>
      </c>
      <c r="C212" s="5">
        <v>0.50296296296296295</v>
      </c>
      <c r="D212" s="10" t="s">
        <v>9211</v>
      </c>
      <c r="E212" s="10" t="s">
        <v>86</v>
      </c>
      <c r="F212" s="10"/>
      <c r="H212" s="10"/>
      <c r="I212" s="10" t="s">
        <v>12252</v>
      </c>
      <c r="J212" s="10" t="s">
        <v>2987</v>
      </c>
      <c r="K212" t="s">
        <v>12253</v>
      </c>
      <c r="L212" t="s">
        <v>12254</v>
      </c>
      <c r="M212" s="3" t="str">
        <f>HYPERLINK(склад2въезд13192021222378[[#This Row],[RelativePath]])</f>
        <v>12 Площадка 3 кран\K07156189_20_20260218T120416Z.jpg</v>
      </c>
    </row>
    <row r="213" spans="1:13" x14ac:dyDescent="0.25">
      <c r="A213" s="2" t="s">
        <v>15</v>
      </c>
      <c r="B213" s="4">
        <v>46071</v>
      </c>
      <c r="C213" s="5">
        <v>0.74914351851851857</v>
      </c>
      <c r="D213" s="10" t="s">
        <v>4</v>
      </c>
      <c r="E213" s="10" t="s">
        <v>8</v>
      </c>
      <c r="F213" s="10"/>
      <c r="H213" s="10"/>
      <c r="I213" s="10" t="s">
        <v>12255</v>
      </c>
      <c r="J213" s="10" t="s">
        <v>2987</v>
      </c>
      <c r="K213" t="s">
        <v>12256</v>
      </c>
      <c r="L213" t="s">
        <v>12257</v>
      </c>
      <c r="M213" s="3" t="str">
        <f>HYPERLINK(склад2въезд13192021222378[[#This Row],[RelativePath]])</f>
        <v>12 Площадка 3 кран\K07156189_20_20260218T175846Z.jpg</v>
      </c>
    </row>
  </sheetData>
  <conditionalFormatting sqref="D214:D224 E214:E227 G2:H213 D2:E213">
    <cfRule type="containsText" dxfId="618" priority="14" operator="containsText" text="Выезд с территории">
      <formula>NOT(ISERROR(SEARCH("Выезд с территории",D2)))</formula>
    </cfRule>
  </conditionalFormatting>
  <conditionalFormatting sqref="F2:F213">
    <cfRule type="notContainsText" dxfId="617" priority="13" operator="notContains" text="порожний">
      <formula>ISERROR(SEARCH("порожний",F2))</formula>
    </cfRule>
  </conditionalFormatting>
  <conditionalFormatting sqref="E2:E227">
    <cfRule type="containsText" dxfId="616" priority="11" operator="containsText" text="Газель базы">
      <formula>NOT(ISERROR(SEARCH("Газель базы",E2)))</formula>
    </cfRule>
    <cfRule type="containsText" dxfId="615" priority="12" operator="containsText" text="Погрузчик базы">
      <formula>NOT(ISERROR(SEARCH("Погрузчик базы",E2)))</formula>
    </cfRule>
  </conditionalFormatting>
  <conditionalFormatting sqref="E2:E227">
    <cfRule type="containsText" dxfId="614" priority="10" operator="containsText" text="Трактор базы">
      <formula>NOT(ISERROR(SEARCH("Трактор базы",E2)))</formula>
    </cfRule>
  </conditionalFormatting>
  <conditionalFormatting sqref="A2:C213">
    <cfRule type="expression" dxfId="613" priority="9">
      <formula>$A2="пн"</formula>
    </cfRule>
  </conditionalFormatting>
  <conditionalFormatting sqref="A2:C215">
    <cfRule type="expression" dxfId="612" priority="3">
      <formula>$A2="вс"</formula>
    </cfRule>
    <cfRule type="expression" dxfId="611" priority="4">
      <formula>$A2="сб"</formula>
    </cfRule>
    <cfRule type="expression" dxfId="610" priority="5">
      <formula>$A2="пт"</formula>
    </cfRule>
    <cfRule type="expression" dxfId="609" priority="6">
      <formula>$A2="чт"</formula>
    </cfRule>
    <cfRule type="expression" dxfId="608" priority="7">
      <formula>$A2="ср"</formula>
    </cfRule>
    <cfRule type="expression" dxfId="607" priority="8">
      <formula>$A2="вт"</formula>
    </cfRule>
  </conditionalFormatting>
  <conditionalFormatting sqref="D2:D224">
    <cfRule type="containsText" dxfId="6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4">
    <cfRule type="containsText" dxfId="6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89"/>
  <sheetViews>
    <sheetView zoomScale="90" zoomScaleNormal="90" workbookViewId="0">
      <pane ySplit="1" topLeftCell="A170" activePane="bottomLeft" state="frozen"/>
      <selection pane="bottomLeft" activeCell="I179" sqref="I179:I18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10" t="s">
        <v>4</v>
      </c>
      <c r="E2" s="10" t="s">
        <v>8</v>
      </c>
      <c r="F2" s="10"/>
      <c r="H2" s="10"/>
      <c r="I2" s="10" t="s">
        <v>1937</v>
      </c>
      <c r="J2" s="10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10" t="s">
        <v>4</v>
      </c>
      <c r="E3" s="10" t="s">
        <v>8</v>
      </c>
      <c r="F3" s="10"/>
      <c r="H3" s="10"/>
      <c r="I3" s="10" t="s">
        <v>1940</v>
      </c>
      <c r="J3" s="10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10" t="s">
        <v>4</v>
      </c>
      <c r="E4" s="10" t="s">
        <v>8</v>
      </c>
      <c r="F4" s="10"/>
      <c r="H4" s="10"/>
      <c r="I4" s="10" t="s">
        <v>1943</v>
      </c>
      <c r="J4" s="10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10" t="s">
        <v>4</v>
      </c>
      <c r="E5" s="10" t="s">
        <v>8</v>
      </c>
      <c r="F5" s="10"/>
      <c r="H5" s="10"/>
      <c r="I5" s="10" t="s">
        <v>1946</v>
      </c>
      <c r="J5" s="10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10" t="s">
        <v>4</v>
      </c>
      <c r="E6" s="10" t="s">
        <v>8</v>
      </c>
      <c r="F6" s="10"/>
      <c r="H6" s="10"/>
      <c r="I6" s="10" t="s">
        <v>1949</v>
      </c>
      <c r="J6" s="10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10" t="s">
        <v>289</v>
      </c>
      <c r="E7" s="10" t="s">
        <v>86</v>
      </c>
      <c r="F7" s="10" t="s">
        <v>1998</v>
      </c>
      <c r="H7" s="10"/>
      <c r="I7" s="10" t="s">
        <v>1952</v>
      </c>
      <c r="J7" s="10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10" t="s">
        <v>1999</v>
      </c>
      <c r="E8" s="10" t="s">
        <v>86</v>
      </c>
      <c r="F8" s="10" t="s">
        <v>1998</v>
      </c>
      <c r="H8" s="10"/>
      <c r="I8" s="10" t="s">
        <v>1955</v>
      </c>
      <c r="J8" s="10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10" t="s">
        <v>1999</v>
      </c>
      <c r="E9" s="10" t="s">
        <v>86</v>
      </c>
      <c r="F9" s="10" t="s">
        <v>1998</v>
      </c>
      <c r="H9" s="10"/>
      <c r="I9" s="10" t="s">
        <v>1958</v>
      </c>
      <c r="J9" s="10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10" t="s">
        <v>4</v>
      </c>
      <c r="E10" s="10" t="s">
        <v>8</v>
      </c>
      <c r="F10" s="10"/>
      <c r="H10" s="10"/>
      <c r="I10" s="10" t="s">
        <v>1961</v>
      </c>
      <c r="J10" s="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10" t="s">
        <v>4</v>
      </c>
      <c r="E11" s="10" t="s">
        <v>8</v>
      </c>
      <c r="F11" s="10"/>
      <c r="H11" s="10"/>
      <c r="I11" s="10" t="s">
        <v>1964</v>
      </c>
      <c r="J11" s="10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10" t="s">
        <v>4</v>
      </c>
      <c r="E12" s="10" t="s">
        <v>8</v>
      </c>
      <c r="F12" s="10"/>
      <c r="H12" s="10"/>
      <c r="I12" s="10" t="s">
        <v>1967</v>
      </c>
      <c r="J12" s="10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10" t="s">
        <v>4</v>
      </c>
      <c r="E13" s="10" t="s">
        <v>8</v>
      </c>
      <c r="F13" s="10"/>
      <c r="H13" s="10"/>
      <c r="I13" s="10" t="s">
        <v>1970</v>
      </c>
      <c r="J13" s="10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10" t="s">
        <v>4</v>
      </c>
      <c r="E14" s="10" t="s">
        <v>8</v>
      </c>
      <c r="F14" s="10"/>
      <c r="H14" s="10"/>
      <c r="I14" s="10" t="s">
        <v>1973</v>
      </c>
      <c r="J14" s="10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10" t="s">
        <v>4</v>
      </c>
      <c r="E15" s="10" t="s">
        <v>8</v>
      </c>
      <c r="F15" s="10"/>
      <c r="H15" s="10"/>
      <c r="I15" s="10" t="s">
        <v>1976</v>
      </c>
      <c r="J15" s="10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10" t="s">
        <v>4</v>
      </c>
      <c r="E16" s="10" t="s">
        <v>8</v>
      </c>
      <c r="F16" s="10"/>
      <c r="H16" s="10"/>
      <c r="I16" s="10" t="s">
        <v>1979</v>
      </c>
      <c r="J16" s="10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10" t="s">
        <v>4</v>
      </c>
      <c r="E17" s="10" t="s">
        <v>8</v>
      </c>
      <c r="F17" s="10"/>
      <c r="H17" s="10"/>
      <c r="I17" s="10" t="s">
        <v>1982</v>
      </c>
      <c r="J17" s="10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10" t="s">
        <v>4</v>
      </c>
      <c r="E18" s="10" t="s">
        <v>8</v>
      </c>
      <c r="F18" s="10"/>
      <c r="H18" s="10"/>
      <c r="I18" s="10" t="s">
        <v>1985</v>
      </c>
      <c r="J18" s="10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10" t="s">
        <v>4</v>
      </c>
      <c r="E19" s="10" t="s">
        <v>8</v>
      </c>
      <c r="F19" s="10"/>
      <c r="H19" s="10"/>
      <c r="I19" s="10" t="s">
        <v>1988</v>
      </c>
      <c r="J19" s="10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10" t="s">
        <v>4</v>
      </c>
      <c r="E20" s="10" t="s">
        <v>8</v>
      </c>
      <c r="F20" s="10"/>
      <c r="H20" s="10"/>
      <c r="I20" s="10" t="s">
        <v>1991</v>
      </c>
      <c r="J20" s="1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10" t="s">
        <v>4</v>
      </c>
      <c r="E21" s="10" t="s">
        <v>8</v>
      </c>
      <c r="F21" s="10"/>
      <c r="H21" s="10"/>
      <c r="I21" s="10" t="s">
        <v>1994</v>
      </c>
      <c r="J21" s="10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10" t="s">
        <v>4</v>
      </c>
      <c r="E22" s="10" t="s">
        <v>8</v>
      </c>
      <c r="F22" s="10"/>
      <c r="H22" s="10"/>
      <c r="I22" s="10" t="s">
        <v>2976</v>
      </c>
      <c r="J22" s="10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10" t="s">
        <v>533</v>
      </c>
      <c r="E23" s="10" t="s">
        <v>531</v>
      </c>
      <c r="F23" s="10" t="s">
        <v>58</v>
      </c>
      <c r="H23" s="10" t="s">
        <v>2979</v>
      </c>
      <c r="I23" s="10" t="s">
        <v>2896</v>
      </c>
      <c r="J23" s="10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10" t="s">
        <v>533</v>
      </c>
      <c r="E24" s="10" t="s">
        <v>531</v>
      </c>
      <c r="F24" s="10" t="s">
        <v>58</v>
      </c>
      <c r="H24" s="10" t="s">
        <v>2979</v>
      </c>
      <c r="I24" s="10" t="s">
        <v>2899</v>
      </c>
      <c r="J24" s="10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10" t="s">
        <v>533</v>
      </c>
      <c r="E25" s="10" t="s">
        <v>531</v>
      </c>
      <c r="F25" s="10" t="s">
        <v>58</v>
      </c>
      <c r="H25" s="10" t="s">
        <v>2979</v>
      </c>
      <c r="I25" s="10" t="s">
        <v>2902</v>
      </c>
      <c r="J25" s="10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10" t="s">
        <v>2004</v>
      </c>
      <c r="E26" s="10"/>
      <c r="F26" s="10"/>
      <c r="H26" s="10"/>
      <c r="I26" s="10" t="s">
        <v>2905</v>
      </c>
      <c r="J26" s="10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10" t="s">
        <v>2004</v>
      </c>
      <c r="E27" s="10"/>
      <c r="F27" s="10"/>
      <c r="H27" s="10"/>
      <c r="I27" s="10" t="s">
        <v>2908</v>
      </c>
      <c r="J27" s="10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10" t="s">
        <v>2014</v>
      </c>
      <c r="E28" s="10"/>
      <c r="F28" s="10"/>
      <c r="H28" s="10"/>
      <c r="I28" s="10" t="s">
        <v>2911</v>
      </c>
      <c r="J28" s="10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10" t="s">
        <v>2004</v>
      </c>
      <c r="E29" s="10"/>
      <c r="F29" s="10"/>
      <c r="H29" s="10"/>
      <c r="I29" s="10" t="s">
        <v>2914</v>
      </c>
      <c r="J29" s="10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10" t="s">
        <v>2004</v>
      </c>
      <c r="E30" s="10"/>
      <c r="F30" s="10"/>
      <c r="H30" s="10"/>
      <c r="I30" s="10" t="s">
        <v>2917</v>
      </c>
      <c r="J30" s="1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10" t="s">
        <v>2014</v>
      </c>
      <c r="E31" s="10"/>
      <c r="F31" s="10"/>
      <c r="H31" s="10"/>
      <c r="I31" s="10" t="s">
        <v>4166</v>
      </c>
      <c r="J31" s="10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10" t="s">
        <v>4</v>
      </c>
      <c r="E32" s="10" t="s">
        <v>4249</v>
      </c>
      <c r="F32" s="10"/>
      <c r="H32" s="10"/>
      <c r="I32" s="10" t="s">
        <v>4169</v>
      </c>
      <c r="J32" s="10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10" t="s">
        <v>4</v>
      </c>
      <c r="E33" s="10" t="s">
        <v>4250</v>
      </c>
      <c r="F33" s="10"/>
      <c r="H33" s="10"/>
      <c r="I33" s="10" t="s">
        <v>4172</v>
      </c>
      <c r="J33" s="10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10" t="s">
        <v>4</v>
      </c>
      <c r="E34" s="10" t="s">
        <v>4251</v>
      </c>
      <c r="F34" s="10"/>
      <c r="H34" s="10"/>
      <c r="I34" s="10" t="s">
        <v>4175</v>
      </c>
      <c r="J34" s="10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10" t="s">
        <v>4</v>
      </c>
      <c r="E35" s="10" t="s">
        <v>8</v>
      </c>
      <c r="F35" s="10"/>
      <c r="H35" s="10"/>
      <c r="I35" s="10" t="s">
        <v>4178</v>
      </c>
      <c r="J35" s="10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10" t="s">
        <v>4</v>
      </c>
      <c r="E36" s="10" t="s">
        <v>8</v>
      </c>
      <c r="F36" s="10"/>
      <c r="H36" s="10"/>
      <c r="I36" s="10" t="s">
        <v>4181</v>
      </c>
      <c r="J36" s="10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10" t="s">
        <v>4212</v>
      </c>
      <c r="E37" s="10"/>
      <c r="F37" s="10"/>
      <c r="H37" s="10"/>
      <c r="I37" s="10" t="s">
        <v>4187</v>
      </c>
      <c r="J37" s="10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10" t="s">
        <v>2004</v>
      </c>
      <c r="E38" s="10"/>
      <c r="F38" s="10"/>
      <c r="H38" s="10"/>
      <c r="I38" s="10" t="s">
        <v>4184</v>
      </c>
      <c r="J38" s="10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10" t="s">
        <v>4298</v>
      </c>
      <c r="E39" s="10"/>
      <c r="F39" s="10"/>
      <c r="H39" s="10"/>
      <c r="I39" s="10" t="s">
        <v>4294</v>
      </c>
      <c r="J39" s="10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10" t="s">
        <v>2014</v>
      </c>
      <c r="E40" s="10"/>
      <c r="F40" s="10"/>
      <c r="H40" s="10"/>
      <c r="I40" s="10" t="s">
        <v>4981</v>
      </c>
      <c r="J40" s="1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10" t="s">
        <v>2014</v>
      </c>
      <c r="E41" s="10"/>
      <c r="F41" s="10"/>
      <c r="H41" s="10"/>
      <c r="I41" s="10" t="s">
        <v>4984</v>
      </c>
      <c r="J41" s="10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10" t="s">
        <v>2014</v>
      </c>
      <c r="E42" s="10"/>
      <c r="F42" s="10"/>
      <c r="H42" s="10"/>
      <c r="I42" s="10" t="s">
        <v>4987</v>
      </c>
      <c r="J42" s="10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10" t="s">
        <v>2014</v>
      </c>
      <c r="E43" s="10"/>
      <c r="F43" s="10"/>
      <c r="H43" s="10"/>
      <c r="I43" s="10" t="s">
        <v>4990</v>
      </c>
      <c r="J43" s="10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10" t="s">
        <v>2014</v>
      </c>
      <c r="E44" s="10"/>
      <c r="F44" s="10"/>
      <c r="H44" s="10"/>
      <c r="I44" s="10" t="s">
        <v>4993</v>
      </c>
      <c r="J44" s="10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10" t="s">
        <v>2014</v>
      </c>
      <c r="E45" s="10"/>
      <c r="F45" s="10"/>
      <c r="H45" s="10"/>
      <c r="I45" s="10" t="s">
        <v>4996</v>
      </c>
      <c r="J45" s="10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10" t="s">
        <v>4</v>
      </c>
      <c r="E46" s="10" t="s">
        <v>5266</v>
      </c>
      <c r="F46" s="10"/>
      <c r="H46" s="10"/>
      <c r="I46" s="10" t="s">
        <v>5220</v>
      </c>
      <c r="J46" s="10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10" t="s">
        <v>4</v>
      </c>
      <c r="E47" s="10" t="s">
        <v>5267</v>
      </c>
      <c r="F47" s="10"/>
      <c r="H47" s="10"/>
      <c r="I47" s="10" t="s">
        <v>5223</v>
      </c>
      <c r="J47" s="10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10" t="s">
        <v>159</v>
      </c>
      <c r="E48" s="10" t="s">
        <v>5480</v>
      </c>
      <c r="F48" s="10" t="s">
        <v>4240</v>
      </c>
      <c r="H48" s="10"/>
      <c r="I48" s="10" t="s">
        <v>5468</v>
      </c>
      <c r="J48" s="10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10" t="s">
        <v>4</v>
      </c>
      <c r="E49" s="10" t="s">
        <v>8</v>
      </c>
      <c r="F49" s="10"/>
      <c r="H49" s="10"/>
      <c r="I49" s="10" t="s">
        <v>5471</v>
      </c>
      <c r="J49" s="10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10" t="s">
        <v>6191</v>
      </c>
      <c r="E50" s="10" t="s">
        <v>5480</v>
      </c>
      <c r="F50" s="10" t="s">
        <v>6182</v>
      </c>
      <c r="H50" s="10"/>
      <c r="I50" s="10" t="s">
        <v>5666</v>
      </c>
      <c r="J50" s="1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10" t="s">
        <v>6191</v>
      </c>
      <c r="E51" s="10" t="s">
        <v>5480</v>
      </c>
      <c r="F51" s="10" t="s">
        <v>6182</v>
      </c>
      <c r="H51" s="10" t="s">
        <v>2936</v>
      </c>
      <c r="I51" s="10" t="s">
        <v>5669</v>
      </c>
      <c r="J51" s="10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10" t="s">
        <v>4</v>
      </c>
      <c r="E52" s="10" t="s">
        <v>8</v>
      </c>
      <c r="F52" s="10"/>
      <c r="H52" s="10"/>
      <c r="I52" s="10" t="s">
        <v>5672</v>
      </c>
      <c r="J52" s="10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10" t="s">
        <v>4</v>
      </c>
      <c r="E53" s="10" t="s">
        <v>8</v>
      </c>
      <c r="F53" s="10"/>
      <c r="H53" s="10"/>
      <c r="I53" s="10" t="s">
        <v>5675</v>
      </c>
      <c r="J53" s="10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10" t="s">
        <v>4</v>
      </c>
      <c r="E54" s="10" t="s">
        <v>8</v>
      </c>
      <c r="F54" s="10"/>
      <c r="H54" s="10"/>
      <c r="I54" s="10" t="s">
        <v>5678</v>
      </c>
      <c r="J54" s="10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10" t="s">
        <v>2014</v>
      </c>
      <c r="E55" s="10"/>
      <c r="F55" s="10"/>
      <c r="H55" s="10"/>
      <c r="I55" s="10" t="s">
        <v>5681</v>
      </c>
      <c r="J55" s="10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10" t="s">
        <v>6191</v>
      </c>
      <c r="E56" s="10" t="s">
        <v>5480</v>
      </c>
      <c r="F56" s="10" t="s">
        <v>6172</v>
      </c>
      <c r="H56" s="10"/>
      <c r="I56" s="10" t="s">
        <v>5990</v>
      </c>
      <c r="J56" s="10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10" t="s">
        <v>4</v>
      </c>
      <c r="E57" s="10" t="s">
        <v>8</v>
      </c>
      <c r="F57" s="10"/>
      <c r="H57" s="10"/>
      <c r="I57" s="10" t="s">
        <v>5993</v>
      </c>
      <c r="J57" s="10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10" t="s">
        <v>4</v>
      </c>
      <c r="E58" s="10" t="s">
        <v>8</v>
      </c>
      <c r="F58" s="10"/>
      <c r="H58" s="10"/>
      <c r="I58" s="10" t="s">
        <v>5996</v>
      </c>
      <c r="J58" s="10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10" t="s">
        <v>4</v>
      </c>
      <c r="E59" s="10" t="s">
        <v>6167</v>
      </c>
      <c r="F59" s="10"/>
      <c r="H59" s="10"/>
      <c r="I59" s="10" t="s">
        <v>5999</v>
      </c>
      <c r="J59" s="10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10" t="s">
        <v>4</v>
      </c>
      <c r="E60" s="10" t="s">
        <v>8</v>
      </c>
      <c r="F60" s="10"/>
      <c r="H60" s="10"/>
      <c r="I60" s="10" t="s">
        <v>6002</v>
      </c>
      <c r="J60" s="1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10" t="s">
        <v>2004</v>
      </c>
      <c r="E61" s="10" t="s">
        <v>8</v>
      </c>
      <c r="F61" s="10"/>
      <c r="H61" s="10"/>
      <c r="I61" s="10" t="s">
        <v>6255</v>
      </c>
      <c r="J61" s="10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10" t="s">
        <v>289</v>
      </c>
      <c r="E62" s="10" t="s">
        <v>5480</v>
      </c>
      <c r="F62" s="10" t="s">
        <v>528</v>
      </c>
      <c r="H62" s="10"/>
      <c r="I62" s="10" t="s">
        <v>6515</v>
      </c>
      <c r="J62" s="10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10" t="s">
        <v>289</v>
      </c>
      <c r="E63" s="10" t="s">
        <v>5480</v>
      </c>
      <c r="F63" s="10" t="s">
        <v>528</v>
      </c>
      <c r="H63" s="10"/>
      <c r="I63" s="10" t="s">
        <v>6518</v>
      </c>
      <c r="J63" s="10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10" t="s">
        <v>289</v>
      </c>
      <c r="E64" s="10" t="s">
        <v>5480</v>
      </c>
      <c r="F64" s="10" t="s">
        <v>1621</v>
      </c>
      <c r="H64" s="10"/>
      <c r="I64" s="10" t="s">
        <v>6521</v>
      </c>
      <c r="J64" s="10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10" t="s">
        <v>533</v>
      </c>
      <c r="E65" s="10" t="s">
        <v>531</v>
      </c>
      <c r="F65" s="10" t="s">
        <v>58</v>
      </c>
      <c r="H65" s="10"/>
      <c r="I65" s="10" t="s">
        <v>6644</v>
      </c>
      <c r="J65" s="10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10" t="s">
        <v>533</v>
      </c>
      <c r="E66" s="10" t="s">
        <v>531</v>
      </c>
      <c r="F66" s="10" t="s">
        <v>58</v>
      </c>
      <c r="H66" s="10"/>
      <c r="I66" s="10" t="s">
        <v>6647</v>
      </c>
      <c r="J66" s="10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10" t="s">
        <v>533</v>
      </c>
      <c r="E67" s="10" t="s">
        <v>531</v>
      </c>
      <c r="F67" s="10" t="s">
        <v>58</v>
      </c>
      <c r="H67" s="10"/>
      <c r="I67" s="10" t="s">
        <v>6650</v>
      </c>
      <c r="J67" s="10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10" t="s">
        <v>4</v>
      </c>
      <c r="E68" s="10" t="s">
        <v>8</v>
      </c>
      <c r="F68" s="10"/>
      <c r="H68" s="10"/>
      <c r="I68" s="10" t="s">
        <v>6653</v>
      </c>
      <c r="J68" s="10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10" t="s">
        <v>289</v>
      </c>
      <c r="E69" s="10" t="s">
        <v>5480</v>
      </c>
      <c r="F69" s="10" t="s">
        <v>528</v>
      </c>
      <c r="H69" s="10"/>
      <c r="I69" s="10" t="s">
        <v>6829</v>
      </c>
      <c r="J69" s="10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10" t="s">
        <v>289</v>
      </c>
      <c r="E70" s="10" t="s">
        <v>5480</v>
      </c>
      <c r="F70" s="10" t="s">
        <v>528</v>
      </c>
      <c r="H70" s="10" t="s">
        <v>2936</v>
      </c>
      <c r="I70" s="10" t="s">
        <v>6832</v>
      </c>
      <c r="J70" s="1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10" t="s">
        <v>158</v>
      </c>
      <c r="E71" s="10" t="s">
        <v>5480</v>
      </c>
      <c r="F71" s="10" t="s">
        <v>528</v>
      </c>
      <c r="H71" s="10" t="s">
        <v>5102</v>
      </c>
      <c r="I71" s="10" t="s">
        <v>6835</v>
      </c>
      <c r="J71" s="10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10" t="s">
        <v>289</v>
      </c>
      <c r="E72" s="10" t="s">
        <v>5480</v>
      </c>
      <c r="F72" s="10" t="s">
        <v>528</v>
      </c>
      <c r="H72" s="10"/>
      <c r="I72" s="10" t="s">
        <v>6838</v>
      </c>
      <c r="J72" s="10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10" t="s">
        <v>158</v>
      </c>
      <c r="E73" s="10" t="s">
        <v>5480</v>
      </c>
      <c r="F73" s="10" t="s">
        <v>528</v>
      </c>
      <c r="H73" s="10" t="s">
        <v>5102</v>
      </c>
      <c r="I73" s="10" t="s">
        <v>6841</v>
      </c>
      <c r="J73" s="10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10" t="s">
        <v>4223</v>
      </c>
      <c r="E74" s="10" t="s">
        <v>5480</v>
      </c>
      <c r="F74" s="10" t="s">
        <v>6872</v>
      </c>
      <c r="H74" s="10" t="s">
        <v>6531</v>
      </c>
      <c r="I74" s="10" t="s">
        <v>6844</v>
      </c>
      <c r="J74" s="10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10" t="s">
        <v>4223</v>
      </c>
      <c r="E75" s="10" t="s">
        <v>5480</v>
      </c>
      <c r="F75" s="10" t="s">
        <v>6872</v>
      </c>
      <c r="H75" s="10" t="s">
        <v>2936</v>
      </c>
      <c r="I75" s="10" t="s">
        <v>6847</v>
      </c>
      <c r="J75" s="10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10" t="s">
        <v>158</v>
      </c>
      <c r="E76" s="10" t="s">
        <v>5480</v>
      </c>
      <c r="F76" s="10" t="s">
        <v>6872</v>
      </c>
      <c r="H76" s="10" t="s">
        <v>5102</v>
      </c>
      <c r="I76" s="10" t="s">
        <v>6850</v>
      </c>
      <c r="J76" s="10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10" t="s">
        <v>4</v>
      </c>
      <c r="E77" s="10" t="s">
        <v>6873</v>
      </c>
      <c r="F77" s="10"/>
      <c r="H77" s="10" t="s">
        <v>6531</v>
      </c>
      <c r="I77" s="10" t="s">
        <v>6853</v>
      </c>
      <c r="J77" s="10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10" t="s">
        <v>4</v>
      </c>
      <c r="E78" s="10" t="s">
        <v>2932</v>
      </c>
      <c r="F78" s="10"/>
      <c r="H78" s="10"/>
      <c r="I78" s="10" t="s">
        <v>6856</v>
      </c>
      <c r="J78" s="10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10" t="s">
        <v>4</v>
      </c>
      <c r="E79" s="10" t="s">
        <v>6874</v>
      </c>
      <c r="F79" s="10"/>
      <c r="H79" s="10"/>
      <c r="I79" s="10" t="s">
        <v>6859</v>
      </c>
      <c r="J79" s="10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10" t="s">
        <v>4</v>
      </c>
      <c r="E80" s="10" t="s">
        <v>8</v>
      </c>
      <c r="F80" s="10"/>
      <c r="H80" s="10"/>
      <c r="I80" s="10" t="s">
        <v>6862</v>
      </c>
      <c r="J80" s="1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10" t="s">
        <v>2004</v>
      </c>
      <c r="E81" s="10" t="s">
        <v>8</v>
      </c>
      <c r="F81" s="10"/>
      <c r="H81" s="10"/>
      <c r="I81" s="10" t="s">
        <v>7163</v>
      </c>
      <c r="J81" s="10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10" t="s">
        <v>2004</v>
      </c>
      <c r="E82" s="10" t="s">
        <v>8</v>
      </c>
      <c r="F82" s="10"/>
      <c r="H82" s="10"/>
      <c r="I82" s="10" t="s">
        <v>7157</v>
      </c>
      <c r="J82" s="10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10" t="s">
        <v>2004</v>
      </c>
      <c r="E83" s="10" t="s">
        <v>8</v>
      </c>
      <c r="F83" s="10"/>
      <c r="H83" s="10"/>
      <c r="I83" s="10" t="s">
        <v>7211</v>
      </c>
      <c r="J83" s="10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10" t="s">
        <v>2004</v>
      </c>
      <c r="E84" s="10" t="s">
        <v>8</v>
      </c>
      <c r="F84" s="10"/>
      <c r="H84" s="10"/>
      <c r="I84" s="10" t="s">
        <v>7311</v>
      </c>
      <c r="J84" s="10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10" t="s">
        <v>2004</v>
      </c>
      <c r="E85" s="10" t="s">
        <v>8</v>
      </c>
      <c r="F85" s="10"/>
      <c r="H85" s="10"/>
      <c r="I85" s="10" t="s">
        <v>7314</v>
      </c>
      <c r="J85" s="10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10" t="s">
        <v>4223</v>
      </c>
      <c r="E86" s="10" t="s">
        <v>5480</v>
      </c>
      <c r="F86" s="10" t="s">
        <v>60</v>
      </c>
      <c r="H86" s="10"/>
      <c r="I86" s="10" t="s">
        <v>7679</v>
      </c>
      <c r="J86" s="10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10" t="s">
        <v>2004</v>
      </c>
      <c r="E87" s="10" t="s">
        <v>8</v>
      </c>
      <c r="F87" s="10"/>
      <c r="H87" s="10"/>
      <c r="I87" s="10" t="s">
        <v>7682</v>
      </c>
      <c r="J87" s="10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10" t="s">
        <v>4</v>
      </c>
      <c r="E88" s="10" t="s">
        <v>4193</v>
      </c>
      <c r="F88" s="10"/>
      <c r="H88" s="10" t="s">
        <v>7718</v>
      </c>
      <c r="I88" s="10" t="s">
        <v>7685</v>
      </c>
      <c r="J88" s="10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10" t="s">
        <v>4223</v>
      </c>
      <c r="E89" s="10" t="s">
        <v>5480</v>
      </c>
      <c r="F89" s="10" t="s">
        <v>7713</v>
      </c>
      <c r="H89" s="10"/>
      <c r="I89" s="10" t="s">
        <v>7688</v>
      </c>
      <c r="J89" s="10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10" t="s">
        <v>4223</v>
      </c>
      <c r="E90" s="10" t="s">
        <v>5480</v>
      </c>
      <c r="F90" s="10" t="s">
        <v>7719</v>
      </c>
      <c r="H90" s="10"/>
      <c r="I90" s="10" t="s">
        <v>7691</v>
      </c>
      <c r="J90" s="1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10" t="s">
        <v>4223</v>
      </c>
      <c r="E91" s="10" t="s">
        <v>5480</v>
      </c>
      <c r="F91" s="10" t="s">
        <v>60</v>
      </c>
      <c r="H91" s="10"/>
      <c r="I91" s="10" t="s">
        <v>7792</v>
      </c>
      <c r="J91" s="10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10" t="s">
        <v>4223</v>
      </c>
      <c r="E92" s="10" t="s">
        <v>5480</v>
      </c>
      <c r="F92" s="10" t="s">
        <v>60</v>
      </c>
      <c r="H92" s="10"/>
      <c r="I92" s="10" t="s">
        <v>7795</v>
      </c>
      <c r="J92" s="10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10" t="s">
        <v>4223</v>
      </c>
      <c r="E93" s="10" t="s">
        <v>5480</v>
      </c>
      <c r="F93" s="10" t="s">
        <v>7719</v>
      </c>
      <c r="H93" s="10"/>
      <c r="I93" s="10" t="s">
        <v>7798</v>
      </c>
      <c r="J93" s="10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10" t="s">
        <v>4</v>
      </c>
      <c r="E94" s="10" t="s">
        <v>4193</v>
      </c>
      <c r="F94" s="10"/>
      <c r="H94" s="10" t="s">
        <v>7718</v>
      </c>
      <c r="I94" s="10" t="s">
        <v>7801</v>
      </c>
      <c r="J94" s="10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10" t="s">
        <v>4</v>
      </c>
      <c r="E95" s="10" t="s">
        <v>8</v>
      </c>
      <c r="F95" s="10"/>
      <c r="H95" s="10" t="s">
        <v>2936</v>
      </c>
      <c r="I95" s="10" t="s">
        <v>7804</v>
      </c>
      <c r="J95" s="10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10" t="s">
        <v>4</v>
      </c>
      <c r="E96" s="10" t="s">
        <v>8</v>
      </c>
      <c r="F96" s="10"/>
      <c r="H96" s="10" t="s">
        <v>2936</v>
      </c>
      <c r="I96" s="10" t="s">
        <v>7807</v>
      </c>
      <c r="J96" s="10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10" t="s">
        <v>4223</v>
      </c>
      <c r="E97" s="10" t="s">
        <v>5480</v>
      </c>
      <c r="F97" s="10" t="s">
        <v>7714</v>
      </c>
      <c r="H97" s="10"/>
      <c r="I97" s="10" t="s">
        <v>7810</v>
      </c>
      <c r="J97" s="10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10" t="s">
        <v>4223</v>
      </c>
      <c r="E98" s="10" t="s">
        <v>5480</v>
      </c>
      <c r="F98" s="10" t="s">
        <v>60</v>
      </c>
      <c r="H98" s="10"/>
      <c r="I98" s="10" t="s">
        <v>7813</v>
      </c>
      <c r="J98" s="10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10" t="s">
        <v>4</v>
      </c>
      <c r="E99" s="10" t="s">
        <v>8</v>
      </c>
      <c r="F99" s="10"/>
      <c r="H99" s="10"/>
      <c r="I99" s="10" t="s">
        <v>7816</v>
      </c>
      <c r="J99" s="10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10" t="s">
        <v>4</v>
      </c>
      <c r="E100" s="10" t="s">
        <v>8</v>
      </c>
      <c r="F100" s="10"/>
      <c r="H100" s="10"/>
      <c r="I100" s="10" t="s">
        <v>7983</v>
      </c>
      <c r="J100" s="1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10" t="s">
        <v>4</v>
      </c>
      <c r="E101" s="10" t="s">
        <v>8</v>
      </c>
      <c r="F101" s="10"/>
      <c r="H101" s="10"/>
      <c r="I101" s="10" t="s">
        <v>7986</v>
      </c>
      <c r="J101" s="10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10" t="s">
        <v>4</v>
      </c>
      <c r="E102" s="10" t="s">
        <v>8</v>
      </c>
      <c r="F102" s="10"/>
      <c r="H102" s="10"/>
      <c r="I102" s="10" t="s">
        <v>7989</v>
      </c>
      <c r="J102" s="10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10" t="s">
        <v>533</v>
      </c>
      <c r="E103" s="10" t="s">
        <v>531</v>
      </c>
      <c r="F103" s="10" t="s">
        <v>8361</v>
      </c>
      <c r="H103" s="10"/>
      <c r="I103" s="10" t="s">
        <v>8273</v>
      </c>
      <c r="J103" s="10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10" t="s">
        <v>2004</v>
      </c>
      <c r="E104" s="10" t="s">
        <v>8</v>
      </c>
      <c r="F104" s="10"/>
      <c r="H104" s="10"/>
      <c r="I104" s="10" t="s">
        <v>8276</v>
      </c>
      <c r="J104" s="10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10" t="s">
        <v>2004</v>
      </c>
      <c r="E105" s="10" t="s">
        <v>8</v>
      </c>
      <c r="F105" s="10"/>
      <c r="H105" s="10"/>
      <c r="I105" s="10" t="s">
        <v>8279</v>
      </c>
      <c r="J105" s="10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10" t="s">
        <v>2004</v>
      </c>
      <c r="E106" s="10" t="s">
        <v>8</v>
      </c>
      <c r="F106" s="10"/>
      <c r="H106" s="10"/>
      <c r="I106" s="10" t="s">
        <v>8282</v>
      </c>
      <c r="J106" s="10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10" t="s">
        <v>2004</v>
      </c>
      <c r="E107" s="10" t="s">
        <v>8</v>
      </c>
      <c r="F107" s="10"/>
      <c r="H107" s="10"/>
      <c r="I107" s="10" t="s">
        <v>8465</v>
      </c>
      <c r="J107" s="10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10" t="s">
        <v>2004</v>
      </c>
      <c r="E108" s="10" t="s">
        <v>8</v>
      </c>
      <c r="F108" s="10"/>
      <c r="H108" s="10"/>
      <c r="I108" s="10" t="s">
        <v>8468</v>
      </c>
      <c r="J108" s="10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10" t="s">
        <v>2004</v>
      </c>
      <c r="E109" s="10" t="s">
        <v>8</v>
      </c>
      <c r="F109" s="10"/>
      <c r="H109" s="10"/>
      <c r="I109" s="10" t="s">
        <v>8471</v>
      </c>
      <c r="J109" s="10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10" t="s">
        <v>2004</v>
      </c>
      <c r="E110" s="10" t="s">
        <v>8</v>
      </c>
      <c r="F110" s="10"/>
      <c r="H110" s="10"/>
      <c r="I110" s="10" t="s">
        <v>8778</v>
      </c>
      <c r="J110" s="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10" t="s">
        <v>2004</v>
      </c>
      <c r="E111" s="10" t="s">
        <v>8</v>
      </c>
      <c r="F111" s="10"/>
      <c r="H111" s="10"/>
      <c r="I111" s="10" t="s">
        <v>8781</v>
      </c>
      <c r="J111" s="10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10" t="s">
        <v>2004</v>
      </c>
      <c r="E112" s="10" t="s">
        <v>8</v>
      </c>
      <c r="F112" s="10"/>
      <c r="H112" s="10"/>
      <c r="I112" s="10" t="s">
        <v>8784</v>
      </c>
      <c r="J112" s="10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10" t="s">
        <v>2004</v>
      </c>
      <c r="E113" s="10" t="s">
        <v>8</v>
      </c>
      <c r="F113" s="10"/>
      <c r="H113" s="10"/>
      <c r="I113" s="10" t="s">
        <v>8787</v>
      </c>
      <c r="J113" s="10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10" t="s">
        <v>2004</v>
      </c>
      <c r="E114" s="10" t="s">
        <v>8</v>
      </c>
      <c r="F114" s="10"/>
      <c r="H114" s="10"/>
      <c r="I114" s="10" t="s">
        <v>8790</v>
      </c>
      <c r="J114" s="10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10" t="s">
        <v>2004</v>
      </c>
      <c r="E115" s="10" t="s">
        <v>8</v>
      </c>
      <c r="F115" s="10"/>
      <c r="H115" s="10"/>
      <c r="I115" s="10" t="s">
        <v>8793</v>
      </c>
      <c r="J115" s="10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10" t="s">
        <v>2004</v>
      </c>
      <c r="E116" s="10" t="s">
        <v>8</v>
      </c>
      <c r="F116" s="10"/>
      <c r="H116" s="10"/>
      <c r="I116" s="10" t="s">
        <v>8796</v>
      </c>
      <c r="J116" s="10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10" t="s">
        <v>4</v>
      </c>
      <c r="E117" s="10" t="s">
        <v>8045</v>
      </c>
      <c r="F117" s="10"/>
      <c r="H117" s="10"/>
      <c r="I117" s="10" t="s">
        <v>9168</v>
      </c>
      <c r="J117" s="10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10" t="s">
        <v>7171</v>
      </c>
      <c r="E118" s="10" t="s">
        <v>5480</v>
      </c>
      <c r="F118" s="10" t="s">
        <v>9202</v>
      </c>
      <c r="H118" s="10"/>
      <c r="I118" s="10" t="s">
        <v>9171</v>
      </c>
      <c r="J118" s="10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10" t="s">
        <v>4</v>
      </c>
      <c r="E119" s="10" t="s">
        <v>8</v>
      </c>
      <c r="F119" s="10"/>
      <c r="H119" s="10"/>
      <c r="I119" s="10" t="s">
        <v>9174</v>
      </c>
      <c r="J119" s="10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10" t="s">
        <v>4</v>
      </c>
      <c r="E120" s="10" t="s">
        <v>9212</v>
      </c>
      <c r="F120" s="10"/>
      <c r="H120" s="10"/>
      <c r="I120" s="10" t="s">
        <v>9177</v>
      </c>
      <c r="J120" s="1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10" t="s">
        <v>4</v>
      </c>
      <c r="E121" s="10" t="s">
        <v>9212</v>
      </c>
      <c r="F121" s="10"/>
      <c r="H121" s="10"/>
      <c r="I121" s="10" t="s">
        <v>9180</v>
      </c>
      <c r="J121" s="10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10" t="s">
        <v>4</v>
      </c>
      <c r="E122" s="10" t="s">
        <v>8</v>
      </c>
      <c r="F122" s="10"/>
      <c r="H122" s="10"/>
      <c r="I122" s="10" t="s">
        <v>9183</v>
      </c>
      <c r="J122" s="10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10" t="s">
        <v>4</v>
      </c>
      <c r="E123" s="10" t="s">
        <v>8045</v>
      </c>
      <c r="F123" s="10"/>
      <c r="H123" s="10"/>
      <c r="I123" s="10" t="s">
        <v>9324</v>
      </c>
      <c r="J123" s="10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10" t="s">
        <v>4</v>
      </c>
      <c r="E124" s="10" t="s">
        <v>8045</v>
      </c>
      <c r="F124" s="10"/>
      <c r="H124" s="10"/>
      <c r="I124" s="10" t="s">
        <v>9327</v>
      </c>
      <c r="J124" s="10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10" t="s">
        <v>4</v>
      </c>
      <c r="E125" s="10" t="s">
        <v>8045</v>
      </c>
      <c r="F125" s="10"/>
      <c r="H125" s="10"/>
      <c r="I125" s="10" t="s">
        <v>9330</v>
      </c>
      <c r="J125" s="10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10" t="s">
        <v>4</v>
      </c>
      <c r="E126" s="10" t="s">
        <v>8</v>
      </c>
      <c r="F126" s="10"/>
      <c r="H126" s="10"/>
      <c r="I126" s="10" t="s">
        <v>9333</v>
      </c>
      <c r="J126" s="10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10" t="s">
        <v>4</v>
      </c>
      <c r="E127" s="10" t="s">
        <v>8</v>
      </c>
      <c r="F127" s="10"/>
      <c r="H127" s="10"/>
      <c r="I127" s="10" t="s">
        <v>9549</v>
      </c>
      <c r="J127" s="10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10" t="s">
        <v>4</v>
      </c>
      <c r="E128" s="10" t="s">
        <v>8</v>
      </c>
      <c r="F128" s="10"/>
      <c r="H128" s="10"/>
      <c r="I128" s="10" t="s">
        <v>9552</v>
      </c>
      <c r="J128" s="10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10" t="s">
        <v>4</v>
      </c>
      <c r="E129" s="10" t="s">
        <v>9212</v>
      </c>
      <c r="F129" s="10"/>
      <c r="H129" s="10"/>
      <c r="I129" s="10" t="s">
        <v>9555</v>
      </c>
      <c r="J129" s="10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10" t="s">
        <v>4</v>
      </c>
      <c r="E130" s="10" t="s">
        <v>9212</v>
      </c>
      <c r="F130" s="10"/>
      <c r="H130" s="10"/>
      <c r="I130" s="10" t="s">
        <v>9558</v>
      </c>
      <c r="J130" s="1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10" t="s">
        <v>4</v>
      </c>
      <c r="E131" s="10" t="s">
        <v>9212</v>
      </c>
      <c r="F131" s="10"/>
      <c r="H131" s="10"/>
      <c r="I131" s="10" t="s">
        <v>9561</v>
      </c>
      <c r="J131" s="10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10" t="s">
        <v>4</v>
      </c>
      <c r="E132" s="10" t="s">
        <v>9212</v>
      </c>
      <c r="F132" s="10"/>
      <c r="H132" s="10"/>
      <c r="I132" s="10" t="s">
        <v>9564</v>
      </c>
      <c r="J132" s="10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10" t="s">
        <v>4</v>
      </c>
      <c r="E133" s="10" t="s">
        <v>8</v>
      </c>
      <c r="F133" s="10"/>
      <c r="H133" s="10"/>
      <c r="I133" s="10" t="s">
        <v>9567</v>
      </c>
      <c r="J133" s="10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10" t="s">
        <v>2004</v>
      </c>
      <c r="E134" s="10" t="s">
        <v>8</v>
      </c>
      <c r="F134" s="10"/>
      <c r="H134" s="10"/>
      <c r="I134" s="10" t="s">
        <v>9677</v>
      </c>
      <c r="J134" s="10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10" t="s">
        <v>2004</v>
      </c>
      <c r="E135" s="10" t="s">
        <v>8</v>
      </c>
      <c r="F135" s="10"/>
      <c r="H135" s="10"/>
      <c r="I135" s="10" t="s">
        <v>9680</v>
      </c>
      <c r="J135" s="10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10" t="s">
        <v>2004</v>
      </c>
      <c r="E136" s="10" t="s">
        <v>8</v>
      </c>
      <c r="F136" s="10"/>
      <c r="H136" s="10"/>
      <c r="I136" s="10" t="s">
        <v>9870</v>
      </c>
      <c r="J136" s="10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10" t="s">
        <v>2004</v>
      </c>
      <c r="E137" s="10" t="s">
        <v>8</v>
      </c>
      <c r="F137" s="10"/>
      <c r="H137" s="10"/>
      <c r="I137" s="10" t="s">
        <v>9873</v>
      </c>
      <c r="J137" s="10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10" t="s">
        <v>2004</v>
      </c>
      <c r="E138" s="10" t="s">
        <v>8</v>
      </c>
      <c r="F138" s="10"/>
      <c r="H138" s="10"/>
      <c r="I138" s="10" t="s">
        <v>10113</v>
      </c>
      <c r="J138" s="10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10" t="s">
        <v>7171</v>
      </c>
      <c r="E139" s="10" t="s">
        <v>5480</v>
      </c>
      <c r="F139" s="10" t="s">
        <v>9202</v>
      </c>
      <c r="H139" s="10"/>
      <c r="I139" s="10" t="s">
        <v>10116</v>
      </c>
      <c r="J139" s="10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10" t="s">
        <v>4</v>
      </c>
      <c r="E140" s="10" t="s">
        <v>8</v>
      </c>
      <c r="F140" s="10"/>
      <c r="H140" s="10"/>
      <c r="I140" s="10" t="s">
        <v>10119</v>
      </c>
      <c r="J140" s="1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10" t="s">
        <v>4</v>
      </c>
      <c r="E141" s="10" t="s">
        <v>8</v>
      </c>
      <c r="F141" s="10"/>
      <c r="H141" s="10"/>
      <c r="I141" s="10" t="s">
        <v>10433</v>
      </c>
      <c r="J141" s="10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10" t="s">
        <v>4</v>
      </c>
      <c r="E142" s="10" t="s">
        <v>8</v>
      </c>
      <c r="F142" s="10"/>
      <c r="H142" s="10" t="s">
        <v>2936</v>
      </c>
      <c r="I142" s="10" t="s">
        <v>10436</v>
      </c>
      <c r="J142" s="10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10" t="s">
        <v>4</v>
      </c>
      <c r="E143" s="10" t="s">
        <v>8</v>
      </c>
      <c r="F143" s="10"/>
      <c r="H143" s="10" t="s">
        <v>2936</v>
      </c>
      <c r="I143" s="10" t="s">
        <v>10439</v>
      </c>
      <c r="J143" s="10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10" t="s">
        <v>2004</v>
      </c>
      <c r="E144" s="10" t="s">
        <v>8</v>
      </c>
      <c r="F144" s="10"/>
      <c r="H144" s="10"/>
      <c r="I144" s="10" t="s">
        <v>10485</v>
      </c>
      <c r="J144" s="10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10" t="s">
        <v>2004</v>
      </c>
      <c r="E145" s="10" t="s">
        <v>8</v>
      </c>
      <c r="F145" s="10"/>
      <c r="H145" s="10"/>
      <c r="I145" s="10" t="s">
        <v>10488</v>
      </c>
      <c r="J145" s="10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10" t="s">
        <v>2004</v>
      </c>
      <c r="E146" s="10" t="s">
        <v>8</v>
      </c>
      <c r="F146" s="10"/>
      <c r="H146" s="10"/>
      <c r="I146" s="10" t="s">
        <v>10624</v>
      </c>
      <c r="J146" s="10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10" t="s">
        <v>2004</v>
      </c>
      <c r="E147" s="10" t="s">
        <v>8</v>
      </c>
      <c r="F147" s="10"/>
      <c r="H147" s="10"/>
      <c r="I147" s="10" t="s">
        <v>10627</v>
      </c>
      <c r="J147" s="10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10" t="s">
        <v>2004</v>
      </c>
      <c r="E148" s="10" t="s">
        <v>8</v>
      </c>
      <c r="F148" s="10"/>
      <c r="H148" s="10"/>
      <c r="I148" s="10" t="s">
        <v>10872</v>
      </c>
      <c r="J148" s="10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10" t="s">
        <v>2004</v>
      </c>
      <c r="E149" s="10" t="s">
        <v>8</v>
      </c>
      <c r="F149" s="10"/>
      <c r="H149" s="10"/>
      <c r="I149" s="10" t="s">
        <v>10875</v>
      </c>
      <c r="J149" s="10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10" t="s">
        <v>2004</v>
      </c>
      <c r="E150" s="10" t="s">
        <v>8</v>
      </c>
      <c r="F150" s="10"/>
      <c r="H150" s="10"/>
      <c r="I150" s="10" t="s">
        <v>11001</v>
      </c>
      <c r="J150" s="1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10" t="s">
        <v>2014</v>
      </c>
      <c r="E151" s="10"/>
      <c r="F151" s="10"/>
      <c r="H151" s="10"/>
      <c r="I151" s="10" t="s">
        <v>11055</v>
      </c>
      <c r="J151" s="10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10" t="s">
        <v>2004</v>
      </c>
      <c r="E152" s="10" t="s">
        <v>8</v>
      </c>
      <c r="F152" s="10"/>
      <c r="H152" s="10"/>
      <c r="I152" s="10" t="s">
        <v>11058</v>
      </c>
      <c r="J152" s="10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10" t="s">
        <v>2004</v>
      </c>
      <c r="E153" s="10" t="s">
        <v>8</v>
      </c>
      <c r="F153" s="10"/>
      <c r="H153" s="10"/>
      <c r="I153" s="10" t="s">
        <v>11391</v>
      </c>
      <c r="J153" s="10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10" t="s">
        <v>4</v>
      </c>
      <c r="E154" s="10" t="s">
        <v>8</v>
      </c>
      <c r="F154" s="10"/>
      <c r="H154" s="10"/>
      <c r="I154" s="10" t="s">
        <v>11394</v>
      </c>
      <c r="J154" s="10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10" t="s">
        <v>159</v>
      </c>
      <c r="E155" s="10" t="s">
        <v>11424</v>
      </c>
      <c r="F155" s="10"/>
      <c r="H155" s="10"/>
      <c r="I155" s="10" t="s">
        <v>11397</v>
      </c>
      <c r="J155" s="10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10" t="s">
        <v>4</v>
      </c>
      <c r="E156" s="10" t="s">
        <v>8</v>
      </c>
      <c r="F156" s="10"/>
      <c r="H156" s="10"/>
      <c r="I156" s="10" t="s">
        <v>11400</v>
      </c>
      <c r="J156" s="10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10" t="s">
        <v>4</v>
      </c>
      <c r="E157" s="10" t="s">
        <v>8</v>
      </c>
      <c r="F157" s="10"/>
      <c r="H157" s="10"/>
      <c r="I157" s="10" t="s">
        <v>11403</v>
      </c>
      <c r="J157" s="10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10" t="s">
        <v>11425</v>
      </c>
      <c r="E158" s="10"/>
      <c r="F158" s="10"/>
      <c r="H158" s="10"/>
      <c r="I158" s="10" t="s">
        <v>11406</v>
      </c>
      <c r="J158" s="10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10" t="s">
        <v>4</v>
      </c>
      <c r="E159" s="10" t="s">
        <v>11426</v>
      </c>
      <c r="F159" s="10"/>
      <c r="H159" s="10"/>
      <c r="I159" s="10" t="s">
        <v>11409</v>
      </c>
      <c r="J159" s="10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10" t="s">
        <v>4</v>
      </c>
      <c r="E160" s="10" t="s">
        <v>11424</v>
      </c>
      <c r="F160" s="10"/>
      <c r="H160" s="10"/>
      <c r="I160" s="10" t="s">
        <v>11562</v>
      </c>
      <c r="J160" s="1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10" t="s">
        <v>4</v>
      </c>
      <c r="E161" s="10" t="s">
        <v>11659</v>
      </c>
      <c r="F161" s="10"/>
      <c r="H161" s="10"/>
      <c r="I161" s="10" t="s">
        <v>11565</v>
      </c>
      <c r="J161" s="10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10" t="s">
        <v>11660</v>
      </c>
      <c r="E162" s="10"/>
      <c r="F162" s="10"/>
      <c r="H162" s="10"/>
      <c r="I162" s="10" t="s">
        <v>11568</v>
      </c>
      <c r="J162" s="10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10" t="s">
        <v>4</v>
      </c>
      <c r="E163" s="10" t="s">
        <v>8</v>
      </c>
      <c r="F163" s="10"/>
      <c r="H163" s="10"/>
      <c r="I163" s="10" t="s">
        <v>11571</v>
      </c>
      <c r="J163" s="10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10" t="s">
        <v>2004</v>
      </c>
      <c r="E164" s="10" t="s">
        <v>8</v>
      </c>
      <c r="F164" s="10"/>
      <c r="H164" s="10"/>
      <c r="I164" s="10" t="s">
        <v>11766</v>
      </c>
      <c r="J164" s="10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10" t="s">
        <v>2004</v>
      </c>
      <c r="E165" s="10" t="s">
        <v>8</v>
      </c>
      <c r="F165" s="10"/>
      <c r="H165" s="10"/>
      <c r="I165" s="10" t="s">
        <v>11769</v>
      </c>
      <c r="J165" s="10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10" t="s">
        <v>4</v>
      </c>
      <c r="E166" s="10" t="s">
        <v>8</v>
      </c>
      <c r="F166" s="10"/>
      <c r="H166" s="10"/>
      <c r="I166" s="10" t="s">
        <v>11847</v>
      </c>
      <c r="J166" s="10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10" t="s">
        <v>4</v>
      </c>
      <c r="E167" s="10" t="s">
        <v>8</v>
      </c>
      <c r="F167" s="10"/>
      <c r="H167" s="10"/>
      <c r="I167" s="10" t="s">
        <v>11850</v>
      </c>
      <c r="J167" s="10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10" t="s">
        <v>159</v>
      </c>
      <c r="E168" s="10" t="s">
        <v>11958</v>
      </c>
      <c r="F168" s="10"/>
      <c r="H168" s="10"/>
      <c r="I168" s="10" t="s">
        <v>11853</v>
      </c>
      <c r="J168" s="10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10" t="s">
        <v>4</v>
      </c>
      <c r="E169" s="10" t="s">
        <v>8</v>
      </c>
      <c r="F169" s="10"/>
      <c r="H169" s="10"/>
      <c r="I169" s="10" t="s">
        <v>11856</v>
      </c>
      <c r="J169" s="10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10" t="s">
        <v>6171</v>
      </c>
      <c r="E170" s="10" t="s">
        <v>4193</v>
      </c>
      <c r="F170" s="10"/>
      <c r="H170" s="10"/>
      <c r="I170" s="10" t="s">
        <v>11859</v>
      </c>
      <c r="J170" s="1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10" t="s">
        <v>11957</v>
      </c>
      <c r="E171" s="10" t="s">
        <v>4193</v>
      </c>
      <c r="F171" s="10"/>
      <c r="H171" s="10"/>
      <c r="I171" s="10" t="s">
        <v>11862</v>
      </c>
      <c r="J171" s="10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10" t="s">
        <v>4</v>
      </c>
      <c r="E172" s="10" t="s">
        <v>8</v>
      </c>
      <c r="F172" s="10"/>
      <c r="H172" s="10"/>
      <c r="I172" s="10" t="s">
        <v>11865</v>
      </c>
      <c r="J172" s="10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10" t="s">
        <v>651</v>
      </c>
      <c r="E173" s="10" t="s">
        <v>86</v>
      </c>
      <c r="F173" s="10"/>
      <c r="H173" s="10"/>
      <c r="I173" s="10" t="s">
        <v>11868</v>
      </c>
      <c r="J173" s="10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10" t="s">
        <v>651</v>
      </c>
      <c r="E174" s="10" t="s">
        <v>86</v>
      </c>
      <c r="F174" s="10"/>
      <c r="H174" s="10" t="s">
        <v>2936</v>
      </c>
      <c r="I174" s="10" t="s">
        <v>11870</v>
      </c>
      <c r="J174" s="10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10" t="s">
        <v>11964</v>
      </c>
      <c r="E175" s="10" t="s">
        <v>86</v>
      </c>
      <c r="F175" s="10"/>
      <c r="H175" s="10"/>
      <c r="I175" s="10" t="s">
        <v>11873</v>
      </c>
      <c r="J175" s="10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10" t="s">
        <v>651</v>
      </c>
      <c r="E176" s="10" t="s">
        <v>86</v>
      </c>
      <c r="F176" s="10"/>
      <c r="H176" s="10"/>
      <c r="I176" s="10" t="s">
        <v>11971</v>
      </c>
      <c r="J176" s="10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10" t="s">
        <v>2004</v>
      </c>
      <c r="E177" s="10" t="s">
        <v>8</v>
      </c>
      <c r="F177" s="10"/>
      <c r="H177" s="10"/>
      <c r="I177" s="10" t="s">
        <v>11974</v>
      </c>
      <c r="J177" s="10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10" t="s">
        <v>2004</v>
      </c>
      <c r="E178" s="10" t="s">
        <v>8</v>
      </c>
      <c r="F178" s="10"/>
      <c r="H178" s="10"/>
      <c r="I178" s="10" t="s">
        <v>12055</v>
      </c>
      <c r="J178" s="10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  <row r="179" spans="1:13" x14ac:dyDescent="0.25">
      <c r="A179" s="2" t="s">
        <v>13</v>
      </c>
      <c r="B179" s="4">
        <v>46069</v>
      </c>
      <c r="C179" s="5">
        <v>0.50408564814814816</v>
      </c>
      <c r="D179" s="10" t="s">
        <v>4</v>
      </c>
      <c r="E179" s="10" t="s">
        <v>12383</v>
      </c>
      <c r="F179" s="10"/>
      <c r="H179" s="10"/>
      <c r="I179" s="10" t="s">
        <v>12300</v>
      </c>
      <c r="J179" s="10" t="s">
        <v>2988</v>
      </c>
      <c r="K179" t="s">
        <v>12301</v>
      </c>
      <c r="L179" t="s">
        <v>12302</v>
      </c>
      <c r="M179" s="3" t="str">
        <f>HYPERLINK(склад2въезд131920212223789[[#This Row],[RelativePath]])</f>
        <v>13 Склад хол\K07156189_23_20260216T120553Z.jpg</v>
      </c>
    </row>
    <row r="180" spans="1:13" x14ac:dyDescent="0.25">
      <c r="A180" s="2" t="s">
        <v>13</v>
      </c>
      <c r="B180" s="4">
        <v>46069</v>
      </c>
      <c r="C180" s="5">
        <v>0.5995138888888889</v>
      </c>
      <c r="D180" s="10" t="s">
        <v>651</v>
      </c>
      <c r="E180" s="10" t="s">
        <v>86</v>
      </c>
      <c r="F180" s="10"/>
      <c r="H180" s="10"/>
      <c r="I180" s="10" t="s">
        <v>12303</v>
      </c>
      <c r="J180" s="10" t="s">
        <v>2988</v>
      </c>
      <c r="K180" t="s">
        <v>12304</v>
      </c>
      <c r="L180" t="s">
        <v>12305</v>
      </c>
      <c r="M180" s="3" t="str">
        <f>HYPERLINK(склад2въезд131920212223789[[#This Row],[RelativePath]])</f>
        <v>13 Склад хол\K07156189_23_20260216T142318Z.jpg</v>
      </c>
    </row>
    <row r="181" spans="1:13" x14ac:dyDescent="0.25">
      <c r="A181" s="2" t="s">
        <v>13</v>
      </c>
      <c r="B181" s="4">
        <v>46069</v>
      </c>
      <c r="C181" s="5">
        <v>0.61488425925925927</v>
      </c>
      <c r="D181" s="10" t="s">
        <v>651</v>
      </c>
      <c r="E181" s="10" t="s">
        <v>86</v>
      </c>
      <c r="F181" s="10"/>
      <c r="H181" s="10"/>
      <c r="I181" s="10" t="s">
        <v>12306</v>
      </c>
      <c r="J181" s="10" t="s">
        <v>2988</v>
      </c>
      <c r="K181" t="s">
        <v>12307</v>
      </c>
      <c r="L181" t="s">
        <v>12308</v>
      </c>
      <c r="M181" s="3" t="str">
        <f>HYPERLINK(склад2въезд131920212223789[[#This Row],[RelativePath]])</f>
        <v>13 Склад хол\K07156189_23_20260216T144526Z.jpg</v>
      </c>
    </row>
    <row r="182" spans="1:13" x14ac:dyDescent="0.25">
      <c r="A182" s="2" t="s">
        <v>14</v>
      </c>
      <c r="B182" s="4">
        <v>46070</v>
      </c>
      <c r="C182" s="5">
        <v>0.69388888888888889</v>
      </c>
      <c r="D182" s="10" t="s">
        <v>11961</v>
      </c>
      <c r="E182" s="10"/>
      <c r="F182" s="10"/>
      <c r="H182" s="10"/>
      <c r="I182" s="10" t="s">
        <v>12309</v>
      </c>
      <c r="J182" s="10" t="s">
        <v>2988</v>
      </c>
      <c r="K182" t="s">
        <v>12310</v>
      </c>
      <c r="L182" t="s">
        <v>12311</v>
      </c>
      <c r="M182" s="3" t="str">
        <f>HYPERLINK(склад2въезд131920212223789[[#This Row],[RelativePath]])</f>
        <v>13 Склад хол\K07156189_23_20260217T163912Z.jpg</v>
      </c>
    </row>
    <row r="183" spans="1:13" x14ac:dyDescent="0.25">
      <c r="A183" s="2" t="s">
        <v>14</v>
      </c>
      <c r="B183" s="4">
        <v>46070</v>
      </c>
      <c r="C183" s="5">
        <v>0.78380787037037036</v>
      </c>
      <c r="D183" s="10" t="s">
        <v>1936</v>
      </c>
      <c r="E183" s="10" t="s">
        <v>531</v>
      </c>
      <c r="F183" s="10"/>
      <c r="H183" s="10"/>
      <c r="I183" s="10" t="s">
        <v>12312</v>
      </c>
      <c r="J183" s="10" t="s">
        <v>2988</v>
      </c>
      <c r="K183" t="s">
        <v>12313</v>
      </c>
      <c r="L183" t="s">
        <v>12314</v>
      </c>
      <c r="M183" s="3" t="str">
        <f>HYPERLINK(склад2въезд131920212223789[[#This Row],[RelativePath]])</f>
        <v>13 Склад хол\K07156189_23_20260217T184841Z.jpg</v>
      </c>
    </row>
    <row r="184" spans="1:13" x14ac:dyDescent="0.25">
      <c r="A184" s="2" t="s">
        <v>14</v>
      </c>
      <c r="B184" s="4">
        <v>46070</v>
      </c>
      <c r="C184" s="5">
        <v>0.80151620370370369</v>
      </c>
      <c r="D184" s="10" t="s">
        <v>1936</v>
      </c>
      <c r="E184" s="10" t="s">
        <v>531</v>
      </c>
      <c r="F184" s="10"/>
      <c r="H184" s="10"/>
      <c r="I184" s="10" t="s">
        <v>12315</v>
      </c>
      <c r="J184" s="10" t="s">
        <v>2988</v>
      </c>
      <c r="K184" t="s">
        <v>12316</v>
      </c>
      <c r="L184" t="s">
        <v>12317</v>
      </c>
      <c r="M184" s="3" t="str">
        <f>HYPERLINK(склад2въезд131920212223789[[#This Row],[RelativePath]])</f>
        <v>13 Склад хол\K07156189_23_20260217T191411Z.jpg</v>
      </c>
    </row>
    <row r="185" spans="1:13" x14ac:dyDescent="0.25">
      <c r="A185" s="2" t="s">
        <v>15</v>
      </c>
      <c r="B185" s="4">
        <v>46071</v>
      </c>
      <c r="C185" s="5">
        <v>0.43542824074074077</v>
      </c>
      <c r="D185" s="10" t="s">
        <v>651</v>
      </c>
      <c r="E185" s="10" t="s">
        <v>86</v>
      </c>
      <c r="F185" s="10"/>
      <c r="H185" s="10"/>
      <c r="I185" s="10" t="s">
        <v>12318</v>
      </c>
      <c r="J185" s="10" t="s">
        <v>2988</v>
      </c>
      <c r="K185" t="s">
        <v>12319</v>
      </c>
      <c r="L185" t="s">
        <v>12320</v>
      </c>
      <c r="M185" s="3" t="str">
        <f>HYPERLINK(склад2въезд131920212223789[[#This Row],[RelativePath]])</f>
        <v>13 Склад хол\K07156189_23_20260218T102701Z.jpg</v>
      </c>
    </row>
    <row r="186" spans="1:13" x14ac:dyDescent="0.25">
      <c r="A186" s="2" t="s">
        <v>15</v>
      </c>
      <c r="B186" s="4">
        <v>46071</v>
      </c>
      <c r="C186" s="5">
        <v>0.43578703703703703</v>
      </c>
      <c r="D186" s="10" t="s">
        <v>651</v>
      </c>
      <c r="E186" s="10" t="s">
        <v>86</v>
      </c>
      <c r="F186" s="10"/>
      <c r="H186" s="10"/>
      <c r="I186" s="10" t="s">
        <v>12321</v>
      </c>
      <c r="J186" s="10" t="s">
        <v>2988</v>
      </c>
      <c r="K186" t="s">
        <v>12322</v>
      </c>
      <c r="L186" t="s">
        <v>12323</v>
      </c>
      <c r="M186" s="3" t="str">
        <f>HYPERLINK(склад2въезд131920212223789[[#This Row],[RelativePath]])</f>
        <v>13 Склад хол\K07156189_23_20260218T102732Z.jpg</v>
      </c>
    </row>
    <row r="187" spans="1:13" x14ac:dyDescent="0.25">
      <c r="A187" s="2" t="s">
        <v>15</v>
      </c>
      <c r="B187" s="4">
        <v>46071</v>
      </c>
      <c r="C187" s="5">
        <v>0.53273148148148153</v>
      </c>
      <c r="D187" s="10" t="s">
        <v>1936</v>
      </c>
      <c r="E187" s="10" t="s">
        <v>531</v>
      </c>
      <c r="F187" s="10"/>
      <c r="H187" s="10"/>
      <c r="I187" s="10" t="s">
        <v>12324</v>
      </c>
      <c r="J187" s="10" t="s">
        <v>2988</v>
      </c>
      <c r="K187" t="s">
        <v>12325</v>
      </c>
      <c r="L187" t="s">
        <v>12326</v>
      </c>
      <c r="M187" s="3" t="str">
        <f>HYPERLINK(склад2въезд131920212223789[[#This Row],[RelativePath]])</f>
        <v>13 Склад хол\K07156189_23_20260218T124708Z.jpg</v>
      </c>
    </row>
    <row r="188" spans="1:13" x14ac:dyDescent="0.25">
      <c r="A188" s="2" t="s">
        <v>15</v>
      </c>
      <c r="B188" s="4">
        <v>46071</v>
      </c>
      <c r="C188" s="5">
        <v>0.70256944444444447</v>
      </c>
      <c r="D188" s="10" t="s">
        <v>1936</v>
      </c>
      <c r="E188" s="10" t="s">
        <v>531</v>
      </c>
      <c r="F188" s="10"/>
      <c r="H188" s="10"/>
      <c r="I188" s="10" t="s">
        <v>12327</v>
      </c>
      <c r="J188" s="10" t="s">
        <v>2988</v>
      </c>
      <c r="K188" t="s">
        <v>12328</v>
      </c>
      <c r="L188" t="s">
        <v>12329</v>
      </c>
      <c r="M188" s="3" t="str">
        <f>HYPERLINK(склад2въезд131920212223789[[#This Row],[RelativePath]])</f>
        <v>13 Склад хол\K07156189_23_20260218T165142Z.jpg</v>
      </c>
    </row>
    <row r="189" spans="1:13" x14ac:dyDescent="0.25">
      <c r="A189" s="2" t="s">
        <v>15</v>
      </c>
      <c r="B189" s="4">
        <v>46071</v>
      </c>
      <c r="C189" s="5">
        <v>0.76046296296296301</v>
      </c>
      <c r="D189" s="10" t="s">
        <v>1936</v>
      </c>
      <c r="E189" s="10" t="s">
        <v>531</v>
      </c>
      <c r="F189" s="10"/>
      <c r="H189" s="10"/>
      <c r="I189" s="10" t="s">
        <v>12330</v>
      </c>
      <c r="J189" s="10" t="s">
        <v>2988</v>
      </c>
      <c r="K189" t="s">
        <v>12331</v>
      </c>
      <c r="L189" t="s">
        <v>12332</v>
      </c>
      <c r="M189" s="3" t="str">
        <f>HYPERLINK(склад2въезд131920212223789[[#This Row],[RelativePath]])</f>
        <v>13 Склад хол\K07156189_23_20260218T181504Z.jpg</v>
      </c>
    </row>
  </sheetData>
  <conditionalFormatting sqref="D190:D200 E190:E203 G2:H189 D2:E189">
    <cfRule type="containsText" dxfId="604" priority="14" operator="containsText" text="Выезд с территории">
      <formula>NOT(ISERROR(SEARCH("Выезд с территории",D2)))</formula>
    </cfRule>
  </conditionalFormatting>
  <conditionalFormatting sqref="F2:F189">
    <cfRule type="notContainsText" dxfId="603" priority="13" operator="notContains" text="порожний">
      <formula>ISERROR(SEARCH("порожний",F2))</formula>
    </cfRule>
  </conditionalFormatting>
  <conditionalFormatting sqref="E2:E203">
    <cfRule type="containsText" dxfId="602" priority="11" operator="containsText" text="Газель базы">
      <formula>NOT(ISERROR(SEARCH("Газель базы",E2)))</formula>
    </cfRule>
    <cfRule type="containsText" dxfId="601" priority="12" operator="containsText" text="Погрузчик базы">
      <formula>NOT(ISERROR(SEARCH("Погрузчик базы",E2)))</formula>
    </cfRule>
  </conditionalFormatting>
  <conditionalFormatting sqref="E2:E203">
    <cfRule type="containsText" dxfId="600" priority="10" operator="containsText" text="Трактор базы">
      <formula>NOT(ISERROR(SEARCH("Трактор базы",E2)))</formula>
    </cfRule>
  </conditionalFormatting>
  <conditionalFormatting sqref="A2:C189">
    <cfRule type="expression" dxfId="599" priority="9">
      <formula>$A2="пн"</formula>
    </cfRule>
  </conditionalFormatting>
  <conditionalFormatting sqref="A2:C191">
    <cfRule type="expression" dxfId="598" priority="3">
      <formula>$A2="вс"</formula>
    </cfRule>
    <cfRule type="expression" dxfId="597" priority="4">
      <formula>$A2="сб"</formula>
    </cfRule>
    <cfRule type="expression" dxfId="596" priority="5">
      <formula>$A2="пт"</formula>
    </cfRule>
    <cfRule type="expression" dxfId="595" priority="6">
      <formula>$A2="чт"</formula>
    </cfRule>
    <cfRule type="expression" dxfId="594" priority="7">
      <formula>$A2="ср"</formula>
    </cfRule>
    <cfRule type="expression" dxfId="593" priority="8">
      <formula>$A2="вт"</formula>
    </cfRule>
  </conditionalFormatting>
  <conditionalFormatting sqref="D2:D200">
    <cfRule type="containsText" dxfId="5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0">
    <cfRule type="containsText" dxfId="5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8" tint="-0.499984740745262"/>
  </sheetPr>
  <dimension ref="A1:M3"/>
  <sheetViews>
    <sheetView zoomScale="90" zoomScaleNormal="90" workbookViewId="0">
      <pane ySplit="1" topLeftCell="A2" activePane="bottomLeft" state="frozen"/>
      <selection pane="bottomLeft" activeCell="G9" sqref="G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9.85546875" bestFit="1" customWidth="1"/>
    <col min="5" max="5" width="36.28515625" bestFit="1" customWidth="1"/>
    <col min="6" max="6" width="5" customWidth="1"/>
    <col min="7" max="7" width="7.28515625" style="9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14</v>
      </c>
      <c r="B2" s="4">
        <v>46070</v>
      </c>
      <c r="C2" s="5">
        <v>0.68791666666666662</v>
      </c>
      <c r="D2" t="s">
        <v>4</v>
      </c>
      <c r="E2" t="s">
        <v>8</v>
      </c>
      <c r="I2" t="s">
        <v>12184</v>
      </c>
      <c r="J2" t="s">
        <v>12185</v>
      </c>
      <c r="K2" t="s">
        <v>12186</v>
      </c>
      <c r="L2" t="s">
        <v>12187</v>
      </c>
      <c r="M2" s="3" t="str">
        <f>HYPERLINK(склад2въезд131920212223789106[[#This Row],[RelativePath]])</f>
        <v>14 На гаражи\GD7678666_1_20260217T163036Z.jpg</v>
      </c>
    </row>
    <row r="3" spans="1:13" x14ac:dyDescent="0.25">
      <c r="A3" s="2" t="s">
        <v>15</v>
      </c>
      <c r="B3" s="4">
        <v>46071</v>
      </c>
      <c r="C3" s="5">
        <v>0.50854166666666667</v>
      </c>
      <c r="D3" t="s">
        <v>12385</v>
      </c>
      <c r="E3" t="s">
        <v>12373</v>
      </c>
      <c r="I3" t="s">
        <v>12188</v>
      </c>
      <c r="J3" t="s">
        <v>12185</v>
      </c>
      <c r="K3" t="s">
        <v>12189</v>
      </c>
      <c r="L3" t="s">
        <v>12190</v>
      </c>
      <c r="M3" s="3" t="str">
        <f>HYPERLINK(склад2въезд131920212223789106[[#This Row],[RelativePath]])</f>
        <v>14 На гаражи\GD7678666_1_20260218T121218Z.jpg</v>
      </c>
    </row>
  </sheetData>
  <conditionalFormatting sqref="D4:D14 E4:E17 D2:E3 G2:H3">
    <cfRule type="containsText" dxfId="590" priority="14" operator="containsText" text="Выезд с территории">
      <formula>NOT(ISERROR(SEARCH("Выезд с территории",D2)))</formula>
    </cfRule>
  </conditionalFormatting>
  <conditionalFormatting sqref="F2:F3">
    <cfRule type="notContainsText" dxfId="589" priority="13" operator="notContains" text="порожний">
      <formula>ISERROR(SEARCH("порожний",F2))</formula>
    </cfRule>
  </conditionalFormatting>
  <conditionalFormatting sqref="E2:E17">
    <cfRule type="containsText" dxfId="588" priority="11" operator="containsText" text="Газель базы">
      <formula>NOT(ISERROR(SEARCH("Газель базы",E2)))</formula>
    </cfRule>
    <cfRule type="containsText" dxfId="587" priority="12" operator="containsText" text="Погрузчик базы">
      <formula>NOT(ISERROR(SEARCH("Погрузчик базы",E2)))</formula>
    </cfRule>
  </conditionalFormatting>
  <conditionalFormatting sqref="E2:E17">
    <cfRule type="containsText" dxfId="586" priority="10" operator="containsText" text="Трактор базы">
      <formula>NOT(ISERROR(SEARCH("Трактор базы",E2)))</formula>
    </cfRule>
  </conditionalFormatting>
  <conditionalFormatting sqref="A2:C3">
    <cfRule type="expression" dxfId="585" priority="9">
      <formula>$A2="пн"</formula>
    </cfRule>
  </conditionalFormatting>
  <conditionalFormatting sqref="A2:C5">
    <cfRule type="expression" dxfId="584" priority="3">
      <formula>$A2="вс"</formula>
    </cfRule>
    <cfRule type="expression" dxfId="583" priority="4">
      <formula>$A2="сб"</formula>
    </cfRule>
    <cfRule type="expression" dxfId="582" priority="5">
      <formula>$A2="пт"</formula>
    </cfRule>
    <cfRule type="expression" dxfId="581" priority="6">
      <formula>$A2="чт"</formula>
    </cfRule>
    <cfRule type="expression" dxfId="580" priority="7">
      <formula>$A2="ср"</formula>
    </cfRule>
    <cfRule type="expression" dxfId="579" priority="8">
      <formula>$A2="вт"</formula>
    </cfRule>
  </conditionalFormatting>
  <conditionalFormatting sqref="D2:D14">
    <cfRule type="containsText" dxfId="5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">
    <cfRule type="containsText" dxfId="5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935"/>
  <sheetViews>
    <sheetView topLeftCell="A3928" zoomScale="90" zoomScaleNormal="90" workbookViewId="0">
      <selection activeCell="D3941" sqref="D394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2965</v>
      </c>
      <c r="F895" t="s">
        <v>2833</v>
      </c>
      <c r="G895" s="1" t="s">
        <v>1603</v>
      </c>
    </row>
    <row r="896" spans="1:7" x14ac:dyDescent="0.25">
      <c r="A896" t="s">
        <v>2965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x14ac:dyDescent="0.25">
      <c r="A1029" t="s">
        <v>2004</v>
      </c>
      <c r="F1029" t="s">
        <v>3351</v>
      </c>
      <c r="G1029" t="s">
        <v>91</v>
      </c>
    </row>
    <row r="1030" spans="1:7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x14ac:dyDescent="0.25">
      <c r="A1033" t="s">
        <v>2004</v>
      </c>
      <c r="F1033" t="s">
        <v>3363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x14ac:dyDescent="0.25">
      <c r="A1035" t="s">
        <v>2004</v>
      </c>
      <c r="F1035" t="s">
        <v>3369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x14ac:dyDescent="0.25">
      <c r="A1080" t="s">
        <v>4212</v>
      </c>
      <c r="F1080" t="s">
        <v>4213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x14ac:dyDescent="0.25">
      <c r="A1299" t="s">
        <v>7</v>
      </c>
      <c r="F1299" t="s">
        <v>4127</v>
      </c>
      <c r="G1299" t="s">
        <v>1934</v>
      </c>
    </row>
    <row r="1300" spans="1:7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x14ac:dyDescent="0.25">
      <c r="A1322" t="s">
        <v>2004</v>
      </c>
      <c r="F1322" t="s">
        <v>4258</v>
      </c>
      <c r="G1322" t="s">
        <v>1103</v>
      </c>
    </row>
    <row r="1323" spans="1:7" x14ac:dyDescent="0.25">
      <c r="A1323" t="s">
        <v>2004</v>
      </c>
      <c r="F1323" t="s">
        <v>4261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x14ac:dyDescent="0.25">
      <c r="A1326" t="s">
        <v>2004</v>
      </c>
      <c r="F1326" t="s">
        <v>4270</v>
      </c>
      <c r="G1326" t="s">
        <v>1105</v>
      </c>
    </row>
    <row r="1327" spans="1:7" x14ac:dyDescent="0.25">
      <c r="A1327" t="s">
        <v>2004</v>
      </c>
      <c r="F1327" t="s">
        <v>4273</v>
      </c>
      <c r="G1327" t="s">
        <v>1106</v>
      </c>
    </row>
    <row r="1328" spans="1:7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x14ac:dyDescent="0.25">
      <c r="A1330" t="s">
        <v>2004</v>
      </c>
      <c r="F1330" t="s">
        <v>4282</v>
      </c>
      <c r="G1330" t="s">
        <v>1100</v>
      </c>
    </row>
    <row r="1331" spans="1:7" x14ac:dyDescent="0.25">
      <c r="A1331" t="s">
        <v>2004</v>
      </c>
      <c r="F1331" t="s">
        <v>4285</v>
      </c>
      <c r="G1331" s="1" t="s">
        <v>1603</v>
      </c>
    </row>
    <row r="1332" spans="1:7" x14ac:dyDescent="0.25">
      <c r="A1332" t="s">
        <v>2004</v>
      </c>
      <c r="F1332" t="s">
        <v>4288</v>
      </c>
      <c r="G1332" t="s">
        <v>1817</v>
      </c>
    </row>
    <row r="1333" spans="1:7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x14ac:dyDescent="0.25">
      <c r="A1341" t="s">
        <v>2004</v>
      </c>
      <c r="F1341" t="s">
        <v>4420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x14ac:dyDescent="0.25">
      <c r="A1350" t="s">
        <v>2004</v>
      </c>
      <c r="F1350" t="s">
        <v>4447</v>
      </c>
      <c r="G1350" t="s">
        <v>1102</v>
      </c>
    </row>
    <row r="1351" spans="1:7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x14ac:dyDescent="0.25">
      <c r="A1384" t="s">
        <v>2004</v>
      </c>
      <c r="F1384" t="s">
        <v>4399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x14ac:dyDescent="0.25">
      <c r="A1391" t="s">
        <v>2004</v>
      </c>
      <c r="F1391" t="s">
        <v>4573</v>
      </c>
      <c r="G1391" t="s">
        <v>91</v>
      </c>
    </row>
    <row r="1392" spans="1:7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x14ac:dyDescent="0.25">
      <c r="A1423" t="s">
        <v>5105</v>
      </c>
      <c r="F1423" t="s">
        <v>4534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x14ac:dyDescent="0.25">
      <c r="A1430" t="s">
        <v>2004</v>
      </c>
      <c r="F1430" t="s">
        <v>4555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x14ac:dyDescent="0.25">
      <c r="A1471" t="s">
        <v>5134</v>
      </c>
      <c r="F1471" t="s">
        <v>5068</v>
      </c>
      <c r="G1471" t="s">
        <v>1107</v>
      </c>
    </row>
    <row r="1472" spans="1:7" x14ac:dyDescent="0.25">
      <c r="A1472" t="s">
        <v>2004</v>
      </c>
      <c r="F1472" t="s">
        <v>5071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x14ac:dyDescent="0.25">
      <c r="A1573" t="s">
        <v>2004</v>
      </c>
      <c r="F1573" t="s">
        <v>4900</v>
      </c>
      <c r="G1573" t="s">
        <v>1817</v>
      </c>
    </row>
    <row r="1574" spans="1:7" x14ac:dyDescent="0.25">
      <c r="A1574" t="s">
        <v>2004</v>
      </c>
      <c r="F1574" t="s">
        <v>4903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x14ac:dyDescent="0.25">
      <c r="A1577" t="s">
        <v>2004</v>
      </c>
      <c r="F1577" t="s">
        <v>4912</v>
      </c>
      <c r="G1577" t="s">
        <v>1817</v>
      </c>
    </row>
    <row r="1578" spans="1:7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x14ac:dyDescent="0.25">
      <c r="A1579" t="s">
        <v>2004</v>
      </c>
      <c r="F1579" t="s">
        <v>4918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x14ac:dyDescent="0.25">
      <c r="A1608" t="s">
        <v>2004</v>
      </c>
      <c r="F1608" t="s">
        <v>5196</v>
      </c>
      <c r="G1608" t="s">
        <v>1103</v>
      </c>
    </row>
    <row r="1609" spans="1:7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x14ac:dyDescent="0.25">
      <c r="A1621" t="s">
        <v>2004</v>
      </c>
      <c r="F1621" t="s">
        <v>5229</v>
      </c>
      <c r="G1621" t="s">
        <v>1107</v>
      </c>
    </row>
    <row r="1622" spans="1:7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x14ac:dyDescent="0.25">
      <c r="A1678" t="s">
        <v>2004</v>
      </c>
      <c r="F1678" t="s">
        <v>5279</v>
      </c>
      <c r="G1678" t="s">
        <v>91</v>
      </c>
    </row>
    <row r="1679" spans="1:7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x14ac:dyDescent="0.25">
      <c r="A1691" t="s">
        <v>5136</v>
      </c>
      <c r="F1691" t="s">
        <v>5337</v>
      </c>
      <c r="G1691" t="s">
        <v>1100</v>
      </c>
    </row>
    <row r="1692" spans="1:7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x14ac:dyDescent="0.25">
      <c r="A1798" t="s">
        <v>794</v>
      </c>
      <c r="F1798" t="s">
        <v>5723</v>
      </c>
      <c r="G1798" t="s">
        <v>796</v>
      </c>
    </row>
    <row r="1799" spans="1:7" x14ac:dyDescent="0.25">
      <c r="A1799" t="s">
        <v>794</v>
      </c>
      <c r="F1799" t="s">
        <v>5726</v>
      </c>
      <c r="G1799" t="s">
        <v>796</v>
      </c>
    </row>
    <row r="1800" spans="1:7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x14ac:dyDescent="0.25">
      <c r="A1818" t="s">
        <v>6178</v>
      </c>
      <c r="F1818" t="s">
        <v>5590</v>
      </c>
      <c r="G1818" t="s">
        <v>1100</v>
      </c>
    </row>
    <row r="1819" spans="1:7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x14ac:dyDescent="0.25">
      <c r="A1824" t="s">
        <v>6178</v>
      </c>
      <c r="F1824" t="s">
        <v>5608</v>
      </c>
      <c r="G1824" t="s">
        <v>1100</v>
      </c>
    </row>
    <row r="1825" spans="1:7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x14ac:dyDescent="0.25">
      <c r="A1988" t="s">
        <v>4212</v>
      </c>
      <c r="F1988" t="s">
        <v>6330</v>
      </c>
      <c r="G1988" t="s">
        <v>1107</v>
      </c>
    </row>
    <row r="1989" spans="1:7" x14ac:dyDescent="0.25">
      <c r="A1989" t="s">
        <v>4212</v>
      </c>
      <c r="F1989" t="s">
        <v>6333</v>
      </c>
      <c r="G1989" t="s">
        <v>1107</v>
      </c>
    </row>
    <row r="1990" spans="1:7" x14ac:dyDescent="0.25">
      <c r="A1990" t="s">
        <v>4212</v>
      </c>
      <c r="F1990" t="s">
        <v>6336</v>
      </c>
      <c r="G1990" t="s">
        <v>1107</v>
      </c>
    </row>
    <row r="1991" spans="1:7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x14ac:dyDescent="0.25">
      <c r="A2091" t="s">
        <v>2004</v>
      </c>
      <c r="F2091" t="s">
        <v>6664</v>
      </c>
      <c r="G2091" t="s">
        <v>1102</v>
      </c>
    </row>
    <row r="2092" spans="1:7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x14ac:dyDescent="0.25">
      <c r="A2093" t="s">
        <v>6865</v>
      </c>
      <c r="F2093" t="s">
        <v>6670</v>
      </c>
      <c r="G2093" t="s">
        <v>1102</v>
      </c>
    </row>
    <row r="2094" spans="1:7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x14ac:dyDescent="0.25">
      <c r="A2161" t="s">
        <v>2004</v>
      </c>
      <c r="F2161" t="s">
        <v>6899</v>
      </c>
      <c r="G2161" t="s">
        <v>1102</v>
      </c>
    </row>
    <row r="2162" spans="1:7" x14ac:dyDescent="0.25">
      <c r="A2162" t="s">
        <v>2004</v>
      </c>
      <c r="F2162" t="s">
        <v>6902</v>
      </c>
      <c r="G2162" t="s">
        <v>1102</v>
      </c>
    </row>
    <row r="2163" spans="1:7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x14ac:dyDescent="0.25">
      <c r="A2184" t="s">
        <v>4212</v>
      </c>
      <c r="F2184" t="s">
        <v>7160</v>
      </c>
      <c r="G2184" t="s">
        <v>1107</v>
      </c>
    </row>
    <row r="2185" spans="1:7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x14ac:dyDescent="0.25">
      <c r="A2188" t="s">
        <v>7166</v>
      </c>
      <c r="F2188" t="s">
        <v>6938</v>
      </c>
      <c r="G2188" t="s">
        <v>796</v>
      </c>
    </row>
    <row r="2189" spans="1:7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x14ac:dyDescent="0.25">
      <c r="A2257" t="s">
        <v>2004</v>
      </c>
      <c r="F2257" t="s">
        <v>7175</v>
      </c>
      <c r="G2257" t="s">
        <v>1102</v>
      </c>
    </row>
    <row r="2258" spans="1:7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x14ac:dyDescent="0.25">
      <c r="A2338" t="s">
        <v>2004</v>
      </c>
      <c r="F2338" t="s">
        <v>7418</v>
      </c>
      <c r="G2338" t="s">
        <v>1102</v>
      </c>
    </row>
    <row r="2339" spans="1:7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x14ac:dyDescent="0.25">
      <c r="A2548" t="s">
        <v>2004</v>
      </c>
      <c r="F2548" t="s">
        <v>8072</v>
      </c>
      <c r="G2548" t="s">
        <v>1102</v>
      </c>
    </row>
    <row r="2549" spans="1:7" x14ac:dyDescent="0.25">
      <c r="A2549" t="s">
        <v>2004</v>
      </c>
      <c r="F2549" t="s">
        <v>8075</v>
      </c>
      <c r="G2549" t="s">
        <v>1102</v>
      </c>
    </row>
    <row r="2550" spans="1:7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x14ac:dyDescent="0.25">
      <c r="A2579" t="s">
        <v>7166</v>
      </c>
      <c r="F2579" t="s">
        <v>8144</v>
      </c>
      <c r="G2579" t="s">
        <v>796</v>
      </c>
    </row>
    <row r="2580" spans="1:7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x14ac:dyDescent="0.25">
      <c r="A2640" t="s">
        <v>2004</v>
      </c>
      <c r="F2640" t="s">
        <v>8372</v>
      </c>
      <c r="G2640" t="s">
        <v>1102</v>
      </c>
    </row>
    <row r="2641" spans="1:7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x14ac:dyDescent="0.25">
      <c r="A2643" t="s">
        <v>2004</v>
      </c>
      <c r="F2643" t="s">
        <v>8381</v>
      </c>
      <c r="G2643" t="s">
        <v>1102</v>
      </c>
    </row>
    <row r="2644" spans="1:7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x14ac:dyDescent="0.25">
      <c r="A2680" t="s">
        <v>2004</v>
      </c>
      <c r="F2680" t="s">
        <v>8505</v>
      </c>
      <c r="G2680" t="s">
        <v>1102</v>
      </c>
    </row>
    <row r="2681" spans="1:7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x14ac:dyDescent="0.25">
      <c r="A2683" t="s">
        <v>2004</v>
      </c>
      <c r="F2683" t="s">
        <v>8514</v>
      </c>
      <c r="G2683" t="s">
        <v>1102</v>
      </c>
    </row>
    <row r="2684" spans="1:7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x14ac:dyDescent="0.25">
      <c r="A2694" t="s">
        <v>2004</v>
      </c>
      <c r="F2694" t="s">
        <v>8547</v>
      </c>
      <c r="G2694" t="s">
        <v>1102</v>
      </c>
    </row>
    <row r="2695" spans="1:7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x14ac:dyDescent="0.25">
      <c r="A2921" t="s">
        <v>2004</v>
      </c>
      <c r="F2921" t="s">
        <v>9249</v>
      </c>
      <c r="G2921" t="s">
        <v>1102</v>
      </c>
    </row>
    <row r="2922" spans="1:7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x14ac:dyDescent="0.25">
      <c r="A3038" t="s">
        <v>2004</v>
      </c>
      <c r="F3038" t="s">
        <v>9609</v>
      </c>
      <c r="G3038" t="s">
        <v>1102</v>
      </c>
    </row>
    <row r="3039" spans="1:7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x14ac:dyDescent="0.25">
      <c r="A3072" t="s">
        <v>2004</v>
      </c>
      <c r="F3072" t="s">
        <v>9708</v>
      </c>
      <c r="G3072" t="s">
        <v>1102</v>
      </c>
    </row>
    <row r="3073" spans="1:7" x14ac:dyDescent="0.25">
      <c r="A3073" t="s">
        <v>2004</v>
      </c>
      <c r="F3073" t="s">
        <v>9711</v>
      </c>
      <c r="G3073" t="s">
        <v>1102</v>
      </c>
    </row>
    <row r="3074" spans="1:7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x14ac:dyDescent="0.25">
      <c r="A3145" t="s">
        <v>2004</v>
      </c>
      <c r="F3145" t="s">
        <v>9927</v>
      </c>
      <c r="G3145" t="s">
        <v>1102</v>
      </c>
    </row>
    <row r="3146" spans="1:7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x14ac:dyDescent="0.25">
      <c r="A3316" t="s">
        <v>2004</v>
      </c>
      <c r="F3316" t="s">
        <v>10452</v>
      </c>
      <c r="G3316" t="s">
        <v>1102</v>
      </c>
    </row>
    <row r="3317" spans="1:7" x14ac:dyDescent="0.25">
      <c r="A3317" t="s">
        <v>2004</v>
      </c>
      <c r="F3317" t="s">
        <v>10455</v>
      </c>
      <c r="G3317" t="s">
        <v>1102</v>
      </c>
    </row>
    <row r="3318" spans="1:7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x14ac:dyDescent="0.25">
      <c r="A3343" t="s">
        <v>2004</v>
      </c>
      <c r="F3343" t="s">
        <v>10534</v>
      </c>
      <c r="G3343" t="s">
        <v>1102</v>
      </c>
    </row>
    <row r="3344" spans="1:7" x14ac:dyDescent="0.25">
      <c r="A3344" t="s">
        <v>2004</v>
      </c>
      <c r="F3344" t="s">
        <v>10537</v>
      </c>
      <c r="G3344" t="s">
        <v>1102</v>
      </c>
    </row>
    <row r="3345" spans="1:7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x14ac:dyDescent="0.25">
      <c r="A3379" t="s">
        <v>2004</v>
      </c>
      <c r="F3379" t="s">
        <v>10716</v>
      </c>
      <c r="G3379" t="s">
        <v>1102</v>
      </c>
    </row>
    <row r="3380" spans="1:7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x14ac:dyDescent="0.25">
      <c r="A3502" t="s">
        <v>2004</v>
      </c>
      <c r="F3502" t="s">
        <v>11019</v>
      </c>
      <c r="G3502" t="s">
        <v>1102</v>
      </c>
    </row>
    <row r="3503" spans="1:7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x14ac:dyDescent="0.25">
      <c r="A3535" t="s">
        <v>11138</v>
      </c>
      <c r="F3535" t="s">
        <v>11135</v>
      </c>
      <c r="G3535" t="s">
        <v>1817</v>
      </c>
    </row>
    <row r="3536" spans="1:7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x14ac:dyDescent="0.25">
      <c r="A3540" t="s">
        <v>2004</v>
      </c>
      <c r="F3540" t="s">
        <v>11145</v>
      </c>
      <c r="G3540" t="s">
        <v>1102</v>
      </c>
    </row>
    <row r="3541" spans="1:7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x14ac:dyDescent="0.25">
      <c r="A3633" t="s">
        <v>2004</v>
      </c>
      <c r="F3633" t="s">
        <v>11448</v>
      </c>
      <c r="G3633" t="s">
        <v>1102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x14ac:dyDescent="0.25">
      <c r="A3640" t="s">
        <v>2004</v>
      </c>
      <c r="F3640" t="s">
        <v>11469</v>
      </c>
      <c r="G3640" t="s">
        <v>1102</v>
      </c>
    </row>
    <row r="3641" spans="1:7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x14ac:dyDescent="0.25">
      <c r="A3709" t="s">
        <v>2004</v>
      </c>
      <c r="F3709" t="s">
        <v>11688</v>
      </c>
      <c r="G3709" t="s">
        <v>1102</v>
      </c>
    </row>
    <row r="3710" spans="1:7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x14ac:dyDescent="0.25">
      <c r="A3767" t="s">
        <v>11960</v>
      </c>
      <c r="F3767" t="s">
        <v>11936</v>
      </c>
      <c r="G3767" t="s">
        <v>1106</v>
      </c>
    </row>
    <row r="3768" spans="1:7" x14ac:dyDescent="0.25">
      <c r="A3768" t="s">
        <v>11961</v>
      </c>
      <c r="F3768" t="s">
        <v>11939</v>
      </c>
      <c r="G3768" t="s">
        <v>1106</v>
      </c>
    </row>
    <row r="3769" spans="1:7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x14ac:dyDescent="0.25">
      <c r="A3778" t="s">
        <v>11961</v>
      </c>
      <c r="F3778" t="s">
        <v>11796</v>
      </c>
      <c r="G3778" t="s">
        <v>1107</v>
      </c>
    </row>
    <row r="3779" spans="1:7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x14ac:dyDescent="0.25">
      <c r="A3790" t="s">
        <v>11961</v>
      </c>
      <c r="F3790" t="s">
        <v>11832</v>
      </c>
      <c r="G3790" t="s">
        <v>1934</v>
      </c>
    </row>
    <row r="3791" spans="1:7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x14ac:dyDescent="0.25">
      <c r="A3832" t="s">
        <v>12</v>
      </c>
      <c r="F3832" t="s">
        <v>12049</v>
      </c>
      <c r="G3832" t="s">
        <v>1934</v>
      </c>
    </row>
    <row r="3833" spans="1:7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x14ac:dyDescent="0.25">
      <c r="A3835" t="s">
        <v>12174</v>
      </c>
      <c r="B3835" t="s">
        <v>12175</v>
      </c>
      <c r="D3835" s="9"/>
      <c r="F3835" t="s">
        <v>12093</v>
      </c>
      <c r="G3835" t="s">
        <v>12173</v>
      </c>
    </row>
    <row r="3836" spans="1:7" x14ac:dyDescent="0.25">
      <c r="A3836" t="s">
        <v>12174</v>
      </c>
      <c r="B3836" t="s">
        <v>12176</v>
      </c>
      <c r="D3836" s="9"/>
      <c r="F3836" t="s">
        <v>12095</v>
      </c>
      <c r="G3836" t="s">
        <v>12173</v>
      </c>
    </row>
    <row r="3837" spans="1:7" x14ac:dyDescent="0.25">
      <c r="A3837" t="s">
        <v>12177</v>
      </c>
      <c r="B3837" t="s">
        <v>12178</v>
      </c>
      <c r="D3837" s="9"/>
      <c r="F3837" t="s">
        <v>12097</v>
      </c>
      <c r="G3837" t="s">
        <v>12173</v>
      </c>
    </row>
    <row r="3838" spans="1:7" x14ac:dyDescent="0.25">
      <c r="A3838" t="s">
        <v>12177</v>
      </c>
      <c r="B3838" t="s">
        <v>12178</v>
      </c>
      <c r="D3838" s="9"/>
      <c r="F3838" t="s">
        <v>12099</v>
      </c>
      <c r="G3838" t="s">
        <v>12173</v>
      </c>
    </row>
    <row r="3839" spans="1:7" x14ac:dyDescent="0.25">
      <c r="A3839" t="s">
        <v>12179</v>
      </c>
      <c r="B3839" t="s">
        <v>12175</v>
      </c>
      <c r="D3839" s="9"/>
      <c r="F3839" t="s">
        <v>12101</v>
      </c>
      <c r="G3839" t="s">
        <v>12173</v>
      </c>
    </row>
    <row r="3840" spans="1:7" x14ac:dyDescent="0.25">
      <c r="A3840" t="s">
        <v>12179</v>
      </c>
      <c r="B3840" t="s">
        <v>12176</v>
      </c>
      <c r="D3840" s="9"/>
      <c r="F3840" t="s">
        <v>12101</v>
      </c>
      <c r="G3840" t="s">
        <v>12173</v>
      </c>
    </row>
    <row r="3841" spans="1:7" x14ac:dyDescent="0.25">
      <c r="A3841" t="s">
        <v>12174</v>
      </c>
      <c r="B3841" t="s">
        <v>12175</v>
      </c>
      <c r="D3841" s="9"/>
      <c r="F3841" t="s">
        <v>12103</v>
      </c>
      <c r="G3841" t="s">
        <v>12173</v>
      </c>
    </row>
    <row r="3842" spans="1:7" x14ac:dyDescent="0.25">
      <c r="A3842" t="s">
        <v>12177</v>
      </c>
      <c r="B3842" t="s">
        <v>12175</v>
      </c>
      <c r="D3842" s="9"/>
      <c r="F3842" t="s">
        <v>12105</v>
      </c>
      <c r="G3842" t="s">
        <v>12173</v>
      </c>
    </row>
    <row r="3843" spans="1:7" x14ac:dyDescent="0.25">
      <c r="A3843" t="s">
        <v>12174</v>
      </c>
      <c r="B3843" t="s">
        <v>12176</v>
      </c>
      <c r="D3843" s="9"/>
      <c r="F3843" t="s">
        <v>12107</v>
      </c>
      <c r="G3843" t="s">
        <v>12173</v>
      </c>
    </row>
    <row r="3844" spans="1:7" x14ac:dyDescent="0.25">
      <c r="A3844" t="s">
        <v>12177</v>
      </c>
      <c r="B3844" t="s">
        <v>12178</v>
      </c>
      <c r="D3844" s="9"/>
      <c r="F3844" t="s">
        <v>12109</v>
      </c>
      <c r="G3844" t="s">
        <v>12173</v>
      </c>
    </row>
    <row r="3845" spans="1:7" x14ac:dyDescent="0.25">
      <c r="A3845" t="s">
        <v>12179</v>
      </c>
      <c r="B3845" t="s">
        <v>12176</v>
      </c>
      <c r="D3845" s="9"/>
      <c r="F3845" t="s">
        <v>12111</v>
      </c>
      <c r="G3845" t="s">
        <v>12173</v>
      </c>
    </row>
    <row r="3846" spans="1:7" x14ac:dyDescent="0.25">
      <c r="A3846" t="s">
        <v>12174</v>
      </c>
      <c r="B3846" t="s">
        <v>12176</v>
      </c>
      <c r="D3846" s="9"/>
      <c r="F3846" t="s">
        <v>12113</v>
      </c>
      <c r="G3846" t="s">
        <v>12173</v>
      </c>
    </row>
    <row r="3847" spans="1:7" x14ac:dyDescent="0.25">
      <c r="A3847" t="s">
        <v>12177</v>
      </c>
      <c r="B3847" t="s">
        <v>12178</v>
      </c>
      <c r="D3847" s="9"/>
      <c r="F3847" t="s">
        <v>12115</v>
      </c>
      <c r="G3847" t="s">
        <v>12173</v>
      </c>
    </row>
    <row r="3848" spans="1:7" x14ac:dyDescent="0.25">
      <c r="A3848" t="s">
        <v>12179</v>
      </c>
      <c r="B3848" t="s">
        <v>12176</v>
      </c>
      <c r="D3848" s="9"/>
      <c r="F3848" t="s">
        <v>12117</v>
      </c>
      <c r="G3848" t="s">
        <v>12173</v>
      </c>
    </row>
    <row r="3849" spans="1:7" x14ac:dyDescent="0.25">
      <c r="A3849" t="s">
        <v>12174</v>
      </c>
      <c r="B3849" t="s">
        <v>12176</v>
      </c>
      <c r="D3849" s="9"/>
      <c r="F3849" t="s">
        <v>12119</v>
      </c>
      <c r="G3849" t="s">
        <v>12173</v>
      </c>
    </row>
    <row r="3850" spans="1:7" x14ac:dyDescent="0.25">
      <c r="A3850" t="s">
        <v>12177</v>
      </c>
      <c r="B3850" t="s">
        <v>12178</v>
      </c>
      <c r="D3850" s="9"/>
      <c r="F3850" t="s">
        <v>12121</v>
      </c>
      <c r="G3850" t="s">
        <v>12173</v>
      </c>
    </row>
    <row r="3851" spans="1:7" x14ac:dyDescent="0.25">
      <c r="A3851" t="s">
        <v>12179</v>
      </c>
      <c r="B3851" t="s">
        <v>12176</v>
      </c>
      <c r="D3851" s="9"/>
      <c r="F3851" t="s">
        <v>12123</v>
      </c>
      <c r="G3851" t="s">
        <v>12173</v>
      </c>
    </row>
    <row r="3852" spans="1:7" x14ac:dyDescent="0.25">
      <c r="A3852" t="s">
        <v>12179</v>
      </c>
      <c r="B3852" t="s">
        <v>12175</v>
      </c>
      <c r="D3852" s="9"/>
      <c r="E3852" t="s">
        <v>12181</v>
      </c>
      <c r="F3852" t="s">
        <v>12072</v>
      </c>
      <c r="G3852" t="s">
        <v>12173</v>
      </c>
    </row>
    <row r="3853" spans="1:7" x14ac:dyDescent="0.25">
      <c r="A3853" t="s">
        <v>12174</v>
      </c>
      <c r="B3853" t="s">
        <v>12178</v>
      </c>
      <c r="D3853" s="9"/>
      <c r="F3853" t="s">
        <v>12125</v>
      </c>
      <c r="G3853" t="s">
        <v>12173</v>
      </c>
    </row>
    <row r="3854" spans="1:7" x14ac:dyDescent="0.25">
      <c r="A3854" t="s">
        <v>12177</v>
      </c>
      <c r="B3854" t="s">
        <v>12178</v>
      </c>
      <c r="D3854" s="9"/>
      <c r="F3854" t="s">
        <v>12127</v>
      </c>
      <c r="G3854" t="s">
        <v>12173</v>
      </c>
    </row>
    <row r="3855" spans="1:7" x14ac:dyDescent="0.25">
      <c r="A3855" t="s">
        <v>12179</v>
      </c>
      <c r="B3855" t="s">
        <v>12176</v>
      </c>
      <c r="D3855" s="9"/>
      <c r="F3855" t="s">
        <v>12129</v>
      </c>
      <c r="G3855" t="s">
        <v>12173</v>
      </c>
    </row>
    <row r="3856" spans="1:7" x14ac:dyDescent="0.25">
      <c r="A3856" t="s">
        <v>12174</v>
      </c>
      <c r="B3856" t="s">
        <v>12176</v>
      </c>
      <c r="D3856" s="9"/>
      <c r="E3856" t="s">
        <v>12180</v>
      </c>
      <c r="F3856" t="s">
        <v>12131</v>
      </c>
      <c r="G3856" t="s">
        <v>12173</v>
      </c>
    </row>
    <row r="3857" spans="1:7" x14ac:dyDescent="0.25">
      <c r="A3857" t="s">
        <v>12177</v>
      </c>
      <c r="B3857" t="s">
        <v>12178</v>
      </c>
      <c r="D3857" s="9"/>
      <c r="F3857" t="s">
        <v>12133</v>
      </c>
      <c r="G3857" t="s">
        <v>12173</v>
      </c>
    </row>
    <row r="3858" spans="1:7" x14ac:dyDescent="0.25">
      <c r="A3858" t="s">
        <v>12179</v>
      </c>
      <c r="B3858" t="s">
        <v>12176</v>
      </c>
      <c r="D3858" s="9"/>
      <c r="F3858" t="s">
        <v>12135</v>
      </c>
      <c r="G3858" t="s">
        <v>12173</v>
      </c>
    </row>
    <row r="3859" spans="1:7" x14ac:dyDescent="0.25">
      <c r="A3859" t="s">
        <v>12177</v>
      </c>
      <c r="B3859" t="s">
        <v>12175</v>
      </c>
      <c r="D3859" s="9"/>
      <c r="F3859" t="s">
        <v>12137</v>
      </c>
      <c r="G3859" t="s">
        <v>12173</v>
      </c>
    </row>
    <row r="3860" spans="1:7" x14ac:dyDescent="0.25">
      <c r="A3860" t="s">
        <v>12179</v>
      </c>
      <c r="B3860" t="s">
        <v>12175</v>
      </c>
      <c r="D3860" s="9"/>
      <c r="F3860" t="s">
        <v>12139</v>
      </c>
      <c r="G3860" t="s">
        <v>12173</v>
      </c>
    </row>
    <row r="3861" spans="1:7" x14ac:dyDescent="0.25">
      <c r="A3861" t="s">
        <v>12174</v>
      </c>
      <c r="B3861" t="s">
        <v>12175</v>
      </c>
      <c r="D3861" s="9"/>
      <c r="F3861" t="s">
        <v>12141</v>
      </c>
      <c r="G3861" t="s">
        <v>12173</v>
      </c>
    </row>
    <row r="3862" spans="1:7" x14ac:dyDescent="0.25">
      <c r="A3862" t="s">
        <v>12177</v>
      </c>
      <c r="B3862" t="s">
        <v>12175</v>
      </c>
      <c r="D3862" s="9"/>
      <c r="F3862" t="s">
        <v>12143</v>
      </c>
      <c r="G3862" t="s">
        <v>12173</v>
      </c>
    </row>
    <row r="3863" spans="1:7" x14ac:dyDescent="0.25">
      <c r="A3863" t="s">
        <v>12179</v>
      </c>
      <c r="B3863" t="s">
        <v>12175</v>
      </c>
      <c r="D3863" s="9"/>
      <c r="F3863" t="s">
        <v>12146</v>
      </c>
      <c r="G3863" t="s">
        <v>12173</v>
      </c>
    </row>
    <row r="3864" spans="1:7" x14ac:dyDescent="0.25">
      <c r="A3864" t="s">
        <v>12174</v>
      </c>
      <c r="B3864" t="s">
        <v>12175</v>
      </c>
      <c r="D3864" s="9"/>
      <c r="F3864" t="s">
        <v>12149</v>
      </c>
      <c r="G3864" t="s">
        <v>12173</v>
      </c>
    </row>
    <row r="3865" spans="1:7" x14ac:dyDescent="0.25">
      <c r="A3865" t="s">
        <v>12177</v>
      </c>
      <c r="B3865" t="s">
        <v>12175</v>
      </c>
      <c r="D3865" s="9"/>
      <c r="F3865" t="s">
        <v>12152</v>
      </c>
      <c r="G3865" t="s">
        <v>12173</v>
      </c>
    </row>
    <row r="3866" spans="1:7" x14ac:dyDescent="0.25">
      <c r="A3866" t="s">
        <v>12182</v>
      </c>
      <c r="B3866" t="s">
        <v>12175</v>
      </c>
      <c r="D3866" s="9"/>
      <c r="F3866" t="s">
        <v>12155</v>
      </c>
      <c r="G3866" t="s">
        <v>12173</v>
      </c>
    </row>
    <row r="3867" spans="1:7" x14ac:dyDescent="0.25">
      <c r="A3867" t="s">
        <v>12</v>
      </c>
      <c r="B3867" t="s">
        <v>12175</v>
      </c>
      <c r="D3867" s="9"/>
      <c r="F3867" t="s">
        <v>12158</v>
      </c>
      <c r="G3867" t="s">
        <v>12173</v>
      </c>
    </row>
    <row r="3868" spans="1:7" x14ac:dyDescent="0.25">
      <c r="A3868" t="s">
        <v>12183</v>
      </c>
      <c r="B3868" t="s">
        <v>12175</v>
      </c>
      <c r="D3868" s="9"/>
      <c r="F3868" t="s">
        <v>12161</v>
      </c>
      <c r="G3868" t="s">
        <v>12173</v>
      </c>
    </row>
    <row r="3869" spans="1:7" x14ac:dyDescent="0.25">
      <c r="A3869" t="s">
        <v>12179</v>
      </c>
      <c r="B3869" t="s">
        <v>12175</v>
      </c>
      <c r="D3869" s="9"/>
      <c r="F3869" t="s">
        <v>12164</v>
      </c>
      <c r="G3869" t="s">
        <v>12173</v>
      </c>
    </row>
    <row r="3870" spans="1:7" x14ac:dyDescent="0.25">
      <c r="A3870" t="s">
        <v>12174</v>
      </c>
      <c r="B3870" t="s">
        <v>12175</v>
      </c>
      <c r="D3870" s="9"/>
      <c r="F3870" t="s">
        <v>12166</v>
      </c>
      <c r="G3870" t="s">
        <v>12173</v>
      </c>
    </row>
    <row r="3871" spans="1:7" x14ac:dyDescent="0.25">
      <c r="A3871" t="s">
        <v>12183</v>
      </c>
      <c r="B3871" t="s">
        <v>12175</v>
      </c>
      <c r="D3871" s="9"/>
      <c r="F3871" t="s">
        <v>12169</v>
      </c>
      <c r="G3871" t="s">
        <v>12173</v>
      </c>
    </row>
    <row r="3872" spans="1:7" x14ac:dyDescent="0.25">
      <c r="A3872" t="s">
        <v>12179</v>
      </c>
      <c r="B3872" t="s">
        <v>12175</v>
      </c>
      <c r="D3872" s="9"/>
      <c r="F3872" t="s">
        <v>12171</v>
      </c>
      <c r="G3872" t="s">
        <v>12173</v>
      </c>
    </row>
    <row r="3873" spans="1:7" x14ac:dyDescent="0.25">
      <c r="A3873" t="s">
        <v>2004</v>
      </c>
      <c r="B3873" t="s">
        <v>8</v>
      </c>
      <c r="F3873" s="10" t="s">
        <v>12258</v>
      </c>
      <c r="G3873" t="s">
        <v>1104</v>
      </c>
    </row>
    <row r="3874" spans="1:7" x14ac:dyDescent="0.25">
      <c r="A3874" t="s">
        <v>12371</v>
      </c>
      <c r="B3874" t="s">
        <v>86</v>
      </c>
      <c r="F3874" s="10" t="s">
        <v>12261</v>
      </c>
      <c r="G3874" t="s">
        <v>1104</v>
      </c>
    </row>
    <row r="3875" spans="1:7" x14ac:dyDescent="0.25">
      <c r="A3875" t="s">
        <v>12371</v>
      </c>
      <c r="B3875" t="s">
        <v>86</v>
      </c>
      <c r="F3875" s="10" t="s">
        <v>12264</v>
      </c>
      <c r="G3875" t="s">
        <v>1104</v>
      </c>
    </row>
    <row r="3876" spans="1:7" x14ac:dyDescent="0.25">
      <c r="A3876" t="s">
        <v>12371</v>
      </c>
      <c r="B3876" t="s">
        <v>86</v>
      </c>
      <c r="F3876" s="10" t="s">
        <v>12267</v>
      </c>
      <c r="G3876" t="s">
        <v>1104</v>
      </c>
    </row>
    <row r="3877" spans="1:7" x14ac:dyDescent="0.25">
      <c r="A3877" t="s">
        <v>4</v>
      </c>
      <c r="B3877" t="s">
        <v>12372</v>
      </c>
      <c r="F3877" s="10" t="s">
        <v>12270</v>
      </c>
      <c r="G3877" t="s">
        <v>1104</v>
      </c>
    </row>
    <row r="3878" spans="1:7" x14ac:dyDescent="0.25">
      <c r="A3878" t="s">
        <v>12371</v>
      </c>
      <c r="B3878" t="s">
        <v>531</v>
      </c>
      <c r="F3878" s="10" t="s">
        <v>12273</v>
      </c>
      <c r="G3878" t="s">
        <v>1104</v>
      </c>
    </row>
    <row r="3879" spans="1:7" x14ac:dyDescent="0.25">
      <c r="A3879" t="s">
        <v>4</v>
      </c>
      <c r="B3879" t="s">
        <v>12372</v>
      </c>
      <c r="F3879" s="10" t="s">
        <v>12276</v>
      </c>
      <c r="G3879" t="s">
        <v>1104</v>
      </c>
    </row>
    <row r="3880" spans="1:7" x14ac:dyDescent="0.25">
      <c r="A3880" t="s">
        <v>11961</v>
      </c>
      <c r="F3880" s="10" t="s">
        <v>12279</v>
      </c>
      <c r="G3880" t="s">
        <v>1104</v>
      </c>
    </row>
    <row r="3881" spans="1:7" x14ac:dyDescent="0.25">
      <c r="A3881" t="s">
        <v>12017</v>
      </c>
      <c r="B3881" t="s">
        <v>4193</v>
      </c>
      <c r="F3881" s="10" t="s">
        <v>12374</v>
      </c>
      <c r="G3881" t="s">
        <v>1104</v>
      </c>
    </row>
    <row r="3882" spans="1:7" x14ac:dyDescent="0.25">
      <c r="A3882" t="s">
        <v>651</v>
      </c>
      <c r="B3882" t="s">
        <v>86</v>
      </c>
      <c r="F3882" s="10" t="s">
        <v>12282</v>
      </c>
      <c r="G3882" t="s">
        <v>1104</v>
      </c>
    </row>
    <row r="3883" spans="1:7" x14ac:dyDescent="0.25">
      <c r="A3883" t="s">
        <v>1606</v>
      </c>
      <c r="B3883" t="s">
        <v>12373</v>
      </c>
      <c r="F3883" s="10" t="s">
        <v>12285</v>
      </c>
      <c r="G3883" t="s">
        <v>1104</v>
      </c>
    </row>
    <row r="3884" spans="1:7" x14ac:dyDescent="0.25">
      <c r="A3884" t="s">
        <v>62</v>
      </c>
      <c r="B3884" t="s">
        <v>4193</v>
      </c>
      <c r="F3884" s="10" t="s">
        <v>12288</v>
      </c>
      <c r="G3884" t="s">
        <v>1104</v>
      </c>
    </row>
    <row r="3885" spans="1:7" x14ac:dyDescent="0.25">
      <c r="A3885" t="s">
        <v>12017</v>
      </c>
      <c r="B3885" t="s">
        <v>12373</v>
      </c>
      <c r="F3885" s="10" t="s">
        <v>12291</v>
      </c>
      <c r="G3885" t="s">
        <v>1104</v>
      </c>
    </row>
    <row r="3886" spans="1:7" x14ac:dyDescent="0.25">
      <c r="A3886" t="s">
        <v>62</v>
      </c>
      <c r="B3886" t="s">
        <v>12373</v>
      </c>
      <c r="F3886" s="10" t="s">
        <v>12294</v>
      </c>
      <c r="G3886" t="s">
        <v>1104</v>
      </c>
    </row>
    <row r="3887" spans="1:7" x14ac:dyDescent="0.25">
      <c r="A3887" t="s">
        <v>651</v>
      </c>
      <c r="B3887" t="s">
        <v>86</v>
      </c>
      <c r="F3887" s="10" t="s">
        <v>12297</v>
      </c>
      <c r="G3887" t="s">
        <v>1104</v>
      </c>
    </row>
    <row r="3888" spans="1:7" x14ac:dyDescent="0.25">
      <c r="A3888" t="s">
        <v>651</v>
      </c>
      <c r="B3888" t="s">
        <v>86</v>
      </c>
      <c r="F3888" s="10" t="s">
        <v>12191</v>
      </c>
      <c r="G3888" t="s">
        <v>1105</v>
      </c>
    </row>
    <row r="3889" spans="1:7" x14ac:dyDescent="0.25">
      <c r="A3889" t="s">
        <v>12377</v>
      </c>
      <c r="B3889" t="s">
        <v>86</v>
      </c>
      <c r="F3889" s="10" t="s">
        <v>12194</v>
      </c>
      <c r="G3889" t="s">
        <v>1105</v>
      </c>
    </row>
    <row r="3890" spans="1:7" x14ac:dyDescent="0.25">
      <c r="A3890" t="s">
        <v>11961</v>
      </c>
      <c r="F3890" s="10" t="s">
        <v>12197</v>
      </c>
      <c r="G3890" t="s">
        <v>1105</v>
      </c>
    </row>
    <row r="3891" spans="1:7" x14ac:dyDescent="0.25">
      <c r="A3891" t="s">
        <v>11957</v>
      </c>
      <c r="B3891" t="s">
        <v>12378</v>
      </c>
      <c r="F3891" s="10" t="s">
        <v>12200</v>
      </c>
      <c r="G3891" t="s">
        <v>1105</v>
      </c>
    </row>
    <row r="3892" spans="1:7" x14ac:dyDescent="0.25">
      <c r="A3892" t="s">
        <v>62</v>
      </c>
      <c r="B3892" t="s">
        <v>12378</v>
      </c>
      <c r="C3892" t="s">
        <v>12379</v>
      </c>
      <c r="E3892" t="s">
        <v>12380</v>
      </c>
      <c r="F3892" s="10" t="s">
        <v>12203</v>
      </c>
      <c r="G3892" t="s">
        <v>1105</v>
      </c>
    </row>
    <row r="3893" spans="1:7" x14ac:dyDescent="0.25">
      <c r="A3893" t="s">
        <v>159</v>
      </c>
      <c r="B3893" t="s">
        <v>4193</v>
      </c>
      <c r="F3893" s="10" t="s">
        <v>12206</v>
      </c>
      <c r="G3893" t="s">
        <v>1105</v>
      </c>
    </row>
    <row r="3894" spans="1:7" x14ac:dyDescent="0.25">
      <c r="A3894" t="s">
        <v>12381</v>
      </c>
      <c r="B3894" t="s">
        <v>86</v>
      </c>
      <c r="F3894" s="10" t="s">
        <v>12209</v>
      </c>
      <c r="G3894" t="s">
        <v>1105</v>
      </c>
    </row>
    <row r="3895" spans="1:7" x14ac:dyDescent="0.25">
      <c r="A3895" t="s">
        <v>12382</v>
      </c>
      <c r="F3895" s="10" t="s">
        <v>12333</v>
      </c>
      <c r="G3895" t="s">
        <v>1106</v>
      </c>
    </row>
    <row r="3896" spans="1:7" x14ac:dyDescent="0.25">
      <c r="A3896" t="s">
        <v>12382</v>
      </c>
      <c r="F3896" s="10" t="s">
        <v>12336</v>
      </c>
      <c r="G3896" t="s">
        <v>1106</v>
      </c>
    </row>
    <row r="3897" spans="1:7" x14ac:dyDescent="0.25">
      <c r="A3897" t="s">
        <v>12382</v>
      </c>
      <c r="F3897" s="10" t="s">
        <v>12339</v>
      </c>
      <c r="G3897" t="s">
        <v>1106</v>
      </c>
    </row>
    <row r="3898" spans="1:7" x14ac:dyDescent="0.25">
      <c r="A3898" t="s">
        <v>12382</v>
      </c>
      <c r="F3898" s="10" t="s">
        <v>12342</v>
      </c>
      <c r="G3898" t="s">
        <v>1106</v>
      </c>
    </row>
    <row r="3899" spans="1:7" x14ac:dyDescent="0.25">
      <c r="A3899" t="s">
        <v>12382</v>
      </c>
      <c r="F3899" s="10" t="s">
        <v>12345</v>
      </c>
      <c r="G3899" t="s">
        <v>1106</v>
      </c>
    </row>
    <row r="3900" spans="1:7" x14ac:dyDescent="0.25">
      <c r="A3900" t="s">
        <v>12382</v>
      </c>
      <c r="F3900" s="10" t="s">
        <v>12348</v>
      </c>
      <c r="G3900" t="s">
        <v>1106</v>
      </c>
    </row>
    <row r="3901" spans="1:7" x14ac:dyDescent="0.25">
      <c r="A3901" t="s">
        <v>4</v>
      </c>
      <c r="B3901" t="s">
        <v>8</v>
      </c>
      <c r="F3901" s="10" t="s">
        <v>12351</v>
      </c>
      <c r="G3901" t="s">
        <v>1106</v>
      </c>
    </row>
    <row r="3902" spans="1:7" x14ac:dyDescent="0.25">
      <c r="A3902" t="s">
        <v>2004</v>
      </c>
      <c r="B3902" t="s">
        <v>8</v>
      </c>
      <c r="F3902" s="10" t="s">
        <v>12354</v>
      </c>
      <c r="G3902" t="s">
        <v>1106</v>
      </c>
    </row>
    <row r="3903" spans="1:7" x14ac:dyDescent="0.25">
      <c r="A3903" t="s">
        <v>2004</v>
      </c>
      <c r="B3903" t="s">
        <v>8</v>
      </c>
      <c r="F3903" s="10" t="s">
        <v>12357</v>
      </c>
      <c r="G3903" t="s">
        <v>1106</v>
      </c>
    </row>
    <row r="3904" spans="1:7" x14ac:dyDescent="0.25">
      <c r="A3904" t="s">
        <v>4</v>
      </c>
      <c r="B3904" t="s">
        <v>12383</v>
      </c>
      <c r="F3904" s="10" t="s">
        <v>12212</v>
      </c>
      <c r="G3904" t="s">
        <v>1107</v>
      </c>
    </row>
    <row r="3905" spans="1:7" x14ac:dyDescent="0.25">
      <c r="A3905" t="s">
        <v>9876</v>
      </c>
      <c r="F3905" s="10" t="s">
        <v>12214</v>
      </c>
      <c r="G3905" t="s">
        <v>1107</v>
      </c>
    </row>
    <row r="3906" spans="1:7" x14ac:dyDescent="0.25">
      <c r="A3906" t="s">
        <v>9876</v>
      </c>
      <c r="F3906" s="10" t="s">
        <v>12216</v>
      </c>
      <c r="G3906" t="s">
        <v>1107</v>
      </c>
    </row>
    <row r="3907" spans="1:7" x14ac:dyDescent="0.25">
      <c r="A3907" t="s">
        <v>9876</v>
      </c>
      <c r="F3907" s="10" t="s">
        <v>12218</v>
      </c>
      <c r="G3907" t="s">
        <v>1107</v>
      </c>
    </row>
    <row r="3908" spans="1:7" x14ac:dyDescent="0.25">
      <c r="A3908" t="s">
        <v>9876</v>
      </c>
      <c r="F3908" s="10" t="s">
        <v>12220</v>
      </c>
      <c r="G3908" t="s">
        <v>1107</v>
      </c>
    </row>
    <row r="3909" spans="1:7" x14ac:dyDescent="0.25">
      <c r="A3909" t="s">
        <v>9876</v>
      </c>
      <c r="F3909" s="10" t="s">
        <v>12222</v>
      </c>
      <c r="G3909" t="s">
        <v>1107</v>
      </c>
    </row>
    <row r="3910" spans="1:7" x14ac:dyDescent="0.25">
      <c r="A3910" t="s">
        <v>9876</v>
      </c>
      <c r="F3910" s="10" t="s">
        <v>12224</v>
      </c>
      <c r="G3910" t="s">
        <v>1107</v>
      </c>
    </row>
    <row r="3911" spans="1:7" x14ac:dyDescent="0.25">
      <c r="A3911" t="s">
        <v>9876</v>
      </c>
      <c r="F3911" s="10" t="s">
        <v>12226</v>
      </c>
      <c r="G3911" t="s">
        <v>1107</v>
      </c>
    </row>
    <row r="3912" spans="1:7" x14ac:dyDescent="0.25">
      <c r="A3912" t="s">
        <v>9876</v>
      </c>
      <c r="F3912" s="10" t="s">
        <v>12228</v>
      </c>
      <c r="G3912" t="s">
        <v>1107</v>
      </c>
    </row>
    <row r="3913" spans="1:7" x14ac:dyDescent="0.25">
      <c r="A3913" t="s">
        <v>159</v>
      </c>
      <c r="B3913" s="10" t="s">
        <v>12373</v>
      </c>
      <c r="F3913" s="10" t="s">
        <v>12230</v>
      </c>
      <c r="G3913" t="s">
        <v>1107</v>
      </c>
    </row>
    <row r="3914" spans="1:7" x14ac:dyDescent="0.25">
      <c r="A3914" t="s">
        <v>4</v>
      </c>
      <c r="B3914" t="s">
        <v>8</v>
      </c>
      <c r="F3914" s="10" t="s">
        <v>12232</v>
      </c>
      <c r="G3914" t="s">
        <v>1107</v>
      </c>
    </row>
    <row r="3915" spans="1:7" x14ac:dyDescent="0.25">
      <c r="A3915" t="s">
        <v>12</v>
      </c>
      <c r="B3915" t="s">
        <v>1607</v>
      </c>
      <c r="F3915" s="10" t="s">
        <v>12234</v>
      </c>
      <c r="G3915" t="s">
        <v>1934</v>
      </c>
    </row>
    <row r="3916" spans="1:7" x14ac:dyDescent="0.25">
      <c r="A3916" t="s">
        <v>9211</v>
      </c>
      <c r="B3916" t="s">
        <v>86</v>
      </c>
      <c r="F3916" s="10" t="s">
        <v>12237</v>
      </c>
      <c r="G3916" t="s">
        <v>1934</v>
      </c>
    </row>
    <row r="3917" spans="1:7" x14ac:dyDescent="0.25">
      <c r="A3917" t="s">
        <v>12</v>
      </c>
      <c r="B3917" t="s">
        <v>1607</v>
      </c>
      <c r="F3917" s="10" t="s">
        <v>12240</v>
      </c>
      <c r="G3917" t="s">
        <v>1934</v>
      </c>
    </row>
    <row r="3918" spans="1:7" x14ac:dyDescent="0.25">
      <c r="A3918" t="s">
        <v>7</v>
      </c>
      <c r="F3918" s="10" t="s">
        <v>12243</v>
      </c>
      <c r="G3918" t="s">
        <v>1934</v>
      </c>
    </row>
    <row r="3919" spans="1:7" x14ac:dyDescent="0.25">
      <c r="A3919" t="s">
        <v>12382</v>
      </c>
      <c r="B3919" t="s">
        <v>1607</v>
      </c>
      <c r="F3919" s="10" t="s">
        <v>12246</v>
      </c>
      <c r="G3919" t="s">
        <v>1934</v>
      </c>
    </row>
    <row r="3920" spans="1:7" x14ac:dyDescent="0.25">
      <c r="A3920" t="s">
        <v>4</v>
      </c>
      <c r="B3920" t="s">
        <v>8</v>
      </c>
      <c r="F3920" s="10" t="s">
        <v>12249</v>
      </c>
      <c r="G3920" t="s">
        <v>1934</v>
      </c>
    </row>
    <row r="3921" spans="1:7" x14ac:dyDescent="0.25">
      <c r="A3921" t="s">
        <v>9211</v>
      </c>
      <c r="B3921" t="s">
        <v>86</v>
      </c>
      <c r="F3921" s="10" t="s">
        <v>12252</v>
      </c>
      <c r="G3921" t="s">
        <v>1934</v>
      </c>
    </row>
    <row r="3922" spans="1:7" x14ac:dyDescent="0.25">
      <c r="A3922" t="s">
        <v>4</v>
      </c>
      <c r="B3922" t="s">
        <v>8</v>
      </c>
      <c r="F3922" s="10" t="s">
        <v>12255</v>
      </c>
      <c r="G3922" t="s">
        <v>1934</v>
      </c>
    </row>
    <row r="3923" spans="1:7" x14ac:dyDescent="0.25">
      <c r="A3923" t="s">
        <v>4</v>
      </c>
      <c r="B3923" t="s">
        <v>12383</v>
      </c>
      <c r="F3923" s="10" t="s">
        <v>12300</v>
      </c>
      <c r="G3923" t="s">
        <v>1997</v>
      </c>
    </row>
    <row r="3924" spans="1:7" x14ac:dyDescent="0.25">
      <c r="A3924" t="s">
        <v>651</v>
      </c>
      <c r="B3924" t="s">
        <v>86</v>
      </c>
      <c r="F3924" s="10" t="s">
        <v>12303</v>
      </c>
      <c r="G3924" t="s">
        <v>1997</v>
      </c>
    </row>
    <row r="3925" spans="1:7" x14ac:dyDescent="0.25">
      <c r="A3925" t="s">
        <v>651</v>
      </c>
      <c r="B3925" t="s">
        <v>86</v>
      </c>
      <c r="F3925" s="10" t="s">
        <v>12306</v>
      </c>
      <c r="G3925" t="s">
        <v>1997</v>
      </c>
    </row>
    <row r="3926" spans="1:7" x14ac:dyDescent="0.25">
      <c r="A3926" t="s">
        <v>11961</v>
      </c>
      <c r="F3926" s="10" t="s">
        <v>12309</v>
      </c>
      <c r="G3926" t="s">
        <v>1997</v>
      </c>
    </row>
    <row r="3927" spans="1:7" x14ac:dyDescent="0.25">
      <c r="A3927" t="s">
        <v>1936</v>
      </c>
      <c r="B3927" t="s">
        <v>531</v>
      </c>
      <c r="F3927" s="10" t="s">
        <v>12312</v>
      </c>
      <c r="G3927" t="s">
        <v>1997</v>
      </c>
    </row>
    <row r="3928" spans="1:7" x14ac:dyDescent="0.25">
      <c r="A3928" t="s">
        <v>1936</v>
      </c>
      <c r="B3928" t="s">
        <v>531</v>
      </c>
      <c r="F3928" s="10" t="s">
        <v>12315</v>
      </c>
      <c r="G3928" t="s">
        <v>1997</v>
      </c>
    </row>
    <row r="3929" spans="1:7" x14ac:dyDescent="0.25">
      <c r="A3929" t="s">
        <v>651</v>
      </c>
      <c r="B3929" t="s">
        <v>86</v>
      </c>
      <c r="F3929" s="10" t="s">
        <v>12318</v>
      </c>
      <c r="G3929" t="s">
        <v>1997</v>
      </c>
    </row>
    <row r="3930" spans="1:7" x14ac:dyDescent="0.25">
      <c r="A3930" t="s">
        <v>651</v>
      </c>
      <c r="B3930" t="s">
        <v>86</v>
      </c>
      <c r="F3930" s="10" t="s">
        <v>12321</v>
      </c>
      <c r="G3930" t="s">
        <v>1997</v>
      </c>
    </row>
    <row r="3931" spans="1:7" x14ac:dyDescent="0.25">
      <c r="A3931" t="s">
        <v>1936</v>
      </c>
      <c r="B3931" t="s">
        <v>531</v>
      </c>
      <c r="F3931" s="10" t="s">
        <v>12324</v>
      </c>
      <c r="G3931" t="s">
        <v>1997</v>
      </c>
    </row>
    <row r="3932" spans="1:7" x14ac:dyDescent="0.25">
      <c r="A3932" t="s">
        <v>1936</v>
      </c>
      <c r="B3932" t="s">
        <v>531</v>
      </c>
      <c r="F3932" s="10" t="s">
        <v>12327</v>
      </c>
      <c r="G3932" t="s">
        <v>1997</v>
      </c>
    </row>
    <row r="3933" spans="1:7" x14ac:dyDescent="0.25">
      <c r="A3933" t="s">
        <v>1936</v>
      </c>
      <c r="B3933" t="s">
        <v>531</v>
      </c>
      <c r="F3933" s="10" t="s">
        <v>12330</v>
      </c>
      <c r="G3933" t="s">
        <v>1997</v>
      </c>
    </row>
    <row r="3934" spans="1:7" x14ac:dyDescent="0.25">
      <c r="A3934" t="s">
        <v>4</v>
      </c>
      <c r="B3934" t="s">
        <v>8</v>
      </c>
      <c r="F3934" t="s">
        <v>12184</v>
      </c>
      <c r="G3934" t="s">
        <v>12384</v>
      </c>
    </row>
    <row r="3935" spans="1:7" x14ac:dyDescent="0.25">
      <c r="A3935" s="10" t="s">
        <v>12385</v>
      </c>
      <c r="B3935" s="10" t="s">
        <v>12373</v>
      </c>
      <c r="F3935" t="s">
        <v>12188</v>
      </c>
      <c r="G3935" t="s">
        <v>12384</v>
      </c>
    </row>
  </sheetData>
  <phoneticPr fontId="2" type="noConversion"/>
  <conditionalFormatting sqref="C2:C11 C14 C16:C18 C23:C24">
    <cfRule type="notContainsText" dxfId="576" priority="571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575" priority="57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74" priority="569" operator="notContains" text="порожний">
      <formula>ISERROR(SEARCH("порожний",C12))</formula>
    </cfRule>
  </conditionalFormatting>
  <conditionalFormatting sqref="B12:B14">
    <cfRule type="containsText" dxfId="573" priority="568" operator="containsText" text="Выезд с территории">
      <formula>NOT(ISERROR(SEARCH("Выезд с территории",B12)))</formula>
    </cfRule>
  </conditionalFormatting>
  <conditionalFormatting sqref="C15">
    <cfRule type="notContainsText" dxfId="572" priority="567" operator="notContains" text="порожний">
      <formula>ISERROR(SEARCH("порожний",C15))</formula>
    </cfRule>
  </conditionalFormatting>
  <conditionalFormatting sqref="C19:C22">
    <cfRule type="notContainsText" dxfId="571" priority="566" operator="notContains" text="порожний">
      <formula>ISERROR(SEARCH("порожний",C19))</formula>
    </cfRule>
  </conditionalFormatting>
  <conditionalFormatting sqref="C25">
    <cfRule type="notContainsText" dxfId="570" priority="565" operator="notContains" text="порожний">
      <formula>ISERROR(SEARCH("порожний",C25))</formula>
    </cfRule>
  </conditionalFormatting>
  <conditionalFormatting sqref="C26:C27">
    <cfRule type="notContainsText" dxfId="569" priority="564" operator="notContains" text="порожний">
      <formula>ISERROR(SEARCH("порожний",C26))</formula>
    </cfRule>
  </conditionalFormatting>
  <conditionalFormatting sqref="C29">
    <cfRule type="notContainsText" dxfId="568" priority="563" operator="notContains" text="порожний">
      <formula>ISERROR(SEARCH("порожний",C29))</formula>
    </cfRule>
  </conditionalFormatting>
  <conditionalFormatting sqref="C39">
    <cfRule type="notContainsText" dxfId="567" priority="558" operator="notContains" text="порожний">
      <formula>ISERROR(SEARCH("порожний",C39))</formula>
    </cfRule>
  </conditionalFormatting>
  <conditionalFormatting sqref="C32">
    <cfRule type="notContainsText" dxfId="566" priority="562" operator="notContains" text="порожний">
      <formula>ISERROR(SEARCH("порожний",C32))</formula>
    </cfRule>
  </conditionalFormatting>
  <conditionalFormatting sqref="C34">
    <cfRule type="notContainsText" dxfId="565" priority="561" operator="notContains" text="порожний">
      <formula>ISERROR(SEARCH("порожний",C34))</formula>
    </cfRule>
  </conditionalFormatting>
  <conditionalFormatting sqref="C36">
    <cfRule type="notContainsText" dxfId="564" priority="560" operator="notContains" text="порожний">
      <formula>ISERROR(SEARCH("порожний",C36))</formula>
    </cfRule>
  </conditionalFormatting>
  <conditionalFormatting sqref="C38">
    <cfRule type="notContainsText" dxfId="563" priority="559" operator="notContains" text="порожний">
      <formula>ISERROR(SEARCH("порожний",C38))</formula>
    </cfRule>
  </conditionalFormatting>
  <conditionalFormatting sqref="E147">
    <cfRule type="containsText" dxfId="562" priority="55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61" priority="556" operator="notContains" text="порожний">
      <formula>ISERROR(SEARCH("порожний",C581))</formula>
    </cfRule>
  </conditionalFormatting>
  <conditionalFormatting sqref="C586">
    <cfRule type="notContainsText" dxfId="560" priority="555" operator="notContains" text="порожний">
      <formula>ISERROR(SEARCH("порожний",C586))</formula>
    </cfRule>
  </conditionalFormatting>
  <conditionalFormatting sqref="B609">
    <cfRule type="containsText" dxfId="559" priority="554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558" priority="552" operator="containsText" text="Газель базы">
      <formula>NOT(ISERROR(SEARCH("Газель базы",B609)))</formula>
    </cfRule>
    <cfRule type="containsText" dxfId="557" priority="553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556" priority="551" operator="containsText" text="Трактор базы">
      <formula>NOT(ISERROR(SEARCH("Трактор базы",B609)))</formula>
    </cfRule>
  </conditionalFormatting>
  <conditionalFormatting sqref="B614">
    <cfRule type="containsText" dxfId="555" priority="547" operator="containsText" text="Трактор базы">
      <formula>NOT(ISERROR(SEARCH("Трактор базы",B614)))</formula>
    </cfRule>
  </conditionalFormatting>
  <conditionalFormatting sqref="B614">
    <cfRule type="containsText" dxfId="554" priority="550" operator="containsText" text="Выезд с территории">
      <formula>NOT(ISERROR(SEARCH("Выезд с территории",B614)))</formula>
    </cfRule>
  </conditionalFormatting>
  <conditionalFormatting sqref="B614">
    <cfRule type="containsText" dxfId="553" priority="548" operator="containsText" text="Газель базы">
      <formula>NOT(ISERROR(SEARCH("Газель базы",B614)))</formula>
    </cfRule>
    <cfRule type="containsText" dxfId="552" priority="549" operator="containsText" text="Погрузчик базы">
      <formula>NOT(ISERROR(SEARCH("Погрузчик базы",B614)))</formula>
    </cfRule>
  </conditionalFormatting>
  <conditionalFormatting sqref="C649">
    <cfRule type="notContainsText" dxfId="551" priority="546" operator="notContains" text="порожний">
      <formula>ISERROR(SEARCH("порожний",C649))</formula>
    </cfRule>
  </conditionalFormatting>
  <conditionalFormatting sqref="C655">
    <cfRule type="notContainsText" dxfId="550" priority="543" operator="notContains" text="порожний">
      <formula>ISERROR(SEARCH("порожний",C655))</formula>
    </cfRule>
  </conditionalFormatting>
  <conditionalFormatting sqref="C650">
    <cfRule type="notContainsText" dxfId="549" priority="545" operator="notContains" text="порожний">
      <formula>ISERROR(SEARCH("порожний",C650))</formula>
    </cfRule>
  </conditionalFormatting>
  <conditionalFormatting sqref="C654">
    <cfRule type="notContainsText" dxfId="548" priority="544" operator="notContains" text="порожний">
      <formula>ISERROR(SEARCH("порожний",C654))</formula>
    </cfRule>
  </conditionalFormatting>
  <conditionalFormatting sqref="A663:A666 A668:A670 A695 A697:A701 A825 A3437">
    <cfRule type="containsText" dxfId="547" priority="54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46" priority="54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545" priority="54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44" priority="53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43" priority="53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42" priority="53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41" priority="52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40" priority="536" operator="containsText" text="Выезд с территории">
      <formula>NOT(ISERROR(SEARCH("Выезд с территории",A681)))</formula>
    </cfRule>
  </conditionalFormatting>
  <conditionalFormatting sqref="A681">
    <cfRule type="containsText" dxfId="539" priority="53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38" priority="53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37" priority="530" operator="containsText" text="Трактор базы">
      <formula>NOT(ISERROR(SEARCH("Трактор базы",B682)))</formula>
    </cfRule>
  </conditionalFormatting>
  <conditionalFormatting sqref="B682">
    <cfRule type="containsText" dxfId="536" priority="533" operator="containsText" text="Выезд с территории">
      <formula>NOT(ISERROR(SEARCH("Выезд с территории",B682)))</formula>
    </cfRule>
  </conditionalFormatting>
  <conditionalFormatting sqref="B682">
    <cfRule type="containsText" dxfId="535" priority="531" operator="containsText" text="Газель базы">
      <formula>NOT(ISERROR(SEARCH("Газель базы",B682)))</formula>
    </cfRule>
    <cfRule type="containsText" dxfId="534" priority="532" operator="containsText" text="Погрузчик базы">
      <formula>NOT(ISERROR(SEARCH("Погрузчик базы",B682)))</formula>
    </cfRule>
  </conditionalFormatting>
  <conditionalFormatting sqref="A684:A687">
    <cfRule type="containsText" dxfId="533" priority="52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32" priority="52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31" priority="51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30" priority="52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29" priority="51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28" priority="51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27" priority="517" operator="containsText" text="Выезд с территории">
      <formula>NOT(ISERROR(SEARCH("Выезд с территории",A824)))</formula>
    </cfRule>
  </conditionalFormatting>
  <conditionalFormatting sqref="A824">
    <cfRule type="containsText" dxfId="526" priority="51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25" priority="51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24" priority="509" operator="containsText" text="Газель базы">
      <formula>NOT(ISERROR(SEARCH("Газель базы",B846)))</formula>
    </cfRule>
    <cfRule type="containsText" dxfId="523" priority="510" operator="containsText" text="Погрузчик базы">
      <formula>NOT(ISERROR(SEARCH("Погрузчик базы",B846)))</formula>
    </cfRule>
  </conditionalFormatting>
  <conditionalFormatting sqref="B846:B850">
    <cfRule type="containsText" dxfId="522" priority="508" operator="containsText" text="Трактор базы">
      <formula>NOT(ISERROR(SEARCH("Трактор базы",B846)))</formula>
    </cfRule>
  </conditionalFormatting>
  <conditionalFormatting sqref="A916:A917">
    <cfRule type="containsText" dxfId="521" priority="50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20" priority="50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19" priority="505" operator="containsText" text="Газель базы">
      <formula>NOT(ISERROR(SEARCH("Газель базы",B916)))</formula>
    </cfRule>
    <cfRule type="containsText" dxfId="518" priority="506" operator="containsText" text="Погрузчик базы">
      <formula>NOT(ISERROR(SEARCH("Погрузчик базы",B916)))</formula>
    </cfRule>
  </conditionalFormatting>
  <conditionalFormatting sqref="B916:B917">
    <cfRule type="containsText" dxfId="517" priority="504" operator="containsText" text="Трактор базы">
      <formula>NOT(ISERROR(SEARCH("Трактор базы",B916)))</formula>
    </cfRule>
  </conditionalFormatting>
  <conditionalFormatting sqref="A916:A917">
    <cfRule type="containsText" dxfId="516" priority="50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15" priority="501" operator="containsText" text="Выезд с территории">
      <formula>NOT(ISERROR(SEARCH("Выезд с территории",E916)))</formula>
    </cfRule>
  </conditionalFormatting>
  <conditionalFormatting sqref="A932">
    <cfRule type="containsText" dxfId="514" priority="47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13" priority="50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12" priority="498" operator="containsText" text="Газель базы">
      <formula>NOT(ISERROR(SEARCH("Газель базы",B918)))</formula>
    </cfRule>
    <cfRule type="containsText" dxfId="511" priority="499" operator="containsText" text="Погрузчик базы">
      <formula>NOT(ISERROR(SEARCH("Погрузчик базы",B918)))</formula>
    </cfRule>
  </conditionalFormatting>
  <conditionalFormatting sqref="B918:B924">
    <cfRule type="containsText" dxfId="510" priority="497" operator="containsText" text="Трактор базы">
      <formula>NOT(ISERROR(SEARCH("Трактор базы",B918)))</formula>
    </cfRule>
  </conditionalFormatting>
  <conditionalFormatting sqref="A918">
    <cfRule type="containsText" dxfId="509" priority="49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08" priority="49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07" priority="48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06" priority="49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05" priority="492" operator="containsText" text="Газель базы">
      <formula>NOT(ISERROR(SEARCH("Газель базы",B926)))</formula>
    </cfRule>
    <cfRule type="containsText" dxfId="504" priority="493" operator="containsText" text="Погрузчик базы">
      <formula>NOT(ISERROR(SEARCH("Погрузчик базы",B926)))</formula>
    </cfRule>
  </conditionalFormatting>
  <conditionalFormatting sqref="B926:B928">
    <cfRule type="containsText" dxfId="503" priority="491" operator="containsText" text="Трактор базы">
      <formula>NOT(ISERROR(SEARCH("Трактор базы",B926)))</formula>
    </cfRule>
  </conditionalFormatting>
  <conditionalFormatting sqref="A926:A928">
    <cfRule type="containsText" dxfId="502" priority="49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01" priority="488" operator="containsText" text="Выезд с территории">
      <formula>NOT(ISERROR(SEARCH("Выезд с территории",E926)))</formula>
    </cfRule>
  </conditionalFormatting>
  <conditionalFormatting sqref="A930">
    <cfRule type="containsText" dxfId="500" priority="48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99" priority="487" operator="containsText" text="Выезд с территории">
      <formula>NOT(ISERROR(SEARCH("Выезд с территории",A930)))</formula>
    </cfRule>
  </conditionalFormatting>
  <conditionalFormatting sqref="B930">
    <cfRule type="containsText" dxfId="498" priority="485" operator="containsText" text="Газель базы">
      <formula>NOT(ISERROR(SEARCH("Газель базы",B930)))</formula>
    </cfRule>
    <cfRule type="containsText" dxfId="497" priority="486" operator="containsText" text="Погрузчик базы">
      <formula>NOT(ISERROR(SEARCH("Погрузчик базы",B930)))</formula>
    </cfRule>
  </conditionalFormatting>
  <conditionalFormatting sqref="B930">
    <cfRule type="containsText" dxfId="496" priority="484" operator="containsText" text="Трактор базы">
      <formula>NOT(ISERROR(SEARCH("Трактор базы",B930)))</formula>
    </cfRule>
  </conditionalFormatting>
  <conditionalFormatting sqref="A930">
    <cfRule type="containsText" dxfId="495" priority="48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94" priority="481" operator="containsText" text="Выезд с территории">
      <formula>NOT(ISERROR(SEARCH("Выезд с территории",E930)))</formula>
    </cfRule>
  </conditionalFormatting>
  <conditionalFormatting sqref="A932">
    <cfRule type="containsText" dxfId="493" priority="480" operator="containsText" text="Выезд с территории">
      <formula>NOT(ISERROR(SEARCH("Выезд с территории",A932)))</formula>
    </cfRule>
  </conditionalFormatting>
  <conditionalFormatting sqref="A932">
    <cfRule type="containsText" dxfId="492" priority="47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91" priority="47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90" priority="47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89" priority="47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88" priority="47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87" priority="473" operator="notContains" text="порожний">
      <formula>ISERROR(SEARCH("порожний",C954))</formula>
    </cfRule>
  </conditionalFormatting>
  <conditionalFormatting sqref="B954:B956">
    <cfRule type="containsText" dxfId="486" priority="471" operator="containsText" text="Газель базы">
      <formula>NOT(ISERROR(SEARCH("Газель базы",B954)))</formula>
    </cfRule>
    <cfRule type="containsText" dxfId="485" priority="472" operator="containsText" text="Погрузчик базы">
      <formula>NOT(ISERROR(SEARCH("Погрузчик базы",B954)))</formula>
    </cfRule>
  </conditionalFormatting>
  <conditionalFormatting sqref="B954:B956">
    <cfRule type="containsText" dxfId="484" priority="470" operator="containsText" text="Трактор базы">
      <formula>NOT(ISERROR(SEARCH("Трактор базы",B954)))</formula>
    </cfRule>
  </conditionalFormatting>
  <conditionalFormatting sqref="A954:A956">
    <cfRule type="containsText" dxfId="483" priority="46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82" priority="46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81" priority="466" operator="notContains" text="порожний">
      <formula>ISERROR(SEARCH("порожний",C995))</formula>
    </cfRule>
  </conditionalFormatting>
  <conditionalFormatting sqref="C987">
    <cfRule type="notContainsText" dxfId="480" priority="467" operator="notContains" text="порожний">
      <formula>ISERROR(SEARCH("порожний",C987))</formula>
    </cfRule>
  </conditionalFormatting>
  <conditionalFormatting sqref="B999">
    <cfRule type="containsText" dxfId="479" priority="465" operator="containsText" text="Выезд с территории">
      <formula>NOT(ISERROR(SEARCH("Выезд с территории",B999)))</formula>
    </cfRule>
  </conditionalFormatting>
  <conditionalFormatting sqref="B999">
    <cfRule type="containsText" dxfId="478" priority="463" operator="containsText" text="Газель базы">
      <formula>NOT(ISERROR(SEARCH("Газель базы",B999)))</formula>
    </cfRule>
    <cfRule type="containsText" dxfId="477" priority="464" operator="containsText" text="Погрузчик базы">
      <formula>NOT(ISERROR(SEARCH("Погрузчик базы",B999)))</formula>
    </cfRule>
  </conditionalFormatting>
  <conditionalFormatting sqref="B999">
    <cfRule type="containsText" dxfId="476" priority="462" operator="containsText" text="Трактор базы">
      <formula>NOT(ISERROR(SEARCH("Трактор базы",B999)))</formula>
    </cfRule>
  </conditionalFormatting>
  <conditionalFormatting sqref="B1019:B1022">
    <cfRule type="containsText" dxfId="475" priority="458" operator="containsText" text="Трактор базы">
      <formula>NOT(ISERROR(SEARCH("Трактор базы",B1019)))</formula>
    </cfRule>
  </conditionalFormatting>
  <conditionalFormatting sqref="B1019:B1022">
    <cfRule type="containsText" dxfId="474" priority="46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73" priority="459" operator="containsText" text="Газель базы">
      <formula>NOT(ISERROR(SEARCH("Газель базы",B1019)))</formula>
    </cfRule>
    <cfRule type="containsText" dxfId="472" priority="460" operator="containsText" text="Погрузчик базы">
      <formula>NOT(ISERROR(SEARCH("Погрузчик базы",B1019)))</formula>
    </cfRule>
  </conditionalFormatting>
  <conditionalFormatting sqref="C966">
    <cfRule type="notContainsText" dxfId="471" priority="457" operator="notContains" text="порожний">
      <formula>ISERROR(SEARCH("порожний",C966))</formula>
    </cfRule>
  </conditionalFormatting>
  <conditionalFormatting sqref="A1029">
    <cfRule type="containsText" dxfId="470" priority="45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69" priority="45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68" priority="45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67" priority="45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66" priority="451" operator="containsText" text="Газель базы">
      <formula>NOT(ISERROR(SEARCH("Газель базы",B1030)))</formula>
    </cfRule>
    <cfRule type="containsText" dxfId="465" priority="452" operator="containsText" text="Погрузчик базы">
      <formula>NOT(ISERROR(SEARCH("Погрузчик базы",B1030)))</formula>
    </cfRule>
  </conditionalFormatting>
  <conditionalFormatting sqref="B1030">
    <cfRule type="containsText" dxfId="464" priority="450" operator="containsText" text="Трактор базы">
      <formula>NOT(ISERROR(SEARCH("Трактор базы",B1030)))</formula>
    </cfRule>
  </conditionalFormatting>
  <conditionalFormatting sqref="A1035">
    <cfRule type="containsText" dxfId="463" priority="44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62" priority="44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61" priority="44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60" priority="44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59" priority="44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58" priority="44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57" priority="44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56" priority="441" operator="containsText" text="Газель базы">
      <formula>NOT(ISERROR(SEARCH("Газель базы",B1138)))</formula>
    </cfRule>
    <cfRule type="containsText" dxfId="455" priority="442" operator="containsText" text="Погрузчик базы">
      <formula>NOT(ISERROR(SEARCH("Погрузчик базы",B1138)))</formula>
    </cfRule>
  </conditionalFormatting>
  <conditionalFormatting sqref="B1138:B1161">
    <cfRule type="containsText" dxfId="454" priority="440" operator="containsText" text="Трактор базы">
      <formula>NOT(ISERROR(SEARCH("Трактор базы",B1138)))</formula>
    </cfRule>
  </conditionalFormatting>
  <conditionalFormatting sqref="B1258:B1262">
    <cfRule type="containsText" dxfId="453" priority="424" operator="containsText" text="Трактор базы">
      <formula>NOT(ISERROR(SEARCH("Трактор базы",B1258)))</formula>
    </cfRule>
  </conditionalFormatting>
  <conditionalFormatting sqref="B1244:B1252">
    <cfRule type="containsText" dxfId="452" priority="43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1" priority="437" operator="containsText" text="Газель базы">
      <formula>NOT(ISERROR(SEARCH("Газель базы",B1244)))</formula>
    </cfRule>
    <cfRule type="containsText" dxfId="450" priority="438" operator="containsText" text="Погрузчик базы">
      <formula>NOT(ISERROR(SEARCH("Погрузчик базы",B1244)))</formula>
    </cfRule>
  </conditionalFormatting>
  <conditionalFormatting sqref="B1244:B1252">
    <cfRule type="containsText" dxfId="449" priority="436" operator="containsText" text="Трактор базы">
      <formula>NOT(ISERROR(SEARCH("Трактор базы",B1244)))</formula>
    </cfRule>
  </conditionalFormatting>
  <conditionalFormatting sqref="B1253:B1256">
    <cfRule type="containsText" dxfId="448" priority="43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47" priority="433" operator="containsText" text="Газель базы">
      <formula>NOT(ISERROR(SEARCH("Газель базы",B1253)))</formula>
    </cfRule>
    <cfRule type="containsText" dxfId="446" priority="434" operator="containsText" text="Погрузчик базы">
      <formula>NOT(ISERROR(SEARCH("Погрузчик базы",B1253)))</formula>
    </cfRule>
  </conditionalFormatting>
  <conditionalFormatting sqref="B1253:B1256">
    <cfRule type="containsText" dxfId="445" priority="432" operator="containsText" text="Трактор базы">
      <formula>NOT(ISERROR(SEARCH("Трактор базы",B1253)))</formula>
    </cfRule>
  </conditionalFormatting>
  <conditionalFormatting sqref="B1257">
    <cfRule type="containsText" dxfId="444" priority="43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43" priority="429" operator="containsText" text="Газель базы">
      <formula>NOT(ISERROR(SEARCH("Газель базы",B1257)))</formula>
    </cfRule>
    <cfRule type="containsText" dxfId="442" priority="430" operator="containsText" text="Погрузчик базы">
      <formula>NOT(ISERROR(SEARCH("Погрузчик базы",B1257)))</formula>
    </cfRule>
  </conditionalFormatting>
  <conditionalFormatting sqref="B1257">
    <cfRule type="containsText" dxfId="441" priority="428" operator="containsText" text="Трактор базы">
      <formula>NOT(ISERROR(SEARCH("Трактор базы",B1257)))</formula>
    </cfRule>
  </conditionalFormatting>
  <conditionalFormatting sqref="B1258:B1262">
    <cfRule type="containsText" dxfId="440" priority="42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39" priority="425" operator="containsText" text="Газель базы">
      <formula>NOT(ISERROR(SEARCH("Газель базы",B1258)))</formula>
    </cfRule>
    <cfRule type="containsText" dxfId="438" priority="426" operator="containsText" text="Погрузчик базы">
      <formula>NOT(ISERROR(SEARCH("Погрузчик базы",B1258)))</formula>
    </cfRule>
  </conditionalFormatting>
  <conditionalFormatting sqref="B1281:B1287">
    <cfRule type="containsText" dxfId="437" priority="42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36" priority="421" operator="containsText" text="Газель базы">
      <formula>NOT(ISERROR(SEARCH("Газель базы",B1281)))</formula>
    </cfRule>
    <cfRule type="containsText" dxfId="435" priority="422" operator="containsText" text="Погрузчик базы">
      <formula>NOT(ISERROR(SEARCH("Погрузчик базы",B1281)))</formula>
    </cfRule>
  </conditionalFormatting>
  <conditionalFormatting sqref="B1281:B1287">
    <cfRule type="containsText" dxfId="434" priority="420" operator="containsText" text="Трактор базы">
      <formula>NOT(ISERROR(SEARCH("Трактор базы",B1281)))</formula>
    </cfRule>
  </conditionalFormatting>
  <conditionalFormatting sqref="B1296">
    <cfRule type="containsText" dxfId="433" priority="416" operator="containsText" text="Трактор базы">
      <formula>NOT(ISERROR(SEARCH("Трактор базы",B1296)))</formula>
    </cfRule>
  </conditionalFormatting>
  <conditionalFormatting sqref="B1296">
    <cfRule type="containsText" dxfId="432" priority="41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31" priority="417" operator="containsText" text="Газель базы">
      <formula>NOT(ISERROR(SEARCH("Газель базы",B1296)))</formula>
    </cfRule>
    <cfRule type="containsText" dxfId="430" priority="418" operator="containsText" text="Погрузчик базы">
      <formula>NOT(ISERROR(SEARCH("Погрузчик базы",B1296)))</formula>
    </cfRule>
  </conditionalFormatting>
  <conditionalFormatting sqref="C1320:C1321">
    <cfRule type="notContainsText" dxfId="429" priority="414" operator="notContains" text="порожний">
      <formula>ISERROR(SEARCH("порожний",C1320))</formula>
    </cfRule>
  </conditionalFormatting>
  <conditionalFormatting sqref="A1323">
    <cfRule type="containsText" dxfId="428" priority="40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27" priority="41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26" priority="41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25" priority="41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24" priority="41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23" priority="40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22" priority="407" operator="notContains" text="порожний">
      <formula>ISERROR(SEARCH("порожний",C1336))</formula>
    </cfRule>
  </conditionalFormatting>
  <conditionalFormatting sqref="C1346">
    <cfRule type="notContainsText" dxfId="421" priority="406" operator="notContains" text="порожний">
      <formula>ISERROR(SEARCH("порожний",C1346))</formula>
    </cfRule>
  </conditionalFormatting>
  <conditionalFormatting sqref="A1391">
    <cfRule type="containsText" dxfId="420" priority="40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19" priority="40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18" priority="40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17" priority="39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16" priority="39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15" priority="39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14" priority="396" operator="notContains" text="порожний">
      <formula>ISERROR(SEARCH("порожний",C1606))</formula>
    </cfRule>
  </conditionalFormatting>
  <conditionalFormatting sqref="B1633:B1636">
    <cfRule type="containsText" dxfId="413" priority="39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12" priority="393" operator="containsText" text="Газель базы">
      <formula>NOT(ISERROR(SEARCH("Газель базы",B1633)))</formula>
    </cfRule>
    <cfRule type="containsText" dxfId="411" priority="394" operator="containsText" text="Погрузчик базы">
      <formula>NOT(ISERROR(SEARCH("Погрузчик базы",B1633)))</formula>
    </cfRule>
  </conditionalFormatting>
  <conditionalFormatting sqref="B1633:B1636">
    <cfRule type="containsText" dxfId="410" priority="392" operator="containsText" text="Трактор базы">
      <formula>NOT(ISERROR(SEARCH("Трактор базы",B1633)))</formula>
    </cfRule>
  </conditionalFormatting>
  <conditionalFormatting sqref="B1637:B1642">
    <cfRule type="containsText" dxfId="409" priority="39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08" priority="389" operator="containsText" text="Газель базы">
      <formula>NOT(ISERROR(SEARCH("Газель базы",B1637)))</formula>
    </cfRule>
    <cfRule type="containsText" dxfId="407" priority="390" operator="containsText" text="Погрузчик базы">
      <formula>NOT(ISERROR(SEARCH("Погрузчик базы",B1637)))</formula>
    </cfRule>
  </conditionalFormatting>
  <conditionalFormatting sqref="B1637:B1642">
    <cfRule type="containsText" dxfId="406" priority="388" operator="containsText" text="Трактор базы">
      <formula>NOT(ISERROR(SEARCH("Трактор базы",B1637)))</formula>
    </cfRule>
  </conditionalFormatting>
  <conditionalFormatting sqref="B1671:B1672">
    <cfRule type="containsText" dxfId="405" priority="384" operator="containsText" text="Трактор базы">
      <formula>NOT(ISERROR(SEARCH("Трактор базы",B1671)))</formula>
    </cfRule>
  </conditionalFormatting>
  <conditionalFormatting sqref="B1671:B1672">
    <cfRule type="containsText" dxfId="404" priority="38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03" priority="385" operator="containsText" text="Газель базы">
      <formula>NOT(ISERROR(SEARCH("Газель базы",B1671)))</formula>
    </cfRule>
    <cfRule type="containsText" dxfId="402" priority="386" operator="containsText" text="Погрузчик базы">
      <formula>NOT(ISERROR(SEARCH("Погрузчик базы",B1671)))</formula>
    </cfRule>
  </conditionalFormatting>
  <conditionalFormatting sqref="B1675">
    <cfRule type="containsText" dxfId="401" priority="380" operator="containsText" text="Трактор базы">
      <formula>NOT(ISERROR(SEARCH("Трактор базы",B1675)))</formula>
    </cfRule>
  </conditionalFormatting>
  <conditionalFormatting sqref="B1675">
    <cfRule type="containsText" dxfId="400" priority="38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99" priority="381" operator="containsText" text="Газель базы">
      <formula>NOT(ISERROR(SEARCH("Газель базы",B1675)))</formula>
    </cfRule>
    <cfRule type="containsText" dxfId="398" priority="382" operator="containsText" text="Погрузчик базы">
      <formula>NOT(ISERROR(SEARCH("Погрузчик базы",B1675)))</formula>
    </cfRule>
  </conditionalFormatting>
  <conditionalFormatting sqref="A1678">
    <cfRule type="containsText" dxfId="397" priority="37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96" priority="37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95" priority="37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94" priority="376" operator="notContains" text="порожний">
      <formula>ISERROR(SEARCH("порожний",C1723))</formula>
    </cfRule>
  </conditionalFormatting>
  <conditionalFormatting sqref="C1725:C1726">
    <cfRule type="notContainsText" dxfId="393" priority="375" operator="notContains" text="порожний">
      <formula>ISERROR(SEARCH("порожний",C1725))</formula>
    </cfRule>
  </conditionalFormatting>
  <conditionalFormatting sqref="C1727">
    <cfRule type="notContainsText" dxfId="392" priority="374" operator="notContains" text="порожний">
      <formula>ISERROR(SEARCH("порожний",C1727))</formula>
    </cfRule>
  </conditionalFormatting>
  <conditionalFormatting sqref="C1728">
    <cfRule type="notContainsText" dxfId="391" priority="373" operator="notContains" text="порожний">
      <formula>ISERROR(SEARCH("порожний",C1728))</formula>
    </cfRule>
  </conditionalFormatting>
  <conditionalFormatting sqref="B1732:B1733">
    <cfRule type="containsText" dxfId="390" priority="37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89" priority="370" operator="containsText" text="Газель базы">
      <formula>NOT(ISERROR(SEARCH("Газель базы",B1732)))</formula>
    </cfRule>
    <cfRule type="containsText" dxfId="388" priority="371" operator="containsText" text="Погрузчик базы">
      <formula>NOT(ISERROR(SEARCH("Погрузчик базы",B1732)))</formula>
    </cfRule>
  </conditionalFormatting>
  <conditionalFormatting sqref="B1732:B1733">
    <cfRule type="containsText" dxfId="387" priority="369" operator="containsText" text="Трактор базы">
      <formula>NOT(ISERROR(SEARCH("Трактор базы",B1732)))</formula>
    </cfRule>
  </conditionalFormatting>
  <conditionalFormatting sqref="B1734:B1735">
    <cfRule type="containsText" dxfId="386" priority="36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85" priority="366" operator="containsText" text="Газель базы">
      <formula>NOT(ISERROR(SEARCH("Газель базы",B1734)))</formula>
    </cfRule>
    <cfRule type="containsText" dxfId="384" priority="367" operator="containsText" text="Погрузчик базы">
      <formula>NOT(ISERROR(SEARCH("Погрузчик базы",B1734)))</formula>
    </cfRule>
  </conditionalFormatting>
  <conditionalFormatting sqref="B1734:B1735">
    <cfRule type="containsText" dxfId="383" priority="365" operator="containsText" text="Трактор базы">
      <formula>NOT(ISERROR(SEARCH("Трактор базы",B1734)))</formula>
    </cfRule>
  </conditionalFormatting>
  <conditionalFormatting sqref="B1762:B1764">
    <cfRule type="containsText" dxfId="382" priority="351" operator="containsText" text="Трактор базы">
      <formula>NOT(ISERROR(SEARCH("Трактор базы",B1762)))</formula>
    </cfRule>
  </conditionalFormatting>
  <conditionalFormatting sqref="B1740:B1741">
    <cfRule type="containsText" dxfId="381" priority="36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80" priority="362" operator="containsText" text="Газель базы">
      <formula>NOT(ISERROR(SEARCH("Газель базы",B1740)))</formula>
    </cfRule>
    <cfRule type="containsText" dxfId="379" priority="363" operator="containsText" text="Погрузчик базы">
      <formula>NOT(ISERROR(SEARCH("Погрузчик базы",B1740)))</formula>
    </cfRule>
  </conditionalFormatting>
  <conditionalFormatting sqref="B1740:B1741">
    <cfRule type="containsText" dxfId="378" priority="361" operator="containsText" text="Трактор базы">
      <formula>NOT(ISERROR(SEARCH("Трактор базы",B1740)))</formula>
    </cfRule>
  </conditionalFormatting>
  <conditionalFormatting sqref="A1755">
    <cfRule type="containsText" dxfId="377" priority="35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76" priority="36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75" priority="35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74" priority="35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73" priority="35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72" priority="35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71" priority="342" operator="containsText" text="Трактор базы">
      <formula>NOT(ISERROR(SEARCH("Трактор базы",B1773)))</formula>
    </cfRule>
  </conditionalFormatting>
  <conditionalFormatting sqref="B1762:B1764">
    <cfRule type="containsText" dxfId="370" priority="35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69" priority="352" operator="containsText" text="Газель базы">
      <formula>NOT(ISERROR(SEARCH("Газель базы",B1762)))</formula>
    </cfRule>
    <cfRule type="containsText" dxfId="368" priority="353" operator="containsText" text="Погрузчик базы">
      <formula>NOT(ISERROR(SEARCH("Погрузчик базы",B1762)))</formula>
    </cfRule>
  </conditionalFormatting>
  <conditionalFormatting sqref="B1776:B1777">
    <cfRule type="containsText" dxfId="367" priority="333" operator="containsText" text="Трактор базы">
      <formula>NOT(ISERROR(SEARCH("Трактор базы",B1776)))</formula>
    </cfRule>
  </conditionalFormatting>
  <conditionalFormatting sqref="B1770:B1771">
    <cfRule type="containsText" dxfId="366" priority="35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65" priority="348" operator="containsText" text="Газель базы">
      <formula>NOT(ISERROR(SEARCH("Газель базы",B1770)))</formula>
    </cfRule>
    <cfRule type="containsText" dxfId="364" priority="349" operator="containsText" text="Погрузчик базы">
      <formula>NOT(ISERROR(SEARCH("Погрузчик базы",B1770)))</formula>
    </cfRule>
  </conditionalFormatting>
  <conditionalFormatting sqref="B1770:B1771">
    <cfRule type="containsText" dxfId="363" priority="347" operator="containsText" text="Трактор базы">
      <formula>NOT(ISERROR(SEARCH("Трактор базы",B1770)))</formula>
    </cfRule>
  </conditionalFormatting>
  <conditionalFormatting sqref="B1773">
    <cfRule type="containsText" dxfId="362" priority="34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61" priority="345" operator="notContains" text="порожний">
      <formula>ISERROR(SEARCH("порожний",C1773))</formula>
    </cfRule>
  </conditionalFormatting>
  <conditionalFormatting sqref="B1773">
    <cfRule type="containsText" dxfId="360" priority="343" operator="containsText" text="Газель базы">
      <formula>NOT(ISERROR(SEARCH("Газель базы",B1773)))</formula>
    </cfRule>
    <cfRule type="containsText" dxfId="359" priority="344" operator="containsText" text="Погрузчик базы">
      <formula>NOT(ISERROR(SEARCH("Погрузчик базы",B1773)))</formula>
    </cfRule>
  </conditionalFormatting>
  <conditionalFormatting sqref="B1775">
    <cfRule type="containsText" dxfId="358" priority="337" operator="containsText" text="Трактор базы">
      <formula>NOT(ISERROR(SEARCH("Трактор базы",B1775)))</formula>
    </cfRule>
  </conditionalFormatting>
  <conditionalFormatting sqref="B1775">
    <cfRule type="containsText" dxfId="357" priority="34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56" priority="340" operator="notContains" text="порожний">
      <formula>ISERROR(SEARCH("порожний",C1775))</formula>
    </cfRule>
  </conditionalFormatting>
  <conditionalFormatting sqref="B1775">
    <cfRule type="containsText" dxfId="355" priority="338" operator="containsText" text="Газель базы">
      <formula>NOT(ISERROR(SEARCH("Газель базы",B1775)))</formula>
    </cfRule>
    <cfRule type="containsText" dxfId="354" priority="339" operator="containsText" text="Погрузчик базы">
      <formula>NOT(ISERROR(SEARCH("Погрузчик базы",B1775)))</formula>
    </cfRule>
  </conditionalFormatting>
  <conditionalFormatting sqref="B1776:B1777">
    <cfRule type="containsText" dxfId="353" priority="33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52" priority="334" operator="containsText" text="Газель базы">
      <formula>NOT(ISERROR(SEARCH("Газель базы",B1776)))</formula>
    </cfRule>
    <cfRule type="containsText" dxfId="351" priority="335" operator="containsText" text="Погрузчик базы">
      <formula>NOT(ISERROR(SEARCH("Погрузчик базы",B1776)))</formula>
    </cfRule>
  </conditionalFormatting>
  <conditionalFormatting sqref="B1891">
    <cfRule type="containsText" dxfId="350" priority="325" operator="containsText" text="Трактор базы">
      <formula>NOT(ISERROR(SEARCH("Трактор базы",B1891)))</formula>
    </cfRule>
  </conditionalFormatting>
  <conditionalFormatting sqref="B1889">
    <cfRule type="containsText" dxfId="349" priority="33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48" priority="330" operator="containsText" text="Газель базы">
      <formula>NOT(ISERROR(SEARCH("Газель базы",B1889)))</formula>
    </cfRule>
    <cfRule type="containsText" dxfId="347" priority="331" operator="containsText" text="Погрузчик базы">
      <formula>NOT(ISERROR(SEARCH("Погрузчик базы",B1889)))</formula>
    </cfRule>
  </conditionalFormatting>
  <conditionalFormatting sqref="B1889">
    <cfRule type="containsText" dxfId="346" priority="329" operator="containsText" text="Трактор базы">
      <formula>NOT(ISERROR(SEARCH("Трактор базы",B1889)))</formula>
    </cfRule>
  </conditionalFormatting>
  <conditionalFormatting sqref="B1891">
    <cfRule type="containsText" dxfId="345" priority="32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44" priority="326" operator="containsText" text="Газель базы">
      <formula>NOT(ISERROR(SEARCH("Газель базы",B1891)))</formula>
    </cfRule>
    <cfRule type="containsText" dxfId="343" priority="327" operator="containsText" text="Погрузчик базы">
      <formula>NOT(ISERROR(SEARCH("Погрузчик базы",B1891)))</formula>
    </cfRule>
  </conditionalFormatting>
  <conditionalFormatting sqref="B1920">
    <cfRule type="containsText" dxfId="342" priority="313" operator="containsText" text="Трактор базы">
      <formula>NOT(ISERROR(SEARCH("Трактор базы",B1920)))</formula>
    </cfRule>
  </conditionalFormatting>
  <conditionalFormatting sqref="B1904:B1914">
    <cfRule type="containsText" dxfId="341" priority="32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40" priority="322" operator="containsText" text="Газель базы">
      <formula>NOT(ISERROR(SEARCH("Газель базы",B1904)))</formula>
    </cfRule>
    <cfRule type="containsText" dxfId="339" priority="323" operator="containsText" text="Погрузчик базы">
      <formula>NOT(ISERROR(SEARCH("Погрузчик базы",B1904)))</formula>
    </cfRule>
  </conditionalFormatting>
  <conditionalFormatting sqref="B1904:B1914">
    <cfRule type="containsText" dxfId="338" priority="321" operator="containsText" text="Трактор базы">
      <formula>NOT(ISERROR(SEARCH("Трактор базы",B1904)))</formula>
    </cfRule>
  </conditionalFormatting>
  <conditionalFormatting sqref="B1915:B1919">
    <cfRule type="containsText" dxfId="337" priority="32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36" priority="318" operator="containsText" text="Газель базы">
      <formula>NOT(ISERROR(SEARCH("Газель базы",B1915)))</formula>
    </cfRule>
    <cfRule type="containsText" dxfId="335" priority="319" operator="containsText" text="Погрузчик базы">
      <formula>NOT(ISERROR(SEARCH("Погрузчик базы",B1915)))</formula>
    </cfRule>
  </conditionalFormatting>
  <conditionalFormatting sqref="B1915:B1919">
    <cfRule type="containsText" dxfId="334" priority="317" operator="containsText" text="Трактор базы">
      <formula>NOT(ISERROR(SEARCH("Трактор базы",B1915)))</formula>
    </cfRule>
  </conditionalFormatting>
  <conditionalFormatting sqref="B1920">
    <cfRule type="containsText" dxfId="333" priority="31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32" priority="314" operator="containsText" text="Газель базы">
      <formula>NOT(ISERROR(SEARCH("Газель базы",B1920)))</formula>
    </cfRule>
    <cfRule type="containsText" dxfId="331" priority="315" operator="containsText" text="Погрузчик базы">
      <formula>NOT(ISERROR(SEARCH("Погрузчик базы",B1920)))</formula>
    </cfRule>
  </conditionalFormatting>
  <conditionalFormatting sqref="B1939">
    <cfRule type="containsText" dxfId="330" priority="309" operator="containsText" text="Трактор базы">
      <formula>NOT(ISERROR(SEARCH("Трактор базы",B1939)))</formula>
    </cfRule>
  </conditionalFormatting>
  <conditionalFormatting sqref="B1939">
    <cfRule type="containsText" dxfId="329" priority="31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28" priority="310" operator="containsText" text="Газель базы">
      <formula>NOT(ISERROR(SEARCH("Газель базы",B1939)))</formula>
    </cfRule>
    <cfRule type="containsText" dxfId="327" priority="311" operator="containsText" text="Погрузчик базы">
      <formula>NOT(ISERROR(SEARCH("Погрузчик базы",B1939)))</formula>
    </cfRule>
  </conditionalFormatting>
  <conditionalFormatting sqref="A1943">
    <cfRule type="containsText" dxfId="326" priority="30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25" priority="30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24" priority="30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23" priority="290" operator="containsText" text="Трактор базы">
      <formula>NOT(ISERROR(SEARCH("Трактор базы",B1977)))</formula>
    </cfRule>
  </conditionalFormatting>
  <conditionalFormatting sqref="B1974">
    <cfRule type="containsText" dxfId="322" priority="30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21" priority="303" operator="containsText" text="Газель базы">
      <formula>NOT(ISERROR(SEARCH("Газель базы",B1974)))</formula>
    </cfRule>
    <cfRule type="containsText" dxfId="320" priority="304" operator="containsText" text="Погрузчик базы">
      <formula>NOT(ISERROR(SEARCH("Погрузчик базы",B1974)))</formula>
    </cfRule>
  </conditionalFormatting>
  <conditionalFormatting sqref="B1974">
    <cfRule type="containsText" dxfId="319" priority="302" operator="containsText" text="Трактор базы">
      <formula>NOT(ISERROR(SEARCH("Трактор базы",B1974)))</formula>
    </cfRule>
  </conditionalFormatting>
  <conditionalFormatting sqref="B1975">
    <cfRule type="containsText" dxfId="318" priority="30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17" priority="299" operator="containsText" text="Газель базы">
      <formula>NOT(ISERROR(SEARCH("Газель базы",B1975)))</formula>
    </cfRule>
    <cfRule type="containsText" dxfId="316" priority="300" operator="containsText" text="Погрузчик базы">
      <formula>NOT(ISERROR(SEARCH("Погрузчик базы",B1975)))</formula>
    </cfRule>
  </conditionalFormatting>
  <conditionalFormatting sqref="B1975">
    <cfRule type="containsText" dxfId="315" priority="298" operator="containsText" text="Трактор базы">
      <formula>NOT(ISERROR(SEARCH("Трактор базы",B1975)))</formula>
    </cfRule>
  </conditionalFormatting>
  <conditionalFormatting sqref="B1976">
    <cfRule type="containsText" dxfId="314" priority="29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13" priority="295" operator="containsText" text="Газель базы">
      <formula>NOT(ISERROR(SEARCH("Газель базы",B1976)))</formula>
    </cfRule>
    <cfRule type="containsText" dxfId="312" priority="296" operator="containsText" text="Погрузчик базы">
      <formula>NOT(ISERROR(SEARCH("Погрузчик базы",B1976)))</formula>
    </cfRule>
  </conditionalFormatting>
  <conditionalFormatting sqref="B1976">
    <cfRule type="containsText" dxfId="311" priority="294" operator="containsText" text="Трактор базы">
      <formula>NOT(ISERROR(SEARCH("Трактор базы",B1976)))</formula>
    </cfRule>
  </conditionalFormatting>
  <conditionalFormatting sqref="B1977">
    <cfRule type="containsText" dxfId="310" priority="29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09" priority="291" operator="containsText" text="Газель базы">
      <formula>NOT(ISERROR(SEARCH("Газель базы",B1977)))</formula>
    </cfRule>
    <cfRule type="containsText" dxfId="308" priority="292" operator="containsText" text="Погрузчик базы">
      <formula>NOT(ISERROR(SEARCH("Погрузчик базы",B1977)))</formula>
    </cfRule>
  </conditionalFormatting>
  <conditionalFormatting sqref="C1965">
    <cfRule type="notContainsText" dxfId="307" priority="289" operator="notContains" text="порожний">
      <formula>ISERROR(SEARCH("порожний",C1965))</formula>
    </cfRule>
  </conditionalFormatting>
  <conditionalFormatting sqref="B2042">
    <cfRule type="containsText" dxfId="306" priority="285" operator="containsText" text="Трактор базы">
      <formula>NOT(ISERROR(SEARCH("Трактор базы",B2042)))</formula>
    </cfRule>
  </conditionalFormatting>
  <conditionalFormatting sqref="B2042">
    <cfRule type="containsText" dxfId="305" priority="28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04" priority="286" operator="containsText" text="Газель базы">
      <formula>NOT(ISERROR(SEARCH("Газель базы",B2042)))</formula>
    </cfRule>
    <cfRule type="containsText" dxfId="303" priority="287" operator="containsText" text="Погрузчик базы">
      <formula>NOT(ISERROR(SEARCH("Погрузчик базы",B2042)))</formula>
    </cfRule>
  </conditionalFormatting>
  <conditionalFormatting sqref="C2050">
    <cfRule type="notContainsText" dxfId="302" priority="284" operator="notContains" text="порожний">
      <formula>ISERROR(SEARCH("порожний",C2050))</formula>
    </cfRule>
  </conditionalFormatting>
  <conditionalFormatting sqref="B2054">
    <cfRule type="containsText" dxfId="301" priority="28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00" priority="281" operator="containsText" text="Газель базы">
      <formula>NOT(ISERROR(SEARCH("Газель базы",B2054)))</formula>
    </cfRule>
    <cfRule type="containsText" dxfId="299" priority="282" operator="containsText" text="Погрузчик базы">
      <formula>NOT(ISERROR(SEARCH("Погрузчик базы",B2054)))</formula>
    </cfRule>
  </conditionalFormatting>
  <conditionalFormatting sqref="B2054">
    <cfRule type="containsText" dxfId="298" priority="280" operator="containsText" text="Трактор базы">
      <formula>NOT(ISERROR(SEARCH("Трактор базы",B2054)))</formula>
    </cfRule>
  </conditionalFormatting>
  <conditionalFormatting sqref="B2055">
    <cfRule type="containsText" dxfId="297" priority="276" operator="containsText" text="Трактор базы">
      <formula>NOT(ISERROR(SEARCH("Трактор базы",B2055)))</formula>
    </cfRule>
  </conditionalFormatting>
  <conditionalFormatting sqref="B2055">
    <cfRule type="containsText" dxfId="296" priority="27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95" priority="277" operator="containsText" text="Газель базы">
      <formula>NOT(ISERROR(SEARCH("Газель базы",B2055)))</formula>
    </cfRule>
    <cfRule type="containsText" dxfId="294" priority="278" operator="containsText" text="Погрузчик базы">
      <formula>NOT(ISERROR(SEARCH("Погрузчик базы",B2055)))</formula>
    </cfRule>
  </conditionalFormatting>
  <conditionalFormatting sqref="A2087:A2089">
    <cfRule type="containsText" dxfId="293" priority="26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92" priority="27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91" priority="274" operator="notContains" text="порожний">
      <formula>ISERROR(SEARCH("порожний",C2087))</formula>
    </cfRule>
  </conditionalFormatting>
  <conditionalFormatting sqref="B2087:B2089">
    <cfRule type="containsText" dxfId="290" priority="272" operator="containsText" text="Газель базы">
      <formula>NOT(ISERROR(SEARCH("Газель базы",B2087)))</formula>
    </cfRule>
    <cfRule type="containsText" dxfId="289" priority="273" operator="containsText" text="Погрузчик базы">
      <formula>NOT(ISERROR(SEARCH("Погрузчик базы",B2087)))</formula>
    </cfRule>
  </conditionalFormatting>
  <conditionalFormatting sqref="B2087:B2089">
    <cfRule type="containsText" dxfId="288" priority="271" operator="containsText" text="Трактор базы">
      <formula>NOT(ISERROR(SEARCH("Трактор базы",B2087)))</formula>
    </cfRule>
  </conditionalFormatting>
  <conditionalFormatting sqref="A2087:A2089">
    <cfRule type="containsText" dxfId="287" priority="27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86" priority="26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85" priority="266" operator="containsText" text="Газель базы">
      <formula>NOT(ISERROR(SEARCH("Газель базы",B2101)))</formula>
    </cfRule>
    <cfRule type="containsText" dxfId="284" priority="267" operator="containsText" text="Погрузчик базы">
      <formula>NOT(ISERROR(SEARCH("Погрузчик базы",B2101)))</formula>
    </cfRule>
  </conditionalFormatting>
  <conditionalFormatting sqref="B2101">
    <cfRule type="containsText" dxfId="283" priority="265" operator="containsText" text="Трактор базы">
      <formula>NOT(ISERROR(SEARCH("Трактор базы",B2101)))</formula>
    </cfRule>
  </conditionalFormatting>
  <conditionalFormatting sqref="B2102">
    <cfRule type="containsText" dxfId="282" priority="26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81" priority="262" operator="containsText" text="Газель базы">
      <formula>NOT(ISERROR(SEARCH("Газель базы",B2102)))</formula>
    </cfRule>
    <cfRule type="containsText" dxfId="280" priority="263" operator="containsText" text="Погрузчик базы">
      <formula>NOT(ISERROR(SEARCH("Погрузчик базы",B2102)))</formula>
    </cfRule>
  </conditionalFormatting>
  <conditionalFormatting sqref="B2102">
    <cfRule type="containsText" dxfId="279" priority="261" operator="containsText" text="Трактор базы">
      <formula>NOT(ISERROR(SEARCH("Трактор базы",B2102)))</formula>
    </cfRule>
  </conditionalFormatting>
  <conditionalFormatting sqref="B2103">
    <cfRule type="containsText" dxfId="278" priority="257" operator="containsText" text="Трактор базы">
      <formula>NOT(ISERROR(SEARCH("Трактор базы",B2103)))</formula>
    </cfRule>
  </conditionalFormatting>
  <conditionalFormatting sqref="B2103">
    <cfRule type="containsText" dxfId="277" priority="26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76" priority="258" operator="containsText" text="Газель базы">
      <formula>NOT(ISERROR(SEARCH("Газель базы",B2103)))</formula>
    </cfRule>
    <cfRule type="containsText" dxfId="275" priority="25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74" priority="25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73" priority="25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72" priority="25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71" priority="25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70" priority="251" operator="containsText" text="Газель базы">
      <formula>NOT(ISERROR(SEARCH("Газель базы",B2276)))</formula>
    </cfRule>
    <cfRule type="containsText" dxfId="269" priority="252" operator="containsText" text="Погрузчик базы">
      <formula>NOT(ISERROR(SEARCH("Погрузчик базы",B2276)))</formula>
    </cfRule>
  </conditionalFormatting>
  <conditionalFormatting sqref="B2276">
    <cfRule type="containsText" dxfId="268" priority="250" operator="containsText" text="Трактор базы">
      <formula>NOT(ISERROR(SEARCH("Трактор базы",B2276)))</formula>
    </cfRule>
  </conditionalFormatting>
  <conditionalFormatting sqref="B2277">
    <cfRule type="containsText" dxfId="267" priority="246" operator="containsText" text="Трактор базы">
      <formula>NOT(ISERROR(SEARCH("Трактор базы",B2277)))</formula>
    </cfRule>
  </conditionalFormatting>
  <conditionalFormatting sqref="B2277">
    <cfRule type="containsText" dxfId="266" priority="24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65" priority="247" operator="containsText" text="Газель базы">
      <formula>NOT(ISERROR(SEARCH("Газель базы",B2277)))</formula>
    </cfRule>
    <cfRule type="containsText" dxfId="264" priority="248" operator="containsText" text="Погрузчик базы">
      <formula>NOT(ISERROR(SEARCH("Погрузчик базы",B2277)))</formula>
    </cfRule>
  </conditionalFormatting>
  <conditionalFormatting sqref="A2279">
    <cfRule type="containsText" dxfId="263" priority="24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62" priority="24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61" priority="24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60" priority="24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59" priority="24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58" priority="24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57" priority="221" operator="containsText" text="Трактор базы">
      <formula>NOT(ISERROR(SEARCH("Трактор базы",B2382)))</formula>
    </cfRule>
  </conditionalFormatting>
  <conditionalFormatting sqref="B2348:B2349">
    <cfRule type="containsText" dxfId="256" priority="23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55" priority="237" operator="containsText" text="Газель базы">
      <formula>NOT(ISERROR(SEARCH("Газель базы",B2348)))</formula>
    </cfRule>
    <cfRule type="containsText" dxfId="254" priority="238" operator="containsText" text="Погрузчик базы">
      <formula>NOT(ISERROR(SEARCH("Погрузчик базы",B2348)))</formula>
    </cfRule>
  </conditionalFormatting>
  <conditionalFormatting sqref="B2348:B2349">
    <cfRule type="containsText" dxfId="253" priority="236" operator="containsText" text="Трактор базы">
      <formula>NOT(ISERROR(SEARCH("Трактор базы",B2348)))</formula>
    </cfRule>
  </conditionalFormatting>
  <conditionalFormatting sqref="A2350">
    <cfRule type="containsText" dxfId="252" priority="23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51" priority="23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50" priority="23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49" priority="23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48" priority="230" operator="containsText" text="Газель базы">
      <formula>NOT(ISERROR(SEARCH("Газель базы",B2352)))</formula>
    </cfRule>
    <cfRule type="containsText" dxfId="247" priority="231" operator="containsText" text="Погрузчик базы">
      <formula>NOT(ISERROR(SEARCH("Погрузчик базы",B2352)))</formula>
    </cfRule>
  </conditionalFormatting>
  <conditionalFormatting sqref="B2352:B2354">
    <cfRule type="containsText" dxfId="246" priority="229" operator="containsText" text="Трактор базы">
      <formula>NOT(ISERROR(SEARCH("Трактор базы",B2352)))</formula>
    </cfRule>
  </conditionalFormatting>
  <conditionalFormatting sqref="B2358">
    <cfRule type="containsText" dxfId="245" priority="22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44" priority="226" operator="containsText" text="Газель базы">
      <formula>NOT(ISERROR(SEARCH("Газель базы",B2358)))</formula>
    </cfRule>
    <cfRule type="containsText" dxfId="243" priority="227" operator="containsText" text="Погрузчик базы">
      <formula>NOT(ISERROR(SEARCH("Погрузчик базы",B2358)))</formula>
    </cfRule>
  </conditionalFormatting>
  <conditionalFormatting sqref="B2358">
    <cfRule type="containsText" dxfId="242" priority="225" operator="containsText" text="Трактор базы">
      <formula>NOT(ISERROR(SEARCH("Трактор базы",B2358)))</formula>
    </cfRule>
  </conditionalFormatting>
  <conditionalFormatting sqref="B2382">
    <cfRule type="containsText" dxfId="241" priority="22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40" priority="222" operator="containsText" text="Газель базы">
      <formula>NOT(ISERROR(SEARCH("Газель базы",B2382)))</formula>
    </cfRule>
    <cfRule type="containsText" dxfId="239" priority="223" operator="containsText" text="Погрузчик базы">
      <formula>NOT(ISERROR(SEARCH("Погрузчик базы",B2382)))</formula>
    </cfRule>
  </conditionalFormatting>
  <conditionalFormatting sqref="B2423:B2424">
    <cfRule type="containsText" dxfId="238" priority="22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37" priority="218" operator="containsText" text="Газель базы">
      <formula>NOT(ISERROR(SEARCH("Газель базы",B2423)))</formula>
    </cfRule>
    <cfRule type="containsText" dxfId="236" priority="219" operator="containsText" text="Погрузчик базы">
      <formula>NOT(ISERROR(SEARCH("Погрузчик базы",B2423)))</formula>
    </cfRule>
  </conditionalFormatting>
  <conditionalFormatting sqref="B2423:B2424">
    <cfRule type="containsText" dxfId="235" priority="217" operator="containsText" text="Трактор базы">
      <formula>NOT(ISERROR(SEARCH("Трактор базы",B2423)))</formula>
    </cfRule>
  </conditionalFormatting>
  <conditionalFormatting sqref="B2431">
    <cfRule type="containsText" dxfId="234" priority="21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33" priority="214" operator="containsText" text="Газель базы">
      <formula>NOT(ISERROR(SEARCH("Газель базы",B2431)))</formula>
    </cfRule>
    <cfRule type="containsText" dxfId="232" priority="215" operator="containsText" text="Погрузчик базы">
      <formula>NOT(ISERROR(SEARCH("Погрузчик базы",B2431)))</formula>
    </cfRule>
  </conditionalFormatting>
  <conditionalFormatting sqref="B2431">
    <cfRule type="containsText" dxfId="231" priority="213" operator="containsText" text="Трактор базы">
      <formula>NOT(ISERROR(SEARCH("Трактор базы",B2431)))</formula>
    </cfRule>
  </conditionalFormatting>
  <conditionalFormatting sqref="B2478">
    <cfRule type="containsText" dxfId="230" priority="201" operator="containsText" text="Трактор базы">
      <formula>NOT(ISERROR(SEARCH("Трактор базы",B2478)))</formula>
    </cfRule>
  </conditionalFormatting>
  <conditionalFormatting sqref="B2462:B2463">
    <cfRule type="containsText" dxfId="229" priority="21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28" priority="210" operator="containsText" text="Газель базы">
      <formula>NOT(ISERROR(SEARCH("Газель базы",B2462)))</formula>
    </cfRule>
    <cfRule type="containsText" dxfId="227" priority="211" operator="containsText" text="Погрузчик базы">
      <formula>NOT(ISERROR(SEARCH("Погрузчик базы",B2462)))</formula>
    </cfRule>
  </conditionalFormatting>
  <conditionalFormatting sqref="B2462:B2463">
    <cfRule type="containsText" dxfId="226" priority="209" operator="containsText" text="Трактор базы">
      <formula>NOT(ISERROR(SEARCH("Трактор базы",B2462)))</formula>
    </cfRule>
  </conditionalFormatting>
  <conditionalFormatting sqref="B2467">
    <cfRule type="containsText" dxfId="225" priority="20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24" priority="206" operator="containsText" text="Газель базы">
      <formula>NOT(ISERROR(SEARCH("Газель базы",B2467)))</formula>
    </cfRule>
    <cfRule type="containsText" dxfId="223" priority="207" operator="containsText" text="Погрузчик базы">
      <formula>NOT(ISERROR(SEARCH("Погрузчик базы",B2467)))</formula>
    </cfRule>
  </conditionalFormatting>
  <conditionalFormatting sqref="B2467">
    <cfRule type="containsText" dxfId="222" priority="205" operator="containsText" text="Трактор базы">
      <formula>NOT(ISERROR(SEARCH("Трактор базы",B2467)))</formula>
    </cfRule>
  </conditionalFormatting>
  <conditionalFormatting sqref="B2478">
    <cfRule type="containsText" dxfId="221" priority="20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20" priority="202" operator="containsText" text="Газель базы">
      <formula>NOT(ISERROR(SEARCH("Газель базы",B2478)))</formula>
    </cfRule>
    <cfRule type="containsText" dxfId="219" priority="203" operator="containsText" text="Погрузчик базы">
      <formula>NOT(ISERROR(SEARCH("Погрузчик базы",B2478)))</formula>
    </cfRule>
  </conditionalFormatting>
  <conditionalFormatting sqref="B2499">
    <cfRule type="containsText" dxfId="218" priority="189" operator="containsText" text="Трактор базы">
      <formula>NOT(ISERROR(SEARCH("Трактор базы",B2499)))</formula>
    </cfRule>
  </conditionalFormatting>
  <conditionalFormatting sqref="B2497">
    <cfRule type="containsText" dxfId="217" priority="20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16" priority="198" operator="containsText" text="Газель базы">
      <formula>NOT(ISERROR(SEARCH("Газель базы",B2497)))</formula>
    </cfRule>
    <cfRule type="containsText" dxfId="215" priority="199" operator="containsText" text="Погрузчик базы">
      <formula>NOT(ISERROR(SEARCH("Погрузчик базы",B2497)))</formula>
    </cfRule>
  </conditionalFormatting>
  <conditionalFormatting sqref="B2497">
    <cfRule type="containsText" dxfId="214" priority="197" operator="containsText" text="Трактор базы">
      <formula>NOT(ISERROR(SEARCH("Трактор базы",B2497)))</formula>
    </cfRule>
  </conditionalFormatting>
  <conditionalFormatting sqref="B2498">
    <cfRule type="containsText" dxfId="213" priority="19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12" priority="194" operator="containsText" text="Газель базы">
      <formula>NOT(ISERROR(SEARCH("Газель базы",B2498)))</formula>
    </cfRule>
    <cfRule type="containsText" dxfId="211" priority="195" operator="containsText" text="Погрузчик базы">
      <formula>NOT(ISERROR(SEARCH("Погрузчик базы",B2498)))</formula>
    </cfRule>
  </conditionalFormatting>
  <conditionalFormatting sqref="B2498">
    <cfRule type="containsText" dxfId="210" priority="193" operator="containsText" text="Трактор базы">
      <formula>NOT(ISERROR(SEARCH("Трактор базы",B2498)))</formula>
    </cfRule>
  </conditionalFormatting>
  <conditionalFormatting sqref="B2499">
    <cfRule type="containsText" dxfId="209" priority="19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08" priority="190" operator="containsText" text="Газель базы">
      <formula>NOT(ISERROR(SEARCH("Газель базы",B2499)))</formula>
    </cfRule>
    <cfRule type="containsText" dxfId="207" priority="191" operator="containsText" text="Погрузчик базы">
      <formula>NOT(ISERROR(SEARCH("Погрузчик базы",B2499)))</formula>
    </cfRule>
  </conditionalFormatting>
  <conditionalFormatting sqref="B2512:B2513">
    <cfRule type="containsText" dxfId="206" priority="163" operator="containsText" text="Трактор базы">
      <formula>NOT(ISERROR(SEARCH("Трактор базы",B2512)))</formula>
    </cfRule>
  </conditionalFormatting>
  <conditionalFormatting sqref="B2500">
    <cfRule type="containsText" dxfId="205" priority="18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04" priority="186" operator="containsText" text="Газель базы">
      <formula>NOT(ISERROR(SEARCH("Газель базы",B2500)))</formula>
    </cfRule>
    <cfRule type="containsText" dxfId="203" priority="187" operator="containsText" text="Погрузчик базы">
      <formula>NOT(ISERROR(SEARCH("Погрузчик базы",B2500)))</formula>
    </cfRule>
  </conditionalFormatting>
  <conditionalFormatting sqref="B2500">
    <cfRule type="containsText" dxfId="202" priority="185" operator="containsText" text="Трактор базы">
      <formula>NOT(ISERROR(SEARCH("Трактор базы",B2500)))</formula>
    </cfRule>
  </conditionalFormatting>
  <conditionalFormatting sqref="B2501">
    <cfRule type="containsText" dxfId="201" priority="18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00" priority="182" operator="containsText" text="Газель базы">
      <formula>NOT(ISERROR(SEARCH("Газель базы",B2501)))</formula>
    </cfRule>
    <cfRule type="containsText" dxfId="199" priority="183" operator="containsText" text="Погрузчик базы">
      <formula>NOT(ISERROR(SEARCH("Погрузчик базы",B2501)))</formula>
    </cfRule>
  </conditionalFormatting>
  <conditionalFormatting sqref="B2501">
    <cfRule type="containsText" dxfId="198" priority="181" operator="containsText" text="Трактор базы">
      <formula>NOT(ISERROR(SEARCH("Трактор базы",B2501)))</formula>
    </cfRule>
  </conditionalFormatting>
  <conditionalFormatting sqref="B2502">
    <cfRule type="containsText" dxfId="197" priority="177" operator="containsText" text="Трактор базы">
      <formula>NOT(ISERROR(SEARCH("Трактор базы",B2502)))</formula>
    </cfRule>
  </conditionalFormatting>
  <conditionalFormatting sqref="B2502">
    <cfRule type="containsText" dxfId="196" priority="18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95" priority="178" operator="containsText" text="Газель базы">
      <formula>NOT(ISERROR(SEARCH("Газель базы",B2502)))</formula>
    </cfRule>
    <cfRule type="containsText" dxfId="194" priority="179" operator="containsText" text="Погрузчик базы">
      <formula>NOT(ISERROR(SEARCH("Погрузчик базы",B2502)))</formula>
    </cfRule>
  </conditionalFormatting>
  <conditionalFormatting sqref="A2503:A2504">
    <cfRule type="containsText" dxfId="193" priority="17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92" priority="17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91" priority="17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90" priority="17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89" priority="17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88" priority="17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87" priority="17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86" priority="168" operator="containsText" text="Газель базы">
      <formula>NOT(ISERROR(SEARCH("Газель базы",B2509)))</formula>
    </cfRule>
    <cfRule type="containsText" dxfId="185" priority="169" operator="containsText" text="Погрузчик базы">
      <formula>NOT(ISERROR(SEARCH("Погрузчик базы",B2509)))</formula>
    </cfRule>
  </conditionalFormatting>
  <conditionalFormatting sqref="B2509">
    <cfRule type="containsText" dxfId="184" priority="167" operator="containsText" text="Трактор базы">
      <formula>NOT(ISERROR(SEARCH("Трактор базы",B2509)))</formula>
    </cfRule>
  </conditionalFormatting>
  <conditionalFormatting sqref="B2512:B2513">
    <cfRule type="containsText" dxfId="183" priority="16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82" priority="164" operator="containsText" text="Газель базы">
      <formula>NOT(ISERROR(SEARCH("Газель базы",B2512)))</formula>
    </cfRule>
    <cfRule type="containsText" dxfId="181" priority="165" operator="containsText" text="Погрузчик базы">
      <formula>NOT(ISERROR(SEARCH("Погрузчик базы",B2512)))</formula>
    </cfRule>
  </conditionalFormatting>
  <conditionalFormatting sqref="E2586">
    <cfRule type="containsText" dxfId="180" priority="16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79" priority="15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78" priority="16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77" priority="16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76" priority="15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75" priority="156" operator="containsText" text="Газель базы">
      <formula>NOT(ISERROR(SEARCH("Газель базы",B2810)))</formula>
    </cfRule>
    <cfRule type="containsText" dxfId="174" priority="157" operator="containsText" text="Погрузчик базы">
      <formula>NOT(ISERROR(SEARCH("Погрузчик базы",B2810)))</formula>
    </cfRule>
  </conditionalFormatting>
  <conditionalFormatting sqref="B2810:B2811">
    <cfRule type="containsText" dxfId="173" priority="155" operator="containsText" text="Трактор базы">
      <formula>NOT(ISERROR(SEARCH("Трактор базы",B2810)))</formula>
    </cfRule>
  </conditionalFormatting>
  <conditionalFormatting sqref="B2923:B2927">
    <cfRule type="containsText" dxfId="172" priority="151" operator="containsText" text="Трактор базы">
      <formula>NOT(ISERROR(SEARCH("Трактор базы",B2923)))</formula>
    </cfRule>
  </conditionalFormatting>
  <conditionalFormatting sqref="B2923:B2927">
    <cfRule type="containsText" dxfId="171" priority="15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70" priority="152" operator="containsText" text="Газель базы">
      <formula>NOT(ISERROR(SEARCH("Газель базы",B2923)))</formula>
    </cfRule>
    <cfRule type="containsText" dxfId="169" priority="153" operator="containsText" text="Погрузчик базы">
      <formula>NOT(ISERROR(SEARCH("Погрузчик базы",B2923)))</formula>
    </cfRule>
  </conditionalFormatting>
  <conditionalFormatting sqref="A2991">
    <cfRule type="containsText" dxfId="168" priority="15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67" priority="14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66" priority="14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65" priority="14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64" priority="145" operator="containsText" text="Газель базы">
      <formula>NOT(ISERROR(SEARCH("Газель базы",B2993)))</formula>
    </cfRule>
    <cfRule type="containsText" dxfId="163" priority="146" operator="containsText" text="Погрузчик базы">
      <formula>NOT(ISERROR(SEARCH("Погрузчик базы",B2993)))</formula>
    </cfRule>
  </conditionalFormatting>
  <conditionalFormatting sqref="B2993">
    <cfRule type="containsText" dxfId="162" priority="144" operator="containsText" text="Трактор базы">
      <formula>NOT(ISERROR(SEARCH("Трактор базы",B2993)))</formula>
    </cfRule>
  </conditionalFormatting>
  <conditionalFormatting sqref="B2995">
    <cfRule type="containsText" dxfId="161" priority="140" operator="containsText" text="Трактор базы">
      <formula>NOT(ISERROR(SEARCH("Трактор базы",B2995)))</formula>
    </cfRule>
  </conditionalFormatting>
  <conditionalFormatting sqref="B2995">
    <cfRule type="containsText" dxfId="160" priority="14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59" priority="141" operator="containsText" text="Газель базы">
      <formula>NOT(ISERROR(SEARCH("Газель базы",B2995)))</formula>
    </cfRule>
    <cfRule type="containsText" dxfId="158" priority="142" operator="containsText" text="Погрузчик базы">
      <formula>NOT(ISERROR(SEARCH("Погрузчик базы",B2995)))</formula>
    </cfRule>
  </conditionalFormatting>
  <conditionalFormatting sqref="A3008">
    <cfRule type="containsText" dxfId="157" priority="13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56" priority="13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55" priority="13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54" priority="13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53" priority="13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52" priority="13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51" priority="13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50" priority="13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49" priority="13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48" priority="127" operator="containsText" text="Трактор базы">
      <formula>NOT(ISERROR(SEARCH("Трактор базы",B3150)))</formula>
    </cfRule>
  </conditionalFormatting>
  <conditionalFormatting sqref="B3203">
    <cfRule type="containsText" dxfId="147" priority="119" operator="containsText" text="Трактор базы">
      <formula>NOT(ISERROR(SEARCH("Трактор базы",B3203)))</formula>
    </cfRule>
  </conditionalFormatting>
  <conditionalFormatting sqref="B3150:B3151">
    <cfRule type="containsText" dxfId="146" priority="13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45" priority="128" operator="containsText" text="Газель базы">
      <formula>NOT(ISERROR(SEARCH("Газель базы",B3150)))</formula>
    </cfRule>
    <cfRule type="containsText" dxfId="144" priority="129" operator="containsText" text="Погрузчик базы">
      <formula>NOT(ISERROR(SEARCH("Погрузчик базы",B3150)))</formula>
    </cfRule>
  </conditionalFormatting>
  <conditionalFormatting sqref="B3201">
    <cfRule type="containsText" dxfId="143" priority="123" operator="containsText" text="Трактор базы">
      <formula>NOT(ISERROR(SEARCH("Трактор базы",B3201)))</formula>
    </cfRule>
  </conditionalFormatting>
  <conditionalFormatting sqref="B3201">
    <cfRule type="containsText" dxfId="142" priority="12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41" priority="124" operator="containsText" text="Газель базы">
      <formula>NOT(ISERROR(SEARCH("Газель базы",B3201)))</formula>
    </cfRule>
    <cfRule type="containsText" dxfId="140" priority="125" operator="containsText" text="Погрузчик базы">
      <formula>NOT(ISERROR(SEARCH("Погрузчик базы",B3201)))</formula>
    </cfRule>
  </conditionalFormatting>
  <conditionalFormatting sqref="B3203">
    <cfRule type="containsText" dxfId="139" priority="12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38" priority="120" operator="containsText" text="Газель базы">
      <formula>NOT(ISERROR(SEARCH("Газель базы",B3203)))</formula>
    </cfRule>
    <cfRule type="containsText" dxfId="137" priority="121" operator="containsText" text="Погрузчик базы">
      <formula>NOT(ISERROR(SEARCH("Погрузчик базы",B3203)))</formula>
    </cfRule>
  </conditionalFormatting>
  <conditionalFormatting sqref="B3227:B3229">
    <cfRule type="containsText" dxfId="136" priority="11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35" priority="116" operator="containsText" text="Газель базы">
      <formula>NOT(ISERROR(SEARCH("Газель базы",B3227)))</formula>
    </cfRule>
    <cfRule type="containsText" dxfId="134" priority="117" operator="containsText" text="Погрузчик базы">
      <formula>NOT(ISERROR(SEARCH("Погрузчик базы",B3227)))</formula>
    </cfRule>
  </conditionalFormatting>
  <conditionalFormatting sqref="B3227:B3229">
    <cfRule type="containsText" dxfId="133" priority="115" operator="containsText" text="Трактор базы">
      <formula>NOT(ISERROR(SEARCH("Трактор базы",B3227)))</formula>
    </cfRule>
  </conditionalFormatting>
  <conditionalFormatting sqref="B3259:B3261">
    <cfRule type="containsText" dxfId="132" priority="11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31" priority="112" operator="containsText" text="Газель базы">
      <formula>NOT(ISERROR(SEARCH("Газель базы",B3259)))</formula>
    </cfRule>
    <cfRule type="containsText" dxfId="130" priority="113" operator="containsText" text="Погрузчик базы">
      <formula>NOT(ISERROR(SEARCH("Погрузчик базы",B3259)))</formula>
    </cfRule>
  </conditionalFormatting>
  <conditionalFormatting sqref="B3259:B3261">
    <cfRule type="containsText" dxfId="129" priority="111" operator="containsText" text="Трактор базы">
      <formula>NOT(ISERROR(SEARCH("Трактор базы",B3259)))</formula>
    </cfRule>
  </conditionalFormatting>
  <conditionalFormatting sqref="A3335:A3336 A3373:A3374">
    <cfRule type="containsText" dxfId="128" priority="10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27" priority="10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26" priority="10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25" priority="10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24" priority="10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23" priority="10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22" priority="10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21" priority="99" operator="containsText" text="Газель базы">
      <formula>NOT(ISERROR(SEARCH("Газель базы",B3364)))</formula>
    </cfRule>
    <cfRule type="containsText" dxfId="120" priority="100" operator="containsText" text="Погрузчик базы">
      <formula>NOT(ISERROR(SEARCH("Погрузчик базы",B3364)))</formula>
    </cfRule>
  </conditionalFormatting>
  <conditionalFormatting sqref="B3364:B3365">
    <cfRule type="containsText" dxfId="119" priority="98" operator="containsText" text="Трактор базы">
      <formula>NOT(ISERROR(SEARCH("Трактор базы",B3364)))</formula>
    </cfRule>
  </conditionalFormatting>
  <conditionalFormatting sqref="A3364">
    <cfRule type="containsText" dxfId="118" priority="9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17" priority="9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16" priority="9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15" priority="93" operator="containsText" text="Газель базы">
      <formula>NOT(ISERROR(SEARCH("Газель базы",B3366)))</formula>
    </cfRule>
    <cfRule type="containsText" dxfId="114" priority="94" operator="containsText" text="Погрузчик базы">
      <formula>NOT(ISERROR(SEARCH("Погрузчик базы",B3366)))</formula>
    </cfRule>
  </conditionalFormatting>
  <conditionalFormatting sqref="B3366">
    <cfRule type="containsText" dxfId="113" priority="92" operator="containsText" text="Трактор базы">
      <formula>NOT(ISERROR(SEARCH("Трактор базы",B3366)))</formula>
    </cfRule>
  </conditionalFormatting>
  <conditionalFormatting sqref="A3366">
    <cfRule type="containsText" dxfId="112" priority="9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11" priority="9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10" priority="8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09" priority="87" operator="containsText" text="Газель базы">
      <formula>NOT(ISERROR(SEARCH("Газель базы",B3367)))</formula>
    </cfRule>
    <cfRule type="containsText" dxfId="108" priority="88" operator="containsText" text="Погрузчик базы">
      <formula>NOT(ISERROR(SEARCH("Погрузчик базы",B3367)))</formula>
    </cfRule>
  </conditionalFormatting>
  <conditionalFormatting sqref="B3367">
    <cfRule type="containsText" dxfId="107" priority="86" operator="containsText" text="Трактор базы">
      <formula>NOT(ISERROR(SEARCH("Трактор базы",B3367)))</formula>
    </cfRule>
  </conditionalFormatting>
  <conditionalFormatting sqref="A3430:B3430">
    <cfRule type="containsText" dxfId="106" priority="8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05" priority="83" operator="containsText" text="Газель базы">
      <formula>NOT(ISERROR(SEARCH("Газель базы",B3430)))</formula>
    </cfRule>
    <cfRule type="containsText" dxfId="104" priority="84" operator="containsText" text="Погрузчик базы">
      <formula>NOT(ISERROR(SEARCH("Погрузчик базы",B3430)))</formula>
    </cfRule>
  </conditionalFormatting>
  <conditionalFormatting sqref="B3430">
    <cfRule type="containsText" dxfId="103" priority="82" operator="containsText" text="Трактор базы">
      <formula>NOT(ISERROR(SEARCH("Трактор базы",B3430)))</formula>
    </cfRule>
  </conditionalFormatting>
  <conditionalFormatting sqref="A3430">
    <cfRule type="containsText" dxfId="102" priority="8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01" priority="8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00" priority="7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99" priority="7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98" priority="7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97" priority="7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96" priority="68" operator="containsText" text="Газель базы">
      <formula>NOT(ISERROR(SEARCH("Газель базы",B3480)))</formula>
    </cfRule>
    <cfRule type="containsText" dxfId="95" priority="69" operator="containsText" text="Погрузчик базы">
      <formula>NOT(ISERROR(SEARCH("Погрузчик базы",B3480)))</formula>
    </cfRule>
  </conditionalFormatting>
  <conditionalFormatting sqref="B3480">
    <cfRule type="containsText" dxfId="94" priority="67" operator="containsText" text="Трактор базы">
      <formula>NOT(ISERROR(SEARCH("Трактор базы",B3480)))</formula>
    </cfRule>
  </conditionalFormatting>
  <conditionalFormatting sqref="A3480">
    <cfRule type="containsText" dxfId="93" priority="6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92" priority="6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91" priority="6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90" priority="6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89" priority="6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88" priority="5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87" priority="6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86" priority="6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85" priority="51" operator="containsText" text="Трактор базы">
      <formula>NOT(ISERROR(SEARCH("Трактор базы",B3601)))</formula>
    </cfRule>
  </conditionalFormatting>
  <conditionalFormatting sqref="B3601:B3612">
    <cfRule type="containsText" dxfId="84" priority="5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83" priority="52" operator="containsText" text="Газель базы">
      <formula>NOT(ISERROR(SEARCH("Газель базы",B3601)))</formula>
    </cfRule>
    <cfRule type="containsText" dxfId="82" priority="53" operator="containsText" text="Погрузчик базы">
      <formula>NOT(ISERROR(SEARCH("Погрузчик базы",B3601)))</formula>
    </cfRule>
  </conditionalFormatting>
  <conditionalFormatting sqref="A3696">
    <cfRule type="containsText" dxfId="81" priority="4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80" priority="5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79" priority="4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78" priority="4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77" priority="4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76" priority="4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75" priority="4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74" priority="4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73" priority="4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72" priority="4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71" priority="39" operator="containsText" text="Газель базы">
      <formula>NOT(ISERROR(SEARCH("Газель базы",B3750)))</formula>
    </cfRule>
    <cfRule type="containsText" dxfId="70" priority="40" operator="containsText" text="Погрузчик базы">
      <formula>NOT(ISERROR(SEARCH("Погрузчик базы",B3750)))</formula>
    </cfRule>
  </conditionalFormatting>
  <conditionalFormatting sqref="B3750:B3751">
    <cfRule type="containsText" dxfId="69" priority="38" operator="containsText" text="Трактор базы">
      <formula>NOT(ISERROR(SEARCH("Трактор базы",B3750)))</formula>
    </cfRule>
  </conditionalFormatting>
  <conditionalFormatting sqref="B3761:B3762">
    <cfRule type="containsText" dxfId="68" priority="3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67" priority="35" operator="containsText" text="Газель базы">
      <formula>NOT(ISERROR(SEARCH("Газель базы",B3761)))</formula>
    </cfRule>
    <cfRule type="containsText" dxfId="66" priority="36" operator="containsText" text="Погрузчик базы">
      <formula>NOT(ISERROR(SEARCH("Погрузчик базы",B3761)))</formula>
    </cfRule>
  </conditionalFormatting>
  <conditionalFormatting sqref="B3761:B3762">
    <cfRule type="containsText" dxfId="65" priority="34" operator="containsText" text="Трактор базы">
      <formula>NOT(ISERROR(SEARCH("Трактор базы",B3761)))</formula>
    </cfRule>
  </conditionalFormatting>
  <conditionalFormatting sqref="A3778">
    <cfRule type="containsText" dxfId="64" priority="3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63" priority="3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62" priority="3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61" priority="2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60" priority="3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59" priority="2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8" priority="2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7" priority="2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6" priority="24" operator="containsText" text="Газель базы">
      <formula>NOT(ISERROR(SEARCH("Газель базы",B3797)))</formula>
    </cfRule>
    <cfRule type="containsText" dxfId="55" priority="25" operator="containsText" text="Погрузчик базы">
      <formula>NOT(ISERROR(SEARCH("Погрузчик базы",B3797)))</formula>
    </cfRule>
  </conditionalFormatting>
  <conditionalFormatting sqref="B3797">
    <cfRule type="containsText" dxfId="54" priority="23" operator="containsText" text="Трактор базы">
      <formula>NOT(ISERROR(SEARCH("Трактор базы",B3797)))</formula>
    </cfRule>
  </conditionalFormatting>
  <conditionalFormatting sqref="B3799:B3800">
    <cfRule type="containsText" dxfId="53" priority="2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2" priority="20" operator="containsText" text="Газель базы">
      <formula>NOT(ISERROR(SEARCH("Газель базы",B3799)))</formula>
    </cfRule>
    <cfRule type="containsText" dxfId="51" priority="21" operator="containsText" text="Погрузчик базы">
      <formula>NOT(ISERROR(SEARCH("Погрузчик базы",B3799)))</formula>
    </cfRule>
  </conditionalFormatting>
  <conditionalFormatting sqref="B3799:B3800">
    <cfRule type="containsText" dxfId="50" priority="19" operator="containsText" text="Трактор базы">
      <formula>NOT(ISERROR(SEARCH("Трактор базы",B3799)))</formula>
    </cfRule>
  </conditionalFormatting>
  <conditionalFormatting sqref="B3881">
    <cfRule type="containsText" dxfId="49" priority="1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8" priority="16" operator="containsText" text="Газель базы">
      <formula>NOT(ISERROR(SEARCH("Газель базы",B3881)))</formula>
    </cfRule>
    <cfRule type="containsText" dxfId="47" priority="17" operator="containsText" text="Погрузчик базы">
      <formula>NOT(ISERROR(SEARCH("Погрузчик базы",B3881)))</formula>
    </cfRule>
  </conditionalFormatting>
  <conditionalFormatting sqref="B3881">
    <cfRule type="containsText" dxfId="46" priority="15" operator="containsText" text="Трактор базы">
      <formula>NOT(ISERROR(SEARCH("Трактор базы",B3881)))</formula>
    </cfRule>
  </conditionalFormatting>
  <conditionalFormatting sqref="B3884">
    <cfRule type="containsText" dxfId="45" priority="11" operator="containsText" text="Трактор базы">
      <formula>NOT(ISERROR(SEARCH("Трактор базы",B3884)))</formula>
    </cfRule>
  </conditionalFormatting>
  <conditionalFormatting sqref="B3884">
    <cfRule type="containsText" dxfId="44" priority="1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3" priority="12" operator="containsText" text="Газель базы">
      <formula>NOT(ISERROR(SEARCH("Газель базы",B3884)))</formula>
    </cfRule>
    <cfRule type="containsText" dxfId="42" priority="13" operator="containsText" text="Погрузчик базы">
      <formula>NOT(ISERROR(SEARCH("Погрузчик базы",B3884)))</formula>
    </cfRule>
  </conditionalFormatting>
  <conditionalFormatting sqref="B3913">
    <cfRule type="containsText" dxfId="41" priority="7" operator="containsText" text="Трактор базы">
      <formula>NOT(ISERROR(SEARCH("Трактор базы",B3913)))</formula>
    </cfRule>
  </conditionalFormatting>
  <conditionalFormatting sqref="B3913">
    <cfRule type="containsText" dxfId="40" priority="1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9" priority="8" operator="containsText" text="Газель базы">
      <formula>NOT(ISERROR(SEARCH("Газель базы",B3913)))</formula>
    </cfRule>
    <cfRule type="containsText" dxfId="38" priority="9" operator="containsText" text="Погрузчик базы">
      <formula>NOT(ISERROR(SEARCH("Погрузчик базы",B3913)))</formula>
    </cfRule>
  </conditionalFormatting>
  <conditionalFormatting sqref="A3935">
    <cfRule type="containsText" dxfId="37" priority="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6" priority="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5" priority="4" operator="containsText" text="Газель базы">
      <formula>NOT(ISERROR(SEARCH("Газель базы",B3935)))</formula>
    </cfRule>
    <cfRule type="containsText" dxfId="34" priority="5" operator="containsText" text="Погрузчик базы">
      <formula>NOT(ISERROR(SEARCH("Погрузчик базы",B3935)))</formula>
    </cfRule>
  </conditionalFormatting>
  <conditionalFormatting sqref="B3935">
    <cfRule type="containsText" dxfId="33" priority="3" operator="containsText" text="Трактор базы">
      <formula>NOT(ISERROR(SEARCH("Трактор базы",B3935)))</formula>
    </cfRule>
  </conditionalFormatting>
  <conditionalFormatting sqref="A3935">
    <cfRule type="containsText" dxfId="32" priority="2" operator="containsText" text="Въезд на второстепенную дорогу">
      <formula>NOT(ISERROR(SEARCH("Въезд на второстепенную дорогу",A3935)))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9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t="s">
        <v>12174</v>
      </c>
      <c r="E2" t="s">
        <v>12175</v>
      </c>
      <c r="I2" t="s">
        <v>12093</v>
      </c>
      <c r="J2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t="s">
        <v>12174</v>
      </c>
      <c r="E3" t="s">
        <v>12176</v>
      </c>
      <c r="I3" t="s">
        <v>12095</v>
      </c>
      <c r="J3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t="s">
        <v>12177</v>
      </c>
      <c r="E4" t="s">
        <v>12178</v>
      </c>
      <c r="I4" t="s">
        <v>12097</v>
      </c>
      <c r="J4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t="s">
        <v>12177</v>
      </c>
      <c r="E5" t="s">
        <v>12178</v>
      </c>
      <c r="I5" t="s">
        <v>12099</v>
      </c>
      <c r="J5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t="s">
        <v>12179</v>
      </c>
      <c r="E6" t="s">
        <v>12176</v>
      </c>
      <c r="I6" t="s">
        <v>12101</v>
      </c>
      <c r="J6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t="s">
        <v>12179</v>
      </c>
      <c r="E7" t="s">
        <v>12175</v>
      </c>
      <c r="I7" t="s">
        <v>12101</v>
      </c>
      <c r="J7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t="s">
        <v>12174</v>
      </c>
      <c r="E8" t="s">
        <v>12175</v>
      </c>
      <c r="I8" t="s">
        <v>12103</v>
      </c>
      <c r="J8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t="s">
        <v>12177</v>
      </c>
      <c r="E9" t="s">
        <v>12175</v>
      </c>
      <c r="I9" t="s">
        <v>12105</v>
      </c>
      <c r="J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t="s">
        <v>12174</v>
      </c>
      <c r="E10" t="s">
        <v>12176</v>
      </c>
      <c r="I10" t="s">
        <v>12107</v>
      </c>
      <c r="J10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t="s">
        <v>12177</v>
      </c>
      <c r="E11" t="s">
        <v>12178</v>
      </c>
      <c r="I11" t="s">
        <v>12109</v>
      </c>
      <c r="J11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t="s">
        <v>12179</v>
      </c>
      <c r="E12" t="s">
        <v>12176</v>
      </c>
      <c r="I12" t="s">
        <v>12111</v>
      </c>
      <c r="J12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t="s">
        <v>12174</v>
      </c>
      <c r="E13" t="s">
        <v>12176</v>
      </c>
      <c r="I13" t="s">
        <v>12113</v>
      </c>
      <c r="J13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t="s">
        <v>12177</v>
      </c>
      <c r="E14" t="s">
        <v>12178</v>
      </c>
      <c r="I14" t="s">
        <v>12115</v>
      </c>
      <c r="J14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t="s">
        <v>12179</v>
      </c>
      <c r="E15" t="s">
        <v>12176</v>
      </c>
      <c r="I15" t="s">
        <v>12117</v>
      </c>
      <c r="J15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t="s">
        <v>12174</v>
      </c>
      <c r="E16" t="s">
        <v>12176</v>
      </c>
      <c r="I16" t="s">
        <v>12119</v>
      </c>
      <c r="J16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t="s">
        <v>12177</v>
      </c>
      <c r="E17" t="s">
        <v>12178</v>
      </c>
      <c r="I17" t="s">
        <v>12121</v>
      </c>
      <c r="J17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t="s">
        <v>12179</v>
      </c>
      <c r="E18" t="s">
        <v>12176</v>
      </c>
      <c r="I18" t="s">
        <v>12123</v>
      </c>
      <c r="J18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t="s">
        <v>12179</v>
      </c>
      <c r="E19" t="s">
        <v>12175</v>
      </c>
      <c r="H19" t="s">
        <v>12181</v>
      </c>
      <c r="I19" t="s">
        <v>12072</v>
      </c>
      <c r="J1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t="s">
        <v>12174</v>
      </c>
      <c r="E20" t="s">
        <v>12178</v>
      </c>
      <c r="I20" t="s">
        <v>12125</v>
      </c>
      <c r="J20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t="s">
        <v>12177</v>
      </c>
      <c r="E21" t="s">
        <v>12178</v>
      </c>
      <c r="I21" t="s">
        <v>12127</v>
      </c>
      <c r="J21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t="s">
        <v>12179</v>
      </c>
      <c r="E22" t="s">
        <v>12176</v>
      </c>
      <c r="I22" t="s">
        <v>12129</v>
      </c>
      <c r="J22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t="s">
        <v>12174</v>
      </c>
      <c r="E23" t="s">
        <v>12176</v>
      </c>
      <c r="H23" t="s">
        <v>12180</v>
      </c>
      <c r="I23" t="s">
        <v>12131</v>
      </c>
      <c r="J23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t="s">
        <v>12177</v>
      </c>
      <c r="E24" t="s">
        <v>12178</v>
      </c>
      <c r="I24" t="s">
        <v>12133</v>
      </c>
      <c r="J24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t="s">
        <v>12179</v>
      </c>
      <c r="E25" t="s">
        <v>12176</v>
      </c>
      <c r="I25" t="s">
        <v>12135</v>
      </c>
      <c r="J25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t="s">
        <v>12177</v>
      </c>
      <c r="E26" t="s">
        <v>12175</v>
      </c>
      <c r="I26" t="s">
        <v>12137</v>
      </c>
      <c r="J26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t="s">
        <v>12179</v>
      </c>
      <c r="E27" t="s">
        <v>12175</v>
      </c>
      <c r="I27" t="s">
        <v>12139</v>
      </c>
      <c r="J27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t="s">
        <v>12174</v>
      </c>
      <c r="E28" t="s">
        <v>12175</v>
      </c>
      <c r="I28" t="s">
        <v>12141</v>
      </c>
      <c r="J28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t="s">
        <v>12177</v>
      </c>
      <c r="E29" t="s">
        <v>12175</v>
      </c>
      <c r="I29" t="s">
        <v>12143</v>
      </c>
      <c r="J2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t="s">
        <v>12179</v>
      </c>
      <c r="E30" t="s">
        <v>12175</v>
      </c>
      <c r="I30" t="s">
        <v>12146</v>
      </c>
      <c r="J30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t="s">
        <v>12174</v>
      </c>
      <c r="E31" t="s">
        <v>12175</v>
      </c>
      <c r="I31" t="s">
        <v>12149</v>
      </c>
      <c r="J31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t="s">
        <v>12177</v>
      </c>
      <c r="E32" t="s">
        <v>12175</v>
      </c>
      <c r="I32" t="s">
        <v>12152</v>
      </c>
      <c r="J32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t="s">
        <v>12182</v>
      </c>
      <c r="E33" t="s">
        <v>12175</v>
      </c>
      <c r="I33" t="s">
        <v>12155</v>
      </c>
      <c r="J33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t="s">
        <v>12</v>
      </c>
      <c r="E34" t="s">
        <v>12175</v>
      </c>
      <c r="I34" t="s">
        <v>12158</v>
      </c>
      <c r="J34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t="s">
        <v>12183</v>
      </c>
      <c r="E35" t="s">
        <v>12175</v>
      </c>
      <c r="I35" t="s">
        <v>12161</v>
      </c>
      <c r="J35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t="s">
        <v>12179</v>
      </c>
      <c r="E36" t="s">
        <v>12175</v>
      </c>
      <c r="I36" t="s">
        <v>12164</v>
      </c>
      <c r="J36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t="s">
        <v>12174</v>
      </c>
      <c r="E37" t="s">
        <v>12175</v>
      </c>
      <c r="I37" t="s">
        <v>12166</v>
      </c>
      <c r="J37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t="s">
        <v>12183</v>
      </c>
      <c r="E38" t="s">
        <v>12175</v>
      </c>
      <c r="I38" t="s">
        <v>12169</v>
      </c>
      <c r="J38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t="s">
        <v>12179</v>
      </c>
      <c r="E39" t="s">
        <v>12175</v>
      </c>
      <c r="I39" t="s">
        <v>12171</v>
      </c>
      <c r="J3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31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30" priority="13" operator="notContains" text="порожний">
      <formula>ISERROR(SEARCH("порожний",F2))</formula>
    </cfRule>
  </conditionalFormatting>
  <conditionalFormatting sqref="E2:E53">
    <cfRule type="containsText" dxfId="29" priority="11" operator="containsText" text="Газель базы">
      <formula>NOT(ISERROR(SEARCH("Газель базы",E2)))</formula>
    </cfRule>
    <cfRule type="containsText" dxfId="28" priority="12" operator="containsText" text="Погрузчик базы">
      <formula>NOT(ISERROR(SEARCH("Погрузчик базы",E2)))</formula>
    </cfRule>
  </conditionalFormatting>
  <conditionalFormatting sqref="E2:E53">
    <cfRule type="containsText" dxfId="27" priority="10" operator="containsText" text="Трактор базы">
      <formula>NOT(ISERROR(SEARCH("Трактор базы",E2)))</formula>
    </cfRule>
  </conditionalFormatting>
  <conditionalFormatting sqref="A2:C39">
    <cfRule type="expression" dxfId="26" priority="9">
      <formula>$A2="пн"</formula>
    </cfRule>
  </conditionalFormatting>
  <conditionalFormatting sqref="A2:C41">
    <cfRule type="expression" dxfId="25" priority="3">
      <formula>$A2="вс"</formula>
    </cfRule>
    <cfRule type="expression" dxfId="24" priority="4">
      <formula>$A2="сб"</formula>
    </cfRule>
    <cfRule type="expression" dxfId="23" priority="5">
      <formula>$A2="пт"</formula>
    </cfRule>
    <cfRule type="expression" dxfId="22" priority="6">
      <formula>$A2="чт"</formula>
    </cfRule>
    <cfRule type="expression" dxfId="21" priority="7">
      <formula>$A2="ср"</formula>
    </cfRule>
    <cfRule type="expression" dxfId="20" priority="8">
      <formula>$A2="вт"</formula>
    </cfRule>
  </conditionalFormatting>
  <conditionalFormatting sqref="D2:D50">
    <cfRule type="containsText" dxfId="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zoomScale="80" zoomScaleNormal="80" workbookViewId="0">
      <selection sqref="A1:M233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55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8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10" t="s">
        <v>29</v>
      </c>
      <c r="J2" s="10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10" t="s">
        <v>28</v>
      </c>
      <c r="J3" s="10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10" t="s">
        <v>27</v>
      </c>
      <c r="J4" s="10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10" t="s">
        <v>415</v>
      </c>
      <c r="J5" s="10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10" t="s">
        <v>36</v>
      </c>
      <c r="J6" s="10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10" t="s">
        <v>37</v>
      </c>
      <c r="J7" s="10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10" t="s">
        <v>38</v>
      </c>
      <c r="J8" s="10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10" t="s">
        <v>33</v>
      </c>
      <c r="J9" s="10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10" t="s">
        <v>34</v>
      </c>
      <c r="J10" s="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10" t="s">
        <v>35</v>
      </c>
      <c r="J11" s="10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10" t="s">
        <v>42</v>
      </c>
      <c r="J12" s="10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10" t="s">
        <v>41</v>
      </c>
      <c r="J13" s="10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10" t="s">
        <v>81</v>
      </c>
      <c r="J14" s="10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10" t="s">
        <v>80</v>
      </c>
      <c r="J15" s="10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10" t="s">
        <v>83</v>
      </c>
      <c r="J16" s="10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10" t="s">
        <v>82</v>
      </c>
      <c r="J17" s="10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10" t="s">
        <v>77</v>
      </c>
      <c r="J18" s="10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10" t="s">
        <v>75</v>
      </c>
      <c r="J19" s="10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10" t="s">
        <v>79</v>
      </c>
      <c r="J20" s="1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10" t="s">
        <v>78</v>
      </c>
      <c r="J21" s="10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10" t="s">
        <v>1112</v>
      </c>
      <c r="J22" s="10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10" t="s">
        <v>1114</v>
      </c>
      <c r="J23" s="10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10" t="s">
        <v>2003</v>
      </c>
      <c r="J24" s="10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10" t="s">
        <v>1108</v>
      </c>
      <c r="J25" s="10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10" t="s">
        <v>1110</v>
      </c>
      <c r="J26" s="10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10" t="s">
        <v>1111</v>
      </c>
      <c r="J27" s="10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10" t="s">
        <v>2054</v>
      </c>
      <c r="J28" s="10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10" t="s">
        <v>2053</v>
      </c>
      <c r="J29" s="10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10" t="s">
        <v>2052</v>
      </c>
      <c r="J30" s="1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10" t="s">
        <v>2058</v>
      </c>
      <c r="J31" s="10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10" t="s">
        <v>2057</v>
      </c>
      <c r="J32" s="10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10" t="s">
        <v>3231</v>
      </c>
      <c r="J33" s="10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10" t="s">
        <v>3234</v>
      </c>
      <c r="J34" s="10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10" t="s">
        <v>3225</v>
      </c>
      <c r="J35" s="10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10" t="s">
        <v>3228</v>
      </c>
      <c r="J36" s="10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10" t="s">
        <v>3240</v>
      </c>
      <c r="J37" s="10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10" t="s">
        <v>3237</v>
      </c>
      <c r="J38" s="10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10" t="s">
        <v>3246</v>
      </c>
      <c r="J39" s="10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10" t="s">
        <v>3243</v>
      </c>
      <c r="J40" s="1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10" t="s">
        <v>3255</v>
      </c>
      <c r="J41" s="10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10" t="s">
        <v>3258</v>
      </c>
      <c r="J42" s="10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10" t="s">
        <v>3249</v>
      </c>
      <c r="J43" s="10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10" t="s">
        <v>3252</v>
      </c>
      <c r="J44" s="10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10" t="s">
        <v>4405</v>
      </c>
      <c r="J45" s="10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10" t="s">
        <v>4402</v>
      </c>
      <c r="J46" s="10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10" t="s">
        <v>5146</v>
      </c>
      <c r="J47" s="10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10" t="s">
        <v>5144</v>
      </c>
      <c r="J48" s="10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10" t="s">
        <v>5274</v>
      </c>
      <c r="J49" s="10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10" t="s">
        <v>5272</v>
      </c>
      <c r="J50" s="1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10" t="s">
        <v>5490</v>
      </c>
      <c r="J51" s="10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10" t="s">
        <v>5493</v>
      </c>
      <c r="J52" s="10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10" t="s">
        <v>5496</v>
      </c>
      <c r="J53" s="10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10" t="s">
        <v>5481</v>
      </c>
      <c r="J54" s="10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10" t="s">
        <v>5484</v>
      </c>
      <c r="J55" s="10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10" t="s">
        <v>5487</v>
      </c>
      <c r="J56" s="10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10" t="s">
        <v>5502</v>
      </c>
      <c r="J57" s="10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10" t="s">
        <v>5499</v>
      </c>
      <c r="J58" s="10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10" t="s">
        <v>6035</v>
      </c>
      <c r="J59" s="10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10" t="s">
        <v>6038</v>
      </c>
      <c r="J60" s="1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10" t="s">
        <v>6041</v>
      </c>
      <c r="J61" s="10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10" t="s">
        <v>6032</v>
      </c>
      <c r="J62" s="10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10" t="s">
        <v>6023</v>
      </c>
      <c r="J63" s="10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10" t="s">
        <v>6026</v>
      </c>
      <c r="J64" s="10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10" t="s">
        <v>6029</v>
      </c>
      <c r="J65" s="10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10" t="s">
        <v>6269</v>
      </c>
      <c r="J66" s="10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10" t="s">
        <v>6278</v>
      </c>
      <c r="J67" s="10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10" t="s">
        <v>6266</v>
      </c>
      <c r="J68" s="10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10" t="s">
        <v>6263</v>
      </c>
      <c r="J69" s="10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10" t="s">
        <v>6343</v>
      </c>
      <c r="J70" s="1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10" t="s">
        <v>6539</v>
      </c>
      <c r="J71" s="10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10" t="s">
        <v>6542</v>
      </c>
      <c r="J72" s="10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10" t="s">
        <v>6533</v>
      </c>
      <c r="J73" s="10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10" t="s">
        <v>6536</v>
      </c>
      <c r="J74" s="10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10" t="s">
        <v>6679</v>
      </c>
      <c r="J75" s="10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10" t="s">
        <v>6667</v>
      </c>
      <c r="J76" s="10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10" t="s">
        <v>7245</v>
      </c>
      <c r="J77" s="10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10" t="s">
        <v>7242</v>
      </c>
      <c r="J78" s="10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10" t="s">
        <v>7251</v>
      </c>
      <c r="J79" s="10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10" t="s">
        <v>7248</v>
      </c>
      <c r="J80" s="1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10" t="s">
        <v>7421</v>
      </c>
      <c r="J81" s="10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10" t="s">
        <v>7436</v>
      </c>
      <c r="J82" s="10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10" t="s">
        <v>7430</v>
      </c>
      <c r="J83" s="10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10" t="s">
        <v>7424</v>
      </c>
      <c r="J84" s="10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10" t="s">
        <v>7726</v>
      </c>
      <c r="J85" s="10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10" t="s">
        <v>7723</v>
      </c>
      <c r="J86" s="10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10" t="s">
        <v>7896</v>
      </c>
      <c r="J87" s="10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10" t="s">
        <v>7899</v>
      </c>
      <c r="J88" s="10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10" t="s">
        <v>7890</v>
      </c>
      <c r="J89" s="10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10" t="s">
        <v>7893</v>
      </c>
      <c r="J90" s="1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10" t="s">
        <v>7917</v>
      </c>
      <c r="J91" s="10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10" t="s">
        <v>7920</v>
      </c>
      <c r="J92" s="10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10" t="s">
        <v>7923</v>
      </c>
      <c r="J93" s="10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10" t="s">
        <v>7902</v>
      </c>
      <c r="J94" s="10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10" t="s">
        <v>7905</v>
      </c>
      <c r="J95" s="10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10" t="s">
        <v>7911</v>
      </c>
      <c r="J96" s="10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10" t="s">
        <v>8378</v>
      </c>
      <c r="J97" s="10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10" t="s">
        <v>8375</v>
      </c>
      <c r="J98" s="10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10" t="s">
        <v>8511</v>
      </c>
      <c r="J99" s="10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10" t="s">
        <v>8508</v>
      </c>
      <c r="J100" s="1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10" t="s">
        <v>8520</v>
      </c>
      <c r="J101" s="10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10" t="s">
        <v>8517</v>
      </c>
      <c r="J102" s="10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10" t="s">
        <v>8526</v>
      </c>
      <c r="J103" s="10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10" t="s">
        <v>8523</v>
      </c>
      <c r="J104" s="10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10" t="s">
        <v>8538</v>
      </c>
      <c r="J105" s="10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10" t="s">
        <v>8541</v>
      </c>
      <c r="J106" s="10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10" t="s">
        <v>8544</v>
      </c>
      <c r="J107" s="10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10" t="s">
        <v>8529</v>
      </c>
      <c r="J108" s="10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10" t="s">
        <v>8532</v>
      </c>
      <c r="J109" s="10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10" t="s">
        <v>8535</v>
      </c>
      <c r="J110" s="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10" t="s">
        <v>8553</v>
      </c>
      <c r="J111" s="10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10" t="s">
        <v>8550</v>
      </c>
      <c r="J112" s="10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10" t="s">
        <v>8858</v>
      </c>
      <c r="J113" s="10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10" t="s">
        <v>8855</v>
      </c>
      <c r="J114" s="10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10" t="s">
        <v>9246</v>
      </c>
      <c r="J115" s="10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10" t="s">
        <v>9243</v>
      </c>
      <c r="J116" s="10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10" t="s">
        <v>9252</v>
      </c>
      <c r="J117" s="10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10" t="s">
        <v>9600</v>
      </c>
      <c r="J118" s="10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10" t="s">
        <v>9603</v>
      </c>
      <c r="J119" s="10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10" t="s">
        <v>9606</v>
      </c>
      <c r="J120" s="1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10" t="s">
        <v>9591</v>
      </c>
      <c r="J121" s="10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10" t="s">
        <v>9594</v>
      </c>
      <c r="J122" s="10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10" t="s">
        <v>9597</v>
      </c>
      <c r="J123" s="10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10" t="s">
        <v>10158</v>
      </c>
      <c r="J124" s="10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10" t="s">
        <v>9933</v>
      </c>
      <c r="J125" s="10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10" t="s">
        <v>9930</v>
      </c>
      <c r="J126" s="10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10" t="s">
        <v>10149</v>
      </c>
      <c r="J127" s="10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10" t="s">
        <v>10152</v>
      </c>
      <c r="J128" s="10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10" t="s">
        <v>10155</v>
      </c>
      <c r="J129" s="10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10" t="s">
        <v>10161</v>
      </c>
      <c r="J130" s="1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10" t="s">
        <v>10143</v>
      </c>
      <c r="J131" s="10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10" t="s">
        <v>10146</v>
      </c>
      <c r="J132" s="10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10" t="s">
        <v>10719</v>
      </c>
      <c r="J133" s="10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10" t="s">
        <v>11016</v>
      </c>
      <c r="J134" s="10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10" t="s">
        <v>11013</v>
      </c>
      <c r="J135" s="10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10" t="s">
        <v>11010</v>
      </c>
      <c r="J136" s="10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10" t="s">
        <v>11151</v>
      </c>
      <c r="J137" s="10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10" t="s">
        <v>11148</v>
      </c>
      <c r="J138" s="10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10" t="s">
        <v>11466</v>
      </c>
      <c r="J139" s="10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10" t="s">
        <v>11463</v>
      </c>
      <c r="J140" s="1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10" t="s">
        <v>11685</v>
      </c>
      <c r="J141" s="10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10" t="s">
        <v>11682</v>
      </c>
      <c r="J142" s="10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10" t="s">
        <v>11882</v>
      </c>
      <c r="J143" s="10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10" t="s">
        <v>11888</v>
      </c>
      <c r="J144" s="10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s="10" t="s">
        <v>11992</v>
      </c>
      <c r="J145" s="10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4">
        <v>46071</v>
      </c>
      <c r="C146" s="6">
        <v>0.39587962962962964</v>
      </c>
      <c r="D146" s="7" t="s">
        <v>62</v>
      </c>
      <c r="E146" t="s">
        <v>12378</v>
      </c>
      <c r="F146" t="s">
        <v>12379</v>
      </c>
      <c r="H146" t="s">
        <v>12380</v>
      </c>
      <c r="I146" s="10" t="s">
        <v>12203</v>
      </c>
      <c r="J146" s="10" t="s">
        <v>2982</v>
      </c>
      <c r="K146" t="s">
        <v>12204</v>
      </c>
      <c r="L146" t="s">
        <v>12205</v>
      </c>
      <c r="M146" s="3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4">
        <v>46071</v>
      </c>
      <c r="C147" s="6">
        <v>0.52504629629629629</v>
      </c>
      <c r="D147" s="7" t="s">
        <v>62</v>
      </c>
      <c r="E147" t="s">
        <v>12373</v>
      </c>
      <c r="I147" s="10" t="s">
        <v>12294</v>
      </c>
      <c r="J147" s="10" t="s">
        <v>2991</v>
      </c>
      <c r="K147" t="s">
        <v>12295</v>
      </c>
      <c r="L147" t="s">
        <v>12296</v>
      </c>
      <c r="M147" s="3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4">
        <v>46071</v>
      </c>
      <c r="C148" s="6">
        <v>0.5130555555555556</v>
      </c>
      <c r="D148" s="7" t="s">
        <v>62</v>
      </c>
      <c r="E148" t="s">
        <v>4193</v>
      </c>
      <c r="I148" s="10" t="s">
        <v>12288</v>
      </c>
      <c r="J148" s="10" t="s">
        <v>2991</v>
      </c>
      <c r="K148" t="s">
        <v>12289</v>
      </c>
      <c r="L148" t="s">
        <v>12290</v>
      </c>
      <c r="M148" s="3" t="str">
        <f>HYPERLINK(СторонТрансп[[#This Row],[RelativePath]])</f>
        <v>4 Крыльцо офиса\K07156189_21_20260218T121848Z.jpg</v>
      </c>
    </row>
  </sheetData>
  <conditionalFormatting sqref="E149:E170 D2:E148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148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8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0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170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14 На гаражи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2026-02-20T03:50:20Z</dcterms:modified>
</cp:coreProperties>
</file>