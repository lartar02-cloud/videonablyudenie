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6B4C75D4-01DC-498E-A635-91FF5945773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state="hidden" r:id="rId14"/>
    <sheet name="Загрузка" sheetId="37" r:id="rId15"/>
    <sheet name="Стороний транспорт" sheetId="38" r:id="rId16"/>
  </sheets>
  <definedNames>
    <definedName name="ExternalData_1" localSheetId="0" hidden="1">'1 Ангар Склад 2 въезд'!$A$1:$L$235</definedName>
    <definedName name="ExternalData_1" localSheetId="9" hidden="1">'10 Сушилка навес'!$A$1:$L$602</definedName>
    <definedName name="ExternalData_1" localSheetId="10" hidden="1">'11 С ангара на базу'!$A$1:$L$266</definedName>
    <definedName name="ExternalData_1" localSheetId="11" hidden="1">'12 Площадка 3 кран'!$A$1:$L$177</definedName>
    <definedName name="ExternalData_1" localSheetId="12" hidden="1">'13 Склад хол'!$A$1:$L$152</definedName>
    <definedName name="ExternalData_1" localSheetId="1" hidden="1">'2 Пилорама поката'!$A$1:$L$268</definedName>
    <definedName name="ExternalData_1" localSheetId="2" hidden="1">'3 Въезд на базу'!$A$1:$L$146</definedName>
    <definedName name="ExternalData_1" localSheetId="3" hidden="1">'4 Крыльцо офиса'!$A$1:$L$168</definedName>
    <definedName name="ExternalData_1" localSheetId="4" hidden="1">'5 Крыльцо общага'!$A$1:$L$304</definedName>
    <definedName name="ExternalData_1" localSheetId="5" hidden="1">'6 Площадка 1 общага'!$A$1:$L$126</definedName>
    <definedName name="ExternalData_1" localSheetId="6" hidden="1">'7 Площадка 2 бетонщики'!$A$1:$L$260</definedName>
    <definedName name="ExternalData_1" localSheetId="7" hidden="1">'8 Рейсмус'!$A$1:$L$271</definedName>
    <definedName name="ExternalData_1" localSheetId="8" hidden="1">'9 Ангар пилорама'!$A$1:$L$572</definedName>
    <definedName name="ExternalData_1" localSheetId="14" hidden="1">Загрузка!$A$1:$L$230</definedName>
    <definedName name="ExternalData_1" localSheetId="15" hidden="1">'Стороний транспорт'!$A$1:$L$136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<sst xmlns="http://schemas.openxmlformats.org/spreadsheetml/2006/main" count="46917" uniqueCount="11139">
  <si>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</si>
  <si>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</si>
  <si>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</si>
  <si>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</si>
  <si>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</si>
  <si>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</si>
  <si>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</si>
  <si>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</si>
  <si>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</si>
  <si>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</si>
  <si>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</si>
  <si>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</si>
  <si>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</si>
  <si>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</si>
  <si>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</si>
  <si>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</si>
  <si>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</si>
  <si>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</si>
  <si>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</si>
  <si>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</si>
  <si>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</si>
  <si>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</si>
  <si>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</si>
  <si>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</si>
  <si>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</si>
  <si>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</si>
  <si>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</si>
  <si>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</si>
  <si>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</si>
  <si>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</si>
  <si>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</si>
  <si>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</si>
  <si>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</si>
  <si>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</si>
  <si>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</si>
  <si>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</si>
  <si>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</si>
  <si>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</si>
  <si>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</si>
  <si>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</si>
  <si>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</si>
  <si>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</si>
  <si>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</si>
  <si>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</si>
  <si>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</si>
  <si>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</si>
  <si>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</si>
  <si>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</si>
  <si>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</si>
  <si>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</si>
  <si>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</si>
  <si>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</si>
  <si>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</si>
  <si>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</si>
  <si>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</si>
  <si>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</si>
  <si>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</si>
  <si>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</si>
  <si>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</si>
  <si>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</si>
  <si>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</si>
  <si>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</si>
  <si>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</si>
  <si>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</si>
  <si>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</si>
  <si>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</si>
  <si>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</si>
  <si>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</si>
  <si>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</si>
  <si>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</si>
  <si>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</si>
  <si>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</si>
  <si>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</si>
  <si>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</si>
  <si>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</si>
  <si>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</si>
  <si>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</si>
  <si>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</si>
  <si>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</si>
  <si>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</si>
  <si>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</si>
  <si>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</si>
  <si>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</si>
  <si>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</si>
  <si>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</si>
  <si>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</si>
  <si>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</si>
  <si>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</si>
  <si>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</si>
  <si>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</si>
  <si>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</si>
  <si>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</si>
  <si>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</si>
  <si>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</si>
  <si>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</si>
  <si>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</si>
  <si>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</si>
  <si>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</si>
  <si>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</si>
  <si>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</si>
  <si>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</si>
  <si>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</si>
  <si>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</si>
  <si>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</si>
  <si>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</si>
  <si>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</si>
  <si>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</si>
  <si>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</si>
  <si>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</si>
  <si>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</si>
  <si>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</si>
  <si>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</si>
  <si>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</si>
  <si>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</si>
  <si>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</si>
  <si>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</si>
  <si>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</si>
  <si>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</si>
  <si>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</si>
  <si>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</si>
  <si>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</si>
  <si>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</si>
  <si>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</si>
  <si>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</si>
  <si>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</si>
  <si>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</si>
  <si>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</si>
  <si>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</si>
  <si>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</si>
  <si>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</si>
  <si>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</si>
  <si>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</si>
  <si>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</si>
  <si>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</si>
  <si>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</si>
  <si>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</si>
  <si>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</si>
  <si>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</si>
  <si>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</si>
  <si>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</si>
  <si>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</si>
  <si>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</si>
  <si>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</si>
  <si>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</si>
  <si>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</si>
  <si>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</si>
  <si>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</si>
  <si>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</si>
  <si>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</si>
  <si>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</si>
  <si>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</si>
  <si>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</si>
  <si>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</si>
  <si>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</si>
  <si>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</si>
  <si>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</si>
  <si>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</si>
  <si>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</si>
  <si>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</si>
  <si>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</si>
  <si>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</si>
  <si>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</si>
  <si>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</si>
  <si>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</si>
  <si>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</si>
  <si>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</si>
  <si>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</si>
  <si>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</si>
  <si>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</si>
  <si>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</si>
  <si>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</si>
  <si>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</si>
  <si>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</si>
  <si>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</si>
  <si>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</si>
  <si>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</si>
  <si>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</si>
  <si>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</si>
  <si>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</si>
  <si>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</si>
  <si>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</si>
  <si>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</si>
  <si>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</si>
  <si>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</si>
  <si>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</si>
  <si>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</si>
  <si>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</si>
  <si>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</si>
  <si>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</si>
  <si>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</si>
  <si>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</si>
  <si>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</si>
  <si>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</si>
  <si>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</si>
  <si>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</si>
  <si>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</si>
  <si>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</si>
  <si>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</si>
  <si>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</si>
  <si>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</si>
  <si>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</si>
  <si>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</si>
  <si>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</si>
  <si>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</si>
  <si>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</si>
  <si>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</si>
  <si>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</si>
  <si>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</si>
  <si>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</si>
  <si>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</si>
  <si>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</si>
  <si>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</si>
  <si>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</si>
  <si>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</si>
  <si>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</si>
  <si>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</si>
  <si>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</si>
  <si>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</si>
  <si>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</si>
  <si>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</si>
  <si>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</si>
  <si>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</si>
  <si>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</si>
  <si>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</si>
  <si>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</si>
  <si>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</si>
  <si>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</si>
  <si>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</si>
  <si>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</si>
  <si>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</si>
  <si>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</si>
  <si>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</si>
  <si>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</si>
  <si>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</si>
  <si>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</si>
  <si>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</si>
  <si>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</si>
  <si>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</si>
  <si>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</si>
  <si>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</si>
  <si>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</si>
  <si>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</si>
  <si>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</si>
  <si>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</si>
  <si>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</si>
  <si>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</si>
  <si>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</si>
  <si>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</si>
  <si>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</si>
  <si>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</si>
  <si>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</si>
  <si>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</si>
  <si>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</si>
  <si>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</si>
  <si>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</si>
  <si>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</si>
  <si>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</si>
  <si>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</si>
  <si>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</si>
  <si>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</si>
  <si>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</si>
  <si>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</si>
  <si>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</si>
  <si>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</si>
  <si>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</si>
  <si>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</si>
  <si>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</si>
  <si>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</si>
  <si>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</si>
  <si>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</si>
  <si>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</si>
  <si>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</si>
  <si>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</si>
  <si>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</si>
  <si>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</si>
  <si>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</si>
  <si>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</si>
  <si>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</si>
  <si>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</si>
  <si>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</si>
  <si>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</si>
  <si>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</si>
  <si>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</si>
  <si>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</si>
  <si>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</si>
  <si>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</si>
  <si>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</si>
  <si>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</si>
  <si>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</si>
  <si>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</si>
  <si>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</si>
  <si>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</si>
  <si>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</si>
  <si>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</si>
  <si>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</si>
  <si>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</si>
  <si>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</si>
  <si>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</si>
  <si>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</si>
  <si>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</si>
  <si>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</si>
  <si>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</si>
  <si>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</si>
  <si>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</si>
  <si>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</si>
  <si>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</si>
  <si>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</si>
  <si>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</si>
  <si>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</si>
  <si>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</si>
  <si>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</si>
  <si>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</si>
  <si>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</si>
  <si>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</si>
  <si>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</si>
  <si>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</si>
  <si>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</si>
  <si>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</si>
  <si>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</si>
  <si>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</si>
  <si>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</si>
  <si>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</si>
  <si>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</si>
  <si>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</si>
  <si>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</si>
  <si>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</si>
  <si>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</si>
  <si>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</si>
  <si>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</si>
  <si>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</si>
  <si>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</si>
  <si>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</si>
  <si>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</si>
  <si>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</si>
  <si>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</si>
  <si>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</si>
  <si>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</si>
  <si>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</si>
  <si>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</si>
  <si>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</si>
  <si>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</si>
  <si>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</si>
  <si>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</si>
  <si>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</si>
  <si>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</si>
  <si>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</si>
  <si>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</si>
  <si>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</si>
  <si>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</si>
  <si>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</si>
  <si>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</si>
  <si>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</si>
  <si>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</si>
  <si>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</si>
  <si>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</si>
  <si>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</si>
  <si>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</si>
  <si>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</si>
  <si>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</si>
  <si>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</si>
  <si>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</si>
  <si>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</si>
  <si>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</si>
  <si>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</si>
  <si>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</si>
  <si>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</si>
  <si>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</si>
  <si>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</si>
  <si>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</si>
  <si>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</si>
  <si>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</si>
  <si>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</si>
  <si>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</si>
  <si>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</si>
  <si>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</si>
  <si>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</si>
  <si>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</si>
  <si>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</si>
  <si>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</si>
  <si>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</si>
  <si>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</si>
  <si>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</si>
  <si>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</si>
  <si>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</si>
  <si>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</si>
  <si>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</si>
  <si>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</si>
  <si>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</si>
  <si>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</si>
  <si>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</si>
  <si>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</si>
  <si>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</si>
  <si>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</si>
  <si>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</si>
  <si>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</si>
  <si>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</si>
  <si>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</si>
  <si>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</si>
  <si>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</si>
  <si>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</si>
  <si>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</si>
  <si>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</si>
  <si>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</si>
  <si>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</si>
  <si>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</si>
  <si>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</si>
  <si>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</si>
  <si>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</si>
  <si>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</si>
  <si>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</si>
  <si>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</si>
  <si>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</si>
  <si>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</si>
  <si>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</si>
  <si>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</si>
  <si>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</si>
  <si>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</si>
  <si>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</si>
  <si>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</si>
  <si>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</si>
  <si>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</si>
  <si>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</si>
  <si>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</si>
  <si>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</si>
  <si>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</si>
  <si>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</si>
  <si>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</si>
  <si>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</si>
  <si>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</si>
  <si>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</si>
  <si>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</si>
  <si>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</si>
  <si>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</si>
  <si>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</si>
  <si>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</si>
  <si>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</si>
  <si>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</si>
  <si>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</si>
  <si>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</si>
  <si>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</si>
  <si>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</si>
  <si>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</si>
  <si>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</si>
  <si>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</si>
  <si>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</si>
  <si>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</si>
  <si>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</si>
  <si>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</si>
  <si>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</si>
  <si>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</si>
  <si>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</si>
  <si>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</si>
  <si>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</si>
  <si>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</si>
  <si>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</si>
  <si>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</si>
  <si>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</si>
  <si>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</si>
  <si>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</si>
  <si>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</si>
  <si>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</si>
  <si>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</si>
  <si>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</si>
  <si>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</si>
  <si>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</si>
  <si>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</si>
  <si>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</si>
  <si>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</si>
  <si>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</si>
  <si>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</si>
  <si>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</si>
  <si>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</si>
  <si>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</si>
  <si>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</si>
  <si>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</si>
  <si>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</si>
  <si>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</si>
  <si>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</si>
  <si>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</si>
  <si>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</si>
  <si>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</si>
  <si>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</si>
  <si>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</si>
  <si>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</si>
  <si>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</si>
  <si>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</si>
  <si>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</si>
  <si>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</si>
  <si>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</si>
  <si>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</si>
  <si>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</si>
  <si>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</si>
  <si>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</si>
  <si>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</si>
  <si>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</si>
  <si>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</si>
  <si>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</si>
  <si>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</si>
  <si>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</si>
  <si>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</si>
  <si>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</si>
  <si>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</si>
  <si>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</si>
  <si>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</si>
  <si>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</si>
  <si>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</si>
  <si>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</si>
  <si>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</si>
  <si>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</si>
  <si>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</si>
  <si>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</si>
  <si>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</si>
  <si>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</si>
  <si>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</si>
  <si>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</si>
  <si>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</si>
  <si>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</si>
  <si>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</si>
  <si>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</si>
  <si>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</si>
  <si>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</si>
  <si>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</si>
  <si>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</si>
  <si>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</si>
  <si>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</si>
  <si>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</si>
  <si>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</si>
  <si>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</si>
  <si>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</si>
  <si>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</si>
  <si>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</si>
  <si>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</si>
  <si>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</si>
  <si>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</si>
  <si>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</si>
  <si>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</si>
  <si>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</si>
  <si>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</si>
  <si>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</si>
  <si>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</si>
  <si>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</si>
  <si>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</si>
  <si>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</si>
  <si>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</si>
  <si>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</si>
  <si>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</si>
  <si>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</si>
  <si>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</si>
  <si>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</si>
  <si>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</si>
  <si>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</si>
  <si>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</si>
  <si>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</si>
  <si>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</si>
  <si>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</si>
  <si>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</si>
  <si>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</si>
  <si>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</si>
  <si>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</si>
  <si>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</si>
  <si>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</si>
  <si>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</si>
  <si>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</si>
  <si>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</si>
  <si>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</si>
  <si>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</si>
  <si>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</si>
  <si>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</si>
  <si>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</si>
  <si>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</si>
  <si>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</si>
  <si>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</si>
  <si>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</si>
  <si>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</si>
  <si>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</si>
  <si>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</si>
  <si>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</si>
  <si>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</si>
  <si>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</si>
  <si>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</si>
  <si>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</si>
  <si>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</si>
  <si>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</si>
  <si>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</si>
  <si>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</si>
  <si>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</si>
  <si>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</si>
  <si>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</si>
  <si>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</si>
  <si>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</si>
  <si>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</si>
  <si>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</si>
  <si>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</si>
  <si>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</si>
  <si>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</si>
  <si>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</si>
  <si>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</si>
  <si>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</si>
  <si>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</si>
  <si>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</si>
  <si>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</si>
  <si>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</si>
  <si>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</si>
  <si>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</si>
  <si>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</si>
  <si>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</si>
  <si>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</si>
  <si>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</si>
  <si>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</si>
  <si>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</si>
  <si>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</si>
  <si>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</si>
  <si>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</si>
  <si>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</si>
  <si>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</si>
  <si>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</si>
  <si>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</si>
  <si>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</si>
  <si>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</si>
  <si>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</si>
  <si>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</si>
  <si>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</si>
  <si>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</si>
  <si>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</si>
  <si>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</si>
  <si>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</si>
  <si>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</si>
  <si>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</si>
  <si>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</si>
  <si>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</si>
  <si>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</si>
  <si>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</si>
  <si>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</si>
  <si>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</si>
  <si>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</si>
  <si>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</si>
  <si>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</si>
  <si>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</si>
  <si>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</si>
  <si>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</si>
  <si>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</si>
  <si>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</si>
  <si>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</si>
  <si>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</si>
  <si>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</si>
  <si>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</si>
  <si>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</si>
  <si>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</si>
  <si>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</si>
  <si>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</si>
  <si>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</si>
  <si>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</si>
  <si>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</si>
  <si>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</si>
  <si>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</si>
  <si>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</si>
  <si>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</si>
  <si>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</si>
  <si>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</si>
  <si>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</si>
  <si>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</si>
  <si>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</si>
  <si>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</si>
  <si>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</si>
  <si>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</si>
  <si>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</si>
  <si>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</si>
  <si>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</si>
  <si>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</si>
  <si>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</si>
  <si>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</si>
  <si>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</si>
  <si>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</si>
  <si>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</si>
  <si>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</si>
  <si>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</si>
  <si>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</si>
  <si>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</si>
  <si>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</si>
  <si>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</si>
  <si>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</si>
  <si>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</si>
  <si>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</si>
  <si>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</si>
  <si>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</si>
  <si>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</si>
  <si>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</si>
  <si>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</si>
  <si>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</si>
  <si>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</si>
  <si>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</si>
  <si>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</si>
  <si>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</si>
  <si>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</si>
  <si>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</si>
  <si>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</si>
  <si>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</si>
  <si>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</si>
  <si>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</si>
  <si>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</si>
  <si>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</si>
  <si>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</si>
  <si>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</si>
  <si>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</si>
  <si>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</si>
  <si>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</si>
  <si>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</si>
  <si>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</si>
  <si>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</si>
  <si>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</si>
  <si>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</si>
  <si>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</si>
  <si>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</si>
  <si>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</si>
  <si>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</si>
  <si>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</si>
  <si>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</si>
  <si>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</si>
  <si>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</si>
  <si>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</si>
  <si>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</si>
  <si>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</si>
  <si>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</si>
  <si>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</si>
  <si>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</si>
  <si>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</si>
  <si>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</si>
  <si>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</si>
  <si>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</si>
  <si>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</si>
  <si>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</si>
  <si>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</si>
  <si>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</si>
  <si>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</si>
  <si>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</si>
  <si>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</si>
  <si>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</si>
  <si>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</si>
  <si>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</si>
  <si>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</si>
  <si>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</si>
  <si>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</si>
  <si>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</si>
  <si>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</si>
  <si>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</si>
  <si>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</si>
  <si>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</si>
  <si>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</si>
  <si>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</si>
  <si>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</si>
  <si>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</si>
  <si>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</si>
  <si>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</si>
  <si>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</si>
  <si>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</si>
  <si>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</si>
  <si>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</si>
  <si>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</si>
  <si>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</si>
  <si>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</si>
  <si>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</si>
  <si>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</si>
  <si>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</si>
  <si>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</si>
  <si>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</si>
  <si>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</si>
  <si>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</si>
  <si>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</si>
  <si>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</si>
  <si>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</si>
  <si>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</si>
  <si>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</si>
  <si>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</si>
  <si>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</si>
  <si>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</si>
  <si>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</si>
  <si>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</si>
  <si>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</si>
  <si>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</si>
  <si>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</si>
  <si>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</si>
  <si>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</si>
  <si>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</si>
  <si>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</si>
  <si>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</si>
  <si>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</si>
  <si>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</si>
  <si>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</si>
  <si>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</si>
  <si>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</si>
  <si>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</si>
  <si>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</si>
  <si>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</si>
  <si>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</si>
  <si>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</si>
  <si>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</si>
  <si>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</si>
  <si>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</si>
  <si>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</si>
  <si>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</si>
  <si>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</si>
  <si>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</si>
  <si>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</si>
  <si>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</si>
  <si>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</si>
  <si>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</si>
  <si>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</si>
  <si>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</si>
  <si>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</si>
  <si>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</si>
  <si>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</si>
  <si>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</si>
  <si>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</si>
  <si>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</si>
  <si>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</si>
  <si>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</si>
  <si>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</si>
  <si>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</si>
  <si>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</si>
  <si>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</si>
  <si>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</si>
  <si>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</si>
  <si>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</si>
  <si>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</si>
  <si>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</si>
  <si>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</si>
  <si>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</si>
  <si>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</si>
  <si>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</si>
  <si>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</si>
  <si>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</si>
  <si>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</si>
  <si>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</si>
  <si>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</si>
  <si>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</si>
  <si>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</si>
  <si>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</si>
  <si>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</si>
  <si>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</si>
  <si>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</si>
  <si>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</si>
  <si>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</si>
  <si>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</si>
  <si>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</si>
  <si>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</si>
  <si>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</si>
  <si>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</si>
  <si>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</si>
  <si>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</si>
  <si>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</si>
  <si>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</si>
  <si>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</si>
  <si>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</si>
  <si>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</si>
  <si>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</si>
  <si>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</si>
  <si>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</si>
  <si>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</si>
  <si>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</si>
  <si>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</si>
  <si>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</si>
  <si>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</si>
  <si>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</si>
  <si>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</si>
  <si>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</si>
  <si>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</si>
  <si>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</si>
  <si>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</si>
  <si>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</si>
  <si>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</si>
  <si>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</si>
  <si>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</si>
  <si>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</si>
  <si>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</si>
  <si>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</si>
  <si>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</si>
  <si>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</si>
  <si>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</si>
  <si>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</si>
  <si>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</si>
  <si>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</si>
  <si>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</si>
  <si>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</si>
  <si>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</si>
  <si>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</si>
  <si>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</si>
  <si>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</si>
  <si>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</si>
  <si>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</si>
  <si>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</si>
  <si>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</si>
  <si>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</si>
  <si>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</si>
  <si>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</si>
  <si>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</si>
  <si>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</si>
  <si>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</si>
  <si>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</si>
  <si>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</si>
  <si>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</si>
  <si>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</si>
  <si>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</si>
  <si>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</si>
  <si>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</si>
  <si>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</si>
  <si>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</si>
  <si>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</si>
  <si>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</si>
  <si>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</si>
  <si>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</si>
  <si>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</si>
  <si>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</si>
  <si>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</si>
  <si>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</si>
  <si>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</si>
  <si>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</si>
  <si>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</si>
  <si>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</si>
  <si>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</si>
  <si>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</si>
  <si>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</si>
  <si>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</si>
  <si>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</si>
  <si>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</si>
  <si>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</si>
  <si>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</si>
  <si>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</si>
  <si>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</si>
  <si>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</si>
  <si>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</si>
  <si>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</si>
  <si>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</si>
  <si>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</si>
  <si>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</si>
  <si>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</si>
  <si>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</si>
  <si>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</si>
  <si>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</si>
  <si>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</si>
  <si>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</si>
  <si>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</si>
  <si>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</si>
  <si>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</si>
  <si>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</si>
  <si>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</si>
  <si>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</si>
  <si>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</si>
  <si>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</si>
  <si>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</si>
  <si>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</si>
  <si>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</si>
  <si>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</si>
  <si>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</si>
  <si>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</si>
  <si>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</si>
  <si>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</si>
  <si>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</si>
  <si>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</si>
  <si>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</si>
  <si>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</si>
  <si>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</si>
  <si>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</si>
  <si>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</si>
  <si>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</si>
  <si>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</si>
  <si>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</si>
  <si>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</si>
  <si>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</si>
  <si>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</si>
  <si>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</si>
  <si>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</si>
  <si>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</si>
  <si>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</si>
  <si>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</si>
  <si>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</si>
  <si>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</si>
  <si>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</si>
  <si>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</si>
  <si>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</si>
  <si>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</si>
  <si>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</si>
  <si>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</si>
  <si>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</si>
  <si>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</si>
  <si>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</si>
  <si>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</si>
  <si>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</si>
  <si>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</si>
  <si>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</si>
  <si>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</si>
  <si>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</si>
  <si>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</si>
  <si>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</si>
  <si>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</si>
  <si>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</si>
  <si>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</si>
  <si>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</si>
  <si>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</si>
  <si>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</si>
  <si>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</si>
  <si>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</si>
  <si>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</si>
  <si>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</si>
  <si>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</si>
  <si>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</si>
  <si>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</si>
  <si>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</si>
  <si>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</si>
  <si>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</si>
  <si>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</si>
  <si>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</si>
  <si>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</si>
  <si>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</si>
  <si>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</si>
  <si>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</si>
  <si>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</si>
  <si>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</si>
  <si>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</si>
  <si>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</si>
  <si>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</si>
  <si>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</si>
  <si>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</si>
  <si>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</si>
  <si>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</si>
  <si>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</si>
  <si>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</si>
  <si>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</si>
  <si>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</si>
  <si>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</si>
  <si>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</si>
  <si>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</si>
  <si>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</si>
  <si>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</si>
  <si>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</si>
  <si>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</si>
  <si>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</si>
  <si>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</si>
  <si>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</si>
  <si>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</si>
  <si>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</si>
  <si>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</si>
  <si>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</si>
  <si>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</si>
  <si>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</si>
  <si>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</si>
  <si>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</si>
  <si>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</si>
  <si>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</si>
  <si>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</si>
  <si>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</si>
  <si>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</si>
  <si>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</si>
  <si>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</si>
  <si>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</si>
  <si>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</si>
  <si>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</si>
  <si>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</si>
  <si>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</si>
  <si>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</si>
  <si>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</si>
  <si>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</si>
  <si>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</si>
  <si>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</si>
  <si>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</si>
  <si>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</si>
  <si>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</si>
  <si>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</si>
  <si>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</si>
  <si>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</si>
  <si>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</si>
  <si>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</si>
  <si>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</si>
  <si>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</si>
  <si>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</si>
  <si>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</si>
  <si>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</si>
  <si>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</si>
  <si>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</si>
  <si>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</si>
  <si>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</si>
  <si>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</si>
  <si>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</si>
  <si>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</si>
  <si>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</si>
  <si>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</si>
  <si>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</si>
  <si>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</si>
  <si>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</si>
  <si>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</si>
  <si>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</si>
  <si>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</si>
  <si>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</si>
  <si>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</si>
  <si>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</si>
  <si>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</si>
  <si>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</si>
  <si>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</si>
  <si>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</si>
  <si>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</si>
  <si>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</si>
  <si>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</si>
  <si>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</si>
  <si>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</si>
  <si>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</si>
  <si>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</si>
  <si>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</si>
  <si>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</si>
  <si>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</si>
  <si>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</si>
  <si>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</si>
  <si>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</si>
  <si>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</si>
  <si>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</si>
  <si>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</si>
  <si>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</si>
  <si>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</si>
  <si>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</si>
  <si>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</si>
  <si>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</si>
  <si>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</si>
  <si>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</si>
  <si>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</si>
  <si>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</si>
  <si>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</si>
  <si>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</si>
  <si>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</si>
  <si>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</si>
  <si>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</si>
  <si>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</si>
  <si>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</si>
  <si>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</si>
  <si>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</si>
  <si>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</si>
  <si>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</si>
  <si>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</si>
  <si>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</si>
  <si>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</si>
  <si>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</si>
  <si>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</si>
  <si>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</si>
  <si>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</si>
  <si>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</si>
  <si>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</si>
  <si>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</si>
  <si>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</si>
  <si>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</si>
  <si>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</si>
  <si>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</si>
  <si>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</si>
  <si>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</si>
  <si>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</si>
  <si>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</si>
  <si>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</si>
  <si>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</si>
  <si>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</si>
  <si>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</si>
  <si>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</si>
  <si>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</si>
  <si>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</si>
  <si>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</si>
  <si>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</si>
  <si>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</si>
  <si>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</si>
  <si>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</si>
  <si>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</si>
  <si>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</si>
  <si>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</si>
  <si>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</si>
  <si>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</si>
  <si>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</si>
  <si>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</si>
  <si>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</si>
  <si>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</si>
  <si>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</si>
  <si>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</si>
  <si>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</si>
  <si>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</si>
  <si>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</si>
  <si>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</si>
  <si>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</si>
  <si>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</si>
  <si>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</si>
  <si>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</si>
  <si>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</si>
  <si>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</si>
  <si>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</si>
  <si>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</si>
  <si>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</si>
  <si>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</si>
  <si>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</si>
  <si>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</si>
  <si>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</si>
  <si>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</si>
  <si>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</si>
  <si>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</si>
  <si>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</si>
  <si>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</si>
  <si>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</si>
  <si>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</si>
  <si>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</si>
  <si>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</si>
  <si>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</si>
  <si>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</si>
  <si>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</si>
  <si>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</si>
  <si>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</si>
  <si>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</si>
  <si>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</si>
  <si>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</si>
  <si>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</si>
  <si>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</si>
  <si>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</si>
  <si>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</si>
  <si>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</si>
  <si>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</si>
  <si>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</si>
  <si>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</si>
  <si>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</si>
  <si>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</si>
  <si>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</si>
  <si>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</si>
  <si>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</si>
  <si>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</si>
  <si>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</si>
  <si>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</si>
  <si>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</si>
  <si>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</si>
  <si>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</si>
  <si>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</si>
  <si>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</si>
  <si>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</si>
  <si>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</si>
  <si>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</si>
  <si>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</si>
  <si>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</si>
  <si>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</si>
  <si>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</si>
  <si>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</si>
  <si>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</si>
  <si>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</si>
  <si>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</si>
  <si>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</si>
  <si>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</si>
  <si>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</si>
  <si>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</si>
  <si>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</si>
  <si>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</si>
  <si>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</si>
  <si>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</si>
  <si>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</si>
  <si>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</si>
  <si>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</si>
  <si>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</si>
  <si>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</si>
  <si>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</si>
  <si>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</si>
  <si>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</si>
  <si>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</si>
  <si>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</si>
  <si>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</si>
  <si>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</si>
  <si>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</si>
  <si>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</si>
  <si>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</si>
  <si>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</si>
  <si>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</si>
  <si>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</si>
  <si>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</si>
  <si>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</si>
  <si>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</si>
  <si>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</si>
  <si>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</si>
  <si>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</si>
  <si>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</si>
  <si>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</si>
  <si>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</si>
  <si>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</si>
  <si>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</si>
  <si>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</si>
  <si>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</si>
  <si>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</si>
  <si>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</si>
  <si>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</si>
  <si>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</si>
  <si>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</si>
  <si>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</si>
  <si>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</si>
  <si>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</si>
  <si>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</si>
  <si>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</si>
  <si>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</si>
  <si>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</si>
  <si>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</si>
  <si>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</si>
  <si>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</si>
  <si>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</si>
  <si>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</si>
  <si>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</si>
  <si>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</si>
  <si>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</si>
  <si>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</si>
  <si>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</si>
  <si>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</si>
  <si>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</si>
  <si>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</si>
  <si>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</si>
  <si>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</si>
  <si>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</si>
  <si>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</si>
  <si>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</si>
  <si>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</si>
  <si>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</si>
  <si>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</si>
  <si>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</si>
  <si>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</si>
  <si>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</si>
  <si>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</si>
  <si>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</si>
  <si>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</si>
  <si>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</si>
  <si>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</si>
  <si>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</si>
  <si>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</si>
  <si>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</si>
  <si>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</si>
  <si>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</si>
  <si>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</si>
  <si>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</si>
  <si>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</si>
  <si>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</si>
  <si>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</si>
  <si>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</si>
  <si>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</si>
  <si>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</si>
  <si>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</si>
  <si>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</si>
  <si>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</si>
  <si>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</si>
  <si>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</si>
  <si>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</si>
  <si>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</si>
  <si>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</si>
  <si>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</si>
  <si>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</si>
  <si>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</si>
  <si>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</si>
  <si>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</si>
  <si>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</si>
  <si>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</si>
  <si>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</si>
  <si>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</si>
  <si>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</si>
  <si>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</si>
  <si>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</si>
  <si>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</si>
  <si>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</si>
  <si>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</si>
  <si>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</si>
  <si>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</si>
  <si>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</si>
  <si>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</si>
  <si>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</si>
  <si>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</si>
  <si>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</si>
  <si>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</si>
  <si>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</si>
  <si>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</si>
  <si>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</si>
  <si>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</si>
  <si>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</si>
  <si>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</si>
  <si>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</si>
  <si>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</si>
  <si>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</si>
  <si>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</si>
  <si>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</si>
  <si>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</si>
  <si>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</si>
  <si>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</si>
  <si>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</si>
  <si>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</si>
  <si>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</si>
  <si>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</si>
  <si>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</si>
  <si>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</si>
  <si>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</si>
  <si>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</si>
  <si>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</si>
  <si>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</si>
  <si>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</si>
  <si>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</si>
  <si>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</si>
  <si>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</si>
  <si>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</si>
  <si>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</si>
  <si>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</si>
  <si>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</si>
  <si>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</si>
  <si>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</si>
  <si>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</si>
  <si>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</si>
  <si>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</si>
  <si>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</si>
  <si>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</si>
  <si>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</si>
  <si>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</si>
  <si>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</si>
  <si>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</si>
  <si>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</si>
  <si>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</si>
  <si>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</si>
  <si>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</si>
  <si>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</si>
  <si>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</si>
  <si>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</si>
  <si>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</si>
  <si>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</si>
  <si>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</si>
  <si>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</si>
  <si>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</si>
  <si>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</si>
  <si>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</si>
  <si>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</si>
  <si>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</si>
  <si>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</si>
  <si>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</si>
  <si>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</si>
  <si>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</si>
  <si>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</si>
  <si>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</si>
  <si>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</si>
  <si>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</si>
  <si>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</si>
  <si>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</si>
  <si>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</si>
  <si>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</si>
  <si>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</si>
  <si>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</si>
  <si>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</si>
  <si>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</si>
  <si>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</si>
  <si>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</si>
  <si>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</si>
  <si>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</si>
  <si>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</si>
  <si>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</si>
  <si>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</si>
  <si>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</si>
  <si>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</si>
  <si>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</si>
  <si>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</si>
  <si>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</si>
  <si>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</si>
  <si>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</si>
  <si>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</si>
  <si>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</si>
  <si>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</si>
  <si>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</si>
  <si>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</si>
  <si>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</si>
  <si>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</si>
  <si>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</si>
  <si>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</si>
  <si>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</si>
  <si>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</si>
  <si>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</si>
  <si>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</si>
  <si>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</si>
  <si>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</si>
  <si>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</si>
  <si>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</si>
  <si>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</si>
  <si>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</si>
  <si>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</si>
  <si>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</si>
  <si>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</si>
  <si>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</si>
  <si>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</si>
  <si>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</si>
  <si>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</si>
  <si>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</si>
  <si>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</si>
  <si>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</si>
  <si>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</si>
  <si>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</si>
  <si>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</si>
  <si>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</si>
  <si>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</si>
  <si>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</si>
  <si>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</si>
  <si>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</si>
  <si>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</si>
  <si>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</si>
  <si>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</si>
  <si>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</si>
  <si>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</si>
  <si>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</si>
  <si>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</si>
  <si>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</si>
  <si>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</si>
  <si>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</si>
  <si>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</si>
  <si>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</si>
  <si>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</si>
  <si>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</si>
  <si>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</si>
  <si>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</si>
  <si>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</si>
  <si>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</si>
  <si>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</si>
  <si>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</si>
  <si>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</si>
  <si>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</si>
  <si>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</si>
  <si>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</si>
  <si>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</si>
  <si>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</si>
  <si>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</si>
  <si>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</si>
  <si>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</si>
  <si>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</si>
  <si>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</si>
  <si>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</si>
  <si>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</si>
  <si>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</si>
  <si>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</si>
  <si>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</si>
  <si>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</si>
  <si>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</si>
  <si>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</si>
  <si>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</si>
  <si>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</si>
  <si>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</si>
  <si>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</si>
  <si>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</si>
  <si>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</si>
  <si>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</si>
  <si>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</si>
  <si>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</si>
  <si>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</si>
  <si>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</si>
  <si>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</si>
  <si>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</si>
  <si>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</si>
  <si>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</si>
  <si>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</si>
  <si>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</si>
  <si>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</si>
  <si>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</si>
  <si>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</si>
  <si>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</si>
  <si>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</si>
  <si>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</si>
  <si>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</si>
  <si>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</si>
  <si>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</si>
  <si>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</si>
  <si>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</si>
  <si>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</si>
  <si>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</si>
  <si>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</si>
  <si>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</si>
  <si>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</si>
  <si>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</si>
  <si>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</si>
  <si>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</si>
  <si>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</si>
  <si>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</si>
  <si>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</si>
  <si>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</si>
  <si>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</si>
  <si>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</si>
  <si>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</si>
  <si>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</si>
  <si>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</si>
  <si>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</si>
  <si>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</si>
  <si>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</si>
  <si>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</si>
  <si>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</si>
  <si>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</si>
  <si>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</si>
  <si>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</si>
  <si>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</si>
  <si>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</si>
  <si>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</si>
  <si>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</si>
  <si>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</si>
  <si>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</si>
  <si>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</si>
  <si>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</si>
  <si>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</si>
  <si>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</si>
  <si>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</si>
  <si>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</si>
  <si>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</si>
  <si>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</si>
  <si>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</si>
  <si>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</si>
  <si>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</si>
  <si>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</si>
  <si>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</si>
  <si>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</si>
  <si>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</si>
  <si>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</si>
  <si>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</si>
  <si>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</si>
  <si>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</si>
  <si>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</si>
  <si>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</si>
  <si>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</si>
  <si>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</si>
  <si>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</si>
  <si>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</si>
  <si>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</si>
  <si>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</si>
  <si>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</si>
  <si>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</si>
  <si>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</si>
  <si>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</si>
  <si>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</si>
  <si>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</si>
  <si>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</si>
  <si>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</si>
  <si>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</si>
  <si>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</si>
  <si>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</si>
  <si>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</si>
  <si>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</si>
  <si>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</si>
  <si>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</si>
  <si>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</si>
  <si>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</si>
  <si>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</si>
  <si>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</si>
  <si>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</si>
  <si>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</si>
  <si>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</si>
  <si>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</si>
  <si>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</si>
  <si>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</si>
  <si>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</si>
  <si>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</si>
  <si>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</si>
  <si>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</si>
  <si>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</si>
  <si>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</si>
  <si>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</si>
  <si>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</si>
  <si>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</si>
  <si>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</si>
  <si>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</si>
  <si>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</si>
  <si>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</si>
  <si>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</si>
  <si>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</si>
  <si>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</si>
  <si>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</si>
  <si>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</si>
  <si>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</si>
  <si>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</si>
  <si>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</si>
  <si>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</si>
  <si>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</si>
  <si>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</si>
  <si>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</si>
  <si>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</si>
  <si>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</si>
  <si>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</si>
  <si>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</si>
  <si>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</si>
  <si>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</si>
  <si>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</si>
  <si>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</si>
  <si>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</si>
  <si>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</si>
  <si>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</si>
  <si>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</si>
  <si>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</si>
  <si>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</si>
  <si>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</si>
  <si>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</si>
  <si>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</si>
  <si>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</si>
  <si>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</si>
  <si>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</si>
  <si>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</si>
  <si>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</si>
  <si>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</si>
  <si>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</si>
  <si>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</si>
  <si>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</si>
  <si>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</si>
  <si>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</si>
  <si>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</si>
  <si>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</si>
  <si>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</si>
  <si>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</si>
  <si>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</si>
  <si>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</si>
  <si>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</si>
  <si>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</si>
  <si>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</si>
  <si>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</si>
  <si>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</si>
  <si>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</si>
  <si>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</si>
  <si>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</si>
  <si>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</si>
  <si>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</si>
  <si>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</si>
  <si>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</si>
  <si>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</si>
  <si>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</si>
  <si>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</si>
  <si>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</si>
  <si>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</si>
  <si>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</si>
  <si>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</si>
  <si>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</si>
  <si>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</si>
  <si>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</si>
  <si>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</si>
  <si>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</si>
  <si>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</si>
  <si>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</si>
  <si>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</si>
  <si>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</si>
  <si>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</si>
  <si>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</si>
  <si>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</si>
  <si>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</si>
  <si>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</si>
  <si>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</si>
  <si>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</si>
  <si>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</si>
  <si>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</si>
  <si>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</si>
  <si>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</si>
  <si>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</si>
  <si>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</si>
  <si>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</si>
  <si>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</si>
  <si>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</si>
  <si>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</si>
  <si>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</si>
  <si>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</si>
  <si>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</si>
  <si>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</si>
  <si>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</si>
  <si>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</si>
  <si>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</si>
  <si>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</si>
  <si>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</si>
  <si>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</si>
  <si>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</si>
  <si>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</si>
  <si>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</si>
  <si>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</si>
  <si>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</si>
  <si>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</si>
  <si>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</si>
  <si>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</si>
  <si>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</si>
  <si>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</si>
  <si>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</si>
  <si>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</si>
  <si>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</si>
  <si>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</si>
  <si>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</si>
  <si>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</si>
  <si>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</si>
  <si>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</si>
  <si>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</si>
  <si>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</si>
  <si>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</si>
  <si>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</si>
  <si>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</si>
  <si>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</si>
  <si>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</si>
  <si>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</si>
  <si>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</si>
  <si>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</si>
  <si>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</si>
  <si>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</si>
  <si>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</si>
  <si>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</si>
  <si>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</si>
  <si>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</si>
  <si>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</si>
  <si>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</si>
  <si>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</si>
  <si>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</si>
  <si>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</si>
  <si>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</si>
  <si>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</si>
  <si>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</si>
  <si>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</si>
  <si>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</si>
  <si>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</si>
  <si>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</si>
  <si>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</si>
  <si>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</si>
  <si>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</si>
  <si>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</si>
  <si>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</si>
  <si>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</si>
  <si>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</si>
  <si>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</si>
  <si>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</si>
  <si>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</si>
  <si>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</si>
  <si>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</si>
  <si>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</si>
  <si>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</si>
  <si>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</si>
  <si>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</si>
  <si>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</si>
  <si>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</si>
  <si>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</si>
  <si>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</si>
  <si>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</si>
  <si>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</si>
  <si>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</si>
  <si>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</si>
  <si>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</si>
  <si>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</si>
  <si>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</si>
  <si>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</si>
  <si>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</si>
  <si>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</si>
  <si>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</si>
  <si>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</si>
  <si>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</si>
  <si>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</si>
  <si>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</si>
  <si>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</si>
  <si>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</si>
  <si>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</si>
  <si>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</si>
  <si>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</si>
  <si>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</si>
  <si>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</si>
  <si>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</si>
  <si>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</si>
  <si>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</si>
  <si>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</si>
  <si>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</si>
  <si>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</si>
  <si>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</si>
  <si>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</si>
  <si>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</si>
  <si>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</si>
  <si>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</si>
  <si>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</si>
  <si>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</si>
  <si>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</si>
  <si>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</si>
  <si>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</si>
  <si>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</si>
  <si>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</si>
  <si>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</si>
  <si>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</si>
  <si>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</si>
  <si>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</si>
  <si>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</si>
  <si>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</si>
  <si>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</si>
  <si>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</si>
  <si>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</si>
  <si>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</si>
  <si>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</si>
  <si>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</si>
  <si>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</si>
  <si>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</si>
  <si>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</si>
  <si>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</si>
  <si>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</si>
  <si>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</si>
  <si>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</si>
  <si>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</si>
  <si>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</si>
  <si>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</si>
  <si>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</si>
  <si>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</si>
  <si>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</si>
  <si>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</si>
  <si>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</si>
  <si>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</si>
  <si>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</si>
  <si>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</si>
  <si>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</si>
  <si>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</si>
  <si>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</si>
  <si>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</si>
  <si>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</si>
  <si>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</si>
  <si>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</si>
  <si>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</si>
  <si>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</si>
  <si>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</si>
  <si>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</si>
  <si>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</si>
  <si>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</si>
  <si>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</si>
  <si>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</si>
  <si>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</si>
  <si>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</si>
  <si>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</si>
  <si>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</si>
  <si>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</si>
  <si>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</si>
  <si>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</si>
  <si>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</si>
  <si>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</si>
  <si>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</si>
  <si>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</si>
  <si>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</si>
  <si>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</si>
  <si>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</si>
  <si>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</si>
  <si>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</si>
  <si>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</si>
  <si>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</si>
  <si>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</si>
  <si>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</si>
  <si>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</si>
  <si>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</si>
  <si>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</si>
  <si>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</si>
  <si>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</si>
  <si>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</si>
  <si>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</si>
  <si>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</si>
  <si>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</si>
  <si>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</si>
  <si>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</si>
  <si>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</si>
  <si>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</si>
  <si>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</si>
  <si>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</si>
  <si>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</si>
  <si>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</si>
  <si>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</si>
  <si>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</si>
  <si>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</si>
  <si>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</si>
  <si>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</si>
  <si>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</si>
  <si>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</si>
  <si>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</si>
  <si>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</si>
  <si>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</si>
  <si>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</si>
  <si>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</si>
  <si>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</si>
  <si>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</si>
  <si>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</si>
  <si>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</si>
  <si>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</si>
  <si>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</si>
  <si>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</si>
  <si>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</si>
  <si>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</si>
  <si>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</si>
  <si>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</si>
  <si>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</si>
  <si>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</si>
  <si>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</si>
  <si>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</si>
  <si>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</si>
  <si>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</si>
  <si>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</si>
  <si>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</si>
  <si>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</si>
  <si>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</si>
  <si>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</si>
  <si>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</si>
  <si>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</si>
  <si>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</si>
  <si>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</si>
  <si>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</si>
  <si>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</si>
  <si>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</si>
  <si>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</si>
  <si>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</si>
  <si>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</si>
  <si>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</si>
  <si>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</si>
  <si>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</si>
  <si>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</si>
  <si>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</si>
  <si>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</si>
  <si>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</si>
  <si>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</si>
  <si>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</si>
  <si>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</si>
  <si>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</si>
  <si>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</si>
  <si>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</si>
  <si>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</si>
  <si>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</si>
  <si>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</si>
  <si>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</si>
  <si>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</si>
  <si>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</si>
  <si>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</si>
  <si>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</si>
  <si>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</si>
  <si>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</si>
  <si>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</si>
  <si>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</si>
  <si>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</si>
  <si>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</si>
  <si>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</si>
  <si>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</si>
  <si>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</si>
  <si>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</si>
  <si>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</si>
  <si>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</si>
  <si>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</si>
  <si>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</si>
  <si>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</si>
  <si>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</si>
  <si>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</si>
  <si>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</si>
  <si>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</si>
  <si>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</si>
  <si>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</si>
  <si>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</si>
  <si>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</si>
  <si>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</si>
  <si>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</si>
  <si>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</si>
  <si>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</si>
  <si>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</si>
  <si>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</si>
  <si>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</si>
  <si>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</si>
  <si>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</si>
  <si>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</si>
  <si>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</si>
  <si>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</si>
  <si>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</si>
  <si>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</si>
  <si>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</si>
  <si>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</si>
  <si>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</si>
  <si>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</si>
  <si>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</si>
  <si>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</si>
  <si>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</si>
  <si>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</si>
  <si>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</si>
  <si>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</si>
  <si>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</si>
  <si>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</si>
  <si>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</si>
  <si>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</si>
  <si>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</si>
  <si>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</si>
  <si>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</si>
  <si>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</si>
  <si>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</si>
  <si>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</si>
  <si>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</si>
  <si>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</si>
  <si>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</si>
  <si>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</si>
  <si>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</si>
  <si>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</si>
  <si>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</si>
  <si>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</si>
  <si>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</si>
  <si>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</si>
  <si>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</si>
  <si>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</si>
  <si>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</si>
  <si>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</si>
  <si>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</si>
  <si>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</si>
  <si>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</si>
  <si>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</si>
  <si>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</si>
  <si>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</si>
  <si>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</si>
  <si>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</si>
  <si>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</si>
  <si>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</si>
  <si>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</si>
  <si>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</si>
  <si>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</si>
  <si>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</si>
  <si>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</si>
  <si>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</si>
  <si>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</si>
  <si>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</si>
  <si>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</si>
  <si>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</si>
  <si>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</si>
  <si>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</si>
  <si>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</si>
  <si>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</si>
  <si>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</si>
  <si>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</si>
  <si>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</si>
  <si>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</si>
  <si>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</si>
  <si>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</si>
  <si>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</si>
  <si>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</si>
  <si>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</si>
  <si>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</si>
  <si>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</si>
  <si>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</si>
  <si>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</si>
  <si>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</si>
  <si>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</si>
  <si>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</si>
  <si>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</si>
  <si>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</si>
  <si>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</si>
  <si>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</si>
  <si>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</si>
  <si>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</si>
  <si>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</si>
  <si>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</si>
  <si>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</si>
  <si>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</si>
  <si>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</si>
  <si>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</si>
  <si>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</si>
  <si>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</si>
  <si>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</si>
  <si>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</si>
  <si>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</si>
  <si>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</si>
  <si>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</si>
  <si>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</si>
  <si>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</si>
  <si>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</si>
  <si>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</si>
  <si>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</si>
  <si>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</si>
  <si>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</si>
  <si>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</si>
  <si>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</si>
  <si>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</si>
  <si>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</si>
  <si>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</si>
  <si>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</si>
  <si>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</si>
  <si>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</si>
  <si>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</si>
  <si>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</si>
  <si>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</si>
  <si>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</si>
  <si>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</si>
  <si>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</si>
  <si>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</si>
  <si>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</si>
  <si>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</si>
  <si>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</si>
  <si>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</si>
  <si>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</si>
  <si>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</si>
  <si>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</si>
  <si>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</si>
  <si>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</si>
  <si>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</si>
  <si>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</si>
  <si>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</si>
  <si>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</si>
  <si>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</si>
  <si>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</si>
  <si>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</si>
  <si>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</si>
  <si>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</si>
  <si>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</si>
  <si>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</si>
  <si>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</si>
  <si>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</si>
  <si>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</si>
  <si>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</si>
  <si>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</si>
  <si>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</si>
  <si>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</si>
  <si>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</si>
  <si>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</si>
  <si>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</si>
  <si>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</si>
  <si>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</si>
  <si>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</si>
  <si>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</si>
  <si>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</si>
  <si>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</si>
  <si>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</si>
  <si>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</si>
  <si>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</si>
  <si>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</si>
  <si>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</si>
  <si>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</si>
  <si>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</si>
  <si>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</si>
  <si>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</si>
  <si>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</si>
  <si>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</si>
  <si>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</si>
  <si>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</si>
  <si>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</si>
  <si>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</si>
  <si>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</si>
  <si>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</si>
  <si>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</si>
  <si>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</si>
  <si>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</si>
  <si>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</si>
  <si>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</si>
  <si>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</si>
  <si>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</si>
  <si>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</si>
  <si>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</si>
  <si>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</si>
  <si>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</si>
  <si>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</si>
  <si>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</si>
  <si>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</si>
  <si>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</si>
  <si>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</si>
  <si>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</si>
  <si>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</si>
  <si>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</si>
  <si>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</si>
  <si>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</si>
  <si>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</si>
  <si>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</si>
  <si>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</si>
  <si>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</si>
  <si>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</si>
  <si>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</si>
  <si>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</si>
  <si>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</si>
  <si>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</si>
  <si>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</si>
  <si>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</si>
  <si>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</si>
  <si>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</si>
  <si>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</si>
  <si>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</si>
  <si>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</si>
  <si>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</si>
  <si>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</si>
  <si>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</si>
  <si>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</si>
  <si>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</si>
  <si>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</si>
  <si>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</si>
  <si>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</si>
  <si>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</si>
  <si>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</si>
  <si>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</si>
  <si>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</si>
  <si>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</si>
  <si>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</si>
  <si>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</si>
  <si>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</si>
  <si>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</si>
  <si>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</si>
  <si>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</si>
  <si>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</si>
  <si>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</si>
  <si>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</si>
  <si>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</si>
  <si>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</si>
  <si>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</si>
  <si>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</si>
  <si>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</si>
  <si>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</si>
  <si>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</si>
  <si>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</si>
  <si>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</si>
  <si>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</si>
  <si>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</si>
  <si>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</si>
  <si>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</si>
  <si>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</si>
  <si>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</si>
  <si>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</si>
  <si>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</si>
  <si>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</si>
  <si>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</si>
  <si>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</si>
  <si>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</si>
  <si>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</si>
  <si>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</si>
  <si>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</si>
  <si>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</si>
  <si>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</si>
  <si>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</si>
  <si>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</si>
  <si>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</si>
  <si>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</si>
  <si>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</si>
  <si>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</si>
  <si>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</si>
  <si>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</si>
  <si>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</si>
  <si>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</si>
  <si>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</si>
  <si>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</si>
  <si>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</si>
  <si>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</si>
  <si>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</si>
  <si>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</si>
  <si>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</si>
  <si>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</si>
  <si>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</si>
  <si>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</si>
  <si>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</si>
  <si>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</si>
  <si>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</si>
  <si>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</si>
  <si>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</si>
  <si>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</si>
  <si>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</si>
  <si>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</si>
  <si>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</si>
  <si>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</si>
  <si>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</si>
  <si>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</si>
  <si>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</si>
  <si>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</si>
  <si>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</si>
  <si>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</si>
  <si>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</si>
  <si>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</si>
  <si>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</si>
  <si>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</si>
  <si>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</si>
  <si>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</si>
  <si>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</si>
  <si>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</si>
  <si>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</si>
  <si>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</si>
  <si>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</si>
  <si>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</si>
  <si>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</si>
  <si>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</si>
  <si>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</si>
  <si>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</si>
  <si>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</si>
  <si>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</si>
  <si>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</si>
  <si>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</si>
  <si>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</si>
  <si>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</si>
  <si>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</si>
  <si>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</si>
  <si>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</si>
  <si>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</si>
  <si>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</si>
  <si>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</si>
  <si>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</si>
  <si>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</si>
  <si>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</si>
  <si>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</si>
  <si>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</si>
  <si>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</si>
  <si>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</si>
  <si>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</si>
  <si>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</si>
  <si>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</si>
  <si>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</si>
  <si>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</si>
  <si>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</si>
  <si>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</si>
  <si>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</si>
  <si>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</si>
  <si>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</si>
  <si>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</si>
  <si>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</si>
  <si>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</si>
  <si>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</si>
  <si>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</si>
  <si>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</si>
  <si>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</si>
  <si>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</si>
  <si>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</si>
  <si>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</si>
  <si>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</si>
  <si>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</si>
  <si>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</si>
  <si>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</si>
  <si>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</si>
  <si>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</si>
  <si>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</si>
  <si>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</si>
  <si>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</si>
  <si>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</si>
  <si>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</si>
  <si>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</si>
  <si>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</si>
  <si>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</si>
  <si>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</si>
  <si>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</si>
  <si>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</si>
  <si>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</si>
  <si>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</si>
  <si>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</si>
  <si>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</si>
  <si>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</si>
  <si>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</si>
  <si>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</si>
  <si>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</si>
  <si>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</si>
  <si>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</si>
  <si>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</si>
  <si>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</si>
  <si>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</si>
  <si>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</si>
  <si>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</si>
  <si>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</si>
  <si>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</si>
  <si>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</si>
  <si>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</si>
  <si>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</si>
  <si>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</si>
  <si>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</si>
  <si>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</si>
  <si>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</si>
  <si>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</si>
  <si>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</si>
  <si>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</si>
  <si>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</si>
  <si>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</si>
  <si>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</si>
  <si>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</si>
  <si>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</si>
  <si>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</si>
  <si>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</si>
  <si>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</si>
  <si>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</si>
  <si>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</si>
  <si>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</si>
  <si>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</si>
  <si>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</si>
  <si>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</si>
  <si>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</si>
  <si>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</si>
  <si>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</si>
  <si>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</si>
  <si>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</si>
  <si>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</si>
  <si>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</si>
  <si>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</si>
  <si>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</si>
  <si>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</si>
  <si>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</si>
  <si>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</si>
  <si>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</si>
  <si>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</si>
  <si>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</si>
  <si>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</si>
  <si>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</si>
  <si>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</si>
  <si>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</si>
  <si>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</si>
  <si>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</si>
  <si>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</si>
  <si>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</si>
  <si>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</si>
  <si>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</si>
  <si>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</si>
  <si>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</si>
  <si>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</si>
  <si>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</si>
  <si>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</si>
  <si>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</si>
  <si>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</si>
  <si>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</si>
  <si>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</si>
  <si>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</si>
  <si>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</si>
  <si>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</si>
  <si>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</si>
  <si>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</si>
  <si>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</si>
  <si>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</si>
  <si>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</si>
  <si>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</si>
  <si>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</si>
  <si>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</si>
  <si>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</si>
  <si>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</si>
  <si>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</si>
  <si>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</si>
  <si>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</si>
  <si>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</si>
  <si>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</si>
  <si>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</si>
  <si>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</si>
  <si>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</si>
  <si>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</si>
  <si>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</si>
  <si>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</si>
  <si>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</si>
  <si>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</si>
  <si>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</si>
  <si>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</si>
  <si>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</si>
  <si>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</si>
  <si>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</si>
  <si>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</si>
  <si>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</si>
  <si>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</si>
  <si>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</si>
  <si>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</si>
  <si>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</si>
  <si>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</si>
  <si>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</si>
  <si>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</si>
  <si>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</si>
  <si>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</si>
  <si>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</si>
  <si>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</si>
  <si>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</si>
  <si>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</si>
  <si>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</si>
  <si>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</si>
  <si>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</si>
  <si>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</si>
  <si>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</si>
  <si>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</si>
  <si>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</si>
  <si>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</si>
  <si>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</si>
  <si>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</si>
  <si>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</si>
  <si>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</si>
  <si>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</si>
  <si>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</si>
  <si>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</si>
  <si>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</si>
  <si>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</si>
  <si>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</si>
  <si>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</si>
  <si>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</si>
  <si>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</si>
  <si>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</si>
  <si>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</si>
  <si>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</si>
  <si>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</si>
  <si>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</si>
  <si>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</si>
  <si>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</si>
  <si>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</si>
  <si>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</si>
  <si>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</si>
  <si>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</si>
  <si>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</si>
  <si>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</si>
  <si>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</si>
  <si>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</si>
  <si>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</si>
  <si>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</si>
  <si>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</si>
  <si>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</si>
  <si>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</si>
  <si>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</si>
  <si>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</si>
  <si>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</si>
  <si>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</si>
  <si>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</si>
  <si>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</si>
  <si>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</si>
  <si>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</si>
  <si>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</si>
  <si>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</si>
  <si>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</si>
  <si>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</si>
  <si>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</si>
  <si>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</si>
  <si>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</si>
  <si>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</si>
  <si>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</si>
  <si>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</si>
  <si>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</si>
  <si>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</si>
  <si>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</si>
  <si>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</si>
  <si>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</si>
  <si>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</si>
  <si>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</si>
  <si>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</si>
  <si>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</si>
  <si>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</si>
  <si>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</si>
  <si>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</si>
  <si>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</si>
  <si>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</si>
  <si>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</si>
  <si>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</si>
  <si>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</si>
  <si>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</si>
  <si>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</si>
  <si>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</si>
  <si>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</si>
  <si>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</si>
  <si>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</si>
  <si>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</si>
  <si>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</si>
  <si>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</si>
  <si>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</si>
  <si>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</si>
  <si>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</si>
  <si>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</si>
  <si>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</si>
  <si>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</si>
  <si>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</si>
  <si>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</si>
  <si>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</si>
  <si>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</si>
  <si>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</si>
  <si>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</si>
  <si>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</si>
  <si>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</si>
  <si>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</si>
  <si>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</si>
  <si>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</si>
  <si>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</si>
  <si>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</si>
  <si>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</si>
  <si>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</si>
  <si>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</si>
  <si>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</si>
  <si>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</si>
  <si>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</si>
  <si>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</si>
  <si>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</si>
  <si>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</si>
  <si>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</si>
  <si>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</si>
  <si>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</si>
  <si>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</si>
  <si>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</si>
  <si>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</si>
  <si>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</si>
  <si>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</si>
  <si>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</si>
  <si>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</si>
  <si>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</si>
  <si>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</si>
  <si>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</si>
  <si>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</si>
  <si>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</si>
  <si>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</si>
  <si>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</si>
  <si>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</si>
  <si>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</si>
  <si>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</si>
  <si>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</si>
  <si>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</si>
  <si>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</si>
  <si>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</si>
  <si>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</si>
  <si>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</si>
  <si>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</si>
  <si>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</si>
  <si>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</si>
  <si>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</si>
  <si>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</si>
  <si>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</si>
  <si>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</si>
  <si>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</si>
  <si>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</si>
  <si>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</si>
  <si>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</si>
  <si>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</si>
  <si>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</si>
  <si>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</si>
  <si>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</si>
  <si>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</si>
  <si>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</si>
  <si>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</si>
  <si>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</si>
  <si>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</si>
  <si>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</si>
  <si>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</si>
  <si>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</si>
  <si>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</si>
  <si>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</si>
  <si>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</si>
  <si>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</si>
  <si>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</si>
  <si>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</si>
  <si>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</si>
  <si>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</si>
  <si>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</si>
  <si>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</si>
  <si>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</si>
  <si>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</si>
  <si>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</si>
  <si>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</si>
  <si>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</si>
  <si>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</si>
  <si>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</si>
  <si>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</si>
  <si>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</si>
  <si>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</si>
  <si>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</si>
  <si>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</si>
  <si>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</si>
  <si>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</si>
  <si>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</si>
  <si>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</si>
  <si>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</si>
  <si>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</si>
  <si>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</si>
  <si>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</si>
  <si>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</si>
  <si>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</si>
  <si>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</si>
  <si>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</si>
  <si>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</si>
  <si>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</si>
  <si>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</si>
  <si>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</si>
  <si>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</si>
  <si>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</si>
  <si>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</si>
  <si>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</si>
  <si>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</si>
  <si>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</si>
  <si>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</si>
  <si>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</si>
  <si>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</si>
  <si>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</si>
  <si>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</si>
  <si>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</si>
  <si>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</si>
  <si>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</si>
  <si>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</si>
  <si>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</si>
  <si>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</si>
  <si>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</si>
  <si>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</si>
  <si>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</si>
  <si>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</si>
  <si>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</si>
  <si>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</si>
  <si>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</si>
  <si>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</si>
  <si>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</si>
  <si>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</si>
  <si>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</si>
  <si>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</si>
  <si>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</si>
  <si>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</si>
  <si>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</si>
  <si>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</si>
  <si>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</si>
  <si>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</si>
  <si>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</si>
  <si>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</si>
  <si>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</si>
  <si>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</si>
  <si>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</si>
  <si>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</si>
  <si>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</si>
  <si>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</si>
  <si>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</si>
  <si>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</si>
  <si>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</si>
  <si>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</si>
  <si>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</si>
  <si>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</si>
  <si>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</si>
  <si>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</si>
  <si>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</si>
  <si>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</si>
  <si>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</si>
  <si>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</si>
  <si>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</si>
  <si>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</si>
  <si>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</si>
  <si>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</si>
  <si>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</si>
  <si>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</si>
  <si>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</si>
  <si>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</si>
  <si>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</si>
  <si>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</si>
  <si>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</si>
  <si>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</si>
  <si>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</si>
  <si>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</si>
  <si>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</si>
  <si>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</si>
  <si>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</si>
  <si>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</si>
  <si>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</si>
  <si>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</si>
  <si>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</si>
  <si>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</si>
  <si>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</si>
  <si>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</si>
  <si>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</si>
  <si>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</si>
  <si>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</si>
  <si>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</si>
  <si>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</si>
  <si>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</si>
  <si>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</si>
  <si>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</si>
  <si>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</si>
  <si>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</si>
  <si>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</si>
  <si>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</si>
  <si>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</si>
  <si>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</si>
  <si>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</si>
  <si>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</si>
  <si>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</si>
  <si>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</si>
  <si>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</si>
  <si>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</si>
  <si>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</si>
  <si>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</si>
  <si>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</si>
  <si>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</si>
  <si>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</si>
  <si>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</si>
  <si>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</si>
  <si>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</si>
  <si>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</si>
  <si>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</si>
  <si>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</si>
  <si>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</si>
  <si>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</si>
  <si>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</si>
  <si>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</si>
  <si>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</si>
  <si>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</si>
  <si>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</si>
  <si>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</si>
  <si>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</si>
  <si>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</si>
  <si>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</si>
  <si>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</si>
  <si>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</si>
  <si>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</si>
  <si>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</si>
  <si>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</si>
  <si>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</si>
  <si>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</si>
  <si>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</si>
  <si>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</si>
  <si>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</si>
  <si>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</si>
  <si>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</si>
  <si>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</si>
  <si>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</si>
  <si>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</si>
  <si>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</si>
  <si>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</si>
  <si>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</si>
  <si>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</si>
  <si>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</si>
  <si>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</si>
  <si>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</si>
  <si>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</si>
  <si>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</si>
  <si>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</si>
  <si>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</si>
  <si>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</si>
  <si>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</si>
  <si>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</si>
  <si>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</si>
  <si>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</si>
  <si>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</si>
  <si>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</si>
  <si>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</si>
  <si>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</si>
  <si>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</si>
  <si>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</si>
  <si>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</si>
  <si>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</si>
  <si>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</si>
  <si>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</si>
  <si>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</si>
  <si>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</si>
  <si>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</si>
  <si>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</si>
  <si>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</si>
  <si>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</si>
  <si>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</si>
  <si>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</si>
  <si>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</si>
  <si>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</si>
  <si>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</si>
  <si>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</si>
  <si>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</si>
  <si>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</si>
  <si>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</si>
  <si>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</si>
  <si>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</si>
  <si>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</si>
  <si>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</si>
  <si>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</si>
  <si>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</si>
  <si>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</si>
  <si>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</si>
  <si>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</si>
  <si>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</si>
  <si>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</si>
  <si>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</si>
  <si>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</si>
  <si>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</si>
  <si>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</si>
  <si>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</si>
  <si>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</si>
  <si>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</si>
  <si>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</si>
  <si>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</si>
  <si>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</si>
  <si>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</si>
  <si>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</si>
  <si>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</si>
  <si>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</si>
  <si>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</si>
  <si>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</si>
  <si>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</si>
  <si>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</si>
  <si>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</si>
  <si>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</si>
  <si>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</si>
  <si>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</si>
  <si>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</si>
  <si>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</si>
  <si>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</si>
  <si>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</si>
  <si>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</si>
  <si>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</si>
  <si>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</si>
  <si>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</si>
  <si>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</si>
  <si>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</si>
  <si>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</si>
  <si>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</si>
  <si>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</si>
  <si>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</si>
  <si>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</si>
  <si>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</si>
  <si>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</si>
  <si>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</si>
  <si>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</si>
  <si>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</si>
  <si>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</si>
  <si>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</si>
  <si>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</si>
  <si>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</si>
  <si>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</si>
  <si>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</si>
  <si>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</si>
  <si>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</si>
  <si>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</si>
  <si>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</si>
  <si>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</si>
  <si>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</si>
  <si>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</si>
  <si>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</si>
  <si>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</si>
  <si>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</si>
  <si>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</si>
  <si>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</si>
  <si>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</si>
  <si>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</si>
  <si>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</si>
  <si>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</si>
  <si>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</si>
  <si>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</si>
  <si>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</si>
  <si>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</si>
  <si>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</si>
  <si>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</si>
  <si>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</si>
  <si>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</si>
  <si>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</si>
  <si>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</si>
  <si>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</si>
  <si>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</si>
  <si>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</si>
  <si>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</si>
  <si>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</si>
  <si>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</si>
  <si>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</si>
  <si>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</si>
  <si>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</si>
  <si>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</si>
  <si>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</si>
  <si>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</si>
  <si>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</si>
  <si>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</si>
  <si>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</si>
  <si>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</si>
  <si>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</si>
  <si>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</si>
  <si>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</si>
  <si>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</si>
  <si>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</si>
  <si>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</si>
  <si>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</si>
  <si>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</si>
  <si>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</si>
  <si>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</si>
  <si>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</si>
  <si>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</si>
  <si>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</si>
  <si>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</si>
  <si>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</si>
  <si>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</si>
  <si>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</si>
  <si>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</si>
  <si>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</si>
  <si>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</si>
  <si>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</si>
  <si>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</si>
  <si>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</si>
  <si>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</si>
  <si>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</si>
  <si>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</si>
  <si>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</si>
  <si>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</si>
  <si>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</si>
  <si>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</si>
  <si>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</si>
  <si>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</si>
  <si>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</si>
  <si>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</si>
  <si>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</si>
  <si>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</si>
  <si>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</si>
  <si>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</si>
  <si>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</si>
  <si>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</si>
  <si>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</si>
  <si>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</si>
  <si>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</si>
  <si>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</si>
  <si>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</si>
  <si>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</si>
  <si>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</si>
  <si>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</si>
  <si>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</si>
  <si>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</si>
  <si>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</si>
  <si>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</si>
  <si>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</si>
  <si>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</si>
  <si>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</si>
  <si>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</si>
  <si>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</si>
  <si>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</si>
  <si>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</si>
  <si>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</si>
  <si>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</si>
  <si>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</si>
  <si>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</si>
  <si>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</si>
  <si>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</si>
  <si>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</si>
  <si>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</si>
  <si>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</si>
  <si>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</si>
  <si>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</si>
  <si>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</si>
  <si>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</si>
  <si>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</si>
  <si>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</si>
  <si>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</si>
  <si>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</si>
  <si>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</si>
  <si>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</si>
  <si>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</si>
  <si>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</si>
  <si>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</si>
  <si>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</si>
  <si>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</si>
  <si>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</si>
  <si>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</si>
  <si>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</si>
  <si>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</si>
  <si>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</si>
  <si>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</si>
  <si>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</si>
  <si>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</si>
  <si>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</si>
  <si>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</si>
  <si>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</si>
  <si>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</si>
  <si>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</si>
  <si>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</si>
  <si>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</si>
  <si>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</si>
  <si>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</si>
  <si>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</si>
  <si>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</si>
  <si>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</si>
  <si>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</si>
  <si>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</si>
  <si>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</si>
  <si>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</si>
  <si>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</si>
  <si>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</si>
  <si>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</si>
  <si>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</si>
  <si>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</si>
  <si>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</si>
  <si>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</si>
  <si>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</si>
  <si>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</si>
  <si>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</si>
  <si>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</si>
  <si>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</si>
  <si>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</si>
  <si>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</si>
  <si>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</si>
  <si>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</si>
  <si>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</si>
  <si>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</si>
  <si>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</si>
  <si>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</si>
  <si>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</si>
  <si>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</si>
  <si>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</si>
  <si>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</si>
  <si>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</si>
  <si>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</si>
  <si>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</si>
  <si>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</si>
  <si>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</si>
  <si>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</si>
  <si>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</si>
  <si>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</si>
  <si>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</si>
  <si>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</si>
  <si>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</si>
  <si>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</si>
  <si>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</si>
  <si>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</si>
  <si>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</si>
  <si>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</si>
  <si>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</si>
  <si>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</si>
  <si>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</si>
  <si>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</si>
  <si>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</si>
  <si>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</si>
  <si>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</si>
  <si>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</si>
  <si>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</si>
  <si>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</si>
  <si>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</si>
  <si>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</si>
  <si>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</si>
  <si>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</si>
  <si>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</si>
  <si>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</si>
  <si>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</si>
  <si>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</si>
  <si>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</si>
  <si>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</si>
  <si>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</si>
  <si>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</si>
  <si>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</si>
  <si>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</si>
  <si>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</si>
  <si>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</si>
  <si>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</si>
  <si>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</si>
  <si>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</si>
  <si>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</si>
  <si>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</si>
  <si>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</si>
  <si>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</si>
  <si>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</si>
  <si>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</si>
  <si>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</si>
  <si>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</si>
  <si>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</si>
  <si>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</si>
  <si>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</si>
  <si>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</si>
  <si>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</si>
  <si>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</si>
  <si>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</si>
  <si>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</si>
  <si>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</si>
  <si>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</si>
  <si>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</si>
  <si>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</si>
  <si>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</si>
  <si>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</si>
  <si>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</si>
  <si>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</si>
  <si>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</si>
  <si>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</si>
  <si>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</si>
  <si>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</si>
  <si>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</si>
  <si>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</si>
  <si>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</si>
  <si>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</si>
  <si>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</si>
  <si>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</si>
  <si>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</si>
  <si>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</si>
  <si>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</si>
  <si>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</si>
  <si>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</si>
  <si>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</si>
  <si>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</si>
  <si>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</si>
  <si>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</si>
  <si>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</si>
  <si>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</si>
  <si>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</si>
  <si>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</si>
  <si>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</si>
  <si>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</si>
  <si>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</si>
  <si>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</si>
  <si>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</si>
  <si>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</si>
  <si>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</si>
  <si>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</si>
  <si>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</si>
  <si>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</si>
  <si>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</si>
  <si>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</si>
  <si>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</si>
  <si>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</si>
  <si>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</si>
  <si>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</si>
  <si>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</si>
  <si>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</si>
  <si>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</si>
  <si>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</si>
  <si>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</si>
  <si>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</si>
  <si>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</si>
  <si>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</si>
  <si>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</si>
  <si>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</si>
  <si>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</si>
  <si>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</si>
  <si>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</si>
  <si>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</si>
  <si>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</si>
  <si>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</si>
  <si>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</si>
  <si>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</si>
  <si>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</si>
  <si>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</si>
  <si>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</si>
  <si>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</si>
  <si>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</si>
  <si>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</si>
  <si>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</si>
  <si>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</si>
  <si>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</si>
  <si>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</si>
  <si>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</si>
  <si>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</si>
  <si>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</si>
  <si>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</si>
  <si>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</si>
  <si>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</si>
  <si>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</si>
  <si>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</si>
  <si>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</si>
  <si>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</si>
  <si>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</si>
  <si>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</si>
  <si>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</si>
  <si>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</si>
  <si>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</si>
  <si>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</si>
  <si>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</si>
  <si>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</si>
  <si>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</si>
  <si>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</si>
  <si>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</si>
  <si>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</si>
  <si>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</si>
  <si>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</si>
  <si>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</si>
  <si>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</si>
  <si>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</si>
  <si>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</si>
  <si>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</si>
  <si>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</si>
  <si>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</si>
  <si>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</si>
  <si>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</si>
  <si>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</si>
  <si>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</si>
  <si>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</si>
  <si>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</si>
  <si>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</si>
  <si>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</si>
  <si>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</si>
  <si>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</si>
  <si>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</si>
  <si>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</si>
  <si>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</si>
  <si>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</si>
  <si>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</si>
  <si>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</si>
  <si>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</si>
  <si>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</si>
  <si>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</si>
  <si>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</si>
  <si>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</si>
  <si>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</si>
  <si>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</si>
  <si>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</si>
  <si>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</si>
  <si>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</si>
  <si>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</si>
  <si>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</si>
  <si>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</si>
  <si>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</si>
  <si>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</si>
  <si>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</si>
  <si>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</si>
  <si>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</si>
  <si>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</si>
  <si>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</si>
  <si>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</si>
  <si>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</si>
  <si>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</si>
  <si>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</si>
  <si>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</si>
  <si>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</si>
  <si>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</si>
  <si>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</si>
  <si>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</si>
  <si>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</si>
  <si>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</si>
  <si>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</si>
  <si>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</si>
  <si>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</si>
  <si>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</si>
  <si>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</si>
  <si>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</si>
  <si>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</si>
  <si>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</si>
  <si>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</si>
  <si>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</si>
  <si>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</si>
  <si>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</si>
  <si>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</si>
  <si>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</si>
  <si>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</si>
  <si>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</si>
  <si>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</si>
  <si>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</si>
  <si>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</si>
  <si>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</si>
  <si>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</si>
  <si>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</si>
  <si>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</si>
  <si>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</si>
  <si>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</si>
  <si>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</si>
  <si>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</si>
  <si>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</si>
  <si>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</si>
  <si>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</si>
  <si>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</si>
  <si>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</si>
  <si>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</si>
  <si>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</si>
  <si>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</si>
  <si>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</si>
  <si>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</si>
  <si>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</si>
  <si>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</si>
  <si>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</si>
  <si>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</si>
  <si>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</si>
  <si>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</si>
  <si>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</si>
  <si>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</si>
  <si>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</si>
  <si>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</si>
  <si>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</si>
  <si>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</si>
  <si>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</si>
  <si>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</si>
  <si>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</si>
  <si>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</si>
  <si>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</si>
  <si>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</si>
  <si>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</si>
  <si>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</si>
  <si>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</si>
  <si>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</si>
  <si>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</si>
  <si>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</si>
  <si>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</si>
  <si>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</si>
  <si>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</si>
  <si>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</si>
  <si>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</si>
  <si>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</si>
  <si>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</si>
  <si>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</si>
  <si>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</si>
  <si>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</si>
  <si>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</si>
  <si>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</si>
  <si>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</si>
  <si>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</si>
  <si>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</si>
  <si>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</si>
  <si>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</si>
  <si>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</si>
  <si>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</si>
  <si>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</si>
  <si>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</si>
  <si>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</si>
  <si>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</si>
  <si>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</si>
  <si>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</si>
  <si>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</si>
  <si>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</si>
  <si>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</si>
  <si>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</si>
  <si>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</si>
  <si>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</si>
  <si>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</si>
  <si>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</si>
  <si>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</si>
  <si>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</si>
  <si>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</si>
  <si>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</si>
  <si>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</si>
  <si>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</si>
  <si>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</si>
  <si>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</si>
  <si>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</si>
  <si>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</si>
  <si>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</si>
  <si>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</si>
  <si>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</si>
  <si>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</si>
  <si>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</si>
  <si>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</si>
  <si>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</si>
  <si>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</si>
  <si>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</si>
  <si>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</si>
  <si>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</si>
  <si>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</si>
  <si>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</si>
  <si>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</si>
  <si>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</si>
  <si>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</si>
  <si>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</si>
  <si>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</si>
  <si>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</si>
  <si>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</si>
  <si>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</si>
  <si>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</si>
  <si>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</si>
  <si>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</si>
  <si>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</si>
  <si>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</si>
  <si>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</si>
  <si>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</si>
  <si>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</si>
  <si>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</si>
  <si>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</si>
  <si>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</si>
  <si>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</si>
  <si>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</si>
  <si>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</si>
  <si>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</si>
  <si>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</si>
  <si>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</si>
  <si>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</si>
  <si>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</si>
  <si>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</si>
  <si>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</si>
  <si>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</si>
  <si>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</si>
  <si>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</si>
  <si>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</si>
  <si>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</si>
  <si>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</si>
  <si>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</si>
  <si>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</si>
  <si>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</si>
  <si>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</si>
  <si>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</si>
  <si>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</si>
  <si>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</si>
  <si>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</si>
  <si>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</si>
  <si>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</si>
  <si>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</si>
  <si>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</si>
  <si>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</si>
  <si>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</si>
  <si>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</si>
  <si>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</si>
  <si>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</si>
  <si>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</si>
  <si>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</si>
  <si>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</si>
  <si>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</si>
  <si>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</si>
  <si>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</si>
  <si>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</si>
  <si>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</si>
  <si>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</si>
  <si>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</si>
  <si>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</si>
  <si>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</si>
  <si>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</si>
  <si>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</si>
  <si>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</si>
  <si>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</si>
  <si>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</si>
  <si>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</si>
  <si>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</si>
  <si>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</si>
  <si>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</si>
  <si>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</si>
  <si>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</si>
  <si>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</si>
  <si>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</si>
  <si>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</si>
  <si>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</si>
  <si>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</si>
  <si>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</si>
  <si>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</si>
  <si>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</si>
  <si>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</si>
  <si>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</si>
  <si>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</si>
  <si>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</si>
  <si>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</si>
  <si>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</si>
  <si>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</si>
  <si>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</si>
  <si>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</si>
  <si>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</si>
  <si>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</si>
  <si>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</si>
  <si>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</si>
  <si>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</si>
  <si>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</si>
  <si>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</si>
  <si>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</si>
  <si>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</si>
  <si>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</si>
  <si>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</si>
  <si>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</si>
  <si>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</si>
  <si>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</si>
  <si>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</si>
  <si>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</si>
  <si>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</si>
  <si>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</si>
  <si>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</si>
  <si>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</si>
  <si>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</si>
  <si>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</si>
  <si>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</si>
  <si>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</si>
  <si>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</si>
  <si>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</si>
  <si>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</si>
  <si>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</si>
  <si>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</si>
  <si>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</si>
  <si>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</si>
  <si>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</si>
  <si>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</si>
  <si>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</si>
  <si>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</si>
  <si>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</si>
  <si>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</si>
  <si>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</si>
  <si>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</si>
  <si>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</si>
  <si>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</si>
  <si>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</si>
  <si>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</si>
  <si>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</si>
  <si>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</si>
  <si>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</si>
  <si>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</si>
  <si>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</si>
  <si>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</si>
  <si>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</si>
  <si>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</si>
  <si>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</si>
  <si>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</si>
  <si>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</si>
  <si>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</si>
  <si>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</si>
  <si>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</si>
  <si>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</si>
  <si>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</si>
  <si>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</si>
  <si>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</si>
  <si>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</si>
  <si>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</si>
  <si>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</si>
  <si>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</si>
  <si>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</si>
  <si>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</si>
  <si>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</si>
  <si>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</si>
  <si>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</si>
  <si>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</si>
  <si>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</si>
  <si>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</si>
  <si>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</si>
  <si>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</si>
  <si>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</si>
  <si>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</si>
  <si>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</si>
  <si>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</si>
  <si>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</si>
  <si>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</si>
  <si>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</si>
  <si>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</si>
  <si>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</si>
  <si>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</si>
  <si>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</si>
  <si>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</si>
  <si>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</si>
  <si>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</si>
  <si>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</si>
  <si>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</si>
  <si>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</si>
  <si>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</si>
  <si>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</si>
  <si>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</si>
  <si>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</si>
  <si>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</si>
  <si>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</si>
  <si>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</si>
  <si>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</si>
  <si>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</si>
  <si>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</si>
  <si>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</si>
  <si>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</si>
  <si>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</si>
  <si>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</si>
  <si>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</si>
  <si>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</si>
  <si>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</si>
  <si>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</si>
  <si>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</si>
  <si>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</si>
  <si>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</si>
  <si>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</si>
  <si>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</si>
  <si>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</si>
  <si>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</si>
  <si>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</si>
  <si>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</si>
  <si>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</si>
  <si>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</si>
  <si>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</si>
  <si>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</si>
  <si>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</si>
  <si>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</si>
  <si>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</si>
  <si>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</si>
  <si>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</si>
  <si>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</si>
  <si>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</si>
  <si>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</si>
  <si>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</si>
  <si>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</si>
  <si>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</si>
  <si>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</si>
  <si>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</si>
  <si>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</si>
  <si>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</si>
  <si>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</si>
  <si>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</si>
  <si>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</si>
  <si>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</si>
  <si>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</si>
  <si>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</si>
  <si>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</si>
  <si>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</si>
  <si>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</si>
  <si>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</si>
  <si>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</si>
  <si>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</si>
  <si>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</si>
  <si>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</si>
  <si>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</si>
  <si>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</si>
  <si>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</si>
  <si>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</si>
  <si>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</si>
  <si>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</si>
  <si>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</si>
  <si>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</si>
  <si>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</si>
  <si>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</si>
  <si>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</si>
  <si>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</si>
  <si>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</si>
  <si>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</si>
  <si>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</si>
  <si>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</si>
  <si>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</si>
  <si>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</si>
  <si>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</si>
  <si>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</si>
  <si>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</si>
  <si>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</si>
  <si>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</si>
  <si>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</si>
  <si>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</si>
  <si>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</si>
  <si>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</si>
  <si>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</si>
  <si>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</si>
  <si>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</si>
  <si>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</si>
  <si>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</si>
  <si>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</si>
  <si>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</si>
  <si>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</si>
  <si>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</si>
  <si>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</si>
  <si>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</si>
  <si>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</si>
  <si>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</si>
  <si>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</si>
  <si>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</si>
  <si>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</si>
  <si>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</si>
  <si>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</si>
  <si>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</si>
  <si>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</si>
  <si>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</si>
  <si>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</si>
  <si>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</si>
  <si>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</si>
  <si>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</si>
  <si>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</si>
  <si>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</si>
  <si>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</si>
  <si>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</si>
  <si>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</si>
  <si>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</si>
  <si>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</si>
  <si>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</si>
  <si>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</si>
  <si>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</si>
  <si>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</si>
  <si>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</si>
  <si>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</si>
  <si>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</si>
  <si>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</si>
  <si>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</si>
  <si>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</si>
  <si>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</si>
  <si>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</si>
  <si>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</si>
  <si>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</si>
  <si>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</si>
  <si>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</si>
  <si>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</si>
  <si>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</si>
  <si>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</si>
  <si>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</si>
  <si>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</si>
  <si>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</si>
  <si>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</si>
  <si>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</si>
  <si>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</si>
  <si>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</si>
  <si>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</si>
  <si>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</si>
  <si>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</si>
  <si>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</si>
  <si>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</si>
  <si>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</si>
  <si>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</si>
  <si>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</si>
  <si>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</si>
  <si>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</si>
  <si>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</si>
  <si>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</si>
  <si>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</si>
  <si>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</si>
  <si>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</si>
  <si>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</si>
  <si>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</si>
  <si>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</si>
  <si>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</si>
  <si>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</si>
  <si>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</si>
  <si>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</si>
  <si>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</si>
  <si>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</si>
  <si>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</si>
  <si>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</si>
  <si>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</si>
  <si>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</si>
  <si>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</si>
  <si>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</si>
  <si>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</si>
  <si>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</si>
  <si>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</si>
  <si>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</si>
  <si>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</si>
  <si>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</si>
  <si>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</si>
  <si>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</si>
  <si>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</si>
  <si>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</si>
  <si>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</si>
  <si>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</si>
  <si>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</si>
  <si>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</si>
  <si>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</si>
  <si>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</si>
  <si>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</si>
  <si>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</si>
  <si>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</si>
  <si>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</si>
  <si>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</si>
  <si>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</si>
  <si>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</si>
  <si>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</si>
  <si>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</si>
  <si>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</si>
  <si>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</si>
  <si>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</si>
  <si>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</si>
  <si>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</si>
  <si>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</si>
  <si>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</si>
  <si>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</si>
  <si>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</si>
  <si>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</si>
  <si>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</si>
  <si>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</si>
  <si>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</si>
  <si>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</si>
  <si>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</si>
  <si>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</si>
  <si>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</si>
  <si>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</si>
  <si>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</si>
  <si>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</si>
  <si>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</si>
  <si>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</si>
  <si>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</si>
  <si>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</si>
  <si>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</si>
  <si>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</si>
  <si>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</si>
  <si>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</si>
  <si>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</si>
  <si>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</si>
  <si>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</si>
  <si>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</si>
  <si>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</si>
  <si>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</si>
  <si>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</si>
  <si>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</si>
  <si>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</si>
  <si>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</si>
  <si>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</si>
  <si>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</si>
  <si>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</si>
  <si>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</si>
  <si>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</si>
  <si>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</si>
  <si>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</si>
  <si>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</si>
  <si>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</si>
  <si>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</si>
  <si>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</si>
  <si>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</si>
  <si>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</si>
  <si>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</si>
  <si>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</si>
  <si>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</si>
  <si>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</si>
  <si>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</si>
  <si>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</si>
  <si>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</si>
  <si>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</si>
  <si>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</si>
  <si>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</si>
  <si>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</si>
  <si>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</si>
  <si>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</si>
  <si>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</si>
  <si>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</si>
  <si>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</si>
  <si>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</si>
  <si>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</si>
  <si>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</si>
  <si>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</si>
  <si>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</si>
  <si>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</si>
  <si>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</si>
  <si>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</si>
  <si>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</si>
  <si>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</si>
  <si>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</si>
  <si>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</si>
  <si>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</si>
  <si>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</si>
  <si>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</si>
  <si>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</si>
  <si>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</si>
  <si>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</si>
  <si>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</si>
  <si>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</si>
  <si>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</si>
  <si>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</si>
  <si>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</si>
  <si>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</si>
  <si>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</si>
  <si>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</si>
  <si>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</si>
  <si>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</si>
  <si>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</si>
  <si>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</si>
  <si>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</si>
  <si>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</si>
  <si>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</si>
  <si>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</si>
  <si>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</si>
  <si>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</si>
  <si>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</si>
  <si>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</si>
  <si>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</si>
  <si>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</si>
  <si>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</si>
  <si>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</si>
  <si>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</si>
  <si>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</si>
  <si>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</si>
  <si>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</si>
  <si>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</si>
  <si>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</si>
  <si>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</si>
  <si>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</si>
  <si>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</si>
  <si>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</si>
  <si>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</si>
  <si>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</si>
  <si>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</si>
  <si>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</si>
  <si>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</si>
  <si>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</si>
  <si>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</si>
  <si>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</si>
  <si>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</si>
  <si>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</si>
  <si>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</si>
  <si>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</si>
  <si>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</si>
  <si>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</si>
  <si>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</si>
  <si>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</si>
  <si>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</si>
  <si>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</si>
  <si>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</si>
  <si>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</si>
  <si>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</si>
  <si>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</si>
  <si>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</si>
  <si>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</si>
  <si>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</si>
  <si>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</si>
  <si>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</si>
  <si>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</si>
  <si>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</si>
  <si>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</si>
  <si>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</si>
  <si>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</si>
  <si>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</si>
  <si>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</si>
  <si>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</si>
  <si>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</si>
  <si>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</si>
  <si>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</si>
  <si>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</si>
  <si>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</si>
  <si>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</si>
  <si>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</si>
  <si>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</si>
  <si>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</si>
  <si>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</si>
  <si>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</si>
  <si>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</si>
  <si>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</si>
  <si>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</si>
  <si>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</si>
  <si>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</si>
  <si>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</si>
  <si>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</si>
  <si>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</si>
  <si>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</si>
  <si>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</si>
  <si>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</si>
  <si>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</si>
  <si>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</si>
  <si>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</si>
  <si>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</si>
  <si>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</si>
  <si>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</si>
  <si>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</si>
  <si>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</si>
  <si>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</si>
  <si>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</si>
  <si>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</si>
  <si>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</si>
  <si>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</si>
  <si>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</si>
  <si>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</si>
  <si>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</si>
  <si>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</si>
  <si>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</si>
  <si>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</si>
  <si>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</si>
  <si>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</si>
  <si>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</si>
  <si>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</si>
  <si>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</si>
  <si>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</si>
  <si>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</si>
  <si>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</si>
  <si>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</si>
  <si>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</si>
  <si>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</si>
  <si>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</si>
  <si>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</si>
  <si>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</si>
  <si>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</si>
  <si>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</si>
  <si>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</si>
  <si>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</si>
  <si>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</si>
  <si>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</si>
  <si>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</si>
  <si>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</si>
  <si>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</si>
  <si>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</si>
  <si>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</si>
  <si>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</si>
  <si>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</si>
  <si>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</si>
  <si>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</si>
  <si>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</si>
  <si>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</si>
  <si>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</si>
  <si>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</si>
  <si>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</si>
  <si>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</si>
  <si>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</si>
  <si>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</si>
  <si>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</si>
  <si>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</si>
  <si>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</si>
  <si>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</si>
  <si>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</si>
  <si>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</si>
  <si>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</si>
  <si>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</si>
  <si>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</si>
  <si>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</si>
  <si>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</si>
  <si>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</si>
  <si>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</si>
  <si>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</si>
  <si>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</si>
  <si>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</si>
  <si>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</si>
  <si>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</si>
  <si>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</si>
  <si>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</si>
  <si>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</si>
  <si>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</si>
  <si>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</si>
  <si>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</si>
  <si>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</si>
  <si>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</si>
  <si>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</si>
  <si>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</si>
  <si>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</si>
  <si>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</si>
  <si>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</si>
  <si>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</si>
  <si>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</si>
  <si>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</si>
  <si>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</si>
  <si>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</si>
  <si>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</si>
  <si>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</si>
  <si>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</si>
  <si>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</si>
  <si>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</si>
  <si>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</si>
  <si>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</si>
  <si>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</si>
  <si>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</si>
  <si>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</si>
  <si>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</si>
  <si>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</si>
  <si>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</si>
  <si>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</si>
  <si>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</si>
  <si>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</si>
  <si>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</si>
  <si>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</si>
  <si>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</si>
  <si>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</si>
  <si>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</si>
  <si>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</si>
  <si>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</si>
  <si>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</si>
  <si>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</si>
  <si>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</si>
  <si>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</si>
  <si>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</si>
  <si>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</si>
  <si>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</si>
  <si>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</si>
  <si>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</si>
  <si>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</si>
  <si>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</si>
  <si>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</si>
  <si>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</si>
  <si>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</si>
  <si>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</si>
  <si>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</si>
  <si>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</si>
  <si>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</si>
  <si>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</si>
  <si>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</si>
  <si>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</si>
  <si>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</si>
  <si>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</si>
  <si>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</si>
  <si>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</si>
  <si>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</si>
  <si>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</si>
  <si>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</si>
  <si>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</si>
  <si>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</si>
  <si>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</si>
  <si>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</si>
  <si>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</si>
  <si>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</si>
  <si>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</si>
  <si>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</si>
  <si>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</si>
  <si>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</si>
  <si>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</si>
  <si>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</si>
  <si>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</si>
  <si>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</si>
  <si>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</si>
  <si>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</si>
  <si>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</si>
  <si>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</si>
  <si>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</si>
  <si>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</si>
  <si>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</si>
  <si>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</si>
  <si>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</si>
  <si>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</si>
  <si>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</si>
  <si>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</si>
  <si>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</si>
  <si>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</si>
  <si>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</si>
  <si>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</si>
  <si>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</si>
  <si>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</si>
  <si>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</si>
  <si>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</si>
  <si>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</si>
  <si>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</si>
  <si>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</si>
  <si>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</si>
  <si>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</si>
  <si>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</si>
  <si>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</si>
  <si>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</si>
  <si>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</si>
  <si>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</si>
  <si>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</si>
  <si>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</si>
  <si>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</si>
  <si>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</si>
  <si>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</si>
  <si>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</si>
  <si>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</si>
  <si>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</si>
  <si>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</si>
  <si>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</si>
  <si>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</si>
  <si>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</si>
  <si>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</si>
  <si>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</si>
  <si>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</si>
  <si>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</si>
  <si>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</si>
  <si>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</si>
  <si>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</si>
  <si>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</si>
  <si>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</si>
  <si>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</si>
  <si>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</si>
  <si>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</si>
  <si>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</si>
  <si>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</si>
  <si>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</si>
  <si>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</si>
  <si>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</si>
  <si>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</si>
  <si>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</si>
  <si>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</si>
  <si>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</si>
  <si>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</si>
  <si>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</si>
  <si>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</si>
  <si>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</si>
  <si>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</si>
  <si>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</si>
  <si>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</si>
  <si>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</si>
  <si>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</si>
  <si>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</si>
  <si>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</si>
  <si>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</si>
  <si>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</si>
  <si>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</si>
  <si>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</si>
  <si>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</si>
  <si>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</si>
  <si>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</si>
  <si>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</si>
  <si>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</si>
  <si>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</si>
  <si>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</si>
  <si>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</si>
  <si>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</si>
  <si>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</si>
  <si>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</si>
  <si>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</si>
  <si>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</si>
  <si>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</si>
  <si>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</si>
  <si>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</si>
  <si>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</si>
  <si>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</si>
  <si>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</si>
  <si>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</si>
  <si>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</si>
  <si>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</si>
  <si>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</si>
  <si>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</si>
  <si>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</si>
  <si>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</si>
  <si>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</si>
  <si>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</si>
  <si>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</si>
  <si>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</si>
  <si>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</si>
  <si>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</si>
  <si>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</si>
  <si>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</si>
  <si>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</si>
  <si>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</si>
  <si>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</si>
  <si>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</si>
  <si>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</si>
  <si>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</si>
  <si>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</si>
  <si>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</si>
  <si>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</si>
  <si>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</si>
  <si>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</si>
  <si>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</si>
  <si>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</si>
  <si>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</si>
  <si>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</si>
  <si>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</si>
  <si>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</si>
  <si>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</si>
  <si>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</si>
  <si>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</si>
  <si>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</si>
  <si>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</si>
  <si>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</si>
  <si>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</si>
  <si>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</si>
  <si>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</si>
  <si>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</si>
  <si>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</si>
  <si>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</si>
  <si>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</si>
  <si>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</si>
  <si>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</si>
  <si>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</si>
  <si>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</si>
  <si>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</si>
  <si>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</si>
  <si>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</si>
  <si>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</si>
  <si>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</si>
  <si>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</si>
  <si>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</si>
  <si>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</si>
  <si>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</si>
  <si>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</si>
  <si>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</si>
  <si>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</si>
  <si>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</si>
  <si>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</si>
  <si>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</si>
  <si>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</si>
  <si>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</si>
  <si>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</si>
  <si>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</si>
  <si>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</si>
  <si>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</si>
  <si>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</si>
  <si>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</si>
  <si>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</si>
  <si>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</si>
  <si>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</si>
  <si>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</si>
  <si>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</si>
  <si>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</si>
  <si>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</si>
  <si>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</si>
  <si>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</si>
  <si>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</si>
  <si>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</si>
  <si>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</si>
  <si>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</si>
  <si>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</si>
  <si>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</si>
  <si>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</si>
  <si>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</si>
  <si>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</si>
  <si>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</si>
  <si>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</si>
  <si>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</si>
  <si>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</si>
  <si>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</si>
  <si>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</si>
  <si>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</si>
  <si>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</si>
  <si>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</si>
  <si>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</si>
  <si>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</si>
  <si>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</si>
  <si>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</si>
  <si>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</si>
  <si>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</si>
  <si>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</si>
  <si>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</si>
  <si>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</si>
  <si>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</si>
  <si>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</si>
  <si>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</si>
  <si>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</si>
  <si>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</si>
  <si>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</si>
  <si>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</si>
  <si>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</si>
  <si>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</si>
  <si>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</si>
  <si>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</si>
  <si>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</si>
  <si>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</si>
  <si>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</si>
  <si>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</si>
  <si>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</si>
  <si>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</si>
  <si>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</si>
  <si>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</si>
  <si>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</si>
  <si>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</si>
  <si>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</si>
  <si>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</si>
  <si>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</si>
  <si>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</si>
  <si>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</si>
  <si>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</si>
  <si>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</si>
  <si>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</si>
  <si>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</si>
  <si>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</si>
  <si>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</si>
  <si>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</si>
  <si>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</si>
  <si>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</si>
  <si>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</si>
  <si>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</si>
  <si>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</si>
  <si>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</si>
  <si>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</si>
  <si>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</si>
  <si>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</si>
  <si>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</si>
  <si>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</si>
  <si>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</si>
  <si>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</si>
  <si>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</si>
  <si>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</si>
  <si>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</si>
  <si>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</si>
  <si>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</si>
  <si>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</si>
  <si>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</si>
  <si>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</si>
  <si>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</si>
  <si>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</si>
  <si>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</si>
  <si>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</si>
  <si>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</si>
  <si>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</si>
  <si>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</si>
  <si>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</si>
  <si>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</si>
  <si>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</si>
  <si>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</si>
  <si>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</si>
  <si>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</si>
  <si>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</si>
  <si>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</si>
  <si>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</si>
  <si>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</si>
  <si>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</si>
  <si>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</si>
  <si>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</si>
  <si>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</si>
  <si>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</si>
  <si>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</si>
  <si>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</si>
  <si>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</si>
  <si>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</si>
  <si>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</si>
  <si>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</si>
  <si>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</si>
  <si>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</si>
  <si>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</si>
  <si>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</si>
  <si>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</si>
  <si>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</si>
  <si>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</si>
  <si>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</si>
  <si>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</si>
  <si>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</si>
  <si>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</si>
  <si>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</si>
  <si>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</si>
  <si>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</si>
  <si>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</si>
  <si>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</si>
  <si>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</si>
  <si>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</si>
  <si>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</si>
  <si>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</si>
  <si>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</si>
  <si>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</si>
  <si>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</si>
  <si>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</si>
  <si>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</si>
  <si>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</si>
  <si>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</si>
  <si>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</si>
  <si>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</si>
  <si>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</si>
  <si>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</si>
  <si>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</si>
  <si>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</si>
  <si>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</si>
  <si>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</si>
  <si>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</si>
  <si>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</si>
  <si>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</si>
  <si>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</si>
  <si>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</si>
  <si>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</si>
  <si>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</si>
  <si>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</si>
  <si>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</si>
  <si>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</si>
  <si>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</si>
  <si>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</si>
  <si>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</si>
  <si>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</si>
  <si>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</si>
  <si>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</si>
  <si>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</si>
  <si>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</si>
  <si>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</si>
  <si>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</si>
  <si>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</si>
  <si>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</si>
  <si>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</si>
  <si>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</si>
  <si>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</si>
  <si>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</si>
  <si>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</si>
  <si>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</si>
  <si>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</si>
  <si>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</si>
  <si>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</si>
  <si>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</si>
  <si>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</si>
  <si>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</si>
  <si>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</si>
  <si>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</si>
  <si>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</si>
  <si>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</si>
  <si>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</si>
  <si>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</si>
  <si>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</si>
  <si>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</si>
  <si>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</si>
  <si>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</si>
  <si>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</si>
  <si>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</si>
  <si>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</si>
  <si>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</si>
  <si>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</si>
  <si>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</si>
  <si>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</si>
  <si>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</si>
  <si>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</si>
  <si>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</si>
  <si>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</si>
  <si>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</si>
  <si>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</si>
  <si>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</si>
  <si>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</si>
  <si>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</si>
  <si>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</si>
  <si>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</si>
  <si>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</si>
  <si>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</si>
  <si>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</si>
  <si>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</si>
  <si>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</si>
  <si>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</si>
  <si>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</si>
  <si>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</si>
  <si>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</si>
  <si>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</si>
  <si>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</si>
  <si>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</si>
  <si>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</si>
  <si>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</si>
  <si>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</si>
  <si>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</si>
  <si>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</si>
  <si>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</si>
  <si>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</si>
  <si>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</si>
  <si>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</si>
  <si>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</si>
  <si>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</si>
  <si>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</si>
  <si>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</si>
  <si>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</si>
  <si>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</si>
  <si>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</si>
  <si>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</si>
  <si>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</si>
  <si>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</si>
  <si>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</si>
  <si>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</si>
  <si>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</si>
  <si>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</si>
  <si>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</si>
  <si>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</si>
  <si>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</si>
  <si>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</si>
  <si>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</si>
  <si>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</si>
  <si>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</si>
  <si>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</si>
  <si>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</si>
  <si>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</si>
  <si>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</si>
  <si>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</si>
  <si>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</si>
  <si>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</si>
  <si>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</si>
  <si>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</si>
  <si>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</si>
  <si>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</si>
  <si>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</si>
  <si>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</si>
  <si>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</si>
  <si>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</si>
  <si>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</si>
  <si>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</si>
  <si>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</si>
  <si>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</si>
  <si>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</si>
  <si>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</si>
  <si>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</si>
  <si>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</si>
  <si>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</si>
  <si>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</si>
  <si>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</si>
  <si>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</si>
  <si>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</si>
  <si>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</si>
  <si>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</si>
  <si>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</si>
  <si>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</si>
  <si>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</si>
  <si>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</si>
  <si>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</si>
  <si>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</si>
  <si>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</si>
  <si>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</si>
  <si>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</si>
  <si>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</si>
  <si>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</si>
  <si>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</si>
  <si>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</si>
  <si>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</si>
  <si>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</si>
  <si>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</si>
  <si>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</si>
  <si>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</si>
  <si>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</si>
  <si>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</si>
  <si>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</si>
  <si>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</si>
  <si>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</si>
  <si>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</si>
  <si>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</si>
  <si>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</si>
  <si>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</si>
  <si>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</si>
  <si>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</si>
  <si>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</si>
  <si>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</si>
  <si>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</si>
  <si>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</si>
  <si>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</si>
  <si>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</si>
  <si>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</si>
  <si>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</si>
  <si>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</si>
  <si>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</si>
  <si>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</si>
  <si>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</si>
  <si>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</si>
  <si>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</si>
  <si>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</si>
  <si>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</si>
  <si>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</si>
  <si>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</si>
  <si>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</si>
  <si>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</si>
  <si>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</si>
  <si>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</si>
  <si>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</si>
  <si>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</si>
  <si>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</si>
  <si>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</si>
  <si>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</si>
  <si>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</si>
  <si>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</si>
  <si>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</si>
  <si>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</si>
  <si>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</si>
  <si>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</si>
  <si>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</si>
  <si>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</si>
  <si>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</si>
  <si>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</si>
  <si>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</si>
  <si>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</si>
  <si>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</si>
  <si>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</si>
  <si>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</si>
  <si>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</si>
  <si>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</si>
  <si>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</si>
  <si>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</si>
  <si>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</si>
  <si>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</si>
  <si>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</si>
  <si>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</si>
  <si>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</si>
  <si>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</si>
  <si>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</si>
  <si>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</si>
  <si>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</si>
  <si>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</si>
  <si>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</si>
  <si>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</si>
  <si>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</si>
  <si>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</si>
  <si>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</si>
  <si>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</si>
  <si>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</si>
  <si>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</si>
  <si>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</si>
  <si>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</si>
  <si>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</si>
  <si>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</si>
  <si>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</si>
  <si>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</si>
  <si>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</si>
  <si>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</si>
  <si>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</si>
  <si>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</si>
  <si>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</si>
  <si>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</si>
  <si>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</si>
  <si>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</si>
  <si>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</si>
  <si>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</si>
  <si>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</si>
  <si>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</si>
  <si>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</si>
  <si>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</si>
  <si>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</si>
  <si>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</si>
  <si>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</si>
  <si>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</si>
  <si>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</si>
  <si>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</si>
  <si>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</si>
  <si>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</si>
  <si>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</si>
  <si>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</si>
  <si>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</si>
  <si>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</si>
  <si>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</si>
  <si>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</si>
  <si>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</si>
  <si>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</si>
  <si>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</si>
  <si>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</si>
  <si>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</si>
  <si>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</si>
  <si>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</si>
  <si>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</si>
  <si>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</si>
  <si>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</si>
  <si>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</si>
  <si>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</si>
  <si>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</si>
  <si>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</si>
  <si>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</si>
  <si>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</si>
  <si>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</si>
  <si>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</si>
  <si>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</si>
  <si>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</si>
  <si>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</si>
  <si>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</si>
  <si>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</si>
  <si>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</si>
  <si>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</si>
  <si>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</si>
  <si>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</si>
  <si>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</si>
  <si>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</si>
  <si>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</si>
  <si>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</si>
  <si>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</si>
  <si>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</si>
  <si>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</si>
  <si>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</si>
  <si>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</si>
  <si>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</si>
  <si>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</si>
  <si>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</si>
  <si>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</si>
  <si>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</si>
  <si>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</si>
  <si>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</si>
  <si>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</si>
  <si>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</si>
  <si>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</si>
  <si>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</si>
  <si>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</si>
  <si>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</si>
  <si>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</si>
  <si>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</si>
  <si>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</si>
  <si>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</si>
  <si>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</si>
  <si>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</si>
  <si>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</si>
  <si>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</si>
  <si>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</si>
  <si>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</si>
  <si>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</si>
  <si>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</si>
  <si>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</si>
  <si>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</si>
  <si>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</si>
  <si>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</si>
  <si>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</si>
  <si>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</si>
  <si>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</si>
  <si>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</si>
  <si>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</si>
  <si>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</si>
  <si>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</si>
  <si>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</si>
  <si>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</si>
  <si>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</si>
  <si>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</si>
  <si>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</si>
  <si>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</si>
  <si>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</si>
  <si>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</si>
  <si>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</si>
  <si>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</si>
  <si>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</si>
  <si>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</si>
  <si>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</si>
  <si>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</si>
  <si>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</si>
  <si>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</si>
  <si>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</si>
  <si>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</si>
  <si>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</si>
  <si>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</si>
  <si>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</si>
  <si>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</si>
  <si>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</si>
  <si>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</si>
  <si>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</si>
  <si>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</si>
  <si>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</si>
  <si>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</si>
  <si>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</si>
  <si>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</si>
  <si>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</si>
  <si>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</si>
  <si>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</si>
  <si>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</si>
  <si>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</si>
  <si>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</si>
  <si>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</si>
  <si>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</si>
  <si>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</si>
  <si>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</si>
  <si>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</si>
  <si>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</si>
  <si>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</si>
  <si>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</si>
  <si>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</si>
  <si>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</si>
  <si>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</si>
  <si>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</si>
  <si>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</si>
  <si>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</si>
  <si>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</si>
  <si>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</si>
  <si>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</si>
  <si>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</si>
  <si>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</si>
  <si>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</si>
  <si>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</si>
  <si>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</si>
  <si>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</si>
  <si>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</si>
  <si>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</si>
  <si>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</si>
  <si>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</si>
  <si>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</si>
  <si>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</si>
  <si>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</si>
  <si>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</si>
  <si>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</si>
  <si>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</si>
  <si>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</si>
  <si>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</si>
  <si>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</si>
  <si>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</si>
  <si>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</si>
  <si>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</si>
  <si>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</si>
  <si>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</si>
  <si>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</si>
  <si>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</si>
  <si>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</si>
  <si>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</si>
  <si>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</si>
  <si>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</si>
  <si>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</si>
  <si>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</si>
  <si>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</si>
  <si>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</si>
  <si>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</si>
  <si>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</si>
  <si>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</si>
  <si>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</si>
  <si>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</si>
  <si>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</si>
  <si>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</si>
  <si>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</si>
  <si>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</si>
  <si>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</si>
  <si>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</si>
  <si>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</si>
  <si>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</si>
  <si>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</si>
  <si>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</si>
  <si>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</si>
  <si>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</si>
  <si>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</si>
  <si>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</si>
  <si>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</si>
  <si>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</si>
  <si>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</si>
  <si>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</si>
  <si>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</si>
  <si>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</si>
  <si>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</si>
  <si>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</si>
  <si>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</si>
  <si>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</si>
  <si>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</si>
  <si>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</si>
  <si>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</si>
  <si>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</si>
  <si>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</si>
  <si>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</si>
  <si>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</si>
  <si>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</si>
  <si>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</si>
  <si>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</si>
  <si>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</si>
  <si>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</si>
  <si>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</si>
  <si>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</si>
  <si>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</si>
  <si>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</si>
  <si>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</si>
  <si>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</si>
  <si>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</si>
  <si>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</si>
  <si>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</si>
  <si>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</si>
  <si>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</si>
  <si>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</si>
  <si>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</si>
  <si>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</si>
  <si>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</si>
  <si>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</si>
  <si>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</si>
  <si>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</si>
  <si>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</si>
  <si>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</si>
  <si>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</si>
  <si>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</si>
  <si>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</si>
  <si>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</si>
  <si>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</si>
  <si>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</si>
  <si>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</si>
  <si>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</si>
  <si>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</si>
  <si>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</si>
  <si>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</si>
  <si>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</si>
  <si>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</si>
  <si>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</si>
  <si>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</si>
  <si>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</si>
  <si>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</si>
  <si>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</si>
  <si>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</si>
  <si>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</si>
  <si>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</si>
  <si>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</si>
  <si>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</si>
  <si>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</si>
  <si>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</si>
  <si>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</si>
  <si>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</si>
  <si>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</si>
  <si>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</si>
  <si>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</si>
  <si>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</si>
  <si>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</si>
  <si>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</si>
  <si>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</si>
  <si>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</si>
  <si>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</si>
  <si>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</si>
  <si>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</si>
  <si>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</si>
  <si>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</si>
  <si>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</si>
  <si>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</si>
  <si>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</si>
  <si>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</si>
  <si>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</si>
  <si>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</si>
  <si>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</si>
  <si>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</si>
  <si>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</si>
  <si>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</si>
  <si>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</si>
  <si>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</si>
  <si>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</si>
  <si>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</si>
  <si>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</si>
  <si>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</si>
  <si>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</si>
  <si>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</si>
  <si>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</si>
  <si>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</si>
  <si>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</si>
  <si>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</si>
  <si>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</si>
  <si>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</si>
  <si>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</si>
  <si>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</si>
  <si>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</si>
  <si>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</si>
  <si>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</si>
  <si>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</si>
  <si>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</si>
  <si>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</si>
  <si>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</si>
  <si>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</si>
  <si>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</si>
  <si>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</si>
  <si>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</si>
  <si>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</si>
  <si>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</si>
  <si>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</si>
  <si>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</si>
  <si>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</si>
  <si>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</si>
  <si>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</si>
  <si>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</si>
  <si>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</si>
  <si>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</si>
  <si>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</si>
  <si>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</si>
  <si>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</si>
  <si>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</si>
  <si>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</si>
  <si>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</si>
  <si>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</si>
  <si>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</si>
  <si>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</si>
  <si>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</si>
  <si>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</si>
  <si>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</si>
  <si>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</si>
  <si>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</si>
  <si>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</si>
  <si>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</si>
  <si>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</si>
  <si>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</si>
  <si>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</si>
  <si>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</si>
  <si>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</si>
  <si>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</si>
  <si>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</si>
  <si>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</si>
  <si>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</si>
  <si>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</si>
  <si>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</si>
  <si>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</si>
  <si>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</si>
  <si>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</si>
  <si>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</si>
  <si>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</si>
  <si>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</si>
  <si>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</si>
  <si>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</si>
  <si>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</si>
  <si>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</si>
  <si>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</si>
  <si>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</si>
  <si>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</si>
  <si>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</si>
  <si>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</si>
  <si>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</si>
  <si>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</si>
  <si>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</si>
  <si>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</si>
  <si>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</si>
  <si>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</si>
  <si>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</si>
  <si>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</si>
  <si>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</si>
  <si>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</si>
  <si>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</si>
  <si>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</si>
  <si>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</si>
  <si>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</si>
  <si>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</si>
  <si>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</si>
  <si>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</si>
  <si>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</si>
  <si>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</si>
  <si>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</si>
  <si>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</si>
  <si>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</si>
  <si>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</si>
  <si>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</si>
  <si>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</si>
  <si>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</si>
  <si>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</si>
  <si>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</si>
  <si>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</si>
  <si>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</si>
  <si>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</si>
  <si>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</si>
  <si>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</si>
  <si>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</si>
  <si>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</si>
  <si>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</si>
  <si>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</si>
  <si>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</si>
  <si>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</si>
  <si>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</si>
  <si>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</si>
  <si>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</si>
  <si>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</si>
  <si>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</si>
  <si>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</si>
  <si>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</si>
  <si>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</si>
  <si>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</si>
  <si>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</si>
  <si>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</si>
  <si>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</si>
  <si>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</si>
  <si>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</si>
  <si>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</si>
  <si>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</si>
  <si>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</si>
  <si>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</si>
  <si>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</si>
  <si>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</si>
  <si>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</si>
  <si>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</si>
  <si>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</si>
  <si>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</si>
  <si>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</si>
  <si>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</si>
  <si>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</si>
  <si>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</si>
  <si>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</si>
  <si>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</si>
  <si>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</si>
  <si>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</si>
  <si>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</si>
  <si>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</si>
  <si>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</si>
  <si>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</si>
  <si>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</si>
  <si>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</si>
  <si>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</si>
  <si>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</si>
  <si>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</si>
  <si>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</si>
  <si>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</si>
  <si>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</si>
  <si>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</si>
  <si>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</si>
  <si>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</si>
  <si>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</si>
  <si>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</si>
  <si>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</si>
  <si>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</si>
  <si>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</si>
  <si>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</si>
  <si>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</si>
  <si>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</si>
  <si>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</si>
  <si>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</si>
  <si>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</si>
  <si>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</si>
  <si>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</si>
  <si>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</si>
  <si>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</si>
  <si>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</si>
  <si>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</si>
  <si>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</si>
  <si>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</si>
  <si>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</si>
  <si>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</si>
  <si>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</si>
  <si>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</si>
  <si>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</si>
  <si>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</si>
  <si>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</si>
  <si>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</si>
  <si>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</si>
  <si>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</si>
  <si>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</si>
  <si>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</si>
  <si>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</si>
  <si>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</si>
  <si>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</si>
  <si>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</si>
  <si>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</si>
  <si>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</si>
  <si>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</si>
  <si>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</si>
  <si>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</si>
  <si>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</si>
  <si>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</si>
  <si>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</si>
  <si>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</si>
  <si>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</si>
  <si>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</si>
  <si>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</si>
  <si>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</si>
  <si>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</si>
  <si>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</si>
  <si>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</si>
  <si>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</si>
  <si>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</si>
  <si>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</si>
  <si>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</si>
  <si>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</si>
  <si>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</si>
  <si>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</si>
  <si>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</si>
  <si>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</si>
  <si>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</si>
  <si>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</si>
  <si>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</si>
  <si>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</si>
  <si>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</si>
  <si>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</si>
  <si>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</si>
  <si>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</si>
  <si>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</si>
  <si>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</si>
  <si>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</si>
  <si>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</si>
  <si>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</si>
  <si>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</si>
  <si>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</si>
  <si>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</si>
  <si>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</si>
  <si>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</si>
  <si>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</si>
  <si>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</si>
  <si>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</si>
  <si>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</si>
  <si>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</si>
  <si>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</si>
  <si>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</si>
  <si>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</si>
  <si>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</si>
  <si>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</si>
  <si>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</si>
  <si>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</si>
  <si>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</si>
  <si>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</si>
  <si>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</si>
  <si>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</si>
  <si>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</si>
  <si>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</si>
  <si>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</si>
  <si>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</si>
  <si>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</si>
  <si>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</si>
  <si>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</si>
  <si>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</si>
  <si>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</si>
  <si>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</si>
  <si>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</si>
  <si>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</si>
  <si>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</si>
  <si>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</si>
  <si>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</si>
  <si>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</si>
  <si>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</si>
  <si>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</si>
  <si>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</si>
  <si>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</si>
  <si>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</si>
  <si>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</si>
  <si>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</si>
  <si>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</si>
  <si>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</si>
  <si>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</si>
  <si>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</si>
  <si>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</si>
  <si>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</si>
  <si>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</si>
  <si>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</si>
  <si>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</si>
  <si>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</si>
  <si>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</si>
  <si>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</si>
  <si>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</si>
  <si>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</si>
  <si>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</si>
  <si>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</si>
  <si>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</si>
  <si>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</si>
  <si>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</si>
  <si>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</si>
  <si>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</si>
  <si>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</si>
  <si>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</si>
  <si>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</si>
  <si>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</si>
  <si>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</si>
  <si>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</si>
  <si>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</si>
  <si>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</si>
  <si>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</si>
  <si>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</si>
  <si>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</si>
  <si>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</si>
  <si>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</si>
  <si>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</si>
  <si>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</si>
  <si>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</si>
  <si>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</si>
  <si>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</si>
  <si>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</si>
  <si>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</si>
  <si>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</si>
  <si>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</si>
  <si>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</si>
  <si>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</si>
  <si>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</si>
  <si>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</si>
  <si>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</si>
  <si>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</si>
  <si>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</si>
  <si>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</si>
  <si>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</si>
  <si>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</si>
  <si>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</si>
  <si>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</si>
  <si>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</si>
  <si>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</si>
  <si>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</si>
  <si>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</si>
  <si>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</si>
  <si>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</si>
  <si>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</si>
  <si>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</si>
  <si>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</si>
  <si>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</si>
  <si>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</si>
  <si>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</si>
  <si>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</si>
  <si>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</si>
  <si>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</si>
  <si>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</si>
  <si>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</si>
  <si>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</si>
  <si>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</si>
  <si>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</si>
  <si>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</si>
  <si>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</si>
  <si>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</si>
  <si>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</si>
  <si>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</si>
  <si>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</si>
  <si>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</si>
  <si>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</si>
  <si>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</si>
  <si>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</si>
  <si>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</si>
  <si>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</si>
  <si>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</si>
  <si>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</si>
  <si>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</si>
  <si>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</si>
  <si>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</si>
  <si>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</si>
  <si>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</si>
  <si>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</si>
  <si>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</si>
  <si>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</si>
  <si>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</si>
  <si>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</si>
  <si>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</si>
  <si>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</si>
  <si>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</si>
  <si>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</si>
  <si>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</si>
  <si>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</si>
  <si>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</si>
  <si>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</si>
  <si>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</si>
  <si>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</si>
  <si>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</si>
  <si>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</si>
  <si>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</si>
  <si>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</si>
  <si>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</si>
  <si>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</si>
  <si>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</si>
  <si>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</si>
  <si>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</si>
  <si>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</si>
  <si>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</si>
  <si>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</si>
  <si>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</si>
  <si>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</si>
  <si>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</si>
  <si>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</si>
  <si>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</si>
  <si>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</si>
  <si>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</si>
  <si>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</si>
  <si>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</si>
  <si>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</si>
  <si>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</si>
  <si>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</si>
  <si>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</si>
  <si>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</si>
  <si>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</si>
  <si>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</si>
  <si>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</si>
  <si>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</si>
  <si>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</si>
  <si>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</si>
  <si>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</si>
  <si>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</si>
  <si>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</si>
  <si>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</si>
  <si>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</si>
  <si>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</si>
  <si>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</si>
  <si>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</si>
  <si>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</si>
  <si>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</si>
  <si>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</si>
  <si>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</si>
  <si>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</si>
  <si>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</si>
  <si>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</si>
  <si>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</si>
  <si>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</si>
  <si>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</si>
  <si>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</si>
  <si>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</si>
  <si>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</si>
  <si>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</si>
  <si>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</si>
  <si>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</si>
  <si>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</si>
  <si>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</si>
  <si>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</si>
  <si>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</si>
  <si>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</si>
  <si>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</si>
  <si>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</si>
  <si>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</si>
  <si>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</si>
  <si>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</si>
  <si>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</si>
  <si>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</si>
  <si>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</si>
  <si>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</si>
  <si>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</si>
  <si>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</si>
  <si>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</si>
  <si>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</si>
  <si>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</si>
  <si>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</si>
  <si>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</si>
  <si>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</si>
  <si>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</si>
  <si>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</si>
  <si>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</si>
  <si>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</si>
  <si>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</si>
  <si>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</si>
  <si>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</si>
  <si>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</si>
  <si>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</si>
  <si>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</si>
  <si>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</si>
  <si>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</si>
  <si>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</si>
  <si>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</si>
  <si>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</si>
  <si>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</si>
  <si>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</si>
  <si>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</si>
  <si>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</si>
  <si>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</si>
  <si>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</si>
  <si>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</si>
  <si>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</si>
  <si>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</si>
  <si>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</si>
  <si>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</si>
  <si>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</si>
  <si>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</si>
  <si>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</si>
  <si>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</si>
  <si>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</si>
  <si>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</si>
  <si>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</si>
  <si>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</si>
  <si>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</si>
  <si>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</si>
  <si>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</si>
  <si>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</si>
  <si>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</si>
  <si>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</si>
  <si>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</si>
  <si>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</si>
  <si>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</si>
  <si>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</si>
  <si>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</si>
  <si>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</si>
  <si>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</si>
  <si>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</si>
  <si>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</si>
  <si>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</si>
  <si>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</si>
  <si>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</si>
  <si>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</si>
  <si>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</si>
  <si>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</si>
  <si>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</si>
  <si>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</si>
  <si>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</si>
  <si>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</si>
  <si>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</si>
  <si>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</si>
  <si>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</si>
  <si>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</si>
  <si>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</si>
  <si>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</si>
  <si>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</si>
  <si>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</si>
  <si>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</si>
  <si>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</si>
  <si>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</si>
  <si>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</si>
  <si>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</si>
  <si>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</si>
  <si>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</si>
  <si>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</si>
  <si>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</si>
  <si>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</si>
  <si>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</si>
  <si>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</si>
  <si>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</si>
  <si>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</si>
  <si>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</si>
  <si>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</si>
  <si>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</si>
  <si>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</si>
  <si>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</si>
  <si>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</si>
  <si>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</si>
  <si>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</si>
  <si>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</si>
  <si>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</si>
  <si>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</si>
  <si>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</si>
  <si>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</si>
  <si>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</si>
  <si>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</si>
  <si>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</si>
  <si>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</si>
  <si>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</si>
  <si>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</si>
  <si>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</si>
  <si>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</si>
  <si>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</si>
  <si>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</si>
  <si>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</si>
  <si>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</si>
  <si>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</si>
  <si>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</si>
  <si>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</si>
  <si>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</si>
  <si>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</si>
  <si>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</si>
  <si>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</si>
  <si>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</si>
  <si>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</si>
  <si>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</si>
  <si>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</si>
  <si>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</si>
  <si>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</si>
  <si>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</si>
  <si>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</si>
  <si>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</si>
  <si>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</si>
  <si>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</si>
  <si>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</si>
  <si>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</si>
  <si>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</si>
  <si>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</si>
  <si>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</si>
  <si>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</si>
  <si>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</si>
  <si>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</si>
  <si>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</si>
  <si>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</si>
  <si>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</si>
  <si>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</si>
  <si>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</si>
  <si>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</si>
  <si>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</si>
  <si>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</si>
  <si>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</si>
  <si>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</si>
  <si>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</si>
  <si>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</si>
  <si>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</si>
  <si>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</si>
  <si>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</si>
  <si>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</si>
  <si>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</si>
  <si>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</si>
  <si>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</si>
  <si>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</si>
  <si>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</si>
  <si>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</si>
  <si>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</si>
  <si>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</si>
  <si>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</si>
  <si>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</si>
  <si>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</si>
  <si>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</si>
  <si>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</si>
  <si>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</si>
  <si>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</si>
  <si>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</si>
  <si>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</si>
  <si>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</si>
  <si>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</si>
  <si>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</si>
  <si>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</si>
  <si>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</si>
  <si>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</si>
  <si>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</si>
  <si>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</si>
  <si>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</si>
  <si>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</si>
  <si>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</si>
  <si>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</si>
  <si>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</si>
  <si>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</si>
  <si>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</si>
  <si>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</si>
  <si>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</si>
  <si>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</si>
  <si>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</si>
  <si>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</si>
  <si>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</si>
  <si>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</si>
  <si>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</si>
  <si>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</si>
  <si>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</si>
  <si>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</si>
  <si>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</si>
  <si>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</si>
  <si>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</si>
  <si>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</si>
  <si>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</si>
  <si>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</si>
  <si>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</si>
  <si>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</si>
  <si>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</si>
  <si>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</si>
  <si>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</si>
  <si>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</si>
  <si>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</si>
  <si>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</si>
  <si>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</si>
  <si>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</si>
  <si>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</si>
  <si>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</si>
  <si>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</si>
  <si>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</si>
  <si>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</si>
  <si>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</si>
  <si>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</si>
  <si>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</si>
  <si>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</si>
  <si>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</si>
  <si>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</si>
  <si>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</si>
  <si>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</si>
  <si>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</si>
  <si>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</si>
  <si>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</si>
  <si>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</si>
  <si>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</si>
  <si>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</si>
  <si>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</si>
  <si>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</si>
  <si>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</si>
  <si>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</si>
  <si>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</si>
  <si>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</si>
  <si>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</si>
  <si>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</si>
  <si>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</si>
  <si>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</si>
  <si>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</si>
  <si>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</si>
  <si>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</si>
  <si>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</si>
  <si>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</si>
  <si>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</si>
  <si>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</si>
  <si>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</si>
  <si>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</si>
  <si>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</si>
  <si>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</si>
  <si>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</si>
  <si>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</si>
  <si>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</si>
  <si>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</si>
  <si>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</si>
  <si>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</si>
  <si>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</si>
  <si>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</si>
  <si>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</si>
  <si>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</si>
  <si>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</si>
  <si>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</si>
  <si>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</si>
  <si>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</si>
  <si>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</si>
  <si>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</si>
  <si>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</si>
  <si>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</si>
  <si>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</si>
  <si>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</si>
  <si>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</si>
  <si>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</si>
  <si>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</si>
  <si>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</si>
  <si>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</si>
  <si>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</si>
  <si>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</si>
  <si>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</si>
  <si>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</si>
  <si>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</si>
  <si>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</si>
  <si>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</si>
  <si>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</si>
  <si>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</si>
  <si>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</si>
  <si>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</si>
  <si>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</si>
  <si>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</si>
  <si>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</si>
  <si>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</si>
  <si>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</si>
  <si>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</si>
  <si>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</si>
  <si>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</si>
  <si>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</si>
  <si>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</si>
  <si>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</si>
  <si>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</si>
  <si>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</si>
  <si>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</si>
  <si>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</si>
  <si>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</si>
  <si>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</si>
  <si>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</si>
  <si>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</si>
  <si>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</si>
  <si>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</si>
  <si>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</si>
  <si>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</si>
  <si>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</si>
  <si>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</si>
  <si>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</si>
  <si>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</si>
  <si>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</si>
  <si>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</si>
  <si>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</si>
  <si>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</si>
  <si>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</si>
  <si>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</si>
  <si>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</si>
  <si>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</si>
  <si>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</si>
  <si>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</si>
  <si>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</si>
  <si>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</si>
  <si>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</si>
  <si>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</si>
  <si>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</si>
  <si>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</si>
  <si>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</si>
  <si>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</si>
  <si>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</si>
  <si>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</si>
  <si>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</si>
  <si>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</si>
  <si>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</si>
  <si>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</si>
  <si>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</si>
  <si>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</si>
  <si>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</si>
  <si>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</si>
  <si>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</si>
  <si>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</si>
  <si>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</si>
  <si>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</si>
  <si>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</si>
  <si>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</si>
  <si>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</si>
  <si>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</si>
  <si>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</si>
  <si>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</si>
  <si>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</si>
  <si>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</si>
  <si>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</si>
  <si>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</si>
  <si>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</si>
  <si>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</si>
  <si>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</si>
  <si>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</si>
  <si>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</si>
  <si>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</si>
  <si>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</si>
  <si>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</si>
  <si>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</si>
  <si>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</si>
  <si>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</si>
  <si>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</si>
  <si>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</si>
  <si>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</si>
  <si>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</si>
  <si>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</si>
  <si>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</si>
  <si>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</si>
  <si>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</si>
  <si>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</si>
  <si>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</si>
  <si>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</si>
  <si>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</si>
  <si>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</si>
  <si>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</si>
  <si>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</si>
  <si>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</si>
  <si>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</si>
  <si>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</si>
  <si>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</si>
  <si>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</si>
  <si>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</si>
  <si>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</si>
  <si>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</si>
  <si>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</si>
  <si>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</si>
  <si>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</si>
  <si>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</si>
  <si>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</si>
  <si>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</si>
  <si>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</si>
  <si>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</si>
  <si>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</si>
  <si>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</si>
  <si>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</si>
  <si>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</si>
  <si>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</si>
  <si>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</si>
  <si>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</si>
  <si>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</si>
  <si>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</si>
  <si>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</si>
  <si>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</si>
  <si>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</si>
  <si>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</si>
  <si>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</si>
  <si>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</si>
  <si>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</si>
  <si>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</si>
  <si>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</si>
  <si>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</si>
  <si>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</si>
  <si>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</si>
  <si>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</si>
  <si>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</si>
  <si>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</si>
  <si>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</si>
  <si>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</si>
  <si>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</si>
  <si>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</si>
  <si>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</si>
  <si>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</si>
  <si>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</si>
  <si>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</si>
  <si>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</si>
  <si>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</si>
  <si>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</si>
  <si>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</si>
  <si>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</si>
  <si>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</si>
  <si>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</si>
  <si>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</si>
  <si>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</si>
  <si>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</si>
  <si>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</si>
  <si>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</si>
  <si>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</si>
  <si>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</si>
  <si>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</si>
  <si>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</si>
  <si>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</si>
  <si>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</si>
  <si>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</si>
  <si>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</si>
  <si>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</si>
  <si>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</si>
  <si>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</si>
  <si>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</si>
  <si>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</si>
  <si>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</si>
  <si>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</si>
  <si>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</si>
  <si>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</si>
  <si>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</si>
  <si>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</si>
  <si>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</si>
  <si>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</si>
  <si>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</si>
  <si>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</si>
  <si>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</si>
  <si>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</si>
  <si>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</si>
  <si>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</si>
  <si>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</si>
  <si>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</si>
  <si>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</si>
  <si>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</si>
  <si>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</si>
  <si>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</si>
  <si>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</si>
  <si>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</si>
  <si>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</si>
  <si>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</si>
  <si>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</si>
  <si>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</si>
  <si>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</si>
  <si>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</si>
  <si>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</si>
  <si>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</si>
  <si>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</si>
  <si>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</si>
  <si>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</si>
  <si>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</si>
  <si>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</si>
  <si>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</si>
  <si>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</si>
  <si>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</si>
  <si>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</si>
  <si>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</si>
  <si>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</si>
  <si>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</si>
  <si>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</si>
  <si>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</si>
  <si>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</si>
  <si>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</si>
  <si>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</si>
  <si>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</si>
  <si>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</si>
  <si>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</si>
  <si>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</si>
  <si>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</si>
  <si>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</si>
  <si>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</si>
  <si>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</si>
  <si>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</si>
  <si>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</si>
  <si>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</si>
  <si>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</si>
  <si>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</si>
  <si>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</si>
  <si>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</si>
  <si>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</si>
  <si>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</si>
  <si>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</si>
  <si>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</si>
  <si>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</si>
  <si>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</si>
  <si>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</si>
  <si>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</si>
  <si>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</si>
  <si>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</si>
  <si>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</si>
  <si>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</si>
  <si>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</si>
  <si>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</si>
  <si>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</si>
  <si>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</si>
  <si>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</si>
  <si>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</si>
  <si>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</si>
  <si>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</si>
  <si>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</si>
  <si>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</si>
  <si>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</si>
  <si>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</si>
  <si>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</si>
  <si>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</si>
  <si>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</si>
  <si>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</si>
  <si>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</si>
  <si>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</si>
  <si>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</si>
  <si>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</si>
  <si>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</si>
  <si>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</si>
  <si>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</si>
  <si>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</si>
  <si>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</si>
  <si>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</si>
  <si>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</si>
  <si>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</si>
  <si>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</si>
  <si>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</si>
  <si>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</si>
  <si>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</si>
  <si>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</si>
  <si>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</si>
  <si>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</si>
  <si>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</si>
  <si>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</si>
  <si>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</si>
  <si>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</si>
  <si>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</si>
  <si>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</si>
  <si>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</si>
  <si>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</si>
  <si>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</si>
  <si>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</si>
  <si>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</si>
  <si>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</si>
  <si>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</si>
  <si>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</si>
  <si>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</si>
  <si>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</si>
  <si>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</si>
  <si>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</si>
  <si>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</si>
  <si>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</si>
  <si>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</si>
  <si>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</si>
  <si>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</si>
  <si>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</si>
  <si>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</si>
  <si>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</si>
  <si>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</si>
  <si>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</si>
  <si>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</si>
  <si>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</si>
  <si>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</si>
  <si>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</si>
  <si>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</si>
  <si>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</si>
  <si>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</si>
  <si>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</si>
  <si>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</si>
  <si>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</si>
  <si>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</si>
  <si>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</si>
  <si>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</si>
  <si>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</si>
  <si>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</si>
  <si>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</si>
  <si>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</si>
  <si>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</si>
  <si>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</si>
  <si>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</si>
  <si>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</si>
  <si>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</si>
  <si>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</si>
  <si>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</si>
  <si>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</si>
  <si>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</si>
  <si>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</si>
  <si>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</si>
  <si>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</si>
  <si>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</si>
  <si>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</si>
  <si>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</si>
  <si>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</si>
  <si>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</si>
  <si>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</si>
  <si>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</si>
  <si>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</si>
  <si>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</si>
  <si>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</si>
  <si>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</si>
  <si>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</si>
  <si>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</si>
  <si>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</si>
  <si>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</si>
  <si>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</si>
  <si>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</si>
  <si>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</si>
  <si>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</si>
  <si>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</si>
  <si>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</si>
  <si>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</si>
  <si>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</si>
  <si>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</si>
  <si>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</si>
  <si>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</si>
  <si>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</si>
  <si>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</si>
  <si>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</si>
  <si>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</si>
  <si>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</si>
  <si>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</si>
  <si>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</si>
  <si>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</si>
  <si>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</si>
  <si>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</si>
  <si>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</si>
  <si>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</si>
  <si>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</si>
  <si>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</si>
  <si>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</si>
  <si>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</si>
  <si>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</si>
  <si>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</si>
  <si>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</si>
  <si>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</si>
  <si>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</si>
  <si>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</si>
  <si>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</si>
  <si>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</si>
  <si>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</si>
  <si>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</si>
  <si>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</si>
  <si>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</si>
  <si>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</si>
  <si>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</si>
  <si>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</si>
  <si>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</si>
  <si>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</si>
  <si>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</si>
  <si>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</si>
  <si>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</si>
  <si>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</si>
  <si>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</si>
  <si>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</si>
  <si>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</si>
  <si>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</si>
  <si>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</si>
  <si>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</si>
  <si>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</si>
  <si>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</si>
  <si>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</si>
  <si>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</si>
  <si>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</si>
  <si>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</si>
  <si>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</si>
  <si>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</si>
  <si>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</si>
  <si>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</si>
  <si>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</si>
  <si>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</si>
  <si>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</si>
  <si>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</si>
  <si>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</si>
  <si>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</si>
  <si>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</si>
  <si>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</si>
  <si>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</si>
  <si>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</si>
  <si>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</si>
  <si>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</si>
  <si>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</si>
  <si>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</si>
  <si>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</si>
  <si>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</si>
  <si>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</si>
  <si>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</si>
  <si>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</si>
  <si>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</si>
  <si>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</si>
  <si>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</si>
  <si>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</si>
  <si>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</si>
  <si>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</si>
  <si>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</si>
  <si>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</si>
  <si>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</si>
  <si>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</si>
  <si>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</si>
  <si>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</si>
  <si>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</si>
  <si>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</si>
  <si>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</si>
  <si>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</si>
  <si>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</si>
  <si>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</si>
  <si>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</si>
  <si>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</si>
  <si>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</si>
  <si>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</si>
  <si>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</si>
  <si>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</si>
  <si>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</si>
  <si>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</si>
  <si>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</si>
  <si>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</si>
  <si>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</si>
  <si>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</si>
  <si>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</si>
  <si>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</si>
  <si>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</si>
  <si>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</si>
  <si>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</si>
  <si>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</si>
  <si>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</si>
  <si>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</si>
  <si>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</si>
  <si>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</si>
  <si>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</si>
  <si>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</si>
  <si>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</si>
  <si>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</si>
  <si>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</si>
  <si>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</si>
  <si>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</si>
  <si>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</si>
  <si>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</si>
  <si>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</si>
  <si>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</si>
  <si>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</si>
  <si>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</si>
  <si>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</si>
  <si>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</si>
  <si>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</si>
  <si>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</si>
  <si>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</si>
  <si>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</si>
  <si>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</si>
  <si>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</si>
  <si>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</si>
  <si>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</si>
  <si>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</si>
  <si>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</si>
  <si>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</si>
  <si>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</si>
  <si>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</si>
  <si>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</si>
  <si>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</si>
  <si>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</si>
  <si>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</si>
  <si>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</si>
  <si>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</si>
  <si>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</si>
  <si>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</si>
  <si>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</si>
  <si>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</si>
  <si>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</si>
  <si>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</si>
  <si>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</si>
  <si>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</si>
  <si>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</si>
  <si>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</si>
  <si>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</si>
  <si>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</si>
  <si>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</si>
  <si>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</si>
  <si>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</si>
  <si>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</si>
  <si>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</si>
  <si>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</si>
  <si>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</si>
  <si>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</si>
  <si>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</si>
  <si>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</si>
  <si>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</si>
  <si>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</si>
  <si>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</si>
  <si>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</si>
  <si>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</si>
  <si>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</si>
  <si>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</si>
  <si>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</si>
  <si>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</si>
  <si>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</si>
  <si>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</si>
  <si>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</si>
  <si>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</si>
  <si>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</si>
  <si>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</si>
  <si>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</si>
  <si>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</si>
  <si>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</si>
  <si>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</si>
  <si>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</si>
  <si>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</si>
  <si>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</si>
  <si>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</si>
  <si>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</si>
  <si>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</si>
  <si>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</si>
  <si>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</si>
  <si>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</si>
  <si>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</si>
  <si>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</si>
  <si>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</si>
  <si>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</si>
  <si>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</si>
  <si>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</si>
  <si>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</si>
  <si>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</si>
  <si>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</si>
  <si>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</si>
  <si>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</si>
  <si>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</si>
  <si>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</si>
  <si>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</si>
  <si>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</si>
  <si>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</si>
  <si>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</si>
  <si>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</si>
  <si>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</si>
  <si>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</si>
  <si>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</si>
  <si>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</si>
  <si>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</si>
  <si>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</si>
  <si>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</si>
  <si>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</si>
  <si>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</si>
  <si>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</si>
  <si>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</si>
  <si>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</si>
  <si>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</si>
  <si>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</si>
  <si>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</si>
  <si>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</si>
  <si>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</si>
  <si>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</si>
  <si>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</si>
  <si>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</si>
  <si>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</si>
  <si>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</si>
  <si>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</si>
  <si>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</si>
  <si>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</si>
  <si>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</si>
  <si>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</si>
  <si>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</si>
  <si>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</si>
  <si>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</si>
  <si>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</si>
  <si>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</si>
  <si>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</si>
  <si>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</si>
  <si>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</si>
  <si>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</si>
  <si>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</si>
  <si>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</si>
  <si>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</si>
  <si>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</si>
  <si>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</si>
  <si>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</si>
  <si>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</si>
  <si>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</si>
  <si>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</si>
  <si>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</si>
  <si>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</si>
  <si>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</si>
  <si>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</si>
  <si>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</si>
  <si>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</si>
  <si>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</si>
  <si>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</si>
  <si>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</si>
  <si>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</si>
  <si>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</si>
  <si>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</si>
  <si>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</si>
  <si>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</si>
  <si>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</si>
  <si>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</si>
  <si>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</si>
  <si>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</si>
  <si>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</si>
  <si>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</si>
  <si>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</si>
  <si>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</si>
  <si>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</si>
  <si>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</si>
  <si>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</si>
  <si>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</si>
  <si>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</si>
  <si>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</si>
  <si>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</si>
  <si>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</si>
  <si>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</si>
  <si>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</si>
  <si>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</si>
  <si>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</si>
  <si>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</si>
  <si>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</si>
  <si>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</si>
  <si>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</si>
  <si>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</si>
  <si>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</si>
  <si>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</si>
  <si>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</si>
  <si>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</si>
  <si>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</si>
  <si>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</si>
  <si>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</si>
  <si>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</si>
  <si>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</si>
  <si>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</si>
  <si>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</si>
  <si>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</si>
  <si>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</si>
  <si>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</si>
  <si>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</si>
  <si>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</si>
  <si>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</si>
  <si>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</si>
  <si>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</si>
  <si>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</si>
  <si>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</si>
  <si>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</si>
  <si>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</si>
  <si>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</si>
  <si>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</si>
  <si>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</si>
  <si>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</si>
  <si>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</si>
  <si>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</si>
  <si>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</si>
  <si>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</si>
  <si>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</si>
  <si>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</si>
  <si>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</si>
  <si>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</si>
  <si>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</si>
  <si>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</si>
  <si>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</si>
  <si>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</si>
  <si>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</si>
  <si>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</si>
  <si>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</si>
  <si>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</si>
  <si>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</si>
  <si>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</si>
  <si>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</si>
  <si>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</si>
  <si>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</si>
  <si>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</si>
  <si>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</si>
  <si>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</si>
  <si>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</si>
  <si>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</si>
  <si>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</si>
  <si>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</si>
  <si>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</si>
  <si>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</si>
  <si>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</si>
  <si>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</si>
  <si>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</si>
  <si>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</si>
  <si>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</si>
  <si>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</si>
  <si>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</si>
  <si>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</si>
  <si>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</si>
  <si>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</si>
  <si>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</si>
  <si>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</si>
  <si>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</si>
  <si>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</si>
  <si>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</si>
  <si>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</si>
  <si>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</si>
  <si>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</si>
  <si>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</si>
  <si>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</si>
  <si>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</si>
  <si>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</si>
  <si>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</si>
  <si>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</si>
  <si>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</si>
  <si>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</si>
  <si>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</si>
  <si>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</si>
  <si>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</si>
  <si>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</si>
  <si>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</si>
  <si>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</si>
  <si>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</si>
  <si>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</si>
  <si>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</si>
  <si>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</si>
  <si>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</si>
  <si>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</si>
  <si>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</si>
  <si>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</si>
  <si>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</si>
  <si>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</si>
  <si>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</si>
  <si>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</si>
  <si>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</si>
  <si>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</si>
  <si>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</si>
  <si>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</si>
  <si>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</si>
  <si>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</si>
  <si>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</si>
  <si>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</si>
  <si>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</si>
  <si>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</si>
  <si>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</si>
  <si>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</si>
  <si>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</si>
  <si>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</si>
  <si>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</si>
  <si>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</si>
  <si>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</si>
  <si>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</si>
  <si>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</si>
  <si>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</si>
  <si>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</si>
  <si>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</si>
  <si>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</si>
  <si>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</si>
  <si>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</si>
  <si>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</si>
  <si>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</si>
  <si>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</si>
  <si>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</si>
  <si>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</si>
  <si>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</si>
  <si>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</si>
  <si>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</si>
  <si>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</si>
  <si>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</si>
  <si>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</si>
  <si>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</si>
  <si>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</si>
  <si>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</si>
  <si>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</si>
  <si>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</si>
  <si>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</si>
  <si>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</si>
  <si>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</si>
  <si>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</si>
  <si>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</si>
  <si>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</si>
  <si>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</si>
  <si>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</si>
  <si>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</si>
  <si>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</si>
  <si>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</si>
  <si>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</si>
  <si>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</si>
  <si>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</si>
  <si>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</si>
  <si>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</si>
  <si>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</si>
  <si>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</si>
  <si>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</si>
  <si>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</si>
  <si>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</si>
  <si>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</si>
  <si>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</si>
  <si>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</si>
  <si>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</si>
  <si>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</si>
  <si>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</si>
  <si>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</si>
  <si>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</si>
  <si>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</si>
  <si>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</si>
  <si>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</si>
  <si>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</si>
  <si>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</si>
  <si>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</si>
  <si>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</si>
  <si>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</si>
  <si>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</si>
  <si>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</si>
  <si>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</si>
  <si>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</si>
  <si>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</si>
  <si>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</si>
  <si>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</si>
  <si>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</si>
  <si>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</si>
  <si>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</si>
  <si>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</si>
  <si>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</si>
  <si>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</si>
  <si>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</si>
  <si>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</si>
  <si>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</si>
  <si>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</si>
  <si>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</si>
  <si>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</si>
  <si>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</si>
  <si>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</si>
  <si>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</si>
  <si>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</si>
  <si>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</si>
  <si>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</si>
  <si>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</si>
  <si>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</si>
  <si>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</si>
  <si>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</si>
  <si>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</si>
  <si>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</si>
  <si>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</si>
  <si>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</si>
  <si>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</si>
  <si>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</si>
  <si>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</si>
  <si>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</si>
  <si>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</si>
  <si>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</si>
  <si>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</si>
  <si>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</si>
  <si>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</si>
  <si>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</si>
  <si>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</si>
  <si>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</si>
  <si>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</si>
  <si>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</si>
  <si>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</si>
  <si>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</si>
  <si>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</si>
  <si>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</si>
  <si>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</si>
  <si>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</si>
  <si>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</si>
  <si>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</si>
  <si>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</si>
  <si>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</si>
  <si>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</si>
  <si>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</si>
  <si>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</si>
  <si>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</si>
  <si>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</si>
  <si>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</si>
  <si>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</si>
  <si>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</si>
  <si>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</si>
  <si>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</si>
  <si>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</si>
  <si>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</si>
  <si>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</si>
  <si>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</si>
  <si>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</si>
  <si>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</si>
  <si>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</si>
  <si>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</si>
  <si>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</si>
  <si>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</si>
  <si>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</si>
  <si>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</si>
  <si>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</si>
  <si>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</si>
  <si>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</si>
  <si>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</si>
  <si>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</si>
  <si>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</si>
  <si>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</si>
  <si>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</si>
  <si>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</si>
  <si>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</si>
  <si>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</si>
  <si>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</si>
  <si>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</si>
  <si>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</si>
  <si>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</si>
  <si>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</si>
  <si>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</si>
  <si>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</si>
  <si>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</si>
  <si>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</si>
  <si>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</si>
  <si>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</si>
  <si>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</si>
  <si>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</si>
  <si>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</si>
  <si>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</si>
  <si>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</si>
  <si>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</si>
  <si>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</si>
  <si>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</si>
  <si>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</si>
  <si>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</si>
  <si>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</si>
  <si>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</si>
  <si>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</si>
  <si>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</si>
  <si>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</si>
  <si>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</si>
  <si>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</si>
  <si>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</si>
  <si>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</si>
  <si>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</si>
  <si>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</si>
  <si>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</si>
  <si>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</si>
  <si>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</si>
  <si>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</si>
  <si>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</si>
  <si>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</si>
  <si>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</si>
  <si>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</si>
  <si>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</si>
  <si>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</si>
  <si>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</si>
  <si>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</si>
  <si>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</si>
  <si>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</si>
  <si>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</si>
  <si>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</si>
  <si>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</si>
  <si>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</si>
  <si>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</si>
  <si>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</si>
  <si>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</si>
  <si>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</si>
  <si>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</si>
  <si>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</si>
  <si>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</si>
  <si>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</si>
  <si>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</si>
  <si>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</si>
  <si>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</si>
  <si>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</si>
  <si>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</si>
  <si>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</si>
  <si>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</si>
  <si>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</si>
  <si>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</si>
  <si>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</si>
  <si>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</si>
  <si>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</si>
  <si>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</si>
  <si>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</si>
  <si>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</si>
  <si>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</si>
  <si>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</si>
  <si>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</si>
  <si>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</si>
  <si>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</si>
  <si>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</si>
  <si>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</si>
  <si>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</si>
  <si>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</si>
  <si>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</si>
  <si>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</si>
  <si>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</si>
  <si>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</si>
  <si>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</si>
  <si>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</si>
  <si>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</si>
  <si>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</si>
  <si>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</si>
  <si>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</si>
  <si>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</si>
  <si>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</si>
  <si>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</si>
  <si>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</si>
  <si>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</si>
  <si>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</si>
  <si>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</si>
  <si>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</si>
  <si>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</si>
  <si>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</si>
  <si>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</si>
  <si>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</si>
  <si>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</si>
  <si>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</si>
  <si>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</si>
  <si>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</si>
  <si>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</si>
  <si>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</si>
  <si>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</si>
  <si>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</si>
  <si>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</si>
  <si>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</si>
  <si>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</si>
  <si>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</si>
  <si>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</si>
  <si>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</si>
  <si>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</si>
  <si>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</si>
  <si>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</si>
  <si>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</si>
  <si>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</si>
  <si>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</si>
  <si>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</si>
  <si>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</si>
  <si>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</si>
  <si>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</si>
  <si>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</si>
  <si>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</si>
  <si>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</si>
  <si>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</si>
  <si>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</si>
  <si>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</si>
  <si>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</si>
  <si>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</si>
  <si>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</si>
  <si>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</si>
  <si>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</si>
  <si>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</si>
  <si>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</si>
  <si>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</si>
  <si>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</si>
  <si>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</si>
  <si>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</si>
  <si>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</si>
  <si>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</si>
  <si>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</si>
  <si>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</si>
  <si>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</si>
  <si>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</si>
  <si>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</si>
  <si>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</si>
  <si>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</si>
  <si>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</si>
  <si>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</si>
  <si>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</si>
  <si>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</si>
  <si>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</si>
  <si>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</si>
  <si>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</si>
  <si>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</si>
  <si>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</si>
  <si>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</si>
  <si>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</si>
  <si>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</si>
  <si>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</si>
  <si>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</si>
  <si>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</si>
  <si>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</si>
  <si>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</si>
  <si>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</si>
  <si>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</si>
  <si>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</si>
  <si>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</si>
  <si>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</si>
  <si>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</si>
  <si>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</si>
  <si>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</si>
  <si>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</si>
  <si>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</si>
  <si>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</si>
  <si>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</si>
  <si>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</si>
  <si>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</si>
  <si>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</si>
  <si>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</si>
  <si>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</si>
  <si>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</si>
  <si>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</si>
  <si>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</si>
  <si>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</si>
  <si>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</si>
  <si>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</si>
  <si>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</si>
  <si>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</si>
  <si>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</si>
  <si>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</si>
  <si>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</si>
  <si>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</si>
  <si>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</si>
  <si>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</si>
  <si>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</si>
  <si>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</si>
  <si>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</si>
  <si>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</si>
  <si>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</si>
  <si>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</si>
  <si>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</si>
  <si>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</si>
  <si>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</si>
  <si>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</si>
  <si>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</si>
  <si>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</si>
  <si>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</si>
  <si>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</si>
  <si>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</si>
  <si>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</si>
  <si>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</si>
  <si>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</si>
  <si>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</si>
  <si>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</si>
  <si>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</si>
  <si>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</si>
  <si>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</si>
  <si>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</si>
  <si>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</si>
  <si>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</si>
  <si>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</si>
  <si>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</si>
  <si>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</si>
  <si>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</si>
  <si>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</si>
  <si>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</si>
  <si>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</si>
  <si>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</si>
  <si>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</si>
  <si>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</si>
  <si>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</si>
  <si>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</si>
  <si>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</si>
  <si>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</si>
  <si>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</si>
  <si>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</si>
  <si>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</si>
  <si>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</si>
  <si>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</si>
  <si>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</si>
  <si>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</si>
  <si>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</si>
  <si>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</si>
  <si>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</si>
  <si>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</si>
  <si>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</si>
  <si>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</si>
  <si>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</si>
  <si>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</si>
  <si>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</si>
  <si>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</si>
  <si>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</si>
  <si>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</si>
  <si>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</si>
  <si>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</si>
  <si>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</si>
  <si>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</si>
  <si>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</si>
  <si>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</si>
  <si>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</si>
  <si>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</si>
  <si>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</si>
  <si>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</si>
  <si>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</si>
  <si>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</si>
  <si>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</si>
  <si>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</si>
  <si>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</si>
  <si>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</si>
  <si>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</si>
  <si>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</si>
  <si>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</si>
  <si>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</si>
  <si>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</si>
  <si>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</si>
  <si>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</si>
  <si>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</si>
  <si>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</si>
  <si>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</si>
  <si>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</si>
  <si>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</si>
  <si>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</si>
  <si>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</si>
  <si>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</si>
  <si>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</si>
  <si>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</si>
  <si>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</si>
  <si>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</si>
  <si>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</si>
  <si>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</si>
  <si>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</si>
  <si>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</si>
  <si>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</si>
  <si>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</si>
  <si>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</si>
  <si>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</si>
  <si>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</si>
  <si>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</si>
  <si>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</si>
  <si>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</si>
  <si>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</si>
  <si>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</si>
  <si>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</si>
  <si>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</si>
  <si>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</si>
  <si>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</si>
  <si>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</si>
  <si>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</si>
  <si>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</si>
  <si>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</si>
  <si>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</si>
  <si>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</si>
  <si>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</si>
  <si>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</si>
  <si>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</si>
  <si>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</si>
  <si>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</si>
  <si>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</si>
  <si>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</si>
  <si>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</si>
  <si>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</si>
  <si>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</si>
  <si>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</si>
  <si>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</si>
  <si>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</si>
  <si>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</si>
  <si>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</si>
  <si>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</si>
  <si>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</si>
  <si>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</si>
  <si>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</si>
  <si>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</si>
  <si>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</si>
  <si>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</si>
  <si>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</si>
  <si>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</si>
  <si>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</si>
  <si>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</si>
  <si>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</si>
  <si>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</si>
  <si>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</si>
  <si>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</si>
  <si>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</si>
  <si>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</si>
  <si>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</si>
  <si>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</si>
  <si>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</si>
  <si>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</si>
  <si>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</si>
  <si>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</si>
  <si>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</si>
  <si>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</si>
  <si>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</si>
  <si>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</si>
  <si>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</si>
  <si>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</si>
  <si>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</si>
  <si>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</si>
  <si>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</si>
  <si>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</si>
  <si>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</si>
  <si>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</si>
  <si>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</si>
  <si>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</si>
  <si>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</si>
  <si>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</si>
  <si>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</si>
  <si>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</si>
  <si>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</si>
  <si>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</si>
  <si>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</si>
  <si>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</si>
  <si>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</si>
  <si>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</si>
  <si>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</si>
  <si>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</si>
  <si>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</si>
  <si>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</si>
  <si>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</si>
  <si>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</si>
  <si>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</si>
  <si>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</si>
  <si>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</si>
  <si>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</si>
  <si>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</si>
  <si>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</si>
  <si>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</si>
  <si>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</si>
  <si>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</si>
  <si>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</si>
  <si>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</si>
  <si>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</si>
  <si>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</si>
  <si>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</si>
  <si>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</si>
  <si>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</si>
  <si>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</si>
  <si>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</si>
  <si>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</si>
  <si>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</si>
  <si>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</si>
  <si>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</si>
  <si>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</si>
  <si>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</si>
  <si>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</si>
  <si>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</si>
  <si>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</si>
  <si>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</si>
  <si>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</si>
  <si>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</si>
  <si>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</si>
  <si>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</si>
  <si>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</si>
  <si>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</si>
  <si>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</si>
  <si>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</si>
  <si>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</si>
  <si>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</si>
  <si>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</si>
  <si>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</si>
  <si>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</si>
  <si>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</si>
  <si>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</si>
  <si>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</si>
  <si>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</si>
  <si>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</si>
  <si>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</si>
  <si>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</si>
  <si>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</si>
  <si>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</si>
  <si>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</si>
  <si>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</si>
  <si>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</si>
  <si>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</si>
  <si>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</si>
  <si>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</si>
  <si>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</si>
  <si>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</si>
  <si>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</si>
  <si>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</si>
  <si>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</si>
  <si>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</si>
  <si>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</si>
  <si>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</si>
  <si>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</si>
  <si>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</si>
  <si>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</si>
  <si>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</si>
  <si>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</si>
  <si>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</si>
  <si>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</si>
  <si>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</si>
  <si>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</si>
  <si>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</si>
  <si>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</si>
  <si>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</si>
  <si>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</si>
  <si>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</si>
  <si>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</si>
  <si>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</si>
  <si>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</si>
  <si>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</si>
  <si>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</si>
  <si>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</si>
  <si>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</si>
  <si>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</si>
  <si>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</si>
  <si>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</si>
  <si>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</si>
  <si>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</si>
  <si>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</si>
  <si>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</si>
  <si>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</si>
  <si>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</si>
  <si>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</si>
  <si>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</si>
  <si>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</si>
  <si>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</si>
  <si>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</si>
  <si>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</si>
  <si>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</si>
  <si>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</si>
  <si>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</si>
  <si>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</si>
  <si>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</si>
  <si>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</si>
  <si>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</si>
  <si>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</si>
  <si>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</si>
  <si>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</si>
  <si>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</si>
  <si>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</si>
  <si>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</si>
  <si>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</si>
  <si>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</si>
  <si>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</si>
  <si>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</si>
  <si>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</si>
  <si>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</si>
  <si>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</si>
  <si>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</si>
  <si>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</si>
  <si>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</si>
  <si>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</si>
  <si>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</si>
  <si>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</si>
  <si>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</si>
  <si>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</si>
  <si>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</si>
  <si>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</si>
  <si>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</si>
  <si>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</si>
  <si>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</si>
  <si>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</si>
  <si>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</si>
  <si>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</si>
  <si>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</si>
  <si>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</si>
  <si>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</si>
  <si>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</si>
  <si>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</si>
  <si>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</si>
  <si>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</si>
  <si>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</si>
  <si>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</si>
  <si>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</si>
  <si>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</si>
  <si>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</si>
  <si>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</si>
  <si>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</si>
  <si>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</si>
  <si>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</si>
  <si>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</si>
  <si>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</si>
  <si>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</si>
  <si>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</si>
  <si>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</si>
  <si>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</si>
  <si>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</si>
  <si>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</si>
  <si>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</si>
  <si>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</si>
  <si>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</si>
  <si>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</si>
  <si>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</si>
  <si>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</si>
  <si>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</si>
  <si>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</si>
  <si>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</si>
  <si>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</si>
  <si>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</si>
  <si>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</si>
  <si>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</si>
  <si>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</si>
  <si>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</si>
  <si>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</si>
  <si>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</si>
  <si>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</si>
  <si>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</si>
  <si>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</si>
  <si>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</si>
  <si>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</si>
  <si>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</si>
  <si>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</si>
  <si>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</si>
  <si>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</si>
  <si>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</si>
  <si>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</si>
  <si>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</si>
  <si>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</si>
  <si>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</si>
  <si>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</si>
  <si>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</si>
  <si>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</si>
  <si>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</si>
  <si>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</si>
  <si>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</si>
  <si>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</si>
  <si>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</si>
  <si>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</si>
  <si>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</si>
  <si>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</si>
  <si>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</si>
  <si>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</si>
  <si>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</si>
  <si>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</si>
  <si>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</si>
  <si>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</si>
  <si>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</si>
  <si>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</si>
  <si>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</si>
  <si>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</si>
  <si>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</si>
  <si>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</si>
  <si>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</si>
  <si>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</si>
  <si>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</si>
  <si>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</si>
  <si>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</si>
  <si>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</si>
  <si>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</si>
  <si>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</si>
  <si>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</si>
  <si>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</si>
  <si>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</si>
  <si>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</si>
  <si>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</si>
  <si>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</si>
  <si>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</si>
  <si>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</si>
  <si>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</si>
  <si>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</si>
  <si>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</si>
  <si>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</si>
  <si>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</si>
  <si>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</si>
  <si>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</si>
  <si>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</si>
  <si>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</si>
  <si>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</si>
  <si>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</si>
  <si>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</si>
  <si>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</si>
  <si>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</si>
  <si>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</si>
  <si>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</si>
  <si>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</si>
  <si>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</si>
  <si>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</si>
  <si>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</si>
  <si>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</si>
  <si>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</si>
  <si>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</si>
  <si>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</si>
  <si>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</si>
  <si>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</si>
  <si>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</si>
  <si>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</si>
  <si>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</si>
  <si>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</si>
  <si>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</si>
  <si>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</si>
  <si>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</si>
  <si>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</si>
  <si>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</si>
  <si>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</si>
  <si>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</si>
  <si>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</si>
  <si>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</si>
  <si>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</si>
  <si>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</si>
  <si>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</si>
  <si>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</si>
  <si>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</si>
  <si>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</si>
  <si>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</si>
  <si>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</si>
  <si>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</si>
  <si>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</si>
  <si>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</si>
  <si>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</si>
  <si>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</si>
  <si>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</si>
  <si>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</si>
  <si>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</si>
  <si>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</si>
  <si>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</si>
  <si>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</si>
  <si>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</si>
  <si>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</si>
  <si>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</si>
  <si>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</si>
  <si>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</si>
  <si>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</si>
  <si>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</si>
  <si>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</si>
  <si>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</si>
  <si>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</si>
  <si>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</si>
  <si>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</si>
  <si>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</si>
  <si>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</si>
  <si>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</si>
  <si>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</si>
  <si>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</si>
  <si>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</si>
  <si>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</si>
  <si>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</si>
  <si>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</si>
  <si>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</si>
  <si>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</si>
  <si>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</si>
  <si>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</si>
  <si>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</si>
  <si>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</si>
  <si>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</si>
  <si>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</si>
  <si>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</si>
  <si>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</si>
  <si>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</si>
  <si>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</si>
  <si>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</si>
  <si>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</si>
  <si>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</si>
  <si>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</si>
  <si>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</si>
  <si>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</si>
  <si>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</si>
  <si>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</si>
  <si>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</si>
  <si>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</si>
  <si>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</si>
  <si>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</si>
  <si>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</si>
  <si>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</si>
  <si>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</si>
  <si>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</si>
  <si>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</si>
  <si>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</si>
  <si>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</si>
  <si>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</si>
  <si>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</si>
  <si>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</si>
  <si>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</si>
  <si>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</si>
  <si>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</si>
  <si>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</si>
  <si>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</si>
  <si>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</si>
  <si>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</si>
  <si>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</si>
  <si>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</si>
  <si>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</si>
  <si>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</si>
  <si>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</si>
  <si>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</si>
  <si>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</si>
  <si>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</si>
  <si>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</si>
  <si>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</si>
  <si>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</si>
  <si>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</si>
  <si>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</si>
  <si>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</si>
  <si>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</si>
  <si>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</si>
  <si>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</si>
  <si>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</si>
  <si>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</si>
  <si>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</si>
  <si>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</si>
  <si>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</si>
  <si>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</si>
  <si>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</si>
  <si>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</si>
  <si>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</si>
  <si>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</si>
  <si>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</si>
  <si>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</si>
  <si>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</si>
  <si>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</si>
  <si>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</si>
  <si>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</si>
  <si>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</si>
  <si>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</si>
  <si>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</si>
  <si>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</si>
  <si>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</si>
  <si>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</si>
  <si>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</si>
  <si>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</si>
  <si>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</si>
  <si>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</si>
  <si>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</si>
  <si>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</si>
  <si>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</si>
  <si>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</si>
  <si>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</si>
  <si>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</si>
  <si>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</si>
  <si>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</si>
  <si>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</si>
  <si>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</si>
  <si>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</si>
  <si>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</si>
  <si>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</si>
  <si>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</si>
  <si>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</si>
  <si>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</si>
  <si>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</si>
  <si>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</si>
  <si>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</si>
  <si>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</si>
  <si>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</si>
  <si>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</si>
  <si>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</si>
  <si>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</si>
  <si>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</si>
  <si>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</si>
  <si>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</si>
  <si>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</si>
  <si>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</si>
  <si>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</si>
  <si>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</si>
  <si>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</si>
  <si>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</si>
  <si>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</si>
  <si>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</si>
  <si>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</si>
  <si>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</si>
  <si>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</si>
  <si>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</si>
  <si>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</si>
  <si>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</si>
  <si>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</si>
  <si>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</si>
  <si>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</si>
  <si>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</si>
  <si>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</si>
  <si>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</si>
  <si>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</si>
  <si>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</si>
  <si>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</si>
  <si>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</si>
  <si>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</si>
  <si>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</si>
  <si>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</si>
  <si>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</si>
  <si>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</si>
  <si>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</si>
  <si>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</si>
  <si>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</si>
  <si>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</si>
  <si>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</si>
  <si>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</si>
  <si>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</si>
  <si>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</si>
  <si>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</si>
  <si>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</si>
  <si>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</si>
  <si>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</si>
  <si>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</si>
  <si>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</si>
  <si>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</si>
  <si>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</si>
  <si>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</si>
  <si>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</si>
  <si>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</si>
  <si>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</si>
  <si>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</si>
  <si>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</si>
  <si>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</si>
  <si>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</si>
  <si>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</si>
  <si>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</si>
  <si>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</si>
  <si>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</si>
  <si>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</si>
  <si>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</si>
  <si>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</si>
  <si>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</si>
  <si>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</si>
  <si>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</si>
  <si>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</si>
  <si>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</si>
  <si>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</si>
  <si>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</si>
  <si>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</si>
  <si>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</si>
  <si>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</si>
  <si>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</si>
  <si>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</si>
  <si>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</si>
  <si>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</si>
  <si>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</si>
  <si>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</si>
  <si>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</si>
  <si>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</si>
  <si>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</si>
  <si>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</si>
  <si>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</si>
  <si>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</si>
  <si>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</si>
  <si>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</si>
  <si>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</si>
  <si>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</si>
  <si>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</si>
  <si>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</si>
  <si>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</si>
  <si>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</si>
  <si>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</si>
  <si>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</si>
  <si>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</si>
  <si>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</si>
  <si>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</si>
  <si>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</si>
  <si>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</si>
  <si>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</si>
  <si>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</si>
  <si>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</si>
  <si>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</si>
  <si>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</si>
  <si>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</si>
  <si>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</si>
  <si>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</si>
  <si>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</si>
  <si>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</si>
  <si>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</si>
  <si>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</si>
  <si>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</si>
  <si>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</si>
  <si>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</si>
  <si>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</si>
  <si>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</si>
  <si>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</si>
  <si>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</si>
  <si>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</si>
  <si>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</si>
  <si>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</si>
  <si>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</si>
  <si>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</si>
  <si>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</si>
  <si>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</si>
  <si>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</si>
  <si>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</si>
  <si>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</si>
  <si>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</si>
  <si>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</si>
  <si>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</si>
  <si>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</si>
  <si>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</si>
  <si>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</si>
  <si>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</si>
  <si>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</si>
  <si>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</si>
  <si>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</si>
  <si>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</si>
  <si>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</si>
  <si>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</si>
  <si>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</si>
  <si>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</si>
  <si>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</si>
  <si>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</si>
  <si>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</si>
  <si>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</si>
  <si>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</si>
  <si>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</si>
  <si>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</si>
  <si>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</si>
  <si>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</si>
  <si>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</si>
  <si>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</si>
  <si>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</si>
  <si>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</si>
  <si>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</si>
  <si>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</si>
  <si>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</si>
  <si>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</si>
  <si>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</si>
  <si>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</si>
  <si>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</si>
  <si>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</si>
  <si>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</si>
  <si>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</si>
  <si>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</si>
  <si>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</si>
  <si>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</si>
  <si>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</si>
  <si>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</si>
  <si>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</si>
  <si>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</si>
  <si>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</si>
  <si>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</si>
  <si>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</si>
  <si>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</si>
  <si>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</si>
  <si>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</si>
  <si>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</si>
  <si>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</si>
  <si>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</si>
  <si>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</si>
  <si>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</si>
  <si>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</si>
  <si>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</si>
  <si>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</si>
  <si>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</si>
  <si>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</si>
  <si>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</si>
  <si>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</si>
  <si>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</si>
  <si>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</si>
  <si>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</si>
  <si>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</si>
  <si>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</si>
  <si>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</si>
  <si>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</si>
  <si>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</si>
  <si>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</si>
  <si>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</si>
  <si>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</si>
  <si>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</si>
  <si>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</si>
  <si>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</si>
  <si>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</si>
  <si>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</si>
  <si>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</si>
  <si>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</si>
  <si>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</si>
  <si>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</si>
  <si>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</si>
  <si>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</si>
  <si>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</si>
  <si>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</si>
  <si>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</si>
  <si>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</si>
  <si>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</si>
  <si>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</si>
  <si>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</si>
  <si>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</si>
  <si>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</si>
  <si>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</si>
  <si>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</si>
  <si>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</si>
  <si>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</si>
  <si>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</si>
  <si>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</si>
  <si>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</si>
  <si>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</si>
  <si>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</si>
  <si>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</si>
  <si>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</si>
  <si>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</si>
  <si>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</si>
  <si>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</si>
  <si>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</si>
  <si>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</si>
  <si>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</si>
  <si>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</si>
  <si>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</si>
  <si>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</si>
  <si>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</si>
  <si>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</si>
  <si>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</si>
  <si>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</si>
  <si>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</si>
  <si>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</si>
  <si>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</si>
  <si>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</si>
  <si>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</si>
  <si>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</si>
  <si>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</si>
  <si>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</si>
  <si>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</si>
  <si>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</si>
  <si>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</si>
  <si>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</si>
  <si>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</si>
  <si>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</si>
  <si>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</si>
  <si>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</si>
  <si>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</si>
  <si>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</si>
  <si>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</si>
  <si>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</si>
  <si>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</si>
  <si>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</si>
  <si>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</si>
  <si>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</si>
  <si>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</si>
  <si>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</si>
  <si>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</si>
  <si>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</si>
  <si>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</si>
  <si>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</si>
  <si>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</si>
  <si>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</si>
  <si>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</si>
  <si>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</si>
  <si>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</si>
  <si>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</si>
  <si>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</si>
  <si>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</si>
  <si>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</si>
  <si>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</si>
  <si>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</si>
  <si>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</si>
  <si>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</si>
  <si>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</si>
  <si>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</si>
  <si>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</si>
  <si>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</si>
  <si>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</si>
  <si>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</si>
  <si>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</si>
  <si>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</si>
  <si>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</si>
  <si>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</si>
  <si>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</si>
  <si>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</si>
  <si>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</si>
  <si>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</si>
  <si>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</si>
  <si>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</si>
  <si>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</si>
  <si>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</si>
  <si>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</si>
  <si>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</si>
  <si>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</si>
  <si>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</si>
  <si>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</si>
  <si>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</si>
  <si>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</si>
  <si>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</si>
  <si>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</si>
  <si>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</si>
  <si>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</si>
  <si>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</si>
  <si>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</si>
  <si>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</si>
  <si>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</si>
  <si>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</si>
  <si>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</si>
  <si>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</si>
  <si>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</si>
  <si>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</si>
  <si>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</si>
  <si>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</si>
  <si>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</si>
  <si>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</si>
  <si>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</si>
  <si>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</si>
  <si>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</si>
  <si>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</si>
  <si>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</si>
  <si>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</si>
  <si>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</si>
  <si>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</si>
  <si>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</si>
  <si>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</si>
  <si>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</si>
  <si>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</si>
  <si>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</si>
  <si>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</si>
  <si>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</si>
  <si>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</si>
  <si>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</si>
  <si>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</si>
  <si>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</si>
  <si>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</si>
  <si>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</si>
  <si>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</si>
  <si>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</si>
  <si>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</si>
  <si>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</si>
  <si>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</si>
  <si>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</si>
  <si>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</si>
  <si>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</si>
  <si>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</si>
  <si>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</si>
  <si>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</si>
  <si>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</si>
  <si>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</si>
  <si>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</si>
  <si>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</si>
  <si>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</si>
  <si>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</si>
  <si>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</si>
  <si>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</si>
  <si>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</si>
  <si>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</si>
  <si>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</si>
  <si>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</si>
  <si>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</si>
  <si>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</si>
  <si>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</si>
  <si>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</si>
  <si>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</si>
  <si>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</si>
  <si>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</si>
  <si>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</si>
  <si>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</si>
  <si>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</si>
  <si>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</si>
  <si>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</si>
  <si>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</si>
  <si>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</si>
  <si>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</si>
  <si>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</si>
  <si>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</si>
  <si>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</si>
  <si>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</si>
  <si>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</si>
  <si>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</si>
  <si>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</si>
  <si>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</si>
  <si>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</si>
  <si>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</si>
  <si>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</si>
  <si>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</si>
  <si>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</si>
  <si>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</si>
  <si>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</si>
  <si>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</si>
  <si>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</si>
  <si>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</si>
  <si>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</si>
  <si>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</si>
  <si>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</si>
  <si>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</si>
  <si>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</si>
  <si>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</si>
  <si>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</si>
  <si>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</si>
  <si>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</si>
  <si>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</si>
  <si>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</si>
  <si>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</si>
  <si>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</si>
  <si>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</si>
  <si>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</si>
  <si>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</si>
  <si>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</si>
  <si>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</si>
  <si>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</si>
  <si>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</si>
  <si>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</si>
  <si>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</si>
  <si>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</si>
  <si>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</si>
  <si>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</si>
  <si>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</si>
  <si>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</si>
  <si>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</si>
  <si>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</si>
  <si>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</si>
  <si>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</si>
  <si>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</si>
  <si>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</si>
  <si>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</si>
  <si>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</si>
  <si>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</si>
  <si>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</si>
  <si>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</si>
  <si>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</si>
  <si>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</si>
  <si>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</si>
  <si>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</si>
  <si>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</si>
  <si>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</si>
  <si>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</si>
  <si>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</si>
  <si>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</si>
  <si>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</si>
  <si>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</si>
  <si>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</si>
  <si>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</si>
  <si>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</si>
  <si>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</si>
  <si>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</si>
  <si>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</si>
  <si>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</si>
  <si>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</si>
  <si>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</si>
  <si>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</si>
  <si>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</si>
  <si>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</si>
  <si>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</si>
  <si>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</si>
  <si>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</si>
  <si>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</si>
  <si>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</si>
  <si>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</si>
  <si>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</si>
  <si>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</si>
  <si>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</si>
  <si>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</si>
  <si>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</si>
  <si>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</si>
  <si>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</si>
  <si>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</si>
  <si>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</si>
  <si>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</si>
  <si>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</si>
  <si>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</si>
  <si>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</si>
  <si>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</si>
  <si>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</si>
  <si>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</si>
  <si>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</si>
  <si>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</si>
  <si>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</si>
  <si>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</si>
  <si>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</si>
  <si>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</si>
  <si>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</si>
  <si>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</si>
  <si>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</si>
  <si>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</si>
  <si>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</si>
  <si>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</si>
  <si>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</si>
  <si>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</si>
  <si>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</si>
  <si>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</si>
  <si>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</si>
  <si>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</si>
  <si>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</si>
  <si>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</si>
  <si>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</si>
  <si>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</si>
  <si>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</si>
  <si>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</si>
  <si>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</si>
  <si>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</si>
  <si>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</si>
  <si>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</si>
  <si>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</si>
  <si>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</si>
  <si>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</si>
  <si>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</si>
  <si>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</si>
  <si>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</si>
  <si>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</si>
  <si>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</si>
  <si>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</si>
  <si>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</si>
  <si>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</si>
  <si>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</si>
  <si>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</si>
  <si>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</si>
  <si>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</si>
  <si>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</si>
  <si>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</si>
  <si>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</si>
  <si>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</si>
  <si>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</si>
  <si>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</si>
  <si>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</si>
  <si>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</si>
  <si>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</si>
  <si>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</si>
  <si>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</si>
  <si>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</si>
  <si>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</si>
  <si>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</si>
  <si>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</si>
  <si>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</si>
  <si>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</si>
  <si>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</si>
  <si>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</si>
  <si>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</si>
  <si>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</si>
  <si>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</si>
  <si>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</si>
  <si>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</si>
  <si>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</si>
  <si>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</si>
  <si>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</si>
  <si>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</si>
  <si>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</si>
  <si>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</si>
  <si>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</si>
  <si>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</si>
  <si>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</si>
  <si>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</si>
  <si>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</si>
  <si>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</si>
  <si>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</si>
  <si>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</si>
  <si>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</si>
  <si>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</si>
  <si>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</si>
  <si>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</si>
  <si>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</si>
  <si>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</si>
  <si>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</si>
  <si>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</si>
  <si>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</si>
  <si>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</si>
  <si>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</si>
  <si>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</si>
  <si>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</si>
  <si>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</si>
  <si>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</si>
  <si>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</si>
  <si>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</si>
  <si>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</si>
  <si>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</si>
  <si>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</si>
  <si>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</si>
  <si>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</si>
  <si>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</si>
  <si>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</si>
  <si>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</si>
  <si>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</si>
  <si>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</si>
  <si>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</si>
  <si>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</si>
  <si>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</si>
  <si>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</si>
  <si>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</si>
  <si>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</si>
  <si>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</si>
  <si>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</si>
  <si>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</si>
  <si>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</si>
  <si>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</si>
  <si>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</si>
  <si>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</si>
  <si>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</si>
  <si>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</si>
  <si>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</si>
  <si>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</si>
  <si>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</si>
  <si>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</si>
  <si>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</si>
  <si>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</si>
  <si>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</si>
  <si>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</si>
  <si>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</si>
  <si>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</si>
  <si>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</si>
  <si>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</si>
  <si>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</si>
  <si>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</si>
  <si>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</si>
  <si>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</si>
  <si>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</si>
  <si>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</si>
  <si>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</si>
  <si>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</si>
  <si>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</si>
  <si>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</si>
  <si>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</si>
  <si>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</si>
  <si>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</si>
  <si>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</si>
  <si>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</si>
  <si>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</si>
  <si>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</si>
  <si>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</si>
  <si>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</si>
  <si>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</si>
  <si>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</si>
  <si>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</si>
  <si>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</si>
  <si>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</si>
  <si>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</si>
  <si>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</si>
  <si>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</si>
  <si>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</si>
  <si>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</si>
  <si>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</si>
  <si>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</si>
  <si>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</si>
  <si>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</si>
  <si>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</si>
  <si>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</si>
  <si>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</si>
  <si>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</si>
  <si>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</si>
  <si>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</si>
  <si>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</si>
  <si>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</si>
  <si>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</si>
  <si>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</si>
  <si>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</si>
  <si>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</si>
  <si>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</si>
  <si>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</si>
  <si>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</si>
  <si>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</si>
  <si>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</si>
  <si>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</si>
  <si>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</si>
  <si>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</si>
  <si>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</si>
  <si>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</si>
  <si>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</si>
  <si>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</si>
  <si>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</si>
  <si>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</si>
  <si>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</si>
  <si>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</si>
  <si>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</si>
  <si>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</si>
  <si>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</si>
  <si>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</si>
  <si>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</si>
  <si>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</si>
  <si>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</si>
  <si>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</si>
  <si>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</si>
  <si>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</si>
  <si>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</si>
  <si>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</si>
  <si>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</si>
  <si>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</si>
  <si>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</si>
  <si>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</si>
  <si>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</si>
  <si>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</si>
  <si>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</si>
  <si>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</si>
  <si>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</si>
  <si>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</si>
  <si>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</si>
  <si>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</si>
  <si>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</si>
  <si>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</si>
  <si>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</si>
  <si>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</si>
  <si>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</si>
  <si>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</si>
  <si>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</si>
  <si>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</si>
  <si>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</si>
  <si>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</si>
  <si>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</si>
  <si>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</si>
  <si>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</si>
  <si>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</si>
  <si>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</si>
  <si>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</si>
  <si>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</si>
  <si>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</si>
  <si>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</si>
  <si>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</si>
  <si>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</si>
  <si>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</si>
  <si>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</si>
  <si>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</si>
  <si>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</si>
  <si>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</si>
  <si>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</si>
  <si>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</si>
  <si>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</si>
  <si>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</si>
  <si>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</si>
  <si>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</si>
  <si>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</si>
  <si>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</si>
  <si>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</si>
  <si>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</si>
  <si>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</si>
  <si>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</si>
  <si>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</si>
  <si>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</si>
  <si>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</si>
  <si>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</si>
  <si>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</si>
  <si>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</si>
  <si>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</si>
  <si>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</si>
  <si>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</si>
  <si>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</si>
  <si>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</si>
  <si>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</si>
  <si>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</si>
  <si>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</si>
  <si>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</si>
  <si>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</si>
  <si>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</si>
  <si>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</si>
  <si>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</si>
  <si>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</si>
  <si>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</si>
  <si>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</si>
  <si>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</si>
  <si>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</si>
  <si>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</si>
  <si>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</si>
  <si>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</si>
  <si>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</si>
  <si>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</si>
  <si>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</si>
  <si>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</si>
  <si>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</si>
  <si>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</si>
  <si>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</si>
  <si>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</si>
  <si>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</si>
  <si>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</si>
  <si>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</si>
  <si>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</si>
  <si>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</si>
  <si>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</si>
  <si>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</si>
  <si>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</si>
  <si>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</si>
  <si>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</si>
  <si>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</si>
  <si>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</si>
  <si>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</si>
  <si>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</si>
  <si>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</si>
  <si>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</si>
  <si>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</si>
  <si>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</si>
  <si>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</si>
  <si>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</si>
  <si>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</si>
  <si>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</si>
  <si>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</si>
  <si>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</si>
  <si>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</si>
  <si>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</si>
  <si>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</si>
  <si>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</si>
  <si>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</si>
  <si>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</si>
  <si>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</si>
  <si>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</si>
  <si>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</si>
  <si>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</si>
  <si>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</si>
  <si>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</si>
  <si>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</si>
  <si>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</si>
  <si>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</si>
  <si>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</si>
  <si>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</si>
  <si>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</si>
  <si>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</si>
  <si>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</si>
  <si>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</si>
  <si>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</si>
  <si>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</si>
  <si>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</si>
  <si>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</si>
  <si>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</si>
  <si>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</si>
  <si>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</si>
  <si>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</si>
  <si>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</si>
  <si>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</si>
  <si>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</si>
  <si>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</si>
  <si>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</si>
  <si>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</si>
  <si>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</si>
  <si>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</si>
  <si>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</si>
  <si>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</si>
  <si>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</si>
  <si>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</si>
  <si>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</si>
  <si>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</si>
  <si>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</si>
  <si>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</si>
  <si>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</si>
  <si>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</si>
  <si>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</si>
  <si>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</si>
  <si>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</si>
  <si>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</si>
  <si>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</si>
  <si>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</si>
  <si>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</si>
  <si>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</si>
  <si>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</si>
  <si>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</si>
  <si>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</si>
  <si>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</si>
  <si>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</si>
  <si>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</si>
  <si>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</si>
  <si>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</si>
  <si>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</si>
  <si>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</si>
  <si>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</si>
  <si>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</si>
  <si>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</si>
  <si>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</si>
  <si>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</si>
  <si>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</si>
  <si>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</si>
  <si>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</si>
  <si>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</si>
  <si>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</si>
  <si>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</si>
  <si>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</si>
  <si>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</si>
  <si>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</si>
  <si>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</si>
  <si>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</si>
  <si>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</si>
  <si>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</si>
  <si>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</si>
  <si>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</si>
  <si>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</si>
  <si>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</si>
  <si>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</si>
  <si>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</si>
  <si>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</si>
  <si>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</si>
  <si>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</si>
  <si>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</si>
  <si>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</si>
  <si>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</si>
  <si>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</si>
  <si>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</si>
  <si>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</si>
  <si>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</si>
  <si>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</si>
  <si>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</si>
  <si>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</si>
  <si>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</si>
  <si>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</si>
  <si>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</si>
  <si>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</si>
  <si>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</si>
  <si>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</si>
  <si>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</si>
  <si>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</si>
  <si>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</si>
  <si>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</si>
  <si>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</si>
  <si>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</si>
  <si>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</si>
  <si>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</si>
  <si>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</si>
  <si>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</si>
  <si>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</si>
  <si>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</si>
  <si>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</si>
  <si>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</si>
  <si>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</si>
  <si>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</si>
  <si>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</si>
  <si>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</si>
  <si>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</si>
  <si>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</si>
  <si>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</si>
  <si>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</si>
  <si>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</si>
  <si>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</si>
  <si>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</si>
  <si>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</si>
  <si>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</si>
  <si>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</si>
  <si>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</si>
  <si>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</si>
  <si>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</si>
  <si>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</si>
  <si>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</si>
  <si>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</si>
  <si>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</si>
  <si>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</si>
  <si>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</si>
  <si>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</si>
  <si>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</si>
  <si>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</si>
  <si>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</si>
  <si>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</si>
  <si>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</si>
  <si>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</si>
  <si>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</si>
  <si>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</si>
  <si>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</si>
  <si>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</si>
  <si>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</si>
  <si>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</si>
  <si>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</si>
  <si>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</si>
  <si>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</si>
  <si>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</si>
  <si>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</si>
  <si>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</si>
  <si>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</si>
  <si>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</si>
  <si>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</si>
  <si>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</si>
  <si>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</si>
  <si>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</si>
  <si>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</si>
  <si>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</si>
  <si>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</si>
  <si>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</si>
  <si>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</si>
  <si>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</si>
  <si>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</si>
  <si>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</si>
  <si>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</si>
  <si>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</si>
  <si>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</si>
  <si>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</si>
  <si>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</si>
  <si>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</si>
  <si>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</si>
  <si>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</si>
  <si>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</si>
  <si>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</si>
  <si>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</si>
  <si>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</si>
  <si>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</si>
  <si>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</si>
  <si>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</si>
  <si>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</si>
  <si>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</si>
  <si>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</si>
  <si>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</si>
  <si>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</si>
  <si>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</si>
  <si>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</si>
  <si>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</si>
  <si>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</si>
  <si>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</si>
  <si>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</si>
  <si>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</si>
  <si>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</si>
  <si>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</si>
  <si>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</si>
  <si>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</si>
  <si>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</si>
  <si>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</si>
  <si>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</si>
  <si>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</si>
  <si>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</si>
  <si>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</si>
  <si>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</si>
  <si>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</si>
  <si>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</si>
  <si>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</si>
  <si>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</si>
  <si>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</si>
  <si>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</si>
  <si>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</si>
  <si>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</si>
  <si>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</si>
  <si>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</si>
  <si>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</si>
  <si>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</si>
  <si>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</si>
  <si>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</si>
  <si>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</si>
  <si>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</si>
  <si>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</si>
  <si>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</si>
  <si>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</si>
  <si>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</si>
  <si>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</si>
  <si>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</si>
  <si>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</si>
  <si>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</si>
  <si>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</si>
  <si>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</si>
  <si>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</si>
  <si>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</si>
  <si>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</si>
  <si>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</si>
  <si>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</si>
  <si>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</si>
  <si>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</si>
  <si>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</si>
  <si>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</si>
  <si>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</si>
  <si>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</si>
  <si>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</si>
  <si>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</si>
  <si>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</si>
  <si>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</si>
  <si>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</si>
  <si>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</si>
  <si>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</si>
  <si>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</si>
  <si>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</si>
  <si>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</si>
  <si>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</si>
  <si>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</si>
  <si>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</si>
  <si>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</si>
  <si>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</si>
  <si>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</si>
  <si>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</si>
  <si>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</si>
  <si>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</si>
  <si>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</si>
  <si>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</si>
  <si>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</si>
  <si>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</si>
  <si>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</si>
  <si>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</si>
  <si>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</si>
  <si>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</si>
  <si>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</si>
  <si>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</si>
  <si>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</si>
  <si>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</si>
  <si>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</si>
  <si>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</si>
  <si>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</si>
  <si>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</si>
  <si>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</si>
  <si>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</si>
  <si>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</si>
  <si>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</si>
  <si>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</si>
  <si>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</si>
  <si>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</si>
  <si>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</si>
  <si>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</si>
  <si>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</si>
  <si>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</si>
  <si>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</si>
  <si>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</si>
  <si>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</si>
  <si>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</si>
  <si>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</si>
  <si>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</si>
  <si>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</si>
  <si>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</si>
  <si>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</si>
  <si>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</si>
  <si>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</si>
  <si>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</si>
  <si>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</si>
  <si>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</si>
  <si>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</si>
  <si>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</si>
  <si>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</si>
  <si>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</si>
  <si>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</si>
  <si>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</si>
  <si>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</si>
  <si>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</si>
  <si>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</si>
  <si>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</si>
  <si>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</si>
  <si>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</si>
  <si>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</si>
  <si>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</si>
  <si>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</si>
  <si>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</si>
  <si>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</si>
  <si>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</si>
  <si>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</si>
  <si>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</si>
  <si>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</si>
  <si>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</si>
  <si>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</si>
  <si>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</si>
  <si>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</si>
  <si>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</si>
  <si>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</si>
  <si>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</si>
  <si>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</si>
  <si>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</si>
  <si>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</si>
  <si>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</si>
  <si>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</si>
  <si>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</si>
  <si>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</si>
  <si>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</si>
  <si>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</si>
  <si>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</si>
  <si>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</si>
  <si>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</si>
  <si>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</si>
  <si>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</si>
  <si>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</si>
  <si>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</si>
  <si>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</si>
  <si>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</si>
  <si>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</si>
  <si>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</si>
  <si>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</si>
  <si>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</si>
  <si>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</si>
  <si>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</si>
  <si>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</si>
  <si>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</si>
  <si>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</si>
  <si>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</si>
  <si>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</si>
  <si>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</si>
  <si>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</si>
  <si>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</si>
  <si>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</si>
  <si>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</si>
  <si>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</si>
  <si>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</si>
  <si>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</si>
  <si>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</si>
  <si>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</si>
  <si>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</si>
  <si>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</si>
  <si>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</si>
  <si>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</si>
  <si>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</si>
  <si>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</si>
  <si>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</si>
  <si>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</si>
  <si>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</si>
  <si>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</si>
  <si>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</si>
  <si>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</si>
  <si>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</si>
  <si>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</si>
  <si>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</si>
  <si>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</si>
  <si>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</si>
  <si>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</si>
  <si>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</si>
  <si>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</si>
  <si>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</si>
  <si>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</si>
  <si>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</si>
  <si>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</si>
  <si>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</si>
  <si>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</si>
  <si>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</si>
  <si>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</si>
  <si>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</si>
  <si>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</si>
  <si>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</si>
  <si>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</si>
  <si>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</si>
  <si>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</si>
  <si>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</si>
  <si>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</si>
  <si>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</si>
  <si>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</si>
  <si>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</si>
  <si>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</si>
  <si>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</si>
  <si>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</si>
  <si>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</si>
  <si>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</si>
  <si>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</si>
  <si>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</si>
  <si>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</si>
  <si>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</si>
  <si>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</si>
  <si>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</si>
  <si>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</si>
  <si>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</si>
  <si>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</si>
  <si>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</si>
  <si>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</si>
  <si>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</si>
  <si>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</si>
  <si>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</si>
  <si>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</si>
  <si>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</si>
  <si>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</si>
  <si>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</si>
  <si>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</si>
  <si>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</si>
  <si>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</si>
  <si>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</si>
  <si>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</si>
  <si>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</si>
  <si>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</si>
  <si>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</si>
  <si>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</si>
  <si>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</si>
  <si>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</si>
  <si>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</si>
  <si>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</si>
  <si>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</si>
  <si>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</si>
  <si>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</si>
  <si>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</si>
  <si>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</si>
  <si>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</si>
  <si>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</si>
  <si>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</si>
  <si>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</si>
  <si>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</si>
  <si>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</si>
  <si>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</si>
  <si>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</si>
  <si>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</si>
  <si>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</si>
  <si>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</si>
  <si>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</si>
  <si>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</si>
  <si>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</si>
  <si>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</si>
  <si>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</si>
  <si>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</si>
  <si>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</si>
  <si>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</si>
  <si>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</si>
  <si>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</si>
  <si>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</si>
  <si>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</si>
  <si>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</si>
  <si>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</si>
  <si>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</si>
  <si>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</si>
  <si>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</si>
  <si>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</si>
  <si>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</si>
  <si>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</si>
  <si>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</si>
  <si>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</si>
  <si>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</si>
  <si>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</si>
  <si>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</si>
  <si>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</si>
  <si>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</si>
  <si>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</si>
  <si>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</si>
  <si>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</si>
  <si>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</si>
  <si>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</si>
  <si>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</si>
  <si>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</si>
  <si>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</si>
  <si>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</si>
  <si>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</si>
  <si>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</si>
  <si>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</si>
  <si>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</si>
  <si>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</si>
  <si>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</si>
  <si>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</si>
  <si>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</si>
  <si>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</si>
  <si>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</si>
  <si>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</si>
  <si>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</si>
  <si>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</si>
  <si>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</si>
  <si>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</si>
  <si>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</si>
  <si>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</si>
  <si>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</si>
  <si>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</si>
  <si>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</si>
  <si>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</si>
  <si>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</si>
  <si>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</si>
  <si>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</si>
  <si>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</si>
  <si>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</si>
  <si>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</si>
  <si>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</si>
  <si>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</si>
  <si>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</si>
  <si>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</si>
  <si>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</si>
  <si>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</si>
  <si>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</si>
  <si>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</si>
  <si>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</si>
  <si>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</si>
  <si>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</si>
  <si>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</si>
  <si>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</si>
  <si>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</si>
  <si>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</si>
  <si>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</si>
  <si>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</si>
  <si>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</si>
  <si>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</si>
  <si>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</si>
  <si>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</si>
  <si>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</si>
  <si>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</si>
  <si>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</si>
  <si>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</si>
  <si>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</si>
  <si>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</si>
  <si>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</si>
  <si>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</si>
  <si>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</si>
  <si>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</si>
  <si>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</si>
  <si>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</si>
  <si>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</si>
  <si>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</si>
  <si>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</si>
  <si>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</si>
  <si>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</si>
  <si>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</si>
  <si>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</si>
  <si>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</si>
  <si>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</si>
  <si>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</si>
  <si>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</si>
  <si>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</si>
  <si>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</si>
  <si>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</si>
  <si>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</si>
  <si>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</si>
  <si>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</si>
  <si>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</si>
  <si>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</si>
  <si>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</si>
  <si>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</si>
  <si>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</si>
  <si>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</si>
  <si>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</si>
  <si>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</si>
  <si>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</si>
  <si>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</si>
  <si>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</si>
  <si>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</si>
  <si>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</si>
  <si>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</si>
  <si>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</si>
  <si>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</si>
  <si>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</si>
  <si>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</si>
  <si>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</si>
  <si>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</si>
  <si>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</si>
  <si>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</si>
  <si>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</si>
  <si>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</si>
  <si>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</si>
  <si>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</si>
  <si>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</si>
  <si>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</si>
  <si>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</si>
  <si>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</si>
  <si>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</si>
  <si>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</si>
  <si>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</si>
  <si>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</si>
  <si>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</si>
  <si>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</si>
  <si>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</si>
  <si>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</si>
  <si>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</si>
  <si>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</si>
  <si>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</si>
  <si>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</si>
  <si>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</si>
  <si>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</si>
  <si>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</si>
  <si>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</si>
  <si>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</si>
  <si>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</si>
  <si>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</si>
  <si>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</si>
  <si>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</si>
  <si>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</si>
  <si>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</si>
  <si>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</si>
  <si>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</si>
  <si>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</si>
  <si>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</si>
  <si>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</si>
  <si>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</si>
  <si>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</si>
  <si>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</si>
  <si>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</si>
  <si>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</si>
  <si>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</si>
  <si>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</si>
  <si>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</si>
  <si>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</si>
  <si>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</si>
  <si>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</si>
  <si>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</si>
  <si>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</si>
  <si>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</si>
  <si>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</si>
  <si>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</si>
  <si>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</si>
  <si>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</si>
  <si>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</si>
  <si>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</si>
  <si>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</si>
  <si>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</si>
  <si>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</si>
  <si>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</si>
  <si>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</si>
  <si>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</si>
  <si>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</si>
  <si>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</si>
  <si>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</si>
  <si>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</si>
  <si>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</si>
  <si>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</si>
  <si>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</si>
  <si>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</si>
  <si>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</si>
  <si>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</si>
  <si>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</si>
  <si>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</si>
  <si>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</si>
  <si>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</si>
  <si>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</si>
  <si>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</si>
  <si>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</si>
  <si>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</si>
  <si>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</si>
  <si>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</si>
  <si>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</si>
  <si>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</si>
  <si>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</si>
  <si>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</si>
  <si>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</si>
  <si>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</si>
  <si>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</si>
  <si>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</si>
  <si>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</si>
  <si>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</si>
  <si>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</si>
  <si>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</si>
  <si>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</si>
  <si>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</si>
  <si>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</si>
  <si>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</si>
  <si>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</si>
  <si>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</si>
  <si>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</si>
  <si>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</si>
  <si>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</si>
  <si>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</si>
  <si>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</si>
  <si>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</si>
  <si>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</si>
  <si>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</si>
  <si>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</si>
  <si>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</si>
  <si>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</si>
  <si>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</si>
  <si>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</si>
  <si>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</si>
  <si>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</si>
  <si>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</si>
  <si>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</si>
  <si>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</si>
  <si>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</si>
  <si>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</si>
  <si>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</si>
  <si>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</si>
  <si>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</si>
  <si>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</si>
  <si>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</si>
  <si>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</si>
  <si>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</si>
  <si>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</si>
  <si>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</si>
  <si>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</si>
  <si>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</si>
  <si>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</si>
  <si>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</si>
  <si>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</si>
  <si>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</si>
  <si>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</si>
  <si>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</si>
  <si>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</si>
  <si>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</si>
  <si>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</si>
  <si>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</si>
  <si>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</si>
  <si>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</si>
  <si>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</si>
  <si>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</si>
  <si>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</si>
  <si>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</si>
  <si>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</si>
  <si>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</si>
  <si>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</si>
  <si>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</si>
  <si>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</si>
  <si>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</si>
  <si>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</si>
  <si>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</si>
  <si>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</si>
  <si>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</si>
  <si>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</si>
  <si>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</si>
  <si>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</si>
  <si>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</si>
  <si>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</si>
  <si>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</si>
  <si>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</si>
  <si>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</si>
  <si>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</si>
  <si>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</si>
  <si>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</si>
  <si>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</si>
  <si>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</si>
  <si>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</si>
  <si>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</si>
  <si>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</si>
  <si>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</si>
  <si>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</si>
  <si>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</si>
  <si>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</si>
  <si>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</si>
  <si>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</si>
  <si>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</si>
  <si>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</si>
  <si>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</si>
  <si>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</si>
  <si>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</si>
  <si>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</si>
  <si>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</si>
  <si>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</si>
  <si>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</si>
  <si>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</si>
  <si>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</si>
  <si>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</si>
  <si>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</si>
  <si>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</si>
  <si>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</si>
  <si>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</si>
  <si>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</si>
  <si>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</si>
  <si>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</si>
  <si>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</si>
  <si>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</si>
  <si>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</si>
  <si>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</si>
  <si>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</si>
  <si>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</si>
  <si>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</si>
  <si>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</si>
  <si>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</si>
  <si>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</si>
  <si>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</si>
  <si>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</si>
  <si>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</si>
  <si>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</si>
  <si>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</si>
  <si>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</si>
  <si>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</si>
  <si>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</si>
  <si>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</si>
  <si>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</si>
  <si>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</si>
  <si>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</si>
  <si>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</si>
  <si>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</si>
  <si>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</si>
  <si>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</si>
  <si>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</si>
  <si>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</si>
  <si>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</si>
  <si>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</si>
  <si>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</si>
  <si>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</si>
  <si>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</si>
  <si>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</si>
  <si>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</si>
  <si>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</si>
  <si>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</si>
  <si>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</si>
  <si>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</si>
  <si>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</si>
  <si>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</si>
  <si>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</si>
  <si>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</si>
  <si>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</si>
  <si>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</si>
  <si>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</si>
  <si>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</si>
  <si>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</si>
  <si>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</si>
  <si>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</si>
  <si>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</si>
  <si>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</si>
  <si>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</si>
  <si>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</si>
  <si>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</si>
  <si>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</si>
  <si>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</si>
  <si>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</si>
  <si>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</si>
  <si>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</si>
  <si>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</si>
  <si>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</si>
  <si>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</si>
  <si>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</si>
  <si>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</si>
  <si>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</si>
  <si>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</si>
  <si>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</si>
  <si>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</si>
  <si>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</si>
  <si>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</si>
  <si>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</si>
  <si>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</si>
  <si>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</si>
  <si>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</si>
  <si>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</si>
  <si>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</si>
  <si>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</si>
  <si>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</si>
  <si>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</si>
  <si>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</si>
  <si>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</si>
  <si>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</si>
  <si>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</si>
  <si>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</si>
  <si>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</si>
  <si>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</si>
  <si>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</si>
  <si>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</si>
  <si>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</si>
  <si>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</si>
  <si>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</si>
  <si>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</si>
  <si>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</si>
  <si>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</si>
  <si>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</si>
  <si>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</si>
  <si>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</si>
  <si>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</si>
  <si>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</si>
  <si>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</si>
  <si>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</si>
  <si>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</si>
  <si>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</si>
  <si>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</si>
  <si>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</si>
  <si>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</si>
  <si>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</si>
  <si>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</si>
  <si>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</si>
  <si>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</si>
  <si>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</si>
  <si>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</si>
  <si>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</si>
  <si>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</si>
  <si>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</si>
  <si>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</si>
  <si>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</si>
  <si>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</si>
  <si>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</si>
  <si>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</si>
  <si>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</si>
  <si>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</si>
  <si>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</si>
  <si>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</si>
  <si>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</si>
  <si>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</si>
  <si>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</si>
  <si>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</si>
  <si>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</si>
  <si>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</si>
  <si>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</si>
  <si>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</si>
  <si>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</si>
  <si>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</si>
  <si>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</si>
  <si>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</si>
  <si>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</si>
  <si>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</si>
  <si>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</si>
  <si>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</si>
  <si>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</si>
  <si>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</si>
  <si>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</si>
  <si>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</si>
  <si>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</si>
  <si>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</si>
  <si>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</si>
  <si>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</si>
  <si>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</si>
  <si>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</si>
  <si>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</si>
  <si>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</si>
  <si>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</si>
  <si>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</si>
  <si>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</si>
  <si>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</si>
  <si>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</si>
  <si>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</si>
  <si>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</si>
  <si>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</si>
  <si>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</si>
  <si>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</si>
  <si>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</si>
  <si>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</si>
  <si>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</si>
  <si>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</si>
  <si>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</si>
  <si>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</si>
  <si>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</si>
  <si>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</si>
  <si>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</si>
  <si>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</si>
  <si>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</si>
  <si>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</si>
  <si>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</si>
  <si>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</si>
  <si>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</si>
  <si>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</si>
  <si>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</si>
  <si>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</si>
  <si>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</si>
  <si>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</si>
  <si>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</si>
  <si>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</si>
  <si>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</si>
  <si>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</si>
  <si>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</si>
  <si>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</si>
  <si>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</si>
  <si>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</si>
  <si>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</si>
  <si>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</si>
  <si>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</si>
  <si>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</si>
  <si>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</si>
  <si>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</si>
  <si>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</si>
  <si>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</si>
  <si>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</si>
  <si>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</si>
  <si>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</si>
  <si>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</si>
  <si>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</si>
  <si>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</si>
  <si>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</si>
  <si>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</si>
  <si>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</si>
  <si>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</si>
  <si>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</si>
  <si>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</si>
  <si>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</si>
  <si>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</si>
  <si>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</si>
  <si>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</si>
  <si>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</si>
  <si>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</si>
  <si>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</si>
  <si>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</si>
  <si>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</si>
  <si>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</si>
  <si>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</si>
  <si>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</si>
  <si>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</si>
  <si>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</si>
  <si>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</si>
  <si>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</si>
  <si>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</si>
  <si>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</si>
  <si>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</si>
  <si>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</si>
  <si>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</si>
  <si>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</si>
  <si>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</si>
  <si>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</si>
  <si>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</si>
  <si>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</si>
  <si>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</si>
  <si>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</si>
  <si>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</si>
  <si>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</si>
  <si>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</si>
  <si>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</si>
  <si>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</si>
  <si>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</si>
  <si>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</si>
  <si>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</si>
  <si>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</si>
  <si>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</si>
  <si>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</si>
  <si>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</si>
  <si>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</si>
  <si>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</si>
  <si>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</si>
  <si>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</si>
  <si>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</si>
  <si>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</si>
  <si>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</si>
  <si>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</si>
  <si>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</si>
  <si>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</si>
  <si>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</si>
  <si>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</si>
  <si>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</si>
  <si>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</si>
  <si>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</si>
  <si>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</si>
  <si>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</si>
  <si>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</si>
  <si>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</si>
  <si>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</si>
  <si>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</si>
  <si>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</si>
  <si>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</si>
  <si>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</si>
  <si>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</si>
  <si>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</si>
  <si>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</si>
  <si>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</si>
  <si>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</si>
  <si>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</si>
  <si>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</si>
  <si>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</si>
  <si>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</si>
  <si>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</si>
  <si>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</si>
  <si>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</si>
  <si>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</si>
  <si>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</si>
  <si>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</si>
  <si>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</si>
  <si>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</si>
  <si>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</si>
  <si>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</si>
  <si>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</si>
  <si>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</si>
  <si>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</si>
  <si>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</si>
  <si>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</si>
  <si>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</si>
  <si>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</si>
  <si>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</si>
  <si>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</si>
  <si>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</si>
  <si>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</si>
  <si>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</si>
  <si>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</si>
  <si>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</si>
  <si>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</si>
  <si>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</si>
  <si>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</si>
  <si>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</si>
  <si>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</si>
  <si>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</si>
  <si>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</si>
  <si>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</si>
  <si>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</si>
  <si>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</si>
  <si>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</si>
  <si>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</si>
  <si>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</si>
  <si>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</si>
  <si>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</si>
  <si>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</si>
  <si>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</si>
  <si>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</si>
  <si>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</si>
  <si>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</si>
  <si>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</si>
  <si>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</si>
  <si>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</si>
  <si>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</si>
  <si>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</si>
  <si>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</si>
  <si>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</si>
  <si>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</si>
  <si>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</si>
  <si>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</si>
  <si>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</si>
  <si>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</si>
  <si>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</si>
  <si>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</si>
  <si>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</si>
  <si>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</si>
  <si>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</si>
  <si>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</si>
  <si>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</si>
  <si>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</si>
  <si>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</si>
  <si>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</si>
  <si>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</si>
  <si>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</si>
  <si>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</si>
  <si>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</si>
  <si>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</si>
  <si>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</si>
  <si>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</si>
  <si>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</si>
  <si>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</si>
  <si>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</si>
  <si>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</si>
  <si>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</si>
  <si>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</si>
  <si>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</si>
  <si>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</si>
  <si>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</si>
  <si>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</si>
  <si>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</si>
  <si>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</si>
  <si>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</si>
  <si>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</si>
  <si>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</si>
  <si>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</si>
  <si>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</si>
  <si>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</si>
  <si>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</si>
  <si>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</si>
  <si>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</si>
  <si>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</si>
  <si>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</si>
  <si>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</si>
  <si>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</si>
  <si>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</si>
  <si>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</si>
  <si>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</si>
  <si>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</si>
  <si>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</si>
  <si>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</si>
  <si>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</si>
  <si>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</si>
  <si>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</si>
  <si>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</si>
  <si>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</si>
  <si>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</si>
  <si>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</si>
  <si>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</si>
  <si>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</si>
  <si>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</si>
  <si>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</si>
  <si>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</si>
  <si>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</si>
  <si>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</si>
  <si>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</si>
  <si>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</si>
  <si>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</si>
  <si>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</si>
  <si>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</si>
  <si>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</si>
  <si>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</si>
  <si>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</si>
  <si>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</si>
  <si>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</si>
  <si>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</si>
  <si>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</si>
  <si>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</si>
  <si>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</si>
  <si>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</si>
  <si>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</si>
  <si>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</si>
  <si>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</si>
  <si>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</si>
  <si>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</si>
  <si>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</si>
  <si>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</si>
  <si>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</si>
  <si>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</si>
  <si>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</si>
  <si>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</si>
  <si>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</si>
  <si>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</si>
  <si>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</si>
  <si>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</si>
  <si>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</si>
  <si>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</si>
  <si>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</si>
  <si>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</si>
  <si>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</si>
  <si>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</si>
  <si>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</si>
  <si>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</si>
  <si>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</si>
  <si>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</si>
  <si>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</si>
  <si>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</si>
  <si>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</si>
  <si>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</si>
  <si>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</si>
  <si>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</si>
  <si>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</si>
  <si>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</si>
  <si>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</si>
  <si>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</si>
  <si>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</si>
  <si>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</si>
  <si>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</si>
  <si>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</si>
  <si>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</si>
  <si>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</si>
  <si>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</si>
  <si>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</si>
  <si>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</si>
  <si>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</si>
  <si>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</si>
  <si>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</si>
  <si>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</si>
  <si>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</si>
  <si>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</si>
  <si>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</si>
  <si>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</si>
  <si>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</si>
  <si>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</si>
  <si>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</si>
  <si>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</si>
  <si>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</si>
  <si>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</si>
  <si>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</si>
  <si>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</si>
  <si>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</si>
  <si>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</si>
  <si>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</si>
  <si>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</si>
  <si>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</si>
  <si>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</si>
  <si>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</si>
  <si>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</si>
  <si>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</si>
  <si>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</si>
  <si>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</si>
  <si>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</si>
  <si>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</si>
  <si>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</si>
  <si>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</si>
  <si>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</si>
  <si>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</si>
  <si>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</si>
  <si>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</si>
  <si>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</si>
  <si>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</si>
  <si>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</si>
  <si>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</si>
  <si>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</si>
  <si>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</si>
  <si>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</si>
  <si>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</si>
  <si>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</si>
  <si>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</si>
  <si>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</si>
  <si>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</si>
  <si>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</si>
  <si>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</si>
  <si>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</si>
  <si>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</si>
  <si>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</si>
  <si>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</si>
  <si>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</si>
  <si>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</si>
  <si>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</si>
  <si>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</si>
  <si>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</si>
  <si>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</si>
  <si>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</si>
  <si>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</si>
  <si>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</si>
  <si>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</si>
  <si>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</si>
  <si>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</si>
  <si>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</si>
  <si>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</si>
  <si>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</si>
  <si>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</si>
  <si>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</si>
  <si>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</si>
  <si>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</si>
  <si>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</si>
  <si>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</si>
  <si>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</si>
  <si>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</si>
  <si>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</si>
  <si>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</si>
  <si>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</si>
  <si>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</si>
  <si>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</si>
  <si>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</si>
  <si>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</si>
  <si>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</si>
  <si>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</si>
  <si>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</si>
  <si>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</si>
  <si>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</si>
  <si>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</si>
  <si>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</si>
  <si>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</si>
  <si>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</si>
  <si>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</si>
  <si>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</si>
  <si>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</si>
  <si>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</si>
  <si>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</si>
  <si>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</si>
  <si>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</si>
  <si>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</si>
  <si>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</si>
  <si>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</si>
  <si>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</si>
  <si>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</si>
  <si>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</si>
  <si>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</si>
  <si>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</si>
  <si>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</si>
  <si>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</si>
  <si>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</si>
  <si>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</si>
  <si>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</si>
  <si>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</si>
  <si>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</si>
  <si>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</si>
  <si>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</si>
  <si>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</si>
  <si>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</si>
  <si>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</si>
  <si>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</si>
  <si>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</si>
  <si>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</si>
  <si>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</si>
  <si>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</si>
  <si>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</si>
  <si>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</si>
  <si>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3 Въезд на базу\E33149364_8_20260119T161911Z.jpg</t>
  </si>
  <si>
    <t>пн 19.01.2026 — 16:19:11</t>
  </si>
  <si>
    <t>E33149364_8_20260120T134540Z.jpg</t>
  </si>
  <si>
    <t>3 Въезд на базу\E33149364_8_20260120T134540Z.jpg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</si>
  <si>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</si>
  <si>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</si>
  <si>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</si>
  <si>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</si>
  <si>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</si>
  <si>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</si>
  <si>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</si>
  <si>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</si>
  <si>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</si>
  <si>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</si>
  <si>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</si>
  <si>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</si>
  <si>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</si>
  <si>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</si>
  <si>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</si>
  <si>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</si>
  <si>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</si>
  <si>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</si>
  <si>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</si>
  <si>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</si>
  <si>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</si>
  <si>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</si>
  <si>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</si>
  <si>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</si>
  <si>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</si>
  <si>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</si>
  <si>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</si>
  <si>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</si>
  <si>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</si>
  <si>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</si>
  <si>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</si>
  <si>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</si>
  <si>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</si>
  <si>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</si>
  <si>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</si>
  <si>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</si>
  <si>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</si>
  <si>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</si>
  <si>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</si>
  <si>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</si>
  <si>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</si>
  <si>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</si>
  <si>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</si>
  <si>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</si>
  <si>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</si>
  <si>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</si>
  <si>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</si>
  <si>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</si>
  <si>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</si>
  <si>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</si>
  <si>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</si>
  <si>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</si>
  <si>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</si>
  <si>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</si>
  <si>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</si>
  <si>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</si>
  <si>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</si>
  <si>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</si>
  <si>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</si>
  <si>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</si>
  <si>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</si>
  <si>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</si>
  <si>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</si>
  <si>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</si>
  <si>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</si>
  <si>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</si>
  <si>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</si>
  <si>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</si>
  <si>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</si>
  <si>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</si>
  <si>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</si>
  <si>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9 Ангар пилорама\E33149364_1_20260119T092943Z.jpg</t>
  </si>
  <si>
    <t>пн 19.01.2026 — 09:29:43</t>
  </si>
  <si>
    <t>E33149364_1_20260119T152552Z.jpg</t>
  </si>
  <si>
    <t>9 Ангар пилорама\E33149364_1_20260119T152552Z.jpg</t>
  </si>
  <si>
    <t>пн 19.01.2026 — 15:25:52</t>
  </si>
  <si>
    <t>E33149364_1_20260120T092719Z.jpg</t>
  </si>
  <si>
    <t>9 Ангар пилорама\E33149364_1_20260120T092719Z.jpg</t>
  </si>
  <si>
    <t>вт 20.01.2026 — 09:27:19</t>
  </si>
  <si>
    <t>E33149364_1_20260120T100853Z.jpg</t>
  </si>
  <si>
    <t>9 Ангар пилорама\E33149364_1_20260120T100853Z.jpg</t>
  </si>
  <si>
    <t>вт 20.01.2026 — 10:08:53</t>
  </si>
  <si>
    <t>E33149364_1_20260120T101108Z.jpg</t>
  </si>
  <si>
    <t>9 Ангар пилорама\E33149364_1_20260120T101108Z.jpg</t>
  </si>
  <si>
    <t>вт 20.01.2026 — 10:11:08</t>
  </si>
  <si>
    <t>E33149364_1_20260120T102933Z.jpg</t>
  </si>
  <si>
    <t>9 Ангар пилорама\E33149364_1_20260120T102933Z.jpg</t>
  </si>
  <si>
    <t>вт 20.01.2026 — 10:29:33</t>
  </si>
  <si>
    <t>E33149364_1_20260120T103734Z.jpg</t>
  </si>
  <si>
    <t>9 Ангар пилорама\E33149364_1_20260120T103734Z.jpg</t>
  </si>
  <si>
    <t>вт 20.01.2026 — 10:37:34</t>
  </si>
  <si>
    <t>E33149364_1_20260120T110915Z.jpg</t>
  </si>
  <si>
    <t>9 Ангар пилорама\E33149364_1_20260120T110915Z.jpg</t>
  </si>
  <si>
    <t>вт 20.01.2026 — 11:09:15</t>
  </si>
  <si>
    <t>E33149364_1_20260120T125400Z.jpg</t>
  </si>
  <si>
    <t>9 Ангар пилорама\E33149364_1_20260120T125400Z.jpg</t>
  </si>
  <si>
    <t>вт 20.01.2026 — 12:54:00</t>
  </si>
  <si>
    <t>E33149364_1_20260120T211446Z.jpg</t>
  </si>
  <si>
    <t>9 Ангар пилорама\E33149364_1_20260120T211446Z.jpg</t>
  </si>
  <si>
    <t>вт 20.01.2026 — 21:14:46</t>
  </si>
  <si>
    <t>E33149364_3_20260119T162733Z.jpg</t>
  </si>
  <si>
    <t>10 Сушилка навес\E33149364_3_20260119T162733Z.jpg</t>
  </si>
  <si>
    <t>пн 19.01.2026 — 16:27:33</t>
  </si>
  <si>
    <t>E33149364_3_20260120T093017Z.jpg</t>
  </si>
  <si>
    <t>10 Сушилка навес\E33149364_3_20260120T093017Z.jpg</t>
  </si>
  <si>
    <t>вт 20.01.2026 — 09:30:17</t>
  </si>
  <si>
    <t>E33149364_3_20260120T101235Z.jpg</t>
  </si>
  <si>
    <t>10 Сушилка навес\E33149364_3_20260120T101235Z.jpg</t>
  </si>
  <si>
    <t>вт 20.01.2026 — 10:12:35</t>
  </si>
  <si>
    <t>E33149364_3_20260120T102958Z.jpg</t>
  </si>
  <si>
    <t>10 Сушилка навес\E33149364_3_20260120T102958Z.jpg</t>
  </si>
  <si>
    <t>вт 20.01.2026 — 10:29:58</t>
  </si>
  <si>
    <t>E33149364_3_20260120T103755Z.jpg</t>
  </si>
  <si>
    <t>10 Сушилка навес\E33149364_3_20260120T103755Z.jpg</t>
  </si>
  <si>
    <t>вт 20.01.2026 — 10:37:55</t>
  </si>
  <si>
    <t>E33149364_4_20260119T164913Z.jpg</t>
  </si>
  <si>
    <t>11 С ангара на базу\E33149364_4_20260119T164913Z.jpg</t>
  </si>
  <si>
    <t>пн 19.01.2026 — 16:49:13</t>
  </si>
  <si>
    <t>E33149364_4_20260120T092932Z.jpg</t>
  </si>
  <si>
    <t>11 С ангара на базу\E33149364_4_20260120T092932Z.jpg</t>
  </si>
  <si>
    <t>вт 20.01.2026 — 09:29:32</t>
  </si>
  <si>
    <t>E33149364_4_20260120T093008Z.jpg</t>
  </si>
  <si>
    <t>11 С ангара на базу\E33149364_4_20260120T093008Z.jpg</t>
  </si>
  <si>
    <t>вт 20.01.2026 — 09:30:08</t>
  </si>
  <si>
    <t>E33149364_4_20260120T101323Z.jpg</t>
  </si>
  <si>
    <t>11 С ангара на базу\E33149364_4_20260120T101323Z.jpg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</si>
  <si>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</si>
  <si>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</si>
  <si>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</si>
  <si>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</si>
  <si>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</si>
  <si>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</si>
  <si>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</si>
  <si>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</si>
  <si>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</si>
  <si>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</si>
  <si>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</si>
  <si>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</si>
  <si>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</si>
  <si>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</si>
  <si>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</si>
  <si>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</si>
  <si>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</si>
  <si>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</si>
  <si>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</si>
  <si>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</si>
  <si>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</si>
  <si>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</si>
  <si>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</si>
  <si>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</si>
  <si>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</si>
  <si>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</si>
  <si>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</si>
  <si>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</si>
  <si>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</si>
  <si>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</si>
  <si>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</si>
  <si>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</si>
  <si>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</si>
  <si>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</si>
  <si>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</si>
  <si>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</si>
  <si>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</si>
  <si>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</si>
  <si>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</si>
  <si>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</si>
  <si>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</si>
  <si>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</si>
  <si>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</si>
  <si>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</si>
  <si>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</si>
  <si>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</si>
  <si>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</si>
  <si>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</si>
  <si>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</si>
  <si>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</si>
  <si>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</si>
  <si>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</si>
  <si>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</si>
  <si>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</si>
  <si>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</si>
  <si>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</si>
  <si>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</si>
  <si>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</si>
  <si>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</si>
  <si>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</si>
  <si>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</si>
  <si>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</si>
  <si>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</si>
  <si>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</si>
  <si>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</si>
  <si>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2 Пилорама поката\E33149364_7_20260121T132654Z.jpg</t>
  </si>
  <si>
    <t>ср 21.01.2026 — 13:26:54</t>
  </si>
  <si>
    <t>E33149364_7_20260121T194556Z.jpg</t>
  </si>
  <si>
    <t>2 Пилорама поката\E33149364_7_20260121T194556Z.jpg</t>
  </si>
  <si>
    <t>ср 21.01.2026 — 19:45:56</t>
  </si>
  <si>
    <t>E33149364_7_20260122T121430Z.jpg</t>
  </si>
  <si>
    <t>2 Пилорама поката\E33149364_7_20260122T121430Z.jpg</t>
  </si>
  <si>
    <t>чт 22.01.2026 — 12:14:30</t>
  </si>
  <si>
    <t>E33149364_7_20260122T123746Z.jpg</t>
  </si>
  <si>
    <t>2 Пилорама поката\E33149364_7_20260122T123746Z.jpg</t>
  </si>
  <si>
    <t>чт 22.01.2026 — 12:37:46</t>
  </si>
  <si>
    <t>E33149364_6_20260121T165121Z.jpg</t>
  </si>
  <si>
    <t>1 Ангар Склад 2 въезд\E33149364_6_20260121T165121Z.jpg</t>
  </si>
  <si>
    <t>ср 21.01.2026 — 16:51:21</t>
  </si>
  <si>
    <t>E33149364_6_20260122T120606Z.jpg</t>
  </si>
  <si>
    <t>1 Ангар Склад 2 въезд\E33149364_6_20260122T120606Z.jpg</t>
  </si>
  <si>
    <t>чт 22.01.2026 — 12:06:06</t>
  </si>
  <si>
    <t>E33149364_6_20260122T161006Z.jpg</t>
  </si>
  <si>
    <t>1 Ангар Склад 2 въезд\E33149364_6_20260122T161006Z.jpg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</si>
  <si>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</si>
  <si>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</si>
  <si>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</si>
  <si>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</si>
  <si>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</si>
  <si>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</si>
  <si>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</si>
  <si>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</si>
  <si>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</si>
  <si>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</si>
  <si>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</si>
  <si>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</si>
  <si>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</si>
  <si>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</si>
  <si>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</si>
  <si>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</si>
  <si>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</si>
  <si>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3 Въезд на базу\E33149364_8_20260121T123533Z.jpg</t>
  </si>
  <si>
    <t>ср 21.01.2026 — 12:35:33</t>
  </si>
  <si>
    <t>E33149364_8_20260121T164131Z.jpg</t>
  </si>
  <si>
    <t>3 Въезд на базу\E33149364_8_20260121T164131Z.jpg</t>
  </si>
  <si>
    <t>ср 21.01.2026 — 16:41:31</t>
  </si>
  <si>
    <t>E33149364_8_20260122T113325Z.jpg</t>
  </si>
  <si>
    <t>3 Въезд на базу\E33149364_8_20260122T113325Z.jpg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</si>
  <si>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</si>
  <si>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</si>
  <si>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</si>
  <si>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</si>
  <si>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</si>
  <si>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</si>
  <si>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</si>
  <si>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</si>
  <si>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</si>
  <si>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</si>
  <si>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</si>
  <si>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</si>
  <si>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</si>
  <si>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</si>
  <si>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</si>
  <si>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</si>
  <si>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</si>
  <si>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</si>
  <si>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</si>
  <si>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</si>
  <si>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8 Рейсмус\E33149364_2_20260121T095955Z.jpg</t>
  </si>
  <si>
    <t>ср 21.01.2026 — 09:59:55</t>
  </si>
  <si>
    <t>E33149364_2_20260121T122030Z.jpg</t>
  </si>
  <si>
    <t>8 Рейсмус\E33149364_2_20260121T122030Z.jpg</t>
  </si>
  <si>
    <t>ср 21.01.2026 — 12:20:30</t>
  </si>
  <si>
    <t>E33149364_2_20260121T141641Z.jpg</t>
  </si>
  <si>
    <t>8 Рейсмус\E33149364_2_20260121T141641Z.jpg</t>
  </si>
  <si>
    <t>ср 21.01.2026 — 14:16:41</t>
  </si>
  <si>
    <t>E33149364_2_20260121T153820Z.jpg</t>
  </si>
  <si>
    <t>8 Рейсмус\E33149364_2_20260121T153820Z.jpg</t>
  </si>
  <si>
    <t>ср 21.01.2026 — 15:38:20</t>
  </si>
  <si>
    <t>E33149364_2_20260121T165929Z.jpg</t>
  </si>
  <si>
    <t>8 Рейсмус\E33149364_2_20260121T165929Z.jpg</t>
  </si>
  <si>
    <t>ср 21.01.2026 — 16:59:29</t>
  </si>
  <si>
    <t>E33149364_2_20260121T205047Z.jpg</t>
  </si>
  <si>
    <t>8 Рейсмус\E33149364_2_20260121T205047Z.jpg</t>
  </si>
  <si>
    <t>ср 21.01.2026 — 20:50:47</t>
  </si>
  <si>
    <t>E33149364_2_20260122T092218Z.jpg</t>
  </si>
  <si>
    <t>8 Рейсмус\E33149364_2_20260122T092218Z.jpg</t>
  </si>
  <si>
    <t>чт 22.01.2026 — 09:22:18</t>
  </si>
  <si>
    <t>E33149364_2_20260122T100038Z.jpg</t>
  </si>
  <si>
    <t>8 Рейсмус\E33149364_2_20260122T100038Z.jpg</t>
  </si>
  <si>
    <t>чт 22.01.2026 — 10:00:38</t>
  </si>
  <si>
    <t>E33149364_2_20260122T102134Z.jpg</t>
  </si>
  <si>
    <t>8 Рейсмус\E33149364_2_20260122T102134Z.jpg</t>
  </si>
  <si>
    <t>чт 22.01.2026 — 10:21:34</t>
  </si>
  <si>
    <t>E33149364_2_20260122T114438Z.jpg</t>
  </si>
  <si>
    <t>8 Рейсмус\E33149364_2_20260122T114438Z.jpg</t>
  </si>
  <si>
    <t>чт 22.01.2026 — 11:44:38</t>
  </si>
  <si>
    <t>E33149364_2_20260122T141447Z.jpg</t>
  </si>
  <si>
    <t>8 Рейсмус\E33149364_2_20260122T141447Z.jpg</t>
  </si>
  <si>
    <t>чт 22.01.2026 — 14:14:47</t>
  </si>
  <si>
    <t>E33149364_2_20260122T162228Z.jpg</t>
  </si>
  <si>
    <t>8 Рейсмус\E33149364_2_20260122T162228Z.jpg</t>
  </si>
  <si>
    <t>чт 22.01.2026 — 16:22:28</t>
  </si>
  <si>
    <t>E33149364_2_20260122T163233Z.jpg</t>
  </si>
  <si>
    <t>8 Рейсмус\E33149364_2_20260122T163233Z.jpg</t>
  </si>
  <si>
    <t>чт 22.01.2026 — 16:32:33</t>
  </si>
  <si>
    <t>E33149364_1_20260121T092050Z.jpg</t>
  </si>
  <si>
    <t>9 Ангар пилорама\E33149364_1_20260121T092050Z.jpg</t>
  </si>
  <si>
    <t>ср 21.01.2026 — 09:20:50</t>
  </si>
  <si>
    <t>E33149364_1_20260121T210722Z.jpg</t>
  </si>
  <si>
    <t>9 Ангар пилорама\E33149364_1_20260121T210722Z.jpg</t>
  </si>
  <si>
    <t>ср 21.01.2026 — 21:07:22</t>
  </si>
  <si>
    <t>E33149364_1_20260122T113404Z.jpg</t>
  </si>
  <si>
    <t>9 Ангар пилорама\E33149364_1_20260122T113404Z.jpg</t>
  </si>
  <si>
    <t>чт 22.01.2026 — 11:34:04</t>
  </si>
  <si>
    <t>E33149364_1_20260122T115422Z.jpg</t>
  </si>
  <si>
    <t>9 Ангар пилорама\E33149364_1_20260122T115422Z.jpg</t>
  </si>
  <si>
    <t>чт 22.01.2026 — 11:54:22</t>
  </si>
  <si>
    <t>E33149364_1_20260122T115556Z.jpg</t>
  </si>
  <si>
    <t>9 Ангар пилорама\E33149364_1_20260122T115556Z.jpg</t>
  </si>
  <si>
    <t>чт 22.01.2026 — 11:55:56</t>
  </si>
  <si>
    <t>E33149364_1_20260122T120150Z.jpg</t>
  </si>
  <si>
    <t>9 Ангар пилорама\E33149364_1_20260122T120150Z.jpg</t>
  </si>
  <si>
    <t>чт 22.01.2026 — 12:01:50</t>
  </si>
  <si>
    <t>E33149364_1_20260122T144442Z.jpg</t>
  </si>
  <si>
    <t>9 Ангар пилорама\E33149364_1_20260122T144442Z.jpg</t>
  </si>
  <si>
    <t>чт 22.01.2026 — 14:44:42</t>
  </si>
  <si>
    <t>E33149364_1_20260122T231152Z.jpg</t>
  </si>
  <si>
    <t>9 Ангар пилорама\E33149364_1_20260122T231152Z.jpg</t>
  </si>
  <si>
    <t>чт 22.01.2026 — 23:11:52</t>
  </si>
  <si>
    <t>E33149364_1_20260122T234921Z.jpg</t>
  </si>
  <si>
    <t>9 Ангар пилорама\E33149364_1_20260122T234921Z.jpg</t>
  </si>
  <si>
    <t>чт 22.01.2026 — 23:49:21</t>
  </si>
  <si>
    <t>E33149364_3_20260121T111328Z.jpg</t>
  </si>
  <si>
    <t>10 Сушилка навес\E33149364_3_20260121T111328Z.jpg</t>
  </si>
  <si>
    <t>ср 21.01.2026 — 11:13:28</t>
  </si>
  <si>
    <t>E33149364_3_20260121T115746Z.jpg</t>
  </si>
  <si>
    <t>10 Сушилка навес\E33149364_3_20260121T115746Z.jpg</t>
  </si>
  <si>
    <t>ср 21.01.2026 — 11:57:46</t>
  </si>
  <si>
    <t>E33149364_3_20260121T132648Z.jpg</t>
  </si>
  <si>
    <t>10 Сушилка навес\E33149364_3_20260121T132648Z.jpg</t>
  </si>
  <si>
    <t>ср 21.01.2026 — 13:26:48</t>
  </si>
  <si>
    <t>E33149364_3_20260121T142116Z.jpg</t>
  </si>
  <si>
    <t>10 Сушилка навес\E33149364_3_20260121T142116Z.jpg</t>
  </si>
  <si>
    <t>ср 21.01.2026 — 14:21:16</t>
  </si>
  <si>
    <t>E33149364_3_20260121T194620Z.jpg</t>
  </si>
  <si>
    <t>10 Сушилка навес\E33149364_3_20260121T194620Z.jpg</t>
  </si>
  <si>
    <t>ср 21.01.2026 — 19:46:20</t>
  </si>
  <si>
    <t>E33149364_3_20260122T115944Z.jpg</t>
  </si>
  <si>
    <t>10 Сушилка навес\E33149364_3_20260122T115944Z.jpg</t>
  </si>
  <si>
    <t>чт 22.01.2026 — 11:59:44</t>
  </si>
  <si>
    <t>E33149364_3_20260122T120208Z.jpg</t>
  </si>
  <si>
    <t>10 Сушилка навес\E33149364_3_20260122T120208Z.jpg</t>
  </si>
  <si>
    <t>чт 22.01.2026 — 12:02:08</t>
  </si>
  <si>
    <t>E33149364_3_20260122T120843Z.jpg</t>
  </si>
  <si>
    <t>10 Сушилка навес\E33149364_3_20260122T120843Z.jpg</t>
  </si>
  <si>
    <t>чт 22.01.2026 — 12:08:43</t>
  </si>
  <si>
    <t>E33149364_3_20260122T122316Z.jpg</t>
  </si>
  <si>
    <t>10 Сушилка навес\E33149364_3_20260122T122316Z.jpg</t>
  </si>
  <si>
    <t>чт 22.01.2026 — 12:23:16</t>
  </si>
  <si>
    <t>E33149364_3_20260122T123753Z.jpg</t>
  </si>
  <si>
    <t>10 Сушилка навес\E33149364_3_20260122T123753Z.jpg</t>
  </si>
  <si>
    <t>чт 22.01.2026 — 12:37:53</t>
  </si>
  <si>
    <t>E33149364_3_20260122T123803Z.jpg</t>
  </si>
  <si>
    <t>10 Сушилка навес\E33149364_3_20260122T123803Z.jpg</t>
  </si>
  <si>
    <t>чт 22.01.2026 — 12:38:03</t>
  </si>
  <si>
    <t>E33149364_3_20260122T143344Z.jpg</t>
  </si>
  <si>
    <t>10 Сушилка навес\E33149364_3_20260122T143344Z.jpg</t>
  </si>
  <si>
    <t>чт 22.01.2026 — 14:33:44</t>
  </si>
  <si>
    <t>E33149364_3_20260122T143822Z.jpg</t>
  </si>
  <si>
    <t>10 Сушилка навес\E33149364_3_20260122T143822Z.jpg</t>
  </si>
  <si>
    <t>чт 22.01.2026 — 14:38:22</t>
  </si>
  <si>
    <t>E33149364_3_20260122T154645Z.jpg</t>
  </si>
  <si>
    <t>10 Сушилка навес\E33149364_3_20260122T154645Z.jpg</t>
  </si>
  <si>
    <t>чт 22.01.2026 — 15:46:45</t>
  </si>
  <si>
    <t>E33149364_4_20260121T164342Z.jpg</t>
  </si>
  <si>
    <t>11 С ангара на базу\E33149364_4_20260121T164342Z.jpg</t>
  </si>
  <si>
    <t>ср 21.01.2026 — 16:43:42</t>
  </si>
  <si>
    <t>E33149364_4_20260122T113510Z.jpg</t>
  </si>
  <si>
    <t>11 С ангара на базу\E33149364_4_20260122T113510Z.jpg</t>
  </si>
  <si>
    <t>чт 22.01.2026 — 11:35:10</t>
  </si>
  <si>
    <t>E33149364_4_20260122T114242Z.jpg</t>
  </si>
  <si>
    <t>11 С ангара на базу\E33149364_4_20260122T114242Z.jpg</t>
  </si>
  <si>
    <t>чт 22.01.2026 — 11:42:42</t>
  </si>
  <si>
    <t>E33149364_4_20260122T114313Z.jpg</t>
  </si>
  <si>
    <t>11 С ангара на базу\E33149364_4_20260122T114313Z.jpg</t>
  </si>
  <si>
    <t>чт 22.01.2026 — 11:43:13</t>
  </si>
  <si>
    <t>E33149364_4_20260122T114724Z.jpg</t>
  </si>
  <si>
    <t>11 С ангара на базу\E33149364_4_20260122T114724Z.jpg</t>
  </si>
  <si>
    <t>чт 22.01.2026 — 11:47:24</t>
  </si>
  <si>
    <t>E33149364_4_20260122T144338Z.jpg</t>
  </si>
  <si>
    <t>11 С ангара на базу\E33149364_4_20260122T144338Z.jpg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</si>
  <si>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</si>
  <si>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</si>
  <si>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</si>
  <si>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</si>
  <si>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</si>
  <si>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</si>
  <si>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</si>
  <si>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</si>
  <si>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</si>
  <si>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</si>
  <si>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</si>
  <si>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</si>
  <si>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</si>
  <si>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</si>
  <si>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</si>
  <si>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</si>
  <si>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</si>
  <si>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</si>
  <si>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</si>
  <si>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</si>
  <si>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</si>
  <si>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</si>
  <si>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</si>
  <si>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</si>
  <si>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</si>
  <si>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</si>
  <si>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</si>
  <si>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</si>
  <si>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</si>
  <si>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</si>
  <si>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</si>
  <si>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</si>
  <si>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</si>
  <si>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</si>
  <si>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</si>
  <si>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</si>
  <si>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</si>
  <si>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</si>
  <si>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</si>
  <si>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</si>
  <si>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</si>
  <si>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1 Ангар Склад 2 въезд\E33149364_6_20260123T010742Z.jpg</t>
  </si>
  <si>
    <t>пт 23.01.2026 — 01:07:42</t>
  </si>
  <si>
    <t>E33149364_6_20260123T104621Z.jpg</t>
  </si>
  <si>
    <t>1 Ангар Склад 2 въезд\E33149364_6_20260123T104621Z.jpg</t>
  </si>
  <si>
    <t>пт 23.01.2026 — 10:46:21</t>
  </si>
  <si>
    <t>E33149364_6_20260123T105804Z.jpg</t>
  </si>
  <si>
    <t>1 Ангар Склад 2 въезд\E33149364_6_20260123T105804Z.jpg</t>
  </si>
  <si>
    <t>пт 23.01.2026 — 10:58:04</t>
  </si>
  <si>
    <t>E33149364_6_20260123T122704Z.jpg</t>
  </si>
  <si>
    <t>1 Ангар Склад 2 въезд\E33149364_6_20260123T122704Z.jpg</t>
  </si>
  <si>
    <t>пт 23.01.2026 — 12:27:04</t>
  </si>
  <si>
    <t>E33149364_6_20260123T142115Z.jpg</t>
  </si>
  <si>
    <t>1 Ангар Склад 2 въезд\E33149364_6_20260123T142115Z.jpg</t>
  </si>
  <si>
    <t>пт 23.01.2026 — 14:21:15</t>
  </si>
  <si>
    <t>E33149364_6_20260122T221921Z.jpg</t>
  </si>
  <si>
    <t>1 Ангар Склад 2 въезд\E33149364_6_20260122T221921Z.jpg</t>
  </si>
  <si>
    <t>чт 22.01.2026 — 22:19:21</t>
  </si>
  <si>
    <t>E33149364_6_20260123T002441Z.jpg</t>
  </si>
  <si>
    <t>1 Ангар Склад 2 въезд\E33149364_6_20260123T002441Z.jpg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</si>
  <si>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</si>
  <si>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</si>
  <si>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</si>
  <si>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</si>
  <si>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</si>
  <si>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</si>
  <si>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2 Пилорама поката\E33149364_7_20260123T105206Z.jpg</t>
  </si>
  <si>
    <t>пт 23.01.2026 — 10:52:06</t>
  </si>
  <si>
    <t>E33149364_7_20260123T122252Z.jpg</t>
  </si>
  <si>
    <t>2 Пилорама поката\E33149364_7_20260123T122252Z.jpg</t>
  </si>
  <si>
    <t>пт 23.01.2026 — 12:22:52</t>
  </si>
  <si>
    <t>E33149364_7_20260123T122331Z.jpg</t>
  </si>
  <si>
    <t>2 Пилорама поката\E33149364_7_20260123T122331Z.jpg</t>
  </si>
  <si>
    <t>пт 23.01.2026 — 12:23:31</t>
  </si>
  <si>
    <t>E33149364_8_20260123T105539Z.jpg</t>
  </si>
  <si>
    <t>3 Въезд на базу\E33149364_8_20260123T105539Z.jpg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</si>
  <si>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</si>
  <si>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</si>
  <si>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</si>
  <si>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</si>
  <si>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</si>
  <si>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</si>
  <si>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</si>
  <si>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</si>
  <si>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</si>
  <si>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</si>
  <si>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</si>
  <si>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</si>
  <si>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</si>
  <si>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</si>
  <si>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</si>
  <si>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</si>
  <si>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</si>
  <si>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</si>
  <si>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</si>
  <si>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</si>
  <si>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</si>
  <si>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</si>
  <si>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</si>
  <si>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</si>
  <si>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</si>
  <si>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</si>
  <si>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</si>
  <si>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</si>
  <si>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</si>
  <si>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</si>
  <si>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</si>
  <si>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</si>
  <si>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</si>
  <si>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</si>
  <si>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</si>
  <si>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</si>
  <si>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</si>
  <si>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</si>
  <si>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</si>
  <si>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</si>
  <si>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</si>
  <si>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</si>
  <si>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</si>
  <si>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</si>
  <si>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</si>
  <si>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</si>
  <si>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</si>
  <si>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</si>
  <si>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</si>
  <si>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</si>
  <si>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</si>
  <si>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</si>
  <si>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</si>
  <si>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</si>
  <si>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</si>
  <si>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</si>
  <si>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</si>
  <si>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</si>
  <si>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</si>
  <si>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</si>
  <si>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</si>
  <si>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</si>
  <si>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</si>
  <si>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</si>
  <si>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</si>
  <si>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</si>
  <si>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</si>
  <si>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</si>
  <si>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</si>
  <si>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</si>
  <si>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</si>
  <si>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</si>
  <si>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</si>
  <si>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</si>
  <si>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</si>
  <si>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</si>
  <si>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</si>
  <si>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</si>
  <si>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</si>
  <si>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</si>
  <si>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</si>
  <si>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</si>
  <si>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</si>
  <si>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</si>
  <si>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</si>
  <si>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</si>
  <si>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</si>
  <si>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</si>
  <si>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</si>
  <si>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</si>
  <si>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</si>
  <si>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</si>
  <si>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</si>
  <si>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</si>
  <si>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</si>
  <si>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</si>
  <si>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</si>
  <si>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</si>
  <si>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</si>
  <si>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</si>
  <si>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</si>
  <si>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</si>
  <si>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</si>
  <si>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</si>
  <si>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</si>
  <si>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</si>
  <si>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</si>
  <si>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</si>
  <si>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</si>
  <si>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</si>
  <si>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</si>
  <si>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</si>
  <si>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</si>
  <si>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</si>
  <si>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</si>
  <si>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</si>
  <si>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</si>
  <si>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</si>
  <si>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</si>
  <si>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</si>
  <si>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</si>
  <si>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</si>
  <si>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</si>
  <si>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</si>
  <si>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</si>
  <si>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</si>
  <si>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</si>
  <si>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</si>
  <si>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</si>
  <si>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</si>
  <si>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</si>
  <si>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</si>
  <si>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</si>
  <si>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</si>
  <si>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</si>
  <si>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</si>
  <si>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</si>
  <si>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</si>
  <si>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</si>
  <si>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</si>
  <si>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</si>
  <si>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</si>
  <si>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</si>
  <si>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</si>
  <si>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</si>
  <si>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</si>
  <si>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</si>
  <si>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</si>
  <si>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</si>
  <si>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</si>
  <si>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</si>
  <si>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</si>
  <si>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</si>
  <si>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</si>
  <si>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</si>
  <si>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</si>
  <si>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</si>
  <si>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</si>
  <si>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</si>
  <si>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</si>
  <si>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</si>
  <si>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</si>
  <si>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</si>
  <si>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</si>
  <si>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</si>
  <si>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</si>
  <si>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</si>
  <si>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</si>
  <si>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</si>
  <si>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</si>
  <si>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</si>
  <si>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</si>
  <si>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</si>
  <si>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</si>
  <si>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</si>
  <si>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8 Рейсмус\E33149364_2_20260123T093716Z.jpg</t>
  </si>
  <si>
    <t>пт 23.01.2026 — 09:37:16</t>
  </si>
  <si>
    <t>E33149364_2_20260123T113622Z.jpg</t>
  </si>
  <si>
    <t>8 Рейсмус\E33149364_2_20260123T113622Z.jpg</t>
  </si>
  <si>
    <t>пт 23.01.2026 — 11:36:22</t>
  </si>
  <si>
    <t>E33149364_2_20260123T143823Z.jpg</t>
  </si>
  <si>
    <t>8 Рейсмус\E33149364_2_20260123T143823Z.jpg</t>
  </si>
  <si>
    <t>пт 23.01.2026 — 14:38:23</t>
  </si>
  <si>
    <t>E33149364_2_20260123T160505Z.jpg</t>
  </si>
  <si>
    <t>8 Рейсмус\E33149364_2_20260123T160505Z.jpg</t>
  </si>
  <si>
    <t>пт 23.01.2026 — 16:05:05</t>
  </si>
  <si>
    <t>E33149364_2_20260123T204424Z.jpg</t>
  </si>
  <si>
    <t>8 Рейсмус\E33149364_2_20260123T204424Z.jpg</t>
  </si>
  <si>
    <t>пт 23.01.2026 — 20:44:24</t>
  </si>
  <si>
    <t>E33149364_2_20260123T210916Z.jpg</t>
  </si>
  <si>
    <t>8 Рейсмус\E33149364_2_20260123T210916Z.jpg</t>
  </si>
  <si>
    <t>пт 23.01.2026 — 21:09:16</t>
  </si>
  <si>
    <t>E33149364_1_20260123T001613Z.jpg</t>
  </si>
  <si>
    <t>9 Ангар пилорама\E33149364_1_20260123T001613Z.jpg</t>
  </si>
  <si>
    <t>пт 23.01.2026 — 00:16:13</t>
  </si>
  <si>
    <t>E33149364_1_20260123T095017Z.jpg</t>
  </si>
  <si>
    <t>9 Ангар пилорама\E33149364_1_20260123T095017Z.jpg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</si>
  <si>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</si>
  <si>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</si>
  <si>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</si>
  <si>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</si>
  <si>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</si>
  <si>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</si>
  <si>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</si>
  <si>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</si>
  <si>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9 Ангар пилорама\E33149364_1_20260123T163428Z.jpg</t>
  </si>
  <si>
    <t>пт 23.01.2026 — 16:34:28</t>
  </si>
  <si>
    <t>E33149364_3_20260123T092302Z.jpg</t>
  </si>
  <si>
    <t>10 Сушилка навес\E33149364_3_20260123T092302Z.jpg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</si>
  <si>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</si>
  <si>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</si>
  <si>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</si>
  <si>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</si>
  <si>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</si>
  <si>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</si>
  <si>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</si>
  <si>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</si>
  <si>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</si>
  <si>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</si>
  <si>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10 Сушилка навес\E33149364_3_20260123T141500Z.jpg</t>
  </si>
  <si>
    <t>пт 23.01.2026 — 14:15:00</t>
  </si>
  <si>
    <t>E33149364_4_20260123T092943Z.jpg</t>
  </si>
  <si>
    <t>11 С ангара на базу\E33149364_4_20260123T092943Z.jpg</t>
  </si>
  <si>
    <t>пт 23.01.2026 — 09:29:43</t>
  </si>
  <si>
    <t>E33149364_4_20260123T093002Z.jpg</t>
  </si>
  <si>
    <t>11 С ангара на базу\E33149364_4_20260123T093002Z.jpg</t>
  </si>
  <si>
    <t>пт 23.01.2026 — 09:30:02</t>
  </si>
  <si>
    <t>E33149364_4_20260123T095130Z.jpg</t>
  </si>
  <si>
    <t>11 С ангара на базу\E33149364_4_20260123T095130Z.jpg</t>
  </si>
  <si>
    <t>пт 23.01.2026 — 09:51:30</t>
  </si>
  <si>
    <t>E33149364_4_20260123T103346Z.jpg</t>
  </si>
  <si>
    <t>11 С ангара на базу\E33149364_4_20260123T103346Z.jpg</t>
  </si>
  <si>
    <t>пт 23.01.2026 — 10:33:46</t>
  </si>
  <si>
    <t>E33149364_4_20260123T104942Z.jpg</t>
  </si>
  <si>
    <t>11 С ангара на базу\E33149364_4_20260123T104942Z.jpg</t>
  </si>
  <si>
    <t>пт 23.01.2026 — 10:49:42</t>
  </si>
  <si>
    <t>E33149364_4_20260123T120032Z.jpg</t>
  </si>
  <si>
    <t>11 С ангара на базу\E33149364_4_20260123T120032Z.jpg</t>
  </si>
  <si>
    <t>пт 23.01.2026 — 12:00:32</t>
  </si>
  <si>
    <t>E33149364_4_20260123T120311Z.jpg</t>
  </si>
  <si>
    <t>11 С ангара на базу\E33149364_4_20260123T120311Z.jpg</t>
  </si>
  <si>
    <t>пт 23.01.2026 — 12:03:11</t>
  </si>
  <si>
    <t>E33149364_4_20260123T131103Z.jpg</t>
  </si>
  <si>
    <t>11 С ангара на базу\E33149364_4_20260123T131103Z.jpg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</si>
  <si>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</si>
  <si>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</si>
  <si>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</si>
  <si>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</si>
  <si>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</si>
  <si>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</si>
  <si>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</si>
  <si>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</si>
  <si>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</si>
  <si>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</si>
  <si>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</si>
  <si>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</si>
  <si>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</si>
  <si>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</si>
  <si>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</si>
  <si>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</si>
  <si>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</si>
  <si>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</si>
  <si>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</si>
  <si>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</si>
  <si>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</si>
  <si>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</si>
  <si>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</si>
  <si>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</si>
  <si>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2 Пилорама поката\E33149364_7_20260124T085057Z.jpg</t>
  </si>
  <si>
    <t>сб 24.01.2026 — 08:50:57</t>
  </si>
  <si>
    <t>E33149364_7_20260125T182912Z.jpg</t>
  </si>
  <si>
    <t>2 Пилорама поката\E33149364_7_20260125T182912Z.jpg</t>
  </si>
  <si>
    <t>вс 25.01.2026 — 18:29:12</t>
  </si>
  <si>
    <t>E33149364_6_20260124T163121Z.jpg</t>
  </si>
  <si>
    <t>1 Ангар Склад 2 въезд\E33149364_6_20260124T163121Z.jpg</t>
  </si>
  <si>
    <t>сб 24.01.2026 — 16:31:21</t>
  </si>
  <si>
    <t>E33149364_6_20260125T162509Z.jpg</t>
  </si>
  <si>
    <t>1 Ангар Склад 2 въезд\E33149364_6_20260125T162509Z.jpg</t>
  </si>
  <si>
    <t>вс 25.01.2026 — 16:25:09</t>
  </si>
  <si>
    <t>E33149364_2_20260124T112837Z.jpg</t>
  </si>
  <si>
    <t>8 Рейсмус\E33149364_2_20260124T112837Z.jpg</t>
  </si>
  <si>
    <t>сб 24.01.2026 — 11:28:37</t>
  </si>
  <si>
    <t>E33149364_2_20260125T163326Z.jpg</t>
  </si>
  <si>
    <t>8 Рейсмус\E33149364_2_20260125T163326Z.jpg</t>
  </si>
  <si>
    <t>вс 25.01.2026 — 16:33:26</t>
  </si>
  <si>
    <t>E33149364_2_20260125T185743Z.jpg</t>
  </si>
  <si>
    <t>8 Рейсмус\E33149364_2_20260125T185743Z.jpg</t>
  </si>
  <si>
    <t>вс 25.01.2026 — 18:57:43</t>
  </si>
  <si>
    <t>E33149364_1_20260124T103151Z.jpg</t>
  </si>
  <si>
    <t>9 Ангар пилорама\E33149364_1_20260124T103151Z.jpg</t>
  </si>
  <si>
    <t>сб 24.01.2026 — 10:31:51</t>
  </si>
  <si>
    <t>E33149364_3_20260125T165645Z.jpg</t>
  </si>
  <si>
    <t>10 Сушилка навес\E33149364_3_20260125T165645Z.jpg</t>
  </si>
  <si>
    <t>вс 25.01.2026 — 16:56:45</t>
  </si>
  <si>
    <t>E33149364_4_20260124T170127Z.jpg</t>
  </si>
  <si>
    <t>11 С ангара на базу\E33149364_4_20260124T170127Z.jpg</t>
  </si>
  <si>
    <t>сб 24.01.2026 — 17:01:27</t>
  </si>
  <si>
    <t>E33149364_4_20260125T165653Z.jpg</t>
  </si>
  <si>
    <t>11 С ангара на базу\E33149364_4_20260125T165653Z.jpg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</si>
  <si>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</si>
  <si>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</si>
  <si>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</si>
  <si>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</si>
  <si>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</si>
  <si>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</si>
  <si>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</si>
  <si>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</si>
  <si>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</si>
  <si>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</si>
  <si>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</si>
  <si>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</si>
  <si>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</si>
  <si>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</si>
  <si>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3 Въезд на базу\E33149364_8_20260125T170136Z.jpg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</si>
  <si>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</si>
  <si>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</si>
  <si>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</si>
  <si>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</si>
  <si>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</si>
  <si>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</si>
  <si>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</si>
  <si>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</si>
  <si>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</si>
  <si>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</si>
  <si>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</si>
  <si>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</si>
  <si>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</si>
  <si>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</si>
  <si>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</si>
  <si>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</si>
  <si>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</si>
  <si>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</si>
  <si>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</si>
  <si>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</si>
  <si>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</si>
  <si>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</si>
  <si>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</si>
  <si>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</si>
  <si>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</si>
  <si>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</si>
  <si>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9 Ангар пилорама\E33149364_1_20260125T162419Z.jpg</t>
  </si>
  <si>
    <t>вс 25.01.2026 — 16:24:19</t>
  </si>
  <si>
    <t>E33149364_3_20260124T111551Z.jpg</t>
  </si>
  <si>
    <t>10 Сушилка навес\E33149364_3_20260124T111551Z.jpg</t>
  </si>
  <si>
    <t>сб 24.01.2026 — 11:15:51</t>
  </si>
  <si>
    <t>Сотрудник с досками</t>
  </si>
  <si>
    <t>E33149364_8_20260124T160859Z.jpg</t>
  </si>
  <si>
    <t>3 Въезд на базу\E33149364_8_20260124T160859Z.jpg</t>
  </si>
  <si>
    <t>сб 24.01.2026 — 16:08:59</t>
  </si>
  <si>
    <t>E33149364_7_20260126T183126Z.jpg</t>
  </si>
  <si>
    <t>2 Пилорама поката\E33149364_7_20260126T183126Z.jpg</t>
  </si>
  <si>
    <t>пн 26.01.2026 — 18:31:26</t>
  </si>
  <si>
    <t>E33149364_7_20260127T144127Z.jpg</t>
  </si>
  <si>
    <t>2 Пилорама поката\E33149364_7_20260127T144127Z.jpg</t>
  </si>
  <si>
    <t>вт 27.01.2026 — 14:41:27</t>
  </si>
  <si>
    <t>E33149364_6_20260126T164407Z.jpg</t>
  </si>
  <si>
    <t>1 Ангар Склад 2 въезд\E33149364_6_20260126T164407Z.jpg</t>
  </si>
  <si>
    <t>пн 26.01.2026 — 16:44:07</t>
  </si>
  <si>
    <t>E33149364_6_20260127T173031Z.jpg</t>
  </si>
  <si>
    <t>1 Ангар Склад 2 въезд\E33149364_6_20260127T173031Z.jpg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</si>
  <si>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</si>
  <si>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</si>
  <si>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</si>
  <si>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</si>
  <si>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</si>
  <si>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</si>
  <si>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</si>
  <si>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</si>
  <si>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</si>
  <si>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</si>
  <si>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</si>
  <si>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</si>
  <si>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</si>
  <si>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</si>
  <si>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</si>
  <si>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</si>
  <si>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</si>
  <si>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</si>
  <si>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</si>
  <si>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</si>
  <si>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3 Въезд на базу\E33149364_8_20260126T152552Z.jpg</t>
  </si>
  <si>
    <t>пн 26.01.2026 — 15:25:52</t>
  </si>
  <si>
    <t>E33149364_8_20260127T163132Z.jpg</t>
  </si>
  <si>
    <t>3 Въезд на базу\E33149364_8_20260127T163132Z.jpg</t>
  </si>
  <si>
    <t>вт 27.01.2026 — 16:31:32</t>
  </si>
  <si>
    <t>E33149364_2_20260126T103404Z.jpg</t>
  </si>
  <si>
    <t>8 Рейсмус\E33149364_2_20260126T103404Z.jpg</t>
  </si>
  <si>
    <t>пн 26.01.2026 — 10:34:04</t>
  </si>
  <si>
    <t>E33149364_2_20260126T145157Z.jpg</t>
  </si>
  <si>
    <t>8 Рейсмус\E33149364_2_20260126T145157Z.jpg</t>
  </si>
  <si>
    <t>пн 26.01.2026 — 14:51:57</t>
  </si>
  <si>
    <t>E33149364_2_20260126T164623Z.jpg</t>
  </si>
  <si>
    <t>8 Рейсмус\E33149364_2_20260126T164623Z.jpg</t>
  </si>
  <si>
    <t>пн 26.01.2026 — 16:46:23</t>
  </si>
  <si>
    <t>E33149364_2_20260126T180455Z.jpg</t>
  </si>
  <si>
    <t>8 Рейсмус\E33149364_2_20260126T180455Z.jpg</t>
  </si>
  <si>
    <t>пн 26.01.2026 — 18:04:55</t>
  </si>
  <si>
    <t>E33149364_2_20260127T121953Z.jpg</t>
  </si>
  <si>
    <t>8 Рейсмус\E33149364_2_20260127T121953Z.jpg</t>
  </si>
  <si>
    <t>вт 27.01.2026 — 12:19:53</t>
  </si>
  <si>
    <t>E33149364_2_20260127T145331Z.jpg</t>
  </si>
  <si>
    <t>8 Рейсмус\E33149364_2_20260127T145331Z.jpg</t>
  </si>
  <si>
    <t>вт 27.01.2026 — 14:53:31</t>
  </si>
  <si>
    <t>E33149364_2_20260127T160800Z.jpg</t>
  </si>
  <si>
    <t>8 Рейсмус\E33149364_2_20260127T160800Z.jpg</t>
  </si>
  <si>
    <t>вт 27.01.2026 — 16:08:00</t>
  </si>
  <si>
    <t>E33149364_1_20260126T123228Z.jpg</t>
  </si>
  <si>
    <t>9 Ангар пилорама\E33149364_1_20260126T123228Z.jpg</t>
  </si>
  <si>
    <t>пн 26.01.2026 — 12:32:28</t>
  </si>
  <si>
    <t>E33149364_1_20260126T162414Z.jpg</t>
  </si>
  <si>
    <t>9 Ангар пилорама\E33149364_1_20260126T162414Z.jpg</t>
  </si>
  <si>
    <t>пн 26.01.2026 — 16:24:14</t>
  </si>
  <si>
    <t>E33149364_1_20260127T124119Z.jpg</t>
  </si>
  <si>
    <t>9 Ангар пилорама\E33149364_1_20260127T124119Z.jpg</t>
  </si>
  <si>
    <t>вт 27.01.2026 — 12:41:19</t>
  </si>
  <si>
    <t>E33149364_1_20260127T143614Z.jpg</t>
  </si>
  <si>
    <t>9 Ангар пилорама\E33149364_1_20260127T143614Z.jpg</t>
  </si>
  <si>
    <t>вт 27.01.2026 — 14:36:14</t>
  </si>
  <si>
    <t>E33149364_1_20260127T165846Z.jpg</t>
  </si>
  <si>
    <t>9 Ангар пилорама\E33149364_1_20260127T165846Z.jpg</t>
  </si>
  <si>
    <t>вт 27.01.2026 — 16:58:46</t>
  </si>
  <si>
    <t>E33149364_3_20260126T123255Z.jpg</t>
  </si>
  <si>
    <t>10 Сушилка навес\E33149364_3_20260126T123255Z.jpg</t>
  </si>
  <si>
    <t>пн 26.01.2026 — 12:32:55</t>
  </si>
  <si>
    <t>E33149364_3_20260127T130248Z.jpg</t>
  </si>
  <si>
    <t>10 Сушилка навес\E33149364_3_20260127T130248Z.jpg</t>
  </si>
  <si>
    <t>вт 27.01.2026 — 13:02:48</t>
  </si>
  <si>
    <t>E33149364_3_20260127T161121Z.jpg</t>
  </si>
  <si>
    <t>10 Сушилка навес\E33149364_3_20260127T161121Z.jpg</t>
  </si>
  <si>
    <t>вт 27.01.2026 — 16:11:21</t>
  </si>
  <si>
    <t>E33149364_3_20260127T164312Z.jpg</t>
  </si>
  <si>
    <t>10 Сушилка навес\E33149364_3_20260127T164312Z.jpg</t>
  </si>
  <si>
    <t>вт 27.01.2026 — 16:43:12</t>
  </si>
  <si>
    <t>E33149364_4_20260126T142432Z.jpg</t>
  </si>
  <si>
    <t>11 С ангара на базу\E33149364_4_20260126T142432Z.jpg</t>
  </si>
  <si>
    <t>пн 26.01.2026 — 14:24:32</t>
  </si>
  <si>
    <t>E33149364_4_20260127T145554Z.jpg</t>
  </si>
  <si>
    <t>11 С ангара на базу\E33149364_4_20260127T145554Z.jpg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</si>
  <si>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</si>
  <si>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</si>
  <si>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</si>
  <si>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</si>
  <si>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</si>
  <si>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</si>
  <si>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</si>
  <si>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</si>
  <si>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</si>
  <si>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</si>
  <si>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</si>
  <si>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</si>
  <si>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</si>
  <si>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</si>
  <si>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</si>
  <si>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</si>
  <si>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</si>
  <si>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</si>
  <si>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</si>
  <si>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</si>
  <si>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</si>
  <si>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</si>
  <si>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</si>
  <si>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</si>
  <si>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</si>
  <si>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2 Пилорама поката\E33149364_7_20260128T145023Z.jpg</t>
  </si>
  <si>
    <t>ср 28.01.2026 — 14:50:23</t>
  </si>
  <si>
    <t>E33149364_7_20260128T145512Z.jpg</t>
  </si>
  <si>
    <t>2 Пилорама поката\E33149364_7_20260128T145512Z.jpg</t>
  </si>
  <si>
    <t>ср 28.01.2026 — 14:55:12</t>
  </si>
  <si>
    <t>E33149364_7_20260128T150551Z.jpg</t>
  </si>
  <si>
    <t>2 Пилорама поката\E33149364_7_20260128T150551Z.jpg</t>
  </si>
  <si>
    <t>ср 28.01.2026 — 15:05:51</t>
  </si>
  <si>
    <t>E33149364_7_20260128T152403Z.jpg</t>
  </si>
  <si>
    <t>2 Пилорама поката\E33149364_7_20260128T152403Z.jpg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</si>
  <si>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</si>
  <si>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</si>
  <si>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</si>
  <si>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</si>
  <si>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</si>
  <si>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</si>
  <si>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</si>
  <si>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</si>
  <si>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</si>
  <si>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</si>
  <si>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</si>
  <si>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</si>
  <si>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</si>
  <si>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</si>
  <si>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2 Пилорама поката\E33149364_7_20260129T112558Z.jpg</t>
  </si>
  <si>
    <t>чт 29.01.2026 — 11:25:58</t>
  </si>
  <si>
    <t>E33149364_7_20260129T124720Z.jpg</t>
  </si>
  <si>
    <t>2 Пилорама поката\E33149364_7_20260129T124720Z.jpg</t>
  </si>
  <si>
    <t>чт 29.01.2026 — 12:47:20</t>
  </si>
  <si>
    <t>E33149364_7_20260129T140826Z.jpg</t>
  </si>
  <si>
    <t>2 Пилорама поката\E33149364_7_20260129T140826Z.jpg</t>
  </si>
  <si>
    <t>чт 29.01.2026 — 14:08:26</t>
  </si>
  <si>
    <t>E33149364_7_20260129T140834Z.jpg</t>
  </si>
  <si>
    <t>2 Пилорама поката\E33149364_7_20260129T140834Z.jpg</t>
  </si>
  <si>
    <t>чт 29.01.2026 — 14:08:34</t>
  </si>
  <si>
    <t>E33149364_7_20260129T141119Z.jpg</t>
  </si>
  <si>
    <t>2 Пилорама поката\E33149364_7_20260129T141119Z.jpg</t>
  </si>
  <si>
    <t>чт 29.01.2026 — 14:11:19</t>
  </si>
  <si>
    <t>E33149364_7_20260129T150014Z.jpg</t>
  </si>
  <si>
    <t>2 Пилорама поката\E33149364_7_20260129T150014Z.jpg</t>
  </si>
  <si>
    <t>чт 29.01.2026 — 15:00:14</t>
  </si>
  <si>
    <t>E33149364_7_20260129T150311Z.jpg</t>
  </si>
  <si>
    <t>2 Пилорама поката\E33149364_7_20260129T150311Z.jpg</t>
  </si>
  <si>
    <t>чт 29.01.2026 — 15:03:11</t>
  </si>
  <si>
    <t>E33149364_7_20260129T150919Z.jpg</t>
  </si>
  <si>
    <t>2 Пилорама поката\E33149364_7_20260129T150919Z.jpg</t>
  </si>
  <si>
    <t>чт 29.01.2026 — 15:09:19</t>
  </si>
  <si>
    <t>E33149364_7_20260129T151247Z.jpg</t>
  </si>
  <si>
    <t>2 Пилорама поката\E33149364_7_20260129T151247Z.jpg</t>
  </si>
  <si>
    <t>чт 29.01.2026 — 15:12:47</t>
  </si>
  <si>
    <t>E33149364_7_20260129T153648Z.jpg</t>
  </si>
  <si>
    <t>2 Пилорама поката\E33149364_7_20260129T153648Z.jpg</t>
  </si>
  <si>
    <t>чт 29.01.2026 — 15:36:48</t>
  </si>
  <si>
    <t>E33149364_7_20260129T160113Z.jpg</t>
  </si>
  <si>
    <t>2 Пилорама поката\E33149364_7_20260129T160113Z.jpg</t>
  </si>
  <si>
    <t>чт 29.01.2026 — 16:01:13</t>
  </si>
  <si>
    <t>E33149364_7_20260129T160412Z.jpg</t>
  </si>
  <si>
    <t>2 Пилорама поката\E33149364_7_20260129T160412Z.jpg</t>
  </si>
  <si>
    <t>чт 29.01.2026 — 16:04:12</t>
  </si>
  <si>
    <t>E33149364_7_20260129T164106Z.jpg</t>
  </si>
  <si>
    <t>2 Пилорама поката\E33149364_7_20260129T164106Z.jpg</t>
  </si>
  <si>
    <t>чт 29.01.2026 — 16:41:06</t>
  </si>
  <si>
    <t>E33149364_7_20260129T164338Z.jpg</t>
  </si>
  <si>
    <t>2 Пилорама поката\E33149364_7_20260129T164338Z.jpg</t>
  </si>
  <si>
    <t>чт 29.01.2026 — 16:43:38</t>
  </si>
  <si>
    <t>E33149364_7_20260129T164409Z.jpg</t>
  </si>
  <si>
    <t>2 Пилорама поката\E33149364_7_20260129T164409Z.jpg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</si>
  <si>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</si>
  <si>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</si>
  <si>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</si>
  <si>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</si>
  <si>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</si>
  <si>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</si>
  <si>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</si>
  <si>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</si>
  <si>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1 Ангар Склад 2 въезд\E33149364_6_20260128T171608Z.jpg</t>
  </si>
  <si>
    <t>ср 28.01.2026 — 17:16:08</t>
  </si>
  <si>
    <t>E33149364_6_20260129T115201Z.jpg</t>
  </si>
  <si>
    <t>1 Ангар Склад 2 въезд\E33149364_6_20260129T115201Z.jpg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</si>
  <si>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</si>
  <si>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</si>
  <si>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</si>
  <si>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</si>
  <si>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</si>
  <si>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</si>
  <si>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</si>
  <si>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</si>
  <si>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</si>
  <si>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</si>
  <si>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</si>
  <si>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</si>
  <si>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</si>
  <si>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</si>
  <si>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</si>
  <si>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</si>
  <si>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</si>
  <si>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3 Въезд на базу\E33149364_8_20260128T130845Z.jpg</t>
  </si>
  <si>
    <t>ср 28.01.2026 — 13:08:45</t>
  </si>
  <si>
    <t>E33149364_8_20260129T121721Z.jpg</t>
  </si>
  <si>
    <t>3 Въезд на базу\E33149364_8_20260129T121721Z.jpg</t>
  </si>
  <si>
    <t>чт 29.01.2026 — 12:17:21</t>
  </si>
  <si>
    <t>E33149364_2_20260128T061158Z.jpg</t>
  </si>
  <si>
    <t>8 Рейсмус\E33149364_2_20260128T061158Z.jpg</t>
  </si>
  <si>
    <t>ср 28.01.2026 — 06:11:58</t>
  </si>
  <si>
    <t>E33149364_2_20260128T112020Z.jpg</t>
  </si>
  <si>
    <t>8 Рейсмус\E33149364_2_20260128T112020Z.jpg</t>
  </si>
  <si>
    <t>ср 28.01.2026 — 11:20:20</t>
  </si>
  <si>
    <t>E33149364_2_20260128T145757Z.jpg</t>
  </si>
  <si>
    <t>8 Рейсмус\E33149364_2_20260128T145757Z.jpg</t>
  </si>
  <si>
    <t>ср 28.01.2026 — 14:57:57</t>
  </si>
  <si>
    <t>E33149364_2_20260128T163739Z.jpg</t>
  </si>
  <si>
    <t>8 Рейсмус\E33149364_2_20260128T163739Z.jpg</t>
  </si>
  <si>
    <t>ср 28.01.2026 — 16:37:39</t>
  </si>
  <si>
    <t>E33149364_2_20260128T174158Z.jpg</t>
  </si>
  <si>
    <t>8 Рейсмус\E33149364_2_20260128T174158Z.jpg</t>
  </si>
  <si>
    <t>ср 28.01.2026 — 17:41:58</t>
  </si>
  <si>
    <t>E33149364_2_20260128T204231Z.jpg</t>
  </si>
  <si>
    <t>8 Рейсмус\E33149364_2_20260128T204231Z.jpg</t>
  </si>
  <si>
    <t>ср 28.01.2026 — 20:42:31</t>
  </si>
  <si>
    <t>E33149364_2_20260128T224504Z.jpg</t>
  </si>
  <si>
    <t>8 Рейсмус\E33149364_2_20260128T224504Z.jpg</t>
  </si>
  <si>
    <t>ср 28.01.2026 — 22:45:04</t>
  </si>
  <si>
    <t>E33149364_2_20260129T095051Z.jpg</t>
  </si>
  <si>
    <t>8 Рейсмус\E33149364_2_20260129T095051Z.jpg</t>
  </si>
  <si>
    <t>чт 29.01.2026 — 09:50:51</t>
  </si>
  <si>
    <t>E33149364_2_20260129T101940Z.jpg</t>
  </si>
  <si>
    <t>8 Рейсмус\E33149364_2_20260129T101940Z.jpg</t>
  </si>
  <si>
    <t>чт 29.01.2026 — 10:19:40</t>
  </si>
  <si>
    <t>E33149364_2_20260129T111829Z.jpg</t>
  </si>
  <si>
    <t>8 Рейсмус\E33149364_2_20260129T111829Z.jpg</t>
  </si>
  <si>
    <t>чт 29.01.2026 — 11:18:29</t>
  </si>
  <si>
    <t>E33149364_2_20260129T140906Z.jpg</t>
  </si>
  <si>
    <t>8 Рейсмус\E33149364_2_20260129T140906Z.jpg</t>
  </si>
  <si>
    <t>чт 29.01.2026 — 14:09:06</t>
  </si>
  <si>
    <t>E33149364_2_20260129T154044Z.jpg</t>
  </si>
  <si>
    <t>8 Рейсмус\E33149364_2_20260129T154044Z.jpg</t>
  </si>
  <si>
    <t>чт 29.01.2026 — 15:40:44</t>
  </si>
  <si>
    <t>E33149364_2_20260129T164254Z.jpg</t>
  </si>
  <si>
    <t>8 Рейсмус\E33149364_2_20260129T164254Z.jpg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</si>
  <si>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</si>
  <si>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</si>
  <si>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</si>
  <si>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</si>
  <si>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</si>
  <si>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</si>
  <si>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</si>
  <si>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</si>
  <si>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9 Ангар пилорама\E33149364_1_20260128T091635Z.jpg</t>
  </si>
  <si>
    <t>ср 28.01.2026 — 09:16:35</t>
  </si>
  <si>
    <t>E33149364_1_20260128T100012Z.jpg</t>
  </si>
  <si>
    <t>9 Ангар пилорама\E33149364_1_20260128T100012Z.jpg</t>
  </si>
  <si>
    <t>ср 28.01.2026 — 10:00:12</t>
  </si>
  <si>
    <t>E33149364_1_20260128T100740Z.jpg</t>
  </si>
  <si>
    <t>9 Ангар пилорама\E33149364_1_20260128T100740Z.jpg</t>
  </si>
  <si>
    <t>ср 28.01.2026 — 10:07:40</t>
  </si>
  <si>
    <t>E33149364_1_20260128T100806Z.jpg</t>
  </si>
  <si>
    <t>9 Ангар пилорама\E33149364_1_20260128T100806Z.jpg</t>
  </si>
  <si>
    <t>ср 28.01.2026 — 10:08:06</t>
  </si>
  <si>
    <t>E33149364_1_20260128T153940Z.jpg</t>
  </si>
  <si>
    <t>9 Ангар пилорама\E33149364_1_20260128T153940Z.jpg</t>
  </si>
  <si>
    <t>ср 28.01.2026 — 15:39:40</t>
  </si>
  <si>
    <t>E33149364_1_20260128T154144Z.jpg</t>
  </si>
  <si>
    <t>9 Ангар пилорама\E33149364_1_20260128T154144Z.jpg</t>
  </si>
  <si>
    <t>ср 28.01.2026 — 15:41:44</t>
  </si>
  <si>
    <t>E33149364_1_20260128T212719Z.jpg</t>
  </si>
  <si>
    <t>9 Ангар пилорама\E33149364_1_20260128T212719Z.jpg</t>
  </si>
  <si>
    <t>ср 28.01.2026 — 21:27:19</t>
  </si>
  <si>
    <t>E33149364_1_20260129T104017Z.jpg</t>
  </si>
  <si>
    <t>9 Ангар пилорама\E33149364_1_20260129T104017Z.jpg</t>
  </si>
  <si>
    <t>чт 29.01.2026 — 10:40:17</t>
  </si>
  <si>
    <t>E33149364_1_20260129T115723Z.jpg</t>
  </si>
  <si>
    <t>9 Ангар пилорама\E33149364_1_20260129T115723Z.jpg</t>
  </si>
  <si>
    <t>чт 29.01.2026 — 11:57:23</t>
  </si>
  <si>
    <t>E33149364_1_20260129T123118Z.jpg</t>
  </si>
  <si>
    <t>9 Ангар пилорама\E33149364_1_20260129T123118Z.jpg</t>
  </si>
  <si>
    <t>чт 29.01.2026 — 12:31:18</t>
  </si>
  <si>
    <t>E33149364_1_20260129T125259Z.jpg</t>
  </si>
  <si>
    <t>9 Ангар пилорама\E33149364_1_20260129T125259Z.jpg</t>
  </si>
  <si>
    <t>чт 29.01.2026 — 12:52:59</t>
  </si>
  <si>
    <t>E33149364_1_20260129T160108Z.jpg</t>
  </si>
  <si>
    <t>9 Ангар пилорама\E33149364_1_20260129T160108Z.jpg</t>
  </si>
  <si>
    <t>чт 29.01.2026 — 16:01:08</t>
  </si>
  <si>
    <t>E33149364_3_20260128T100809Z.jpg</t>
  </si>
  <si>
    <t>10 Сушилка навес\E33149364_3_20260128T100809Z.jpg</t>
  </si>
  <si>
    <t>ср 28.01.2026 — 10:08:09</t>
  </si>
  <si>
    <t>E33149364_3_20260128T145004Z.jpg</t>
  </si>
  <si>
    <t>10 Сушилка навес\E33149364_3_20260128T145004Z.jpg</t>
  </si>
  <si>
    <t>ср 28.01.2026 — 14:50:04</t>
  </si>
  <si>
    <t>E33149364_3_20260128T153954Z.jpg</t>
  </si>
  <si>
    <t>10 Сушилка навес\E33149364_3_20260128T153954Z.jpg</t>
  </si>
  <si>
    <t>ср 28.01.2026 — 15:39:54</t>
  </si>
  <si>
    <t>E33149364_3_20260129T124710Z.jpg</t>
  </si>
  <si>
    <t>10 Сушилка навес\E33149364_3_20260129T124710Z.jpg</t>
  </si>
  <si>
    <t>чт 29.01.2026 — 12:47:10</t>
  </si>
  <si>
    <t>E33149364_3_20260129T140358Z.jpg</t>
  </si>
  <si>
    <t>10 Сушилка навес\E33149364_3_20260129T140358Z.jpg</t>
  </si>
  <si>
    <t>чт 29.01.2026 — 14:03:58</t>
  </si>
  <si>
    <t>E33149364_3_20260129T140823Z.jpg</t>
  </si>
  <si>
    <t>10 Сушилка навес\E33149364_3_20260129T140823Z.jpg</t>
  </si>
  <si>
    <t>чт 29.01.2026 — 14:08:23</t>
  </si>
  <si>
    <t>E33149364_3_20260129T150331Z.jpg</t>
  </si>
  <si>
    <t>10 Сушилка навес\E33149364_3_20260129T150331Z.jpg</t>
  </si>
  <si>
    <t>чт 29.01.2026 — 15:03:31</t>
  </si>
  <si>
    <t>E33149364_3_20260129T151234Z.jpg</t>
  </si>
  <si>
    <t>10 Сушилка навес\E33149364_3_20260129T151234Z.jpg</t>
  </si>
  <si>
    <t>чт 29.01.2026 — 15:12:34</t>
  </si>
  <si>
    <t>E33149364_3_20260129T164124Z.jpg</t>
  </si>
  <si>
    <t>10 Сушилка навес\E33149364_3_20260129T164124Z.jpg</t>
  </si>
  <si>
    <t>чт 29.01.2026 — 16:41:24</t>
  </si>
  <si>
    <t>E33149364_3_20260129T170550Z.jpg</t>
  </si>
  <si>
    <t>10 Сушилка навес\E33149364_3_20260129T170550Z.jpg</t>
  </si>
  <si>
    <t>чт 29.01.2026 — 17:05:50</t>
  </si>
  <si>
    <t>E33149364_4_20260128T153939Z.jpg</t>
  </si>
  <si>
    <t>11 С ангара на базу\E33149364_4_20260128T153939Z.jpg</t>
  </si>
  <si>
    <t>ср 28.01.2026 — 15:39:39</t>
  </si>
  <si>
    <t>E33149364_4_20260129T161142Z.jpg</t>
  </si>
  <si>
    <t>11 С ангара на базу\E33149364_4_20260129T161142Z.jpg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</si>
  <si>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</si>
  <si>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</si>
  <si>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</si>
  <si>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</si>
  <si>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</si>
  <si>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</si>
  <si>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</si>
  <si>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</si>
  <si>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</si>
  <si>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</si>
  <si>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</si>
  <si>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</si>
  <si>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</si>
  <si>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</si>
  <si>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</si>
  <si>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</si>
  <si>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</si>
  <si>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</si>
  <si>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</si>
  <si>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</si>
  <si>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</si>
  <si>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</si>
  <si>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</si>
  <si>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</si>
  <si>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</si>
  <si>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</si>
  <si>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</si>
  <si>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</si>
  <si>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</si>
  <si>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</si>
  <si>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</si>
  <si>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</si>
  <si>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2 Пилорама поката\E33149364_7_20260130T134217Z.jpg</t>
  </si>
  <si>
    <t>пт 30.01.2026 — 13:42:17</t>
  </si>
  <si>
    <t>E33149364_7_20260130T134723Z.jpg</t>
  </si>
  <si>
    <t>2 Пилорама поката\E33149364_7_20260130T134723Z.jpg</t>
  </si>
  <si>
    <t>пт 30.01.2026 — 13:47:23</t>
  </si>
  <si>
    <t>E33149364_8_20260130T103758Z.jpg</t>
  </si>
  <si>
    <t>3 Въезд на базу\E33149364_8_20260130T103758Z.jpg</t>
  </si>
  <si>
    <t>пт 30.01.2026 — 10:37:58</t>
  </si>
  <si>
    <t>E33149364_8_20260130T175152Z.jpg</t>
  </si>
  <si>
    <t>3 Въезд на базу\E33149364_8_20260130T175152Z.jpg</t>
  </si>
  <si>
    <t>пт 30.01.2026 — 17:51:52</t>
  </si>
  <si>
    <t>E33149364_6_20260130T084530Z.jpg</t>
  </si>
  <si>
    <t>1 Ангар Склад 2 въезд\E33149364_6_20260130T084530Z.jpg</t>
  </si>
  <si>
    <t>пт 30.01.2026 — 08:45:30</t>
  </si>
  <si>
    <t>E33149364_6_20260130T091943Z.jpg</t>
  </si>
  <si>
    <t>1 Ангар Склад 2 въезд\E33149364_6_20260130T091943Z.jpg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</si>
  <si>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</si>
  <si>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</si>
  <si>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</si>
  <si>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</si>
  <si>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</si>
  <si>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</si>
  <si>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</si>
  <si>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</si>
  <si>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</si>
  <si>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</si>
  <si>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</si>
  <si>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</si>
  <si>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</si>
  <si>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</si>
  <si>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</si>
  <si>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</si>
  <si>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</si>
  <si>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8 Рейсмус\E33149364_2_20260130T091624Z.jpg</t>
  </si>
  <si>
    <t>пт 30.01.2026 — 09:16:24</t>
  </si>
  <si>
    <t>E33149364_2_20260130T115317Z.jpg</t>
  </si>
  <si>
    <t>8 Рейсмус\E33149364_2_20260130T115317Z.jpg</t>
  </si>
  <si>
    <t>пт 30.01.2026 — 11:53:17</t>
  </si>
  <si>
    <t>E33149364_2_20260130T121450Z.jpg</t>
  </si>
  <si>
    <t>8 Рейсмус\E33149364_2_20260130T121450Z.jpg</t>
  </si>
  <si>
    <t>пт 30.01.2026 — 12:14:50</t>
  </si>
  <si>
    <t>E33149364_2_20260130T145910Z.jpg</t>
  </si>
  <si>
    <t>8 Рейсмус\E33149364_2_20260130T145910Z.jpg</t>
  </si>
  <si>
    <t>пт 30.01.2026 — 14:59:10</t>
  </si>
  <si>
    <t>E33149364_2_20260130T152222Z.jpg</t>
  </si>
  <si>
    <t>8 Рейсмус\E33149364_2_20260130T152222Z.jpg</t>
  </si>
  <si>
    <t>пт 30.01.2026 — 15:22:22</t>
  </si>
  <si>
    <t>E33149364_2_20260130T152527Z.jpg</t>
  </si>
  <si>
    <t>8 Рейсмус\E33149364_2_20260130T152527Z.jpg</t>
  </si>
  <si>
    <t>пт 30.01.2026 — 15:25:27</t>
  </si>
  <si>
    <t>E33149364_2_20260130T153803Z.jpg</t>
  </si>
  <si>
    <t>8 Рейсмус\E33149364_2_20260130T153803Z.jpg</t>
  </si>
  <si>
    <t>пт 30.01.2026 — 15:38:03</t>
  </si>
  <si>
    <t>E33149364_2_20260130T162000Z.jpg</t>
  </si>
  <si>
    <t>8 Рейсмус\E33149364_2_20260130T162000Z.jpg</t>
  </si>
  <si>
    <t>пт 30.01.2026 — 16:20:00</t>
  </si>
  <si>
    <t>E33149364_1_20260130T093449Z.jpg</t>
  </si>
  <si>
    <t>9 Ангар пилорама\E33149364_1_20260130T093449Z.jpg</t>
  </si>
  <si>
    <t>пт 30.01.2026 — 09:34:49</t>
  </si>
  <si>
    <t>E33149364_1_20260130T095645Z.jpg</t>
  </si>
  <si>
    <t>9 Ангар пилорама\E33149364_1_20260130T095645Z.jpg</t>
  </si>
  <si>
    <t>пт 30.01.2026 — 09:56:45</t>
  </si>
  <si>
    <t>E33149364_1_20260130T172001Z.jpg</t>
  </si>
  <si>
    <t>9 Ангар пилорама\E33149364_1_20260130T172001Z.jpg</t>
  </si>
  <si>
    <t>пт 30.01.2026 — 17:20:01</t>
  </si>
  <si>
    <t>E33149364_3_20260130T090022Z.jpg</t>
  </si>
  <si>
    <t>10 Сушилка навес\E33149364_3_20260130T090022Z.jpg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</si>
  <si>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</si>
  <si>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</si>
  <si>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</si>
  <si>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</si>
  <si>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</si>
  <si>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</si>
  <si>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</si>
  <si>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</si>
  <si>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</si>
  <si>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</si>
  <si>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</si>
  <si>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</si>
  <si>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</si>
  <si>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</si>
  <si>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10 Сушилка навес\E33149364_3_20260130T091340Z.jpg</t>
  </si>
  <si>
    <t>пт 30.01.2026 — 09:13:40</t>
  </si>
  <si>
    <t>E33149364_3_20260130T095133Z.jpg</t>
  </si>
  <si>
    <t>10 Сушилка навес\E33149364_3_20260130T095133Z.jpg</t>
  </si>
  <si>
    <t>пт 30.01.2026 — 09:51:33</t>
  </si>
  <si>
    <t>E33149364_3_20260130T134205Z.jpg</t>
  </si>
  <si>
    <t>10 Сушилка навес\E33149364_3_20260130T134205Z.jpg</t>
  </si>
  <si>
    <t>пт 30.01.2026 — 13:42:05</t>
  </si>
  <si>
    <t>E33149364_3_20260130T134746Z.jpg</t>
  </si>
  <si>
    <t>10 Сушилка навес\E33149364_3_20260130T134746Z.jpg</t>
  </si>
  <si>
    <t>пт 30.01.2026 — 13:47:46</t>
  </si>
  <si>
    <t>E33149364_3_20260130T143328Z.jpg</t>
  </si>
  <si>
    <t>10 Сушилка навес\E33149364_3_20260130T143328Z.jpg</t>
  </si>
  <si>
    <t>пт 30.01.2026 — 14:33:28</t>
  </si>
  <si>
    <t>E33149364_3_20260130T212848Z.jpg</t>
  </si>
  <si>
    <t>10 Сушилка навес\E33149364_3_20260130T212848Z.jpg</t>
  </si>
  <si>
    <t>пт 30.01.2026 — 21:28:48</t>
  </si>
  <si>
    <t>E33149364_4_20260130T170742Z.jpg</t>
  </si>
  <si>
    <t>11 С ангара на базу\E33149364_4_20260130T170742Z.jpg</t>
  </si>
  <si>
    <t>пт 30.01.2026 — 17:07:42</t>
  </si>
  <si>
    <t>E33149364_4_20260130T172509Z.jpg</t>
  </si>
  <si>
    <t>11 С ангара на базу\E33149364_4_20260130T172509Z.jpg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</si>
  <si>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</si>
  <si>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</si>
  <si>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</si>
  <si>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</si>
  <si>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</si>
  <si>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</si>
  <si>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</si>
  <si>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</si>
  <si>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</si>
  <si>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</si>
  <si>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</si>
  <si>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</si>
  <si>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</si>
  <si>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</si>
  <si>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</si>
  <si>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</si>
  <si>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</si>
  <si>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1 Ангар Склад 2 въезд\E33149364_6_20260131T114200Z.jpg</t>
  </si>
  <si>
    <t>сб 31.01.2026 — 11:42:00</t>
  </si>
  <si>
    <t>E33149364_6_20260131T120943Z.jpg</t>
  </si>
  <si>
    <t>1 Ангар Склад 2 въезд\E33149364_6_20260131T120943Z.jpg</t>
  </si>
  <si>
    <t>сб 31.01.2026 — 12:09:43</t>
  </si>
  <si>
    <t>E33149364_6_20260131T172238Z.jpg</t>
  </si>
  <si>
    <t>1 Ангар Склад 2 въезд\E33149364_6_20260131T172238Z.jpg</t>
  </si>
  <si>
    <t>сб 31.01.2026 — 17:22:38</t>
  </si>
  <si>
    <t>E33149364_6_20260201T160321Z.jpg</t>
  </si>
  <si>
    <t>1 Ангар Склад 2 въезд\E33149364_6_20260201T160321Z.jpg</t>
  </si>
  <si>
    <t>вс 01.02.2026 — 16:03:21</t>
  </si>
  <si>
    <t>E33149364_7_20260131T084147Z.jpg</t>
  </si>
  <si>
    <t>2 Пилорама поката\E33149364_7_20260131T084147Z.jpg</t>
  </si>
  <si>
    <t>сб 31.01.2026 — 08:41:47</t>
  </si>
  <si>
    <t>E33149364_7_20260201T172242Z.jpg</t>
  </si>
  <si>
    <t>2 Пилорама поката\E33149364_7_20260201T172242Z.jpg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</si>
  <si>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</si>
  <si>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</si>
  <si>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</si>
  <si>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</si>
  <si>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</si>
  <si>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</si>
  <si>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</si>
  <si>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</si>
  <si>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</si>
  <si>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</si>
  <si>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</si>
  <si>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</si>
  <si>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</si>
  <si>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</si>
  <si>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8 Рейсмус\E33149364_2_20260131T114838Z.jpg</t>
  </si>
  <si>
    <t>сб 31.01.2026 — 11:48:38</t>
  </si>
  <si>
    <t>E33149364_2_20260201T114844Z.jpg</t>
  </si>
  <si>
    <t>8 Рейсмус\E33149364_2_20260201T114844Z.jpg</t>
  </si>
  <si>
    <t>вс 01.02.2026 — 11:48:44</t>
  </si>
  <si>
    <t>E33149364_1_20260131T120701Z.jpg</t>
  </si>
  <si>
    <t>9 Ангар пилорама\E33149364_1_20260131T120701Z.jpg</t>
  </si>
  <si>
    <t>сб 31.01.2026 — 12:07:01</t>
  </si>
  <si>
    <t>E33149364_1_20260201T122350Z.jpg</t>
  </si>
  <si>
    <t>9 Ангар пилорама\E33149364_1_20260201T122350Z.jpg</t>
  </si>
  <si>
    <t>вс 01.02.2026 — 12:23:50</t>
  </si>
  <si>
    <t>E33149364_4_20260131T183137Z.jpg</t>
  </si>
  <si>
    <t>11 С ангара на базу\E33149364_4_20260131T183137Z.jpg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</si>
  <si>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</si>
  <si>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</si>
  <si>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</si>
  <si>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</si>
  <si>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</si>
  <si>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</si>
  <si>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</si>
  <si>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</si>
  <si>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3 Въезд на базу\E33149364_8_20260131T114212Z.jpg</t>
  </si>
  <si>
    <t>сб 31.01.2026 — 11:42:12</t>
  </si>
  <si>
    <t>E33149364_8_20260201T172346Z.jpg</t>
  </si>
  <si>
    <t>3 Въезд на базу\E33149364_8_20260201T172346Z.jpg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</si>
  <si>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</si>
  <si>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</si>
  <si>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</si>
  <si>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</si>
  <si>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</si>
  <si>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</si>
  <si>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</si>
  <si>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</si>
  <si>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</si>
  <si>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</si>
  <si>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</si>
  <si>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</si>
  <si>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</si>
  <si>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</si>
  <si>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</si>
  <si>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</si>
  <si>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</si>
  <si>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</si>
  <si>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</si>
  <si>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</si>
  <si>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</si>
  <si>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</si>
  <si>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</si>
  <si>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</si>
  <si>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</si>
  <si>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</si>
  <si>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</si>
  <si>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</si>
  <si>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</si>
  <si>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</si>
  <si>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</si>
  <si>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</si>
  <si>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</si>
  <si>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</si>
  <si>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</si>
  <si>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</si>
  <si>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</si>
  <si>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</si>
  <si>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</si>
  <si>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</si>
  <si>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</si>
  <si>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</si>
  <si>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</si>
  <si>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</si>
  <si>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10 Сушилка навес\E33149364_3_20260131T120735Z.jpg</t>
  </si>
  <si>
    <t>сб 31.01.2026 — 12:07:35</t>
  </si>
  <si>
    <t>E33149364_3_20260201T123215Z.jpg</t>
  </si>
  <si>
    <t>10 Сушилка навес\E33149364_3_20260201T123215Z.jpg</t>
  </si>
  <si>
    <t>вс 01.02.2026 — 12:32:15</t>
  </si>
  <si>
    <t>E33149364_3_20260201T124520Z.jpg</t>
  </si>
  <si>
    <t>10 Сушилка навес\E33149364_3_20260201T124520Z.jpg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</si>
  <si>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</si>
  <si>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</si>
  <si>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</si>
  <si>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</si>
  <si>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</si>
  <si>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</si>
  <si>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</si>
  <si>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</si>
  <si>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</si>
  <si>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</si>
  <si>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</si>
  <si>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</si>
  <si>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</si>
  <si>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</si>
  <si>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</si>
  <si>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</si>
  <si>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</si>
  <si>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</si>
  <si>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</si>
  <si>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11 С ангара на базу\E33149364_4_20260201T183137Z.jpg</t>
  </si>
  <si>
    <t>вс 01.02.2026 — 18:31:37</t>
  </si>
  <si>
    <t>нет записей камеры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</si>
</sst>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826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35" tableType="queryTable" totalsRowShown="0">
  <autoFilter ref="A1:N235" xr:uid="{B468AF39-21AE-47BD-BA18-EADB2FC1D520}"/>
  <tableColumns count="14">
    <tableColumn id="11" xr3:uid="{6F8E650D-029B-40AD-86B4-92C160128A4F}" uniqueName="11" name="День нед" queryTableFieldId="39" dataDxfId="63"/>
    <tableColumn id="8" xr3:uid="{7C2AA400-8F21-45B7-B47D-9CF2CFB5DD00}" uniqueName="8" name="Дата" queryTableFieldId="19" dataDxfId="62"/>
    <tableColumn id="9" xr3:uid="{7CB7ABF0-C98D-49E4-A494-985A43D5F40F}" uniqueName="9" name="Время" queryTableFieldId="20" dataDxfId="61"/>
    <tableColumn id="5" xr3:uid="{613A944B-9245-4C6D-9CCE-5037AD552DED}" uniqueName="5" name="Событие" queryTableFieldId="27" dataDxfId="825"/>
    <tableColumn id="7" xr3:uid="{FFEA85A5-3527-4483-91CE-57F760AB9F33}" uniqueName="7" name="Объект" queryTableFieldId="29" dataDxfId="824"/>
    <tableColumn id="10" xr3:uid="{A2E2C27E-C1B2-4B74-A427-E1854B0E2C76}" uniqueName="10" name="Груз" queryTableFieldId="30" dataDxfId="823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822"/>
    <tableColumn id="4" xr3:uid="{B2B57637-8A7D-4C5F-A6F8-E38F3EA43620}" uniqueName="4" name="Name" queryTableFieldId="14" dataDxfId="821"/>
    <tableColumn id="1" xr3:uid="{79275791-6385-434B-9F1B-8BDC003824A7}" uniqueName="1" name="Folder Path" queryTableFieldId="11" dataDxfId="820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6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819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68" tableType="queryTable" totalsRowShown="0">
  <autoFilter ref="A1:M268" xr:uid="{B468AF39-21AE-47BD-BA18-EADB2FC1D520}"/>
  <tableColumns count="13">
    <tableColumn id="11" xr3:uid="{6804E693-7D64-41A5-9B58-B7D348C4DC92}" uniqueName="11" name="День нед" queryTableFieldId="39" dataDxfId="55"/>
    <tableColumn id="8" xr3:uid="{40827FD9-94EC-4CF6-B212-59CF3E913897}" uniqueName="8" name="Дата" queryTableFieldId="19" dataDxfId="54"/>
    <tableColumn id="9" xr3:uid="{1F8E8ADE-5BFB-4171-9A0A-859E22042D3B}" uniqueName="9" name="Время" queryTableFieldId="20" dataDxfId="53"/>
    <tableColumn id="5" xr3:uid="{9D19F2E1-3C70-4F2F-8ED7-6D41C17A9366}" uniqueName="5" name="Событие" queryTableFieldId="27" dataDxfId="818"/>
    <tableColumn id="7" xr3:uid="{8C8CC69A-BA0A-4417-AE7D-B89E26F69F9B}" uniqueName="7" name="Объект" queryTableFieldId="29" dataDxfId="817"/>
    <tableColumn id="10" xr3:uid="{375C36FB-077D-4AA3-B6F7-74ACE46C2638}" uniqueName="10" name="Груз" queryTableFieldId="30" dataDxfId="816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815"/>
    <tableColumn id="4" xr3:uid="{4A5BB282-D54C-4C68-A1D9-B3A819F9FCF6}" uniqueName="4" name="Name" queryTableFieldId="14" dataDxfId="814"/>
    <tableColumn id="1" xr3:uid="{7BD19058-41FF-4EFE-8283-68501A5B1623}" uniqueName="1" name="Folder Path" queryTableFieldId="11" dataDxfId="813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52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46" tableType="queryTable" totalsRowShown="0">
  <autoFilter ref="A1:M146" xr:uid="{B468AF39-21AE-47BD-BA18-EADB2FC1D520}"/>
  <tableColumns count="13">
    <tableColumn id="11" xr3:uid="{8C7989A8-AE95-4BFB-859E-9F3F94DCD873}" uniqueName="11" name="День нед" queryTableFieldId="39" dataDxfId="59"/>
    <tableColumn id="8" xr3:uid="{B651DAE5-1AB7-4761-9820-CB58DA0D9C46}" uniqueName="8" name="Дата" queryTableFieldId="19" dataDxfId="58"/>
    <tableColumn id="9" xr3:uid="{22B6AE73-6E8B-4F81-B85C-3D141AD4D773}" uniqueName="9" name="Время" queryTableFieldId="20" dataDxfId="57"/>
    <tableColumn id="5" xr3:uid="{CB5AF0FF-A861-4F29-BFD9-751A47066C68}" uniqueName="5" name="Событие" queryTableFieldId="27" dataDxfId="812"/>
    <tableColumn id="7" xr3:uid="{63916370-0910-4B95-ABB4-D88865AA9E43}" uniqueName="7" name="Объект" queryTableFieldId="29" dataDxfId="811"/>
    <tableColumn id="10" xr3:uid="{DDC7656E-7390-4778-A2CE-EEC7AC518263}" uniqueName="10" name="Груз" queryTableFieldId="30" dataDxfId="810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809"/>
    <tableColumn id="4" xr3:uid="{96665EED-E1B8-437C-869A-35CB5BA419D3}" uniqueName="4" name="Name" queryTableFieldId="14" dataDxfId="808"/>
    <tableColumn id="1" xr3:uid="{1F225BD8-B59D-4058-9D99-17124C1F38FB}" uniqueName="1" name="Folder Path" queryTableFieldId="11" dataDxfId="807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56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68" tableType="queryTable" totalsRowShown="0">
  <tableColumns count="13">
    <tableColumn id="11" xr3:uid="{F25D1388-C4DF-49FB-9BF5-0132CEDCCAEA}" uniqueName="11" name="День нед" queryTableFieldId="39" dataDxfId="23"/>
    <tableColumn id="8" xr3:uid="{9EDCCA26-9FD6-4F66-9134-186F89CA663B}" uniqueName="8" name="Дата" queryTableFieldId="19" dataDxfId="22"/>
    <tableColumn id="9" xr3:uid="{FB005DB9-8D3C-48A5-94F1-246606C665DD}" uniqueName="9" name="Время" queryTableFieldId="20" dataDxfId="21"/>
    <tableColumn id="5" xr3:uid="{6D19407C-64CF-4FC5-95E7-163AA12EB226}" uniqueName="5" name="Событие" queryTableFieldId="27" dataDxfId="806"/>
    <tableColumn id="7" xr3:uid="{007BF834-0BCB-4416-8941-11DA4EDFCE5B}" uniqueName="7" name="Объект" queryTableFieldId="29" dataDxfId="805"/>
    <tableColumn id="10" xr3:uid="{E896F002-4451-441D-B0CB-52AD69A6E5C3}" uniqueName="10" name="Груз" queryTableFieldId="30" dataDxfId="804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803"/>
    <tableColumn id="4" xr3:uid="{9F6560FA-27F8-4BE9-BA58-3B0E40F582E5}" uniqueName="4" name="Name" queryTableFieldId="14" dataDxfId="802"/>
    <tableColumn id="1" xr3:uid="{44892CD0-9118-4535-9434-E49462140346}" uniqueName="1" name="Folder Path" queryTableFieldId="11" dataDxfId="801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2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04" tableType="queryTable" totalsRowShown="0">
  <tableColumns count="13">
    <tableColumn id="11" xr3:uid="{390CB009-E9E0-4C0F-93C3-AF6B408B816B}" uniqueName="11" name="День нед" queryTableFieldId="39" dataDxfId="51"/>
    <tableColumn id="8" xr3:uid="{E0A1C296-A368-479C-9A74-85306B3C03D4}" uniqueName="8" name="Дата" queryTableFieldId="19" dataDxfId="50"/>
    <tableColumn id="9" xr3:uid="{86401298-83EB-49D3-ACBA-E743586F5CCB}" uniqueName="9" name="Время" queryTableFieldId="20" dataDxfId="49"/>
    <tableColumn id="5" xr3:uid="{FFB4F03A-A400-4544-A729-2375A1F7D5E8}" uniqueName="5" name="Событие" queryTableFieldId="27" dataDxfId="800"/>
    <tableColumn id="7" xr3:uid="{D96DCF3C-D325-4D0C-94A1-DBE97CC5C9DC}" uniqueName="7" name="Объект" queryTableFieldId="29" dataDxfId="799"/>
    <tableColumn id="10" xr3:uid="{76D99262-42F5-447E-95AC-9C2A84BF344C}" uniqueName="10" name="Груз" queryTableFieldId="30" dataDxfId="798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797"/>
    <tableColumn id="4" xr3:uid="{D16AEB37-7A8A-406F-8ED7-B8D53BAA9BD9}" uniqueName="4" name="Name" queryTableFieldId="14" dataDxfId="796"/>
    <tableColumn id="1" xr3:uid="{1746BE5F-089A-476F-AE8D-5F2B27E9AEEA}" uniqueName="1" name="Folder Path" queryTableFieldId="11" dataDxfId="795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48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26" tableType="queryTable" totalsRowShown="0">
  <tableColumns count="13">
    <tableColumn id="11" xr3:uid="{45D23538-AB74-404E-8577-E2B7A36436AF}" uniqueName="11" name="День нед" queryTableFieldId="39" dataDxfId="47"/>
    <tableColumn id="8" xr3:uid="{40B01B94-168F-4547-A2BC-AA7F91350AB3}" uniqueName="8" name="Дата" queryTableFieldId="19" dataDxfId="46"/>
    <tableColumn id="9" xr3:uid="{A2C94EFB-3081-4BA9-85C2-DFF0455AFA43}" uniqueName="9" name="Время" queryTableFieldId="20" dataDxfId="45"/>
    <tableColumn id="5" xr3:uid="{244D3D34-C9EC-4B9C-BE81-12A0C0BB4342}" uniqueName="5" name="Событие" queryTableFieldId="27" dataDxfId="794"/>
    <tableColumn id="7" xr3:uid="{C449A112-E8A8-4956-B85C-2BA12316F170}" uniqueName="7" name="Объект" queryTableFieldId="29" dataDxfId="793"/>
    <tableColumn id="10" xr3:uid="{C8411557-C312-4542-93DA-DF5949399E11}" uniqueName="10" name="Груз" queryTableFieldId="30" dataDxfId="792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791"/>
    <tableColumn id="4" xr3:uid="{6A396D44-0898-4737-A4C1-8D6D40981793}" uniqueName="4" name="Name" queryTableFieldId="14" dataDxfId="790"/>
    <tableColumn id="1" xr3:uid="{328F21C9-48B9-4081-9B8C-BBD168BD38D1}" uniqueName="1" name="Folder Path" queryTableFieldId="11" dataDxfId="789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44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60" tableType="queryTable" totalsRowShown="0">
  <tableColumns count="13">
    <tableColumn id="11" xr3:uid="{2311EAC9-4673-4BE2-ADB0-E8CEB0BD9945}" uniqueName="11" name="День нед" queryTableFieldId="39" dataDxfId="43"/>
    <tableColumn id="8" xr3:uid="{F1C9804A-F8E7-4755-B717-859265C587A2}" uniqueName="8" name="Дата" queryTableFieldId="19" dataDxfId="42"/>
    <tableColumn id="9" xr3:uid="{1C2BA522-8D4F-4713-849C-1F60357B476E}" uniqueName="9" name="Время" queryTableFieldId="20" dataDxfId="41"/>
    <tableColumn id="5" xr3:uid="{6E084A00-DC62-4E93-8ABC-4651FD4D2408}" uniqueName="5" name="Событие" queryTableFieldId="27" dataDxfId="788"/>
    <tableColumn id="7" xr3:uid="{C9F6EF14-DBE7-4655-9D20-5B253923C11E}" uniqueName="7" name="Объект" queryTableFieldId="29" dataDxfId="787"/>
    <tableColumn id="10" xr3:uid="{0ADEC0F9-9FE9-4E92-BD38-0B8CDDE1BDBD}" uniqueName="10" name="Груз" queryTableFieldId="30" dataDxfId="786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785"/>
    <tableColumn id="4" xr3:uid="{FE606B6B-0A78-44A2-B44F-54FBA553BAD6}" uniqueName="4" name="Name" queryTableFieldId="14" dataDxfId="784"/>
    <tableColumn id="1" xr3:uid="{34274AB2-665A-4EF1-8C79-4944C9C122A7}" uniqueName="1" name="Folder Path" queryTableFieldId="11" dataDxfId="783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40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71" tableType="queryTable" totalsRowShown="0">
  <tableColumns count="13">
    <tableColumn id="11" xr3:uid="{72CE202A-C56C-4D63-9F9F-0DFF72BB5190}" uniqueName="11" name="День нед" queryTableFieldId="39" dataDxfId="39"/>
    <tableColumn id="8" xr3:uid="{0D9F5C4C-70B0-46E2-9E29-649E206B6616}" uniqueName="8" name="Дата" queryTableFieldId="19" dataDxfId="38"/>
    <tableColumn id="9" xr3:uid="{7C8561D4-BD7D-493F-BC95-213F2D55F3FD}" uniqueName="9" name="Время" queryTableFieldId="20" dataDxfId="37"/>
    <tableColumn id="5" xr3:uid="{E48795B2-2732-4E4A-81E8-B1585581420B}" uniqueName="5" name="Событие" queryTableFieldId="27" dataDxfId="782"/>
    <tableColumn id="7" xr3:uid="{F684EE24-0636-4EC2-AB94-A65EA5355534}" uniqueName="7" name="Объект" queryTableFieldId="29" dataDxfId="781"/>
    <tableColumn id="10" xr3:uid="{0C1B5273-277F-4438-B52D-9F868AD13DEE}" uniqueName="10" name="Груз" queryTableFieldId="30" dataDxfId="780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779"/>
    <tableColumn id="4" xr3:uid="{729433F6-F4FD-435B-851D-D34CC9060068}" uniqueName="4" name="Name" queryTableFieldId="14" dataDxfId="778"/>
    <tableColumn id="1" xr3:uid="{7A9B9B80-B872-4A82-9D9D-98A75E20F89B}" uniqueName="1" name="Folder Path" queryTableFieldId="11" dataDxfId="777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36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572" tableType="queryTable" totalsRowShown="0">
  <tableColumns count="13">
    <tableColumn id="11" xr3:uid="{2CE691F0-1D02-41BD-8E81-7716875609CD}" uniqueName="11" name="День нед" queryTableFieldId="39" dataDxfId="35"/>
    <tableColumn id="8" xr3:uid="{1A2A3B97-F602-468E-8AD3-5DD492638A71}" uniqueName="8" name="Дата" queryTableFieldId="19" dataDxfId="34"/>
    <tableColumn id="9" xr3:uid="{E8725BDD-FF6C-47C3-9100-825160B93721}" uniqueName="9" name="Время" queryTableFieldId="20" dataDxfId="33"/>
    <tableColumn id="5" xr3:uid="{F68EB906-7F6F-4765-A5C8-9B40064179BE}" uniqueName="5" name="Событие" queryTableFieldId="27" dataDxfId="776"/>
    <tableColumn id="7" xr3:uid="{812FE0F9-0D7E-497C-893A-B104BA069155}" uniqueName="7" name="Объект" queryTableFieldId="29" dataDxfId="775"/>
    <tableColumn id="10" xr3:uid="{1679E688-A047-4936-9EBC-9BDCFEA4CD95}" uniqueName="10" name="Груз" queryTableFieldId="30" dataDxfId="774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773"/>
    <tableColumn id="4" xr3:uid="{F9F7F55E-2CCF-4A6B-892F-1C76C0668832}" uniqueName="4" name="Name" queryTableFieldId="14" dataDxfId="772"/>
    <tableColumn id="1" xr3:uid="{0AF9B05B-8D0E-4B8A-81D0-358A18429CE8}" uniqueName="1" name="Folder Path" queryTableFieldId="11" dataDxfId="771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32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02" tableType="queryTable" totalsRowShown="0">
  <tableColumns count="13">
    <tableColumn id="11" xr3:uid="{96A6BDDB-7ED5-4607-80F3-3FD842EAEE0A}" uniqueName="11" name="День нед" queryTableFieldId="39" dataDxfId="31"/>
    <tableColumn id="8" xr3:uid="{FBEC9ECA-BD5C-442E-BB86-7CCAEF9464D2}" uniqueName="8" name="Дата" queryTableFieldId="19" dataDxfId="30"/>
    <tableColumn id="9" xr3:uid="{68242AF7-BC60-4380-843B-35A6CC4A66E6}" uniqueName="9" name="Время" queryTableFieldId="20" dataDxfId="29"/>
    <tableColumn id="5" xr3:uid="{C98BCFD6-9DE9-4A28-B769-F5737933429D}" uniqueName="5" name="Событие" queryTableFieldId="27" dataDxfId="770"/>
    <tableColumn id="7" xr3:uid="{4D44F8D4-93A4-4851-894E-AC8CDD93BD71}" uniqueName="7" name="Объект" queryTableFieldId="29" dataDxfId="769"/>
    <tableColumn id="10" xr3:uid="{0A838B00-A88A-40EE-A542-7E8E08968D89}" uniqueName="10" name="Груз" queryTableFieldId="30" dataDxfId="768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767"/>
    <tableColumn id="4" xr3:uid="{4FA2E248-D5A3-4824-875F-C328FA9AC2F9}" uniqueName="4" name="Name" queryTableFieldId="14" dataDxfId="766"/>
    <tableColumn id="1" xr3:uid="{B01A6B83-82C4-4172-AD5B-D2AF410DBE1B}" uniqueName="1" name="Folder Path" queryTableFieldId="11" dataDxfId="765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28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266" tableType="queryTable" totalsRowShown="0">
  <tableColumns count="13">
    <tableColumn id="11" xr3:uid="{2AD64508-44AB-4871-8C82-4C5A1E5A5DD2}" uniqueName="11" name="День нед" queryTableFieldId="39" dataDxfId="27"/>
    <tableColumn id="8" xr3:uid="{C788117B-4896-492B-97B3-B2502F0537D8}" uniqueName="8" name="Дата" queryTableFieldId="19" dataDxfId="26"/>
    <tableColumn id="9" xr3:uid="{E3EF5757-6705-492A-BD76-A47D414757C0}" uniqueName="9" name="Время" queryTableFieldId="20" dataDxfId="25"/>
    <tableColumn id="5" xr3:uid="{EF049B28-F832-4F3D-AB4F-3C396920BF5B}" uniqueName="5" name="Событие" queryTableFieldId="27" dataDxfId="764"/>
    <tableColumn id="7" xr3:uid="{DDB63E42-2809-4377-A568-A326109989E9}" uniqueName="7" name="Объект" queryTableFieldId="29" dataDxfId="763"/>
    <tableColumn id="10" xr3:uid="{A4FCF3D3-582A-4DEF-8FB8-9D050C82517D}" uniqueName="10" name="Груз" queryTableFieldId="30" dataDxfId="762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761"/>
    <tableColumn id="4" xr3:uid="{DA63B8EC-3587-40B4-A86A-92B91C78723D}" uniqueName="4" name="Name" queryTableFieldId="14" dataDxfId="760"/>
    <tableColumn id="1" xr3:uid="{360C7476-DEC6-4377-8E95-D472C6673B12}" uniqueName="1" name="Folder Path" queryTableFieldId="11" dataDxfId="759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24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77" tableType="queryTable" totalsRowShown="0">
  <tableColumns count="13">
    <tableColumn id="11" xr3:uid="{C40005DE-8CA6-428A-9DF2-E715CC943F02}" uniqueName="11" name="День нед" queryTableFieldId="39" dataDxfId="19"/>
    <tableColumn id="8" xr3:uid="{55C75F47-F14F-483C-9C7A-95288D9463D6}" uniqueName="8" name="Дата" queryTableFieldId="19" dataDxfId="18"/>
    <tableColumn id="9" xr3:uid="{79D3981C-638A-4D64-BACB-D64D85DAC855}" uniqueName="9" name="Время" queryTableFieldId="20" dataDxfId="17"/>
    <tableColumn id="5" xr3:uid="{B0B848B5-29B2-4292-89A5-7DE5A2F72D15}" uniqueName="5" name="Событие" queryTableFieldId="27" dataDxfId="758"/>
    <tableColumn id="7" xr3:uid="{A9E0C8AC-2336-4969-BC3E-110E6C33529C}" uniqueName="7" name="Объект" queryTableFieldId="29" dataDxfId="757"/>
    <tableColumn id="10" xr3:uid="{F8691CA5-2689-452F-9550-C52E06B35BD6}" uniqueName="10" name="Груз" queryTableFieldId="30" dataDxfId="756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55"/>
    <tableColumn id="4" xr3:uid="{E9716AC2-8439-4E67-8698-BA6CD84F7B9C}" uniqueName="4" name="Name" queryTableFieldId="14" dataDxfId="754"/>
    <tableColumn id="1" xr3:uid="{9AB30DEC-91E3-4633-A156-B937B586CECB}" uniqueName="1" name="Folder Path" queryTableFieldId="11" dataDxfId="753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6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52" tableType="queryTable" totalsRowShown="0">
  <tableColumns count="13">
    <tableColumn id="11" xr3:uid="{B21CFC33-55C8-4073-BBD2-E0A5154A10D6}" uniqueName="11" name="День нед" queryTableFieldId="39" dataDxfId="15"/>
    <tableColumn id="8" xr3:uid="{004370C0-0D3C-4162-A392-32C741C3A58B}" uniqueName="8" name="Дата" queryTableFieldId="19" dataDxfId="14"/>
    <tableColumn id="9" xr3:uid="{6537DA5E-247D-44FB-ACE3-933B3C9B9408}" uniqueName="9" name="Время" queryTableFieldId="20" dataDxfId="13"/>
    <tableColumn id="5" xr3:uid="{4FA9309D-407E-48C1-B1F9-C33DEA7645B1}" uniqueName="5" name="Событие" queryTableFieldId="27" dataDxfId="752"/>
    <tableColumn id="7" xr3:uid="{76E54E9E-D730-4C99-9BF5-96E9384FF63C}" uniqueName="7" name="Объект" queryTableFieldId="29" dataDxfId="751"/>
    <tableColumn id="10" xr3:uid="{B9F78DE2-7938-486B-9BE2-F824D0E7A6C4}" uniqueName="10" name="Груз" queryTableFieldId="30" dataDxfId="750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749"/>
    <tableColumn id="4" xr3:uid="{921D28C1-5761-48A7-B447-6A4446F87545}" uniqueName="4" name="Name" queryTableFieldId="14" dataDxfId="748"/>
    <tableColumn id="1" xr3:uid="{F1A648C1-8DB5-4DEF-B011-BD85E17FCAA3}" uniqueName="1" name="Folder Path" queryTableFieldId="11" dataDxfId="747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2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3539" totalsRowShown="0">
  <autoFilter ref="A1:G3539" xr:uid="{803833C3-A4ED-4039-95A7-46694D1CE00F}">
    <filterColumn colId="6">
      <filters>
        <filter val="Сушилка навес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30" tableType="queryTable" totalsRowShown="0">
  <autoFilter ref="A1:M230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11"/>
    <tableColumn id="3" xr3:uid="{8C3702C1-E43C-496C-A204-7587B7ED5C05}" uniqueName="3" name="Время" queryTableFieldId="3" dataDxfId="10"/>
    <tableColumn id="4" xr3:uid="{C16264D0-558B-425C-8205-E671C6E3EB9E}" uniqueName="4" name="Событие" queryTableFieldId="4" dataDxfId="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8"/>
    <tableColumn id="10" xr3:uid="{37082223-0A57-495F-97B8-0BCE1F173A2E}" uniqueName="10" name="Folder Path" queryTableFieldId="10" dataDxfId="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36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35"/>
  <sheetViews>
    <sheetView tabSelected="1" zoomScale="90" zoomScaleNormal="90" workbookViewId="0">
      <pane ySplit="1" topLeftCell="A224" activePane="bottomLeft" state="frozen"/>
      <selection pane="bottomLeft" activeCell="D238" sqref="D238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2994</v>
      </c>
      <c r="J63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2997</v>
      </c>
      <c r="J64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3018</v>
      </c>
      <c r="E65" t="s">
        <v>1607</v>
      </c>
      <c r="F65" t="s">
        <v>2929</v>
      </c>
      <c r="I65" t="s">
        <v>3000</v>
      </c>
      <c r="J65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3003</v>
      </c>
      <c r="J66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3006</v>
      </c>
      <c r="J67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3009</v>
      </c>
      <c r="J6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3019</v>
      </c>
      <c r="E69" t="s">
        <v>70</v>
      </c>
      <c r="F69" t="s">
        <v>58</v>
      </c>
      <c r="I69" t="s">
        <v>3012</v>
      </c>
      <c r="J69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3019</v>
      </c>
      <c r="E70" t="s">
        <v>70</v>
      </c>
      <c r="F70" t="s">
        <v>58</v>
      </c>
      <c r="H70" t="s">
        <v>2936</v>
      </c>
      <c r="I70" t="s">
        <v>3015</v>
      </c>
      <c r="J70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4190</v>
      </c>
      <c r="E71" t="s">
        <v>4192</v>
      </c>
      <c r="F71" t="s">
        <v>51</v>
      </c>
      <c r="I71" t="s">
        <v>3225</v>
      </c>
      <c r="J71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4192</v>
      </c>
      <c r="F72" t="s">
        <v>58</v>
      </c>
      <c r="I72" t="s">
        <v>3228</v>
      </c>
      <c r="J72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4192</v>
      </c>
      <c r="F73" t="s">
        <v>58</v>
      </c>
      <c r="I73" t="s">
        <v>3231</v>
      </c>
      <c r="J73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4192</v>
      </c>
      <c r="F74" t="s">
        <v>58</v>
      </c>
      <c r="I74" t="s">
        <v>3234</v>
      </c>
      <c r="J74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4190</v>
      </c>
      <c r="E75" t="s">
        <v>4191</v>
      </c>
      <c r="I75" t="s">
        <v>3237</v>
      </c>
      <c r="J75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4191</v>
      </c>
      <c r="I76" t="s">
        <v>3240</v>
      </c>
      <c r="J76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4193</v>
      </c>
      <c r="I77" t="s">
        <v>3243</v>
      </c>
      <c r="J77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4193</v>
      </c>
      <c r="I78" t="s">
        <v>3246</v>
      </c>
      <c r="J7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4194</v>
      </c>
      <c r="F79" t="s">
        <v>51</v>
      </c>
      <c r="I79" t="s">
        <v>3249</v>
      </c>
      <c r="J79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4195</v>
      </c>
      <c r="F80" t="s">
        <v>51</v>
      </c>
      <c r="I80" t="s">
        <v>3252</v>
      </c>
      <c r="J80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4194</v>
      </c>
      <c r="F81" t="s">
        <v>4196</v>
      </c>
      <c r="H81" t="s">
        <v>4197</v>
      </c>
      <c r="I81" t="s">
        <v>3255</v>
      </c>
      <c r="J81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4194</v>
      </c>
      <c r="F82" t="s">
        <v>4196</v>
      </c>
      <c r="I82" t="s">
        <v>3258</v>
      </c>
      <c r="J82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4252</v>
      </c>
      <c r="J83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4255</v>
      </c>
      <c r="J84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4194</v>
      </c>
      <c r="F85" t="s">
        <v>1609</v>
      </c>
      <c r="H85" t="s">
        <v>5074</v>
      </c>
      <c r="I85" t="s">
        <v>4402</v>
      </c>
      <c r="J85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4194</v>
      </c>
      <c r="F86" t="s">
        <v>51</v>
      </c>
      <c r="H86" t="s">
        <v>5075</v>
      </c>
      <c r="I86" t="s">
        <v>4405</v>
      </c>
      <c r="J86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5076</v>
      </c>
      <c r="I87" t="s">
        <v>4408</v>
      </c>
      <c r="J87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5076</v>
      </c>
      <c r="I88" t="s">
        <v>4411</v>
      </c>
      <c r="J8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5076</v>
      </c>
      <c r="I89" t="s">
        <v>4414</v>
      </c>
      <c r="J89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5076</v>
      </c>
      <c r="I90" t="s">
        <v>4417</v>
      </c>
      <c r="J90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4420</v>
      </c>
      <c r="J91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5076</v>
      </c>
      <c r="I92" t="s">
        <v>4423</v>
      </c>
      <c r="J92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5076</v>
      </c>
      <c r="I93" t="s">
        <v>4426</v>
      </c>
      <c r="J93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5076</v>
      </c>
      <c r="I94" t="s">
        <v>4429</v>
      </c>
      <c r="J94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5076</v>
      </c>
      <c r="I95" t="s">
        <v>4432</v>
      </c>
      <c r="J95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4435</v>
      </c>
      <c r="J96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5077</v>
      </c>
      <c r="I97" t="s">
        <v>4438</v>
      </c>
      <c r="J97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5076</v>
      </c>
      <c r="I98" t="s">
        <v>4441</v>
      </c>
      <c r="J9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5076</v>
      </c>
      <c r="I99" t="s">
        <v>4444</v>
      </c>
      <c r="J99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4447</v>
      </c>
      <c r="J100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5259</v>
      </c>
      <c r="F101" t="s">
        <v>51</v>
      </c>
      <c r="I101" t="s">
        <v>5144</v>
      </c>
      <c r="J101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5259</v>
      </c>
      <c r="F102" t="s">
        <v>5260</v>
      </c>
      <c r="H102" t="s">
        <v>5261</v>
      </c>
      <c r="I102" t="s">
        <v>5146</v>
      </c>
      <c r="J102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t="s">
        <v>64</v>
      </c>
      <c r="E103" t="s">
        <v>4193</v>
      </c>
      <c r="F103" t="s">
        <v>5076</v>
      </c>
      <c r="I103" t="s">
        <v>5272</v>
      </c>
      <c r="J103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t="s">
        <v>85</v>
      </c>
      <c r="E104" t="s">
        <v>4193</v>
      </c>
      <c r="F104" t="s">
        <v>5076</v>
      </c>
      <c r="I104" t="s">
        <v>5274</v>
      </c>
      <c r="J104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t="s">
        <v>64</v>
      </c>
      <c r="E105" t="s">
        <v>4193</v>
      </c>
      <c r="F105" t="s">
        <v>5076</v>
      </c>
      <c r="I105" t="s">
        <v>5481</v>
      </c>
      <c r="J105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t="s">
        <v>85</v>
      </c>
      <c r="E106" t="s">
        <v>4193</v>
      </c>
      <c r="F106" t="s">
        <v>5076</v>
      </c>
      <c r="I106" t="s">
        <v>5484</v>
      </c>
      <c r="J106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t="s">
        <v>91</v>
      </c>
      <c r="E107" t="s">
        <v>5505</v>
      </c>
      <c r="F107" t="s">
        <v>51</v>
      </c>
      <c r="I107" t="s">
        <v>5487</v>
      </c>
      <c r="J107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t="s">
        <v>3019</v>
      </c>
      <c r="E108" t="s">
        <v>5505</v>
      </c>
      <c r="F108" t="s">
        <v>51</v>
      </c>
      <c r="I108" t="s">
        <v>5490</v>
      </c>
      <c r="J10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t="s">
        <v>64</v>
      </c>
      <c r="E109" t="s">
        <v>4193</v>
      </c>
      <c r="F109" t="s">
        <v>5076</v>
      </c>
      <c r="I109" t="s">
        <v>5493</v>
      </c>
      <c r="J109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t="s">
        <v>85</v>
      </c>
      <c r="E110" t="s">
        <v>4193</v>
      </c>
      <c r="F110" t="s">
        <v>5076</v>
      </c>
      <c r="I110" t="s">
        <v>5496</v>
      </c>
      <c r="J110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t="s">
        <v>64</v>
      </c>
      <c r="E111" t="s">
        <v>4193</v>
      </c>
      <c r="F111" t="s">
        <v>5076</v>
      </c>
      <c r="I111" t="s">
        <v>5499</v>
      </c>
      <c r="J111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t="s">
        <v>85</v>
      </c>
      <c r="E112" t="s">
        <v>4193</v>
      </c>
      <c r="F112" t="s">
        <v>5076</v>
      </c>
      <c r="I112" t="s">
        <v>5502</v>
      </c>
      <c r="J112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t="s">
        <v>2004</v>
      </c>
      <c r="E113" t="s">
        <v>8</v>
      </c>
      <c r="I113" t="s">
        <v>5840</v>
      </c>
      <c r="J113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t="s">
        <v>91</v>
      </c>
      <c r="E114" t="s">
        <v>55</v>
      </c>
      <c r="F114" t="s">
        <v>51</v>
      </c>
      <c r="I114" t="s">
        <v>5843</v>
      </c>
      <c r="J114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t="s">
        <v>62</v>
      </c>
      <c r="E115" t="s">
        <v>6167</v>
      </c>
      <c r="F115" t="s">
        <v>58</v>
      </c>
      <c r="H115" t="s">
        <v>6164</v>
      </c>
      <c r="I115" t="s">
        <v>6023</v>
      </c>
      <c r="J115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t="s">
        <v>91</v>
      </c>
      <c r="E116" t="s">
        <v>6166</v>
      </c>
      <c r="F116" t="s">
        <v>51</v>
      </c>
      <c r="I116" t="s">
        <v>6026</v>
      </c>
      <c r="J116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t="s">
        <v>91</v>
      </c>
      <c r="E117" t="s">
        <v>6165</v>
      </c>
      <c r="F117" t="s">
        <v>51</v>
      </c>
      <c r="I117" t="s">
        <v>6029</v>
      </c>
      <c r="J117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t="s">
        <v>62</v>
      </c>
      <c r="E118" t="s">
        <v>6166</v>
      </c>
      <c r="F118" t="s">
        <v>51</v>
      </c>
      <c r="I118" t="s">
        <v>6032</v>
      </c>
      <c r="J11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t="s">
        <v>3019</v>
      </c>
      <c r="E119" t="s">
        <v>6165</v>
      </c>
      <c r="F119" t="s">
        <v>51</v>
      </c>
      <c r="I119" t="s">
        <v>6035</v>
      </c>
      <c r="J119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t="s">
        <v>91</v>
      </c>
      <c r="E120" t="s">
        <v>6167</v>
      </c>
      <c r="F120" t="s">
        <v>58</v>
      </c>
      <c r="I120" t="s">
        <v>6038</v>
      </c>
      <c r="J120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t="s">
        <v>62</v>
      </c>
      <c r="E121" t="s">
        <v>6167</v>
      </c>
      <c r="F121" t="s">
        <v>6168</v>
      </c>
      <c r="H121" t="s">
        <v>6169</v>
      </c>
      <c r="I121" t="s">
        <v>6041</v>
      </c>
      <c r="J121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t="s">
        <v>2004</v>
      </c>
      <c r="E122" t="s">
        <v>6262</v>
      </c>
      <c r="H122" t="s">
        <v>6261</v>
      </c>
      <c r="I122" t="s">
        <v>6198</v>
      </c>
      <c r="J122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t="s">
        <v>64</v>
      </c>
      <c r="E123" t="s">
        <v>4193</v>
      </c>
      <c r="F123" t="s">
        <v>5076</v>
      </c>
      <c r="I123" t="s">
        <v>6263</v>
      </c>
      <c r="J123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t="s">
        <v>91</v>
      </c>
      <c r="E124" t="s">
        <v>6329</v>
      </c>
      <c r="F124" t="s">
        <v>51</v>
      </c>
      <c r="I124" t="s">
        <v>6343</v>
      </c>
      <c r="J124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t="s">
        <v>85</v>
      </c>
      <c r="E125" t="s">
        <v>6329</v>
      </c>
      <c r="F125" t="s">
        <v>58</v>
      </c>
      <c r="H125" t="s">
        <v>1620</v>
      </c>
      <c r="I125" t="s">
        <v>6266</v>
      </c>
      <c r="J125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t="s">
        <v>85</v>
      </c>
      <c r="E126" t="s">
        <v>6329</v>
      </c>
      <c r="F126" t="s">
        <v>58</v>
      </c>
      <c r="H126" t="s">
        <v>2936</v>
      </c>
      <c r="I126" t="s">
        <v>6269</v>
      </c>
      <c r="J126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t="s">
        <v>62</v>
      </c>
      <c r="E127" t="s">
        <v>70</v>
      </c>
      <c r="I127" t="s">
        <v>6272</v>
      </c>
      <c r="J127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t="s">
        <v>91</v>
      </c>
      <c r="E128" t="s">
        <v>70</v>
      </c>
      <c r="I128" t="s">
        <v>6275</v>
      </c>
      <c r="J12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t="s">
        <v>85</v>
      </c>
      <c r="E129" t="s">
        <v>4193</v>
      </c>
      <c r="F129" t="s">
        <v>5076</v>
      </c>
      <c r="I129" t="s">
        <v>6278</v>
      </c>
      <c r="J129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t="s">
        <v>91</v>
      </c>
      <c r="E130" t="s">
        <v>6656</v>
      </c>
      <c r="F130" t="s">
        <v>51</v>
      </c>
      <c r="I130" t="s">
        <v>6533</v>
      </c>
      <c r="J130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t="s">
        <v>62</v>
      </c>
      <c r="E131" t="s">
        <v>6656</v>
      </c>
      <c r="F131" t="s">
        <v>6657</v>
      </c>
      <c r="I131" t="s">
        <v>6536</v>
      </c>
      <c r="J131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t="s">
        <v>64</v>
      </c>
      <c r="E132" t="s">
        <v>4193</v>
      </c>
      <c r="F132" t="s">
        <v>5076</v>
      </c>
      <c r="I132" t="s">
        <v>6539</v>
      </c>
      <c r="J132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t="s">
        <v>85</v>
      </c>
      <c r="E133" t="s">
        <v>4193</v>
      </c>
      <c r="F133" t="s">
        <v>5076</v>
      </c>
      <c r="I133" t="s">
        <v>6542</v>
      </c>
      <c r="J133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t="s">
        <v>2004</v>
      </c>
      <c r="I134" t="s">
        <v>6664</v>
      </c>
      <c r="J134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t="s">
        <v>64</v>
      </c>
      <c r="E135" t="s">
        <v>4193</v>
      </c>
      <c r="F135" t="s">
        <v>5076</v>
      </c>
      <c r="I135" t="s">
        <v>6667</v>
      </c>
      <c r="J135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t="s">
        <v>6865</v>
      </c>
      <c r="I136" t="s">
        <v>6670</v>
      </c>
      <c r="J136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t="s">
        <v>91</v>
      </c>
      <c r="E137" t="s">
        <v>6190</v>
      </c>
      <c r="I137" t="s">
        <v>6673</v>
      </c>
      <c r="J137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t="s">
        <v>6866</v>
      </c>
      <c r="E138" t="s">
        <v>86</v>
      </c>
      <c r="I138" t="s">
        <v>6676</v>
      </c>
      <c r="J13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t="s">
        <v>85</v>
      </c>
      <c r="E139" t="s">
        <v>4193</v>
      </c>
      <c r="F139" t="s">
        <v>5076</v>
      </c>
      <c r="I139" t="s">
        <v>6679</v>
      </c>
      <c r="J139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t="s">
        <v>2004</v>
      </c>
      <c r="I140" t="s">
        <v>6899</v>
      </c>
      <c r="J140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t="s">
        <v>2004</v>
      </c>
      <c r="I141" t="s">
        <v>6902</v>
      </c>
      <c r="J141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t="s">
        <v>2004</v>
      </c>
      <c r="I142" t="s">
        <v>7175</v>
      </c>
      <c r="J142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t="s">
        <v>64</v>
      </c>
      <c r="E143" t="s">
        <v>4193</v>
      </c>
      <c r="F143" t="s">
        <v>5076</v>
      </c>
      <c r="I143" t="s">
        <v>7242</v>
      </c>
      <c r="J143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t="s">
        <v>85</v>
      </c>
      <c r="E144" t="s">
        <v>4193</v>
      </c>
      <c r="F144" t="s">
        <v>5076</v>
      </c>
      <c r="I144" t="s">
        <v>7245</v>
      </c>
      <c r="J144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t="s">
        <v>91</v>
      </c>
      <c r="E145" t="s">
        <v>7410</v>
      </c>
      <c r="F145" t="s">
        <v>60</v>
      </c>
      <c r="I145" t="s">
        <v>7248</v>
      </c>
      <c r="J145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t="s">
        <v>62</v>
      </c>
      <c r="E146" t="s">
        <v>7410</v>
      </c>
      <c r="F146" t="s">
        <v>51</v>
      </c>
      <c r="I146" t="s">
        <v>7251</v>
      </c>
      <c r="J146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t="s">
        <v>2004</v>
      </c>
      <c r="I147" t="s">
        <v>7418</v>
      </c>
      <c r="J147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t="s">
        <v>91</v>
      </c>
      <c r="E148" t="s">
        <v>7706</v>
      </c>
      <c r="F148" t="s">
        <v>60</v>
      </c>
      <c r="I148" t="s">
        <v>7421</v>
      </c>
      <c r="J14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t="s">
        <v>62</v>
      </c>
      <c r="E149" t="s">
        <v>7706</v>
      </c>
      <c r="F149" t="s">
        <v>51</v>
      </c>
      <c r="I149" t="s">
        <v>7424</v>
      </c>
      <c r="J149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t="s">
        <v>91</v>
      </c>
      <c r="E150" t="s">
        <v>70</v>
      </c>
      <c r="F150" t="s">
        <v>51</v>
      </c>
      <c r="I150" t="s">
        <v>7427</v>
      </c>
      <c r="J150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t="s">
        <v>91</v>
      </c>
      <c r="E151" t="s">
        <v>4193</v>
      </c>
      <c r="F151" t="s">
        <v>51</v>
      </c>
      <c r="I151" t="s">
        <v>7430</v>
      </c>
      <c r="J151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t="s">
        <v>62</v>
      </c>
      <c r="E152" t="s">
        <v>70</v>
      </c>
      <c r="F152" t="s">
        <v>58</v>
      </c>
      <c r="I152" t="s">
        <v>7433</v>
      </c>
      <c r="J152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t="s">
        <v>62</v>
      </c>
      <c r="E153" t="s">
        <v>4193</v>
      </c>
      <c r="F153" t="s">
        <v>4240</v>
      </c>
      <c r="I153" t="s">
        <v>7436</v>
      </c>
      <c r="J153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t="s">
        <v>91</v>
      </c>
      <c r="E154" t="s">
        <v>4193</v>
      </c>
      <c r="F154" t="s">
        <v>5076</v>
      </c>
      <c r="I154" t="s">
        <v>7723</v>
      </c>
      <c r="J154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t="s">
        <v>62</v>
      </c>
      <c r="E155" t="s">
        <v>4193</v>
      </c>
      <c r="F155" t="s">
        <v>5076</v>
      </c>
      <c r="I155" t="s">
        <v>7726</v>
      </c>
      <c r="J155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t="s">
        <v>64</v>
      </c>
      <c r="E156" t="s">
        <v>4193</v>
      </c>
      <c r="F156" t="s">
        <v>5076</v>
      </c>
      <c r="I156" t="s">
        <v>7890</v>
      </c>
      <c r="J156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t="s">
        <v>85</v>
      </c>
      <c r="E157" t="s">
        <v>4193</v>
      </c>
      <c r="F157" t="s">
        <v>5076</v>
      </c>
      <c r="I157" t="s">
        <v>7893</v>
      </c>
      <c r="J157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t="s">
        <v>91</v>
      </c>
      <c r="E158" t="s">
        <v>6329</v>
      </c>
      <c r="F158" t="s">
        <v>5076</v>
      </c>
      <c r="I158" t="s">
        <v>7896</v>
      </c>
      <c r="J15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t="s">
        <v>62</v>
      </c>
      <c r="E159" t="s">
        <v>6329</v>
      </c>
      <c r="F159" t="s">
        <v>5076</v>
      </c>
      <c r="I159" t="s">
        <v>7899</v>
      </c>
      <c r="J159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t="s">
        <v>91</v>
      </c>
      <c r="E160" t="s">
        <v>4193</v>
      </c>
      <c r="F160" t="s">
        <v>5076</v>
      </c>
      <c r="I160" t="s">
        <v>7902</v>
      </c>
      <c r="J160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t="s">
        <v>62</v>
      </c>
      <c r="E161" t="s">
        <v>4193</v>
      </c>
      <c r="F161" t="s">
        <v>5076</v>
      </c>
      <c r="I161" t="s">
        <v>7905</v>
      </c>
      <c r="J161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t="s">
        <v>8040</v>
      </c>
      <c r="E162" t="s">
        <v>4193</v>
      </c>
      <c r="F162" t="s">
        <v>5076</v>
      </c>
      <c r="I162" t="s">
        <v>7908</v>
      </c>
      <c r="J162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t="s">
        <v>64</v>
      </c>
      <c r="E163" t="s">
        <v>4193</v>
      </c>
      <c r="F163" t="s">
        <v>5076</v>
      </c>
      <c r="I163" t="s">
        <v>7911</v>
      </c>
      <c r="J163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t="s">
        <v>62</v>
      </c>
      <c r="E164" t="s">
        <v>6190</v>
      </c>
      <c r="F164" t="s">
        <v>51</v>
      </c>
      <c r="I164" t="s">
        <v>7914</v>
      </c>
      <c r="J164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t="s">
        <v>85</v>
      </c>
      <c r="E165" t="s">
        <v>4193</v>
      </c>
      <c r="F165" t="s">
        <v>5076</v>
      </c>
      <c r="I165" t="s">
        <v>7917</v>
      </c>
      <c r="J165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t="s">
        <v>91</v>
      </c>
      <c r="E166" t="s">
        <v>8041</v>
      </c>
      <c r="I166" t="s">
        <v>7920</v>
      </c>
      <c r="J166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t="s">
        <v>62</v>
      </c>
      <c r="E167" t="s">
        <v>8041</v>
      </c>
      <c r="I167" t="s">
        <v>7923</v>
      </c>
      <c r="J167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t="s">
        <v>91</v>
      </c>
      <c r="E168" t="s">
        <v>6190</v>
      </c>
      <c r="F168" t="s">
        <v>51</v>
      </c>
      <c r="I168" t="s">
        <v>7926</v>
      </c>
      <c r="J16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t="s">
        <v>91</v>
      </c>
      <c r="E169" t="s">
        <v>70</v>
      </c>
      <c r="F169" t="s">
        <v>58</v>
      </c>
      <c r="I169" t="s">
        <v>8054</v>
      </c>
      <c r="J169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t="s">
        <v>62</v>
      </c>
      <c r="E170" t="s">
        <v>70</v>
      </c>
      <c r="F170" t="s">
        <v>51</v>
      </c>
      <c r="I170" t="s">
        <v>8057</v>
      </c>
      <c r="J170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t="s">
        <v>91</v>
      </c>
      <c r="E171" t="s">
        <v>70</v>
      </c>
      <c r="F171" t="s">
        <v>5076</v>
      </c>
      <c r="I171" t="s">
        <v>8060</v>
      </c>
      <c r="J171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t="s">
        <v>62</v>
      </c>
      <c r="E172" t="s">
        <v>70</v>
      </c>
      <c r="F172" t="s">
        <v>5076</v>
      </c>
      <c r="I172" t="s">
        <v>8063</v>
      </c>
      <c r="J172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t="s">
        <v>62</v>
      </c>
      <c r="E173" t="s">
        <v>6190</v>
      </c>
      <c r="F173" t="s">
        <v>51</v>
      </c>
      <c r="I173" t="s">
        <v>8066</v>
      </c>
      <c r="J173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t="s">
        <v>91</v>
      </c>
      <c r="E174" t="s">
        <v>6190</v>
      </c>
      <c r="F174" t="s">
        <v>51</v>
      </c>
      <c r="I174" t="s">
        <v>8069</v>
      </c>
      <c r="J174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t="s">
        <v>2004</v>
      </c>
      <c r="I175" t="s">
        <v>8072</v>
      </c>
      <c r="J175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t="s">
        <v>2004</v>
      </c>
      <c r="I176" t="s">
        <v>8075</v>
      </c>
      <c r="J176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t="s">
        <v>2004</v>
      </c>
      <c r="I177" t="s">
        <v>8372</v>
      </c>
      <c r="J177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t="s">
        <v>91</v>
      </c>
      <c r="E178" t="s">
        <v>8483</v>
      </c>
      <c r="I178" t="s">
        <v>8375</v>
      </c>
      <c r="J17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t="s">
        <v>62</v>
      </c>
      <c r="E179" t="s">
        <v>8483</v>
      </c>
      <c r="I179" t="s">
        <v>8378</v>
      </c>
      <c r="J179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t="s">
        <v>2004</v>
      </c>
      <c r="I180" t="s">
        <v>8381</v>
      </c>
      <c r="J180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t="s">
        <v>2004</v>
      </c>
      <c r="I181" t="s">
        <v>8505</v>
      </c>
      <c r="J181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t="s">
        <v>91</v>
      </c>
      <c r="E182" t="s">
        <v>8799</v>
      </c>
      <c r="I182" t="s">
        <v>8508</v>
      </c>
      <c r="J182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t="s">
        <v>62</v>
      </c>
      <c r="E183" t="s">
        <v>8799</v>
      </c>
      <c r="I183" t="s">
        <v>8511</v>
      </c>
      <c r="J183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t="s">
        <v>2004</v>
      </c>
      <c r="I184" t="s">
        <v>8514</v>
      </c>
      <c r="J184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t="s">
        <v>91</v>
      </c>
      <c r="E185" t="s">
        <v>8352</v>
      </c>
      <c r="I185" t="s">
        <v>8517</v>
      </c>
      <c r="J185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t="s">
        <v>62</v>
      </c>
      <c r="E186" t="s">
        <v>8352</v>
      </c>
      <c r="I186" t="s">
        <v>8520</v>
      </c>
      <c r="J186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t="s">
        <v>91</v>
      </c>
      <c r="E187" t="s">
        <v>8800</v>
      </c>
      <c r="I187" t="s">
        <v>8523</v>
      </c>
      <c r="J187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t="s">
        <v>62</v>
      </c>
      <c r="E188" t="s">
        <v>8800</v>
      </c>
      <c r="I188" t="s">
        <v>8526</v>
      </c>
      <c r="J18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t="s">
        <v>91</v>
      </c>
      <c r="E189" t="s">
        <v>8801</v>
      </c>
      <c r="I189" t="s">
        <v>8529</v>
      </c>
      <c r="J189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t="s">
        <v>62</v>
      </c>
      <c r="E190" t="s">
        <v>8801</v>
      </c>
      <c r="I190" t="s">
        <v>8532</v>
      </c>
      <c r="J190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t="s">
        <v>91</v>
      </c>
      <c r="E191" t="s">
        <v>8801</v>
      </c>
      <c r="I191" t="s">
        <v>8535</v>
      </c>
      <c r="J191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t="s">
        <v>91</v>
      </c>
      <c r="E192" t="s">
        <v>8802</v>
      </c>
      <c r="I192" t="s">
        <v>8538</v>
      </c>
      <c r="J192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t="s">
        <v>62</v>
      </c>
      <c r="E193" t="s">
        <v>8802</v>
      </c>
      <c r="I193" t="s">
        <v>8541</v>
      </c>
      <c r="J193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t="s">
        <v>62</v>
      </c>
      <c r="E194" t="s">
        <v>8801</v>
      </c>
      <c r="I194" t="s">
        <v>8544</v>
      </c>
      <c r="J194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t="s">
        <v>2004</v>
      </c>
      <c r="I195" t="s">
        <v>8547</v>
      </c>
      <c r="J195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t="s">
        <v>91</v>
      </c>
      <c r="E196" t="s">
        <v>8800</v>
      </c>
      <c r="I196" t="s">
        <v>8550</v>
      </c>
      <c r="J196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t="s">
        <v>62</v>
      </c>
      <c r="E197" t="s">
        <v>8800</v>
      </c>
      <c r="I197" t="s">
        <v>8553</v>
      </c>
      <c r="J197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t="s">
        <v>2004</v>
      </c>
      <c r="H198" t="s">
        <v>9186</v>
      </c>
      <c r="I198" t="s">
        <v>8852</v>
      </c>
      <c r="J19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t="s">
        <v>91</v>
      </c>
      <c r="E199" t="s">
        <v>9187</v>
      </c>
      <c r="F199" t="s">
        <v>51</v>
      </c>
      <c r="I199" t="s">
        <v>8855</v>
      </c>
      <c r="J199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t="s">
        <v>62</v>
      </c>
      <c r="E200" t="s">
        <v>9187</v>
      </c>
      <c r="F200" t="s">
        <v>9188</v>
      </c>
      <c r="I200" t="s">
        <v>8858</v>
      </c>
      <c r="J200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t="s">
        <v>91</v>
      </c>
      <c r="E201" t="s">
        <v>4193</v>
      </c>
      <c r="F201" t="s">
        <v>5076</v>
      </c>
      <c r="I201" t="s">
        <v>9243</v>
      </c>
      <c r="J201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t="s">
        <v>62</v>
      </c>
      <c r="E202" t="s">
        <v>4193</v>
      </c>
      <c r="F202" t="s">
        <v>5076</v>
      </c>
      <c r="I202" t="s">
        <v>9246</v>
      </c>
      <c r="J202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t="s">
        <v>2004</v>
      </c>
      <c r="I203" t="s">
        <v>9249</v>
      </c>
      <c r="J203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t="s">
        <v>62</v>
      </c>
      <c r="E204" t="s">
        <v>8352</v>
      </c>
      <c r="F204" t="s">
        <v>2944</v>
      </c>
      <c r="H204" t="s">
        <v>9336</v>
      </c>
      <c r="I204" t="s">
        <v>9252</v>
      </c>
      <c r="J204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t="s">
        <v>91</v>
      </c>
      <c r="E205" t="s">
        <v>6656</v>
      </c>
      <c r="F205" t="s">
        <v>51</v>
      </c>
      <c r="I205" t="s">
        <v>9591</v>
      </c>
      <c r="J205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t="s">
        <v>62</v>
      </c>
      <c r="E206" t="s">
        <v>6656</v>
      </c>
      <c r="F206" t="s">
        <v>4240</v>
      </c>
      <c r="I206" t="s">
        <v>9594</v>
      </c>
      <c r="J206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t="s">
        <v>91</v>
      </c>
      <c r="E207" t="s">
        <v>9683</v>
      </c>
      <c r="I207" t="s">
        <v>9597</v>
      </c>
      <c r="J207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t="s">
        <v>91</v>
      </c>
      <c r="E208" t="s">
        <v>6656</v>
      </c>
      <c r="F208" t="s">
        <v>51</v>
      </c>
      <c r="I208" t="s">
        <v>9600</v>
      </c>
      <c r="J20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t="s">
        <v>62</v>
      </c>
      <c r="E209" t="s">
        <v>9683</v>
      </c>
      <c r="I209" t="s">
        <v>9603</v>
      </c>
      <c r="J209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t="s">
        <v>62</v>
      </c>
      <c r="E210" t="s">
        <v>6656</v>
      </c>
      <c r="F210" t="s">
        <v>9684</v>
      </c>
      <c r="I210" t="s">
        <v>9606</v>
      </c>
      <c r="J210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t="s">
        <v>2004</v>
      </c>
      <c r="I211" t="s">
        <v>9609</v>
      </c>
      <c r="J211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t="str">
        <f>VLOOKUP(склад2въезд[[#This Row],[Name]], СпрСобытий!$F:$G, 2, FALSE)</f>
        <v>Ангар Склад 2 въезд</v>
      </c>
    </row>
    <row r="212" spans="1:14" x14ac:dyDescent="0.25">
      <c r="A212" s="2" t="s">
        <v>13</v>
      </c>
      <c r="B212" s="4">
        <v>46041</v>
      </c>
      <c r="C212" s="5">
        <v>0.6675578703703704</v>
      </c>
      <c r="D212" t="s">
        <v>2004</v>
      </c>
      <c r="I212" t="s">
        <v>9708</v>
      </c>
      <c r="J212" t="s">
        <v>2981</v>
      </c>
      <c r="K212" t="s">
        <v>9709</v>
      </c>
      <c r="L212" t="s">
        <v>9710</v>
      </c>
      <c r="M212" s="3" t="str">
        <f>HYPERLINK(склад2въезд[[#This Row],[RelativePath]])</f>
        <v>1 Ангар Склад 2 въезд\E33149364_6_20260119T160117Z.jpg</v>
      </c>
      <c r="N212" t="str">
        <f>VLOOKUP(склад2въезд[[#This Row],[Name]], СпрСобытий!$F:$G, 2, FALSE)</f>
        <v>Ангар Склад 2 въезд</v>
      </c>
    </row>
    <row r="213" spans="1:14" x14ac:dyDescent="0.25">
      <c r="A213" s="2" t="s">
        <v>14</v>
      </c>
      <c r="B213" s="4">
        <v>46042</v>
      </c>
      <c r="C213" s="5">
        <v>0.70180555555555557</v>
      </c>
      <c r="D213" t="s">
        <v>2004</v>
      </c>
      <c r="I213" t="s">
        <v>9711</v>
      </c>
      <c r="J213" t="s">
        <v>2981</v>
      </c>
      <c r="K213" t="s">
        <v>9712</v>
      </c>
      <c r="L213" t="s">
        <v>9713</v>
      </c>
      <c r="M213" s="3" t="str">
        <f>HYPERLINK(склад2въезд[[#This Row],[RelativePath]])</f>
        <v>1 Ангар Склад 2 въезд\E33149364_6_20260120T165036Z.jpg</v>
      </c>
      <c r="N213" t="str">
        <f>VLOOKUP(склад2въезд[[#This Row],[Name]], СпрСобытий!$F:$G, 2, FALSE)</f>
        <v>Ангар Склад 2 въезд</v>
      </c>
    </row>
    <row r="214" spans="1:14" x14ac:dyDescent="0.25">
      <c r="A214" s="2" t="s">
        <v>15</v>
      </c>
      <c r="B214" s="4">
        <v>46043</v>
      </c>
      <c r="C214" s="5">
        <v>0.70232638888888888</v>
      </c>
      <c r="D214" t="s">
        <v>2004</v>
      </c>
      <c r="I214" t="s">
        <v>9927</v>
      </c>
      <c r="J214" t="s">
        <v>2981</v>
      </c>
      <c r="K214" t="s">
        <v>9928</v>
      </c>
      <c r="L214" t="s">
        <v>9929</v>
      </c>
      <c r="M214" s="3" t="str">
        <f>HYPERLINK(склад2въезд[[#This Row],[RelativePath]])</f>
        <v>1 Ангар Склад 2 въезд\E33149364_6_20260121T165121Z.jpg</v>
      </c>
      <c r="N214" t="str">
        <f>VLOOKUP(склад2въезд[[#This Row],[Name]], СпрСобытий!$F:$G, 2, FALSE)</f>
        <v>Ангар Склад 2 въезд</v>
      </c>
    </row>
    <row r="215" spans="1:14" x14ac:dyDescent="0.25">
      <c r="A215" s="2" t="s">
        <v>16</v>
      </c>
      <c r="B215" s="4">
        <v>46044</v>
      </c>
      <c r="C215" s="5">
        <v>0.50423611111111111</v>
      </c>
      <c r="D215" t="s">
        <v>91</v>
      </c>
      <c r="E215" t="s">
        <v>4193</v>
      </c>
      <c r="F215" t="s">
        <v>5076</v>
      </c>
      <c r="I215" t="s">
        <v>9930</v>
      </c>
      <c r="J215" t="s">
        <v>2981</v>
      </c>
      <c r="K215" t="s">
        <v>9931</v>
      </c>
      <c r="L215" t="s">
        <v>9932</v>
      </c>
      <c r="M215" s="3" t="str">
        <f>HYPERLINK(склад2въезд[[#This Row],[RelativePath]])</f>
        <v>1 Ангар Склад 2 въезд\E33149364_6_20260122T120606Z.jpg</v>
      </c>
      <c r="N215" t="str">
        <f>VLOOKUP(склад2въезд[[#This Row],[Name]], СпрСобытий!$F:$G, 2, FALSE)</f>
        <v>Ангар Склад 2 въезд</v>
      </c>
    </row>
    <row r="216" spans="1:14" x14ac:dyDescent="0.25">
      <c r="A216" s="2" t="s">
        <v>16</v>
      </c>
      <c r="B216" s="4">
        <v>46044</v>
      </c>
      <c r="C216" s="5">
        <v>0.6736805555555555</v>
      </c>
      <c r="D216" t="s">
        <v>62</v>
      </c>
      <c r="E216" t="s">
        <v>4193</v>
      </c>
      <c r="F216" t="s">
        <v>5076</v>
      </c>
      <c r="I216" t="s">
        <v>9933</v>
      </c>
      <c r="J216" t="s">
        <v>2981</v>
      </c>
      <c r="K216" t="s">
        <v>9934</v>
      </c>
      <c r="L216" t="s">
        <v>9935</v>
      </c>
      <c r="M216" s="3" t="str">
        <f>HYPERLINK(склад2въезд[[#This Row],[RelativePath]])</f>
        <v>1 Ангар Склад 2 въезд\E33149364_6_20260122T161006Z.jpg</v>
      </c>
      <c r="N216" t="str">
        <f>VLOOKUP(склад2въезд[[#This Row],[Name]], СпрСобытий!$F:$G, 2, FALSE)</f>
        <v>Ангар Склад 2 въезд</v>
      </c>
    </row>
    <row r="217" spans="1:14" x14ac:dyDescent="0.25">
      <c r="A217" s="2" t="s">
        <v>16</v>
      </c>
      <c r="B217" s="4">
        <v>46044</v>
      </c>
      <c r="C217" s="5">
        <v>0.93010416666666662</v>
      </c>
      <c r="D217" t="s">
        <v>91</v>
      </c>
      <c r="E217" t="s">
        <v>10164</v>
      </c>
      <c r="F217" t="s">
        <v>60</v>
      </c>
      <c r="I217" t="s">
        <v>10158</v>
      </c>
      <c r="J217" t="s">
        <v>2981</v>
      </c>
      <c r="K217" t="s">
        <v>10159</v>
      </c>
      <c r="L217" t="s">
        <v>10160</v>
      </c>
      <c r="M217" s="3" t="str">
        <f>HYPERLINK(склад2въезд[[#This Row],[RelativePath]])</f>
        <v>1 Ангар Склад 2 въезд\E33149364_6_20260122T221921Z.jpg</v>
      </c>
      <c r="N217" t="str">
        <f>VLOOKUP(склад2въезд[[#This Row],[Name]], СпрСобытий!$F:$G, 2, FALSE)</f>
        <v>Ангар Склад 2 въезд</v>
      </c>
    </row>
    <row r="218" spans="1:14" x14ac:dyDescent="0.25">
      <c r="A218" s="2" t="s">
        <v>17</v>
      </c>
      <c r="B218" s="4">
        <v>46045</v>
      </c>
      <c r="C218" s="5">
        <v>1.7141203703703704E-2</v>
      </c>
      <c r="D218" t="s">
        <v>62</v>
      </c>
      <c r="E218" t="s">
        <v>10164</v>
      </c>
      <c r="F218" t="s">
        <v>51</v>
      </c>
      <c r="I218" t="s">
        <v>10161</v>
      </c>
      <c r="J218" t="s">
        <v>2981</v>
      </c>
      <c r="K218" t="s">
        <v>10162</v>
      </c>
      <c r="L218" t="s">
        <v>10163</v>
      </c>
      <c r="M218" s="3" t="str">
        <f>HYPERLINK(склад2въезд[[#This Row],[RelativePath]])</f>
        <v>1 Ангар Склад 2 въезд\E33149364_6_20260123T002441Z.jpg</v>
      </c>
      <c r="N218" t="str">
        <f>VLOOKUP(склад2въезд[[#This Row],[Name]], СпрСобытий!$F:$G, 2, FALSE)</f>
        <v>Ангар Склад 2 въезд</v>
      </c>
    </row>
    <row r="219" spans="1:14" x14ac:dyDescent="0.25">
      <c r="A219" s="2" t="s">
        <v>17</v>
      </c>
      <c r="B219" s="4">
        <v>46045</v>
      </c>
      <c r="C219" s="5">
        <v>4.701388888888889E-2</v>
      </c>
      <c r="D219" t="s">
        <v>91</v>
      </c>
      <c r="E219" t="s">
        <v>10165</v>
      </c>
      <c r="F219" t="s">
        <v>60</v>
      </c>
      <c r="I219" t="s">
        <v>10143</v>
      </c>
      <c r="J219" t="s">
        <v>2981</v>
      </c>
      <c r="K219" t="s">
        <v>10144</v>
      </c>
      <c r="L219" t="s">
        <v>10145</v>
      </c>
      <c r="M219" s="3" t="str">
        <f>HYPERLINK(склад2въезд[[#This Row],[RelativePath]])</f>
        <v>1 Ангар Склад 2 въезд\E33149364_6_20260123T010742Z.jpg</v>
      </c>
      <c r="N219" t="str">
        <f>VLOOKUP(склад2въезд[[#This Row],[Name]], СпрСобытий!$F:$G, 2, FALSE)</f>
        <v>Ангар Склад 2 въезд</v>
      </c>
    </row>
    <row r="220" spans="1:14" x14ac:dyDescent="0.25">
      <c r="A220" s="2" t="s">
        <v>17</v>
      </c>
      <c r="B220" s="4">
        <v>46045</v>
      </c>
      <c r="C220" s="5">
        <v>0.44885416666666667</v>
      </c>
      <c r="D220" t="s">
        <v>91</v>
      </c>
      <c r="E220" t="s">
        <v>10166</v>
      </c>
      <c r="I220" t="s">
        <v>10146</v>
      </c>
      <c r="J220" t="s">
        <v>2981</v>
      </c>
      <c r="K220" t="s">
        <v>10147</v>
      </c>
      <c r="L220" t="s">
        <v>10148</v>
      </c>
      <c r="M220" s="3" t="str">
        <f>HYPERLINK(склад2въезд[[#This Row],[RelativePath]])</f>
        <v>1 Ангар Склад 2 въезд\E33149364_6_20260123T104621Z.jpg</v>
      </c>
      <c r="N220" t="str">
        <f>VLOOKUP(склад2въезд[[#This Row],[Name]], СпрСобытий!$F:$G, 2, FALSE)</f>
        <v>Ангар Склад 2 въезд</v>
      </c>
    </row>
    <row r="221" spans="1:14" x14ac:dyDescent="0.25">
      <c r="A221" s="2" t="s">
        <v>17</v>
      </c>
      <c r="B221" s="4">
        <v>46045</v>
      </c>
      <c r="C221" s="5">
        <v>0.45699074074074075</v>
      </c>
      <c r="D221" t="s">
        <v>62</v>
      </c>
      <c r="E221" t="s">
        <v>10165</v>
      </c>
      <c r="F221" t="s">
        <v>10167</v>
      </c>
      <c r="G221">
        <v>1</v>
      </c>
      <c r="I221" t="s">
        <v>10149</v>
      </c>
      <c r="J221" t="s">
        <v>2981</v>
      </c>
      <c r="K221" t="s">
        <v>10150</v>
      </c>
      <c r="L221" t="s">
        <v>10151</v>
      </c>
      <c r="M221" s="3" t="str">
        <f>HYPERLINK(склад2въезд[[#This Row],[RelativePath]])</f>
        <v>1 Ангар Склад 2 въезд\E33149364_6_20260123T105804Z.jpg</v>
      </c>
      <c r="N221" t="str">
        <f>VLOOKUP(склад2въезд[[#This Row],[Name]], СпрСобытий!$F:$G, 2, FALSE)</f>
        <v>Ангар Склад 2 въезд</v>
      </c>
    </row>
    <row r="222" spans="1:14" x14ac:dyDescent="0.25">
      <c r="A222" s="2" t="s">
        <v>17</v>
      </c>
      <c r="B222" s="4">
        <v>46045</v>
      </c>
      <c r="C222" s="5">
        <v>0.51879629629629631</v>
      </c>
      <c r="D222" t="s">
        <v>62</v>
      </c>
      <c r="E222" t="s">
        <v>10166</v>
      </c>
      <c r="I222" t="s">
        <v>10152</v>
      </c>
      <c r="J222" t="s">
        <v>2981</v>
      </c>
      <c r="K222" t="s">
        <v>10153</v>
      </c>
      <c r="L222" t="s">
        <v>10154</v>
      </c>
      <c r="M222" s="3" t="str">
        <f>HYPERLINK(склад2въезд[[#This Row],[RelativePath]])</f>
        <v>1 Ангар Склад 2 въезд\E33149364_6_20260123T122704Z.jpg</v>
      </c>
      <c r="N222" t="str">
        <f>VLOOKUP(склад2въезд[[#This Row],[Name]], СпрСобытий!$F:$G, 2, FALSE)</f>
        <v>Ангар Склад 2 въезд</v>
      </c>
    </row>
    <row r="223" spans="1:14" x14ac:dyDescent="0.25">
      <c r="A223" s="2" t="s">
        <v>17</v>
      </c>
      <c r="B223" s="4">
        <v>46045</v>
      </c>
      <c r="C223" s="5">
        <v>0.59809027777777779</v>
      </c>
      <c r="D223" t="s">
        <v>62</v>
      </c>
      <c r="E223" t="s">
        <v>9520</v>
      </c>
      <c r="F223" t="s">
        <v>58</v>
      </c>
      <c r="H223" s="7" t="s">
        <v>9336</v>
      </c>
      <c r="I223" t="s">
        <v>10155</v>
      </c>
      <c r="J223" t="s">
        <v>2981</v>
      </c>
      <c r="K223" t="s">
        <v>10156</v>
      </c>
      <c r="L223" t="s">
        <v>10157</v>
      </c>
      <c r="M223" s="3" t="str">
        <f>HYPERLINK(склад2въезд[[#This Row],[RelativePath]])</f>
        <v>1 Ангар Склад 2 въезд\E33149364_6_20260123T142115Z.jpg</v>
      </c>
      <c r="N223" t="str">
        <f>VLOOKUP(склад2въезд[[#This Row],[Name]], СпрСобытий!$F:$G, 2, FALSE)</f>
        <v>Ангар Склад 2 въезд</v>
      </c>
    </row>
    <row r="224" spans="1:14" x14ac:dyDescent="0.25">
      <c r="A224" s="2" t="s">
        <v>18</v>
      </c>
      <c r="B224" s="4">
        <v>46046</v>
      </c>
      <c r="C224" s="5">
        <v>0.68843750000000004</v>
      </c>
      <c r="D224" t="s">
        <v>2004</v>
      </c>
      <c r="I224" t="s">
        <v>10452</v>
      </c>
      <c r="J224" t="s">
        <v>2981</v>
      </c>
      <c r="K224" t="s">
        <v>10453</v>
      </c>
      <c r="L224" t="s">
        <v>10454</v>
      </c>
      <c r="M224" s="3" t="str">
        <f>HYPERLINK(склад2въезд[[#This Row],[RelativePath]])</f>
        <v>1 Ангар Склад 2 въезд\E33149364_6_20260124T163121Z.jpg</v>
      </c>
      <c r="N224" t="str">
        <f>VLOOKUP(склад2въезд[[#This Row],[Name]], СпрСобытий!$F:$G, 2, FALSE)</f>
        <v>Ангар Склад 2 въезд</v>
      </c>
    </row>
    <row r="225" spans="1:14" x14ac:dyDescent="0.25">
      <c r="A225" s="2" t="s">
        <v>22</v>
      </c>
      <c r="B225" s="4">
        <v>46047</v>
      </c>
      <c r="C225" s="5">
        <v>0.68413194444444447</v>
      </c>
      <c r="D225" t="s">
        <v>2004</v>
      </c>
      <c r="I225" t="s">
        <v>10455</v>
      </c>
      <c r="J225" t="s">
        <v>2981</v>
      </c>
      <c r="K225" t="s">
        <v>10456</v>
      </c>
      <c r="L225" t="s">
        <v>10457</v>
      </c>
      <c r="M225" s="3" t="str">
        <f>HYPERLINK(склад2въезд[[#This Row],[RelativePath]])</f>
        <v>1 Ангар Склад 2 въезд\E33149364_6_20260125T162509Z.jpg</v>
      </c>
      <c r="N225" t="str">
        <f>VLOOKUP(склад2въезд[[#This Row],[Name]], СпрСобытий!$F:$G, 2, FALSE)</f>
        <v>Ангар Склад 2 въезд</v>
      </c>
    </row>
    <row r="226" spans="1:14" x14ac:dyDescent="0.25">
      <c r="A226" s="2" t="s">
        <v>13</v>
      </c>
      <c r="B226" s="4">
        <v>46048</v>
      </c>
      <c r="C226" s="5">
        <v>0.69730324074074079</v>
      </c>
      <c r="D226" t="s">
        <v>2004</v>
      </c>
      <c r="I226" t="s">
        <v>10534</v>
      </c>
      <c r="J226" t="s">
        <v>2981</v>
      </c>
      <c r="K226" t="s">
        <v>10535</v>
      </c>
      <c r="L226" t="s">
        <v>10536</v>
      </c>
      <c r="M226" s="3" t="str">
        <f>HYPERLINK(склад2въезд[[#This Row],[RelativePath]])</f>
        <v>1 Ангар Склад 2 въезд\E33149364_6_20260126T164407Z.jpg</v>
      </c>
      <c r="N226" t="str">
        <f>VLOOKUP(склад2въезд[[#This Row],[Name]], СпрСобытий!$F:$G, 2, FALSE)</f>
        <v>Ангар Склад 2 въезд</v>
      </c>
    </row>
    <row r="227" spans="1:14" x14ac:dyDescent="0.25">
      <c r="A227" s="2" t="s">
        <v>14</v>
      </c>
      <c r="B227" s="4">
        <v>46049</v>
      </c>
      <c r="C227" s="5">
        <v>0.72952546296296295</v>
      </c>
      <c r="D227" t="s">
        <v>2004</v>
      </c>
      <c r="I227" t="s">
        <v>10537</v>
      </c>
      <c r="J227" t="s">
        <v>2981</v>
      </c>
      <c r="K227" t="s">
        <v>10538</v>
      </c>
      <c r="L227" t="s">
        <v>10539</v>
      </c>
      <c r="M227" s="3" t="str">
        <f>HYPERLINK(склад2въезд[[#This Row],[RelativePath]])</f>
        <v>1 Ангар Склад 2 въезд\E33149364_6_20260127T173031Z.jpg</v>
      </c>
      <c r="N227" t="str">
        <f>VLOOKUP(склад2въезд[[#This Row],[Name]], СпрСобытий!$F:$G, 2, FALSE)</f>
        <v>Ангар Склад 2 въезд</v>
      </c>
    </row>
    <row r="228" spans="1:14" x14ac:dyDescent="0.25">
      <c r="A228" s="2" t="s">
        <v>15</v>
      </c>
      <c r="B228" s="4">
        <v>46050</v>
      </c>
      <c r="C228" s="5">
        <v>0.71953703703703709</v>
      </c>
      <c r="D228" t="s">
        <v>2004</v>
      </c>
      <c r="I228" t="s">
        <v>10716</v>
      </c>
      <c r="J228" t="s">
        <v>2981</v>
      </c>
      <c r="K228" t="s">
        <v>10717</v>
      </c>
      <c r="L228" t="s">
        <v>10718</v>
      </c>
      <c r="M228" s="3" t="str">
        <f>HYPERLINK(склад2въезд[[#This Row],[RelativePath]])</f>
        <v>1 Ангар Склад 2 въезд\E33149364_6_20260128T171608Z.jpg</v>
      </c>
      <c r="N228" t="str">
        <f>VLOOKUP(склад2въезд[[#This Row],[Name]], СпрСобытий!$F:$G, 2, FALSE)</f>
        <v>Ангар Склад 2 въезд</v>
      </c>
    </row>
    <row r="229" spans="1:14" x14ac:dyDescent="0.25">
      <c r="A229" s="2" t="s">
        <v>16</v>
      </c>
      <c r="B229" s="4">
        <v>46051</v>
      </c>
      <c r="C229" s="5">
        <v>0.4944560185185185</v>
      </c>
      <c r="D229" t="s">
        <v>62</v>
      </c>
      <c r="E229" t="s">
        <v>10884</v>
      </c>
      <c r="F229" t="s">
        <v>58</v>
      </c>
      <c r="G229">
        <v>4</v>
      </c>
      <c r="H229" t="s">
        <v>9336</v>
      </c>
      <c r="I229" t="s">
        <v>10719</v>
      </c>
      <c r="J229" t="s">
        <v>2981</v>
      </c>
      <c r="K229" t="s">
        <v>10720</v>
      </c>
      <c r="L229" t="s">
        <v>10721</v>
      </c>
      <c r="M229" s="3" t="str">
        <f>HYPERLINK(склад2въезд[[#This Row],[RelativePath]])</f>
        <v>1 Ангар Склад 2 въезд\E33149364_6_20260129T115201Z.jpg</v>
      </c>
      <c r="N229" t="str">
        <f>VLOOKUP(склад2въезд[[#This Row],[Name]], СпрСобытий!$F:$G, 2, FALSE)</f>
        <v>Ангар Склад 2 въезд</v>
      </c>
    </row>
    <row r="230" spans="1:14" x14ac:dyDescent="0.25">
      <c r="A230" s="2" t="s">
        <v>17</v>
      </c>
      <c r="B230" s="4">
        <v>46052</v>
      </c>
      <c r="C230" s="5">
        <v>0.36493055555555554</v>
      </c>
      <c r="D230" t="s">
        <v>91</v>
      </c>
      <c r="E230" t="s">
        <v>70</v>
      </c>
      <c r="F230" t="s">
        <v>5076</v>
      </c>
      <c r="I230" t="s">
        <v>10902</v>
      </c>
      <c r="J230" t="s">
        <v>2981</v>
      </c>
      <c r="K230" t="s">
        <v>10903</v>
      </c>
      <c r="L230" t="s">
        <v>10904</v>
      </c>
      <c r="M230" s="3" t="str">
        <f>HYPERLINK(склад2въезд[[#This Row],[RelativePath]])</f>
        <v>1 Ангар Склад 2 въезд\E33149364_6_20260130T084530Z.jpg</v>
      </c>
      <c r="N230" t="str">
        <f>VLOOKUP(склад2въезд[[#This Row],[Name]], СпрСобытий!$F:$G, 2, FALSE)</f>
        <v>Ангар Склад 2 въезд</v>
      </c>
    </row>
    <row r="231" spans="1:14" x14ac:dyDescent="0.25">
      <c r="A231" s="2" t="s">
        <v>17</v>
      </c>
      <c r="B231" s="4">
        <v>46052</v>
      </c>
      <c r="C231" s="5">
        <v>0.38869212962962962</v>
      </c>
      <c r="D231" t="s">
        <v>62</v>
      </c>
      <c r="E231" t="s">
        <v>70</v>
      </c>
      <c r="F231" t="s">
        <v>5093</v>
      </c>
      <c r="I231" t="s">
        <v>10905</v>
      </c>
      <c r="J231" t="s">
        <v>2981</v>
      </c>
      <c r="K231" t="s">
        <v>10906</v>
      </c>
      <c r="L231" t="s">
        <v>10907</v>
      </c>
      <c r="M231" s="3" t="str">
        <f>HYPERLINK(склад2въезд[[#This Row],[RelativePath]])</f>
        <v>1 Ангар Склад 2 въезд\E33149364_6_20260130T091943Z.jpg</v>
      </c>
      <c r="N231" t="str">
        <f>VLOOKUP(склад2въезд[[#This Row],[Name]], СпрСобытий!$F:$G, 2, FALSE)</f>
        <v>Ангар Склад 2 въезд</v>
      </c>
    </row>
    <row r="232" spans="1:14" x14ac:dyDescent="0.25">
      <c r="A232" s="2" t="s">
        <v>18</v>
      </c>
      <c r="B232" s="4">
        <v>46053</v>
      </c>
      <c r="C232" s="5">
        <v>0.48749999999999999</v>
      </c>
      <c r="D232" t="s">
        <v>91</v>
      </c>
      <c r="E232" t="s">
        <v>11124</v>
      </c>
      <c r="I232" t="s">
        <v>11010</v>
      </c>
      <c r="J232" t="s">
        <v>2981</v>
      </c>
      <c r="K232" t="s">
        <v>11011</v>
      </c>
      <c r="L232" t="s">
        <v>11012</v>
      </c>
      <c r="M232" s="3" t="str">
        <f>HYPERLINK(склад2въезд[[#This Row],[RelativePath]])</f>
        <v>1 Ангар Склад 2 въезд\E33149364_6_20260131T114200Z.jpg</v>
      </c>
      <c r="N232" t="str">
        <f>VLOOKUP(склад2въезд[[#This Row],[Name]], СпрСобытий!$F:$G, 2, FALSE)</f>
        <v>Ангар Склад 2 въезд</v>
      </c>
    </row>
    <row r="233" spans="1:14" x14ac:dyDescent="0.25">
      <c r="A233" s="2" t="s">
        <v>18</v>
      </c>
      <c r="B233" s="4">
        <v>46053</v>
      </c>
      <c r="C233" s="5">
        <v>0.5067476851851852</v>
      </c>
      <c r="D233" t="s">
        <v>62</v>
      </c>
      <c r="E233" t="s">
        <v>11124</v>
      </c>
      <c r="F233" t="s">
        <v>53</v>
      </c>
      <c r="G233">
        <v>11</v>
      </c>
      <c r="I233" t="s">
        <v>11013</v>
      </c>
      <c r="J233" t="s">
        <v>2981</v>
      </c>
      <c r="K233" t="s">
        <v>11014</v>
      </c>
      <c r="L233" t="s">
        <v>11015</v>
      </c>
      <c r="M233" s="3" t="str">
        <f>HYPERLINK(склад2въезд[[#This Row],[RelativePath]])</f>
        <v>1 Ангар Склад 2 въезд\E33149364_6_20260131T120943Z.jpg</v>
      </c>
      <c r="N233" t="str">
        <f>VLOOKUP(склад2въезд[[#This Row],[Name]], СпрСобытий!$F:$G, 2, FALSE)</f>
        <v>Ангар Склад 2 въезд</v>
      </c>
    </row>
    <row r="234" spans="1:14" x14ac:dyDescent="0.25">
      <c r="A234" s="2" t="s">
        <v>18</v>
      </c>
      <c r="B234" s="4">
        <v>46053</v>
      </c>
      <c r="C234" s="5">
        <v>0.7240509259259259</v>
      </c>
      <c r="D234" t="s">
        <v>91</v>
      </c>
      <c r="E234" t="s">
        <v>11125</v>
      </c>
      <c r="I234" t="s">
        <v>11016</v>
      </c>
      <c r="J234" t="s">
        <v>2981</v>
      </c>
      <c r="K234" t="s">
        <v>11017</v>
      </c>
      <c r="L234" t="s">
        <v>11018</v>
      </c>
      <c r="M234" s="3" t="str">
        <f>HYPERLINK(склад2въезд[[#This Row],[RelativePath]])</f>
        <v>1 Ангар Склад 2 въезд\E33149364_6_20260131T172238Z.jpg</v>
      </c>
      <c r="N234" t="str">
        <f>VLOOKUP(склад2въезд[[#This Row],[Name]], СпрСобытий!$F:$G, 2, FALSE)</f>
        <v>Ангар Склад 2 въезд</v>
      </c>
    </row>
    <row r="235" spans="1:14" x14ac:dyDescent="0.25">
      <c r="A235" s="2" t="s">
        <v>22</v>
      </c>
      <c r="B235" s="4">
        <v>46054</v>
      </c>
      <c r="C235" s="5">
        <v>0.66899305555555555</v>
      </c>
      <c r="D235" t="s">
        <v>2004</v>
      </c>
      <c r="I235" t="s">
        <v>11019</v>
      </c>
      <c r="J235" t="s">
        <v>2981</v>
      </c>
      <c r="K235" t="s">
        <v>11020</v>
      </c>
      <c r="L235" t="s">
        <v>11021</v>
      </c>
      <c r="M235" s="3" t="str">
        <f>HYPERLINK(склад2въезд[[#This Row],[RelativePath]])</f>
        <v>1 Ангар Склад 2 въезд\E33149364_6_20260201T160321Z.jpg</v>
      </c>
      <c r="N235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36:E249 D236:D246 G2:H235 D2:E235">
    <cfRule type="containsText" dxfId="746" priority="23" operator="containsText" text="Выезд с территории">
      <formula>NOT(ISERROR(SEARCH("Выезд с территории",D2)))</formula>
    </cfRule>
  </conditionalFormatting>
  <conditionalFormatting sqref="F2:F723">
    <cfRule type="notContainsText" dxfId="745" priority="21" operator="notContains" text="порожний">
      <formula>ISERROR(SEARCH("порожний",F2))</formula>
    </cfRule>
  </conditionalFormatting>
  <conditionalFormatting sqref="E2:E249">
    <cfRule type="containsText" dxfId="744" priority="12" operator="containsText" text="Газель базы">
      <formula>NOT(ISERROR(SEARCH("Газель базы",E2)))</formula>
    </cfRule>
    <cfRule type="containsText" dxfId="743" priority="13" operator="containsText" text="Погрузчик базы">
      <formula>NOT(ISERROR(SEARCH("Погрузчик базы",E2)))</formula>
    </cfRule>
  </conditionalFormatting>
  <conditionalFormatting sqref="E2:E249">
    <cfRule type="containsText" dxfId="742" priority="11" operator="containsText" text="Трактор базы">
      <formula>NOT(ISERROR(SEARCH("Трактор базы",E2)))</formula>
    </cfRule>
  </conditionalFormatting>
  <conditionalFormatting sqref="A2:C235">
    <cfRule type="expression" dxfId="741" priority="9">
      <formula>$A2="пн"</formula>
    </cfRule>
  </conditionalFormatting>
  <conditionalFormatting sqref="A2:C237">
    <cfRule type="expression" dxfId="740" priority="3">
      <formula>$A2="вс"</formula>
    </cfRule>
    <cfRule type="expression" dxfId="739" priority="4">
      <formula>$A2="сб"</formula>
    </cfRule>
    <cfRule type="expression" dxfId="738" priority="5">
      <formula>$A2="пт"</formula>
    </cfRule>
    <cfRule type="expression" dxfId="737" priority="6">
      <formula>$A2="чт"</formula>
    </cfRule>
    <cfRule type="expression" dxfId="736" priority="7">
      <formula>$A2="ср"</formula>
    </cfRule>
    <cfRule type="expression" dxfId="735" priority="8">
      <formula>$A2="вт"</formula>
    </cfRule>
  </conditionalFormatting>
  <conditionalFormatting sqref="D2:D246">
    <cfRule type="containsText" dxfId="7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6">
    <cfRule type="containsText" dxfId="7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68"/>
  <sheetViews>
    <sheetView zoomScale="90" zoomScaleNormal="90" workbookViewId="0">
      <pane ySplit="1" topLeftCell="A252" activePane="bottomLeft" state="frozen"/>
      <selection pane="bottomLeft" activeCell="I267" sqref="I267:I268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3071</v>
      </c>
      <c r="H49" t="s">
        <v>3072</v>
      </c>
      <c r="I49" t="s">
        <v>3020</v>
      </c>
      <c r="J49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3073</v>
      </c>
      <c r="E50" t="s">
        <v>86</v>
      </c>
      <c r="F50" t="s">
        <v>3071</v>
      </c>
      <c r="H50" t="s">
        <v>3074</v>
      </c>
      <c r="I50" t="s">
        <v>3023</v>
      </c>
      <c r="J50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3071</v>
      </c>
      <c r="H51" t="s">
        <v>3072</v>
      </c>
      <c r="I51" t="s">
        <v>3026</v>
      </c>
      <c r="J51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3073</v>
      </c>
      <c r="E52" t="s">
        <v>86</v>
      </c>
      <c r="F52" t="s">
        <v>3071</v>
      </c>
      <c r="H52" t="s">
        <v>3074</v>
      </c>
      <c r="I52" t="s">
        <v>3029</v>
      </c>
      <c r="J52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3075</v>
      </c>
      <c r="I53" t="s">
        <v>3032</v>
      </c>
      <c r="J53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3071</v>
      </c>
      <c r="H54" t="s">
        <v>3072</v>
      </c>
      <c r="I54" t="s">
        <v>3035</v>
      </c>
      <c r="J54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3073</v>
      </c>
      <c r="E55" t="s">
        <v>86</v>
      </c>
      <c r="F55" t="s">
        <v>3071</v>
      </c>
      <c r="H55" t="s">
        <v>3074</v>
      </c>
      <c r="I55" t="s">
        <v>3038</v>
      </c>
      <c r="J55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3071</v>
      </c>
      <c r="H56" t="s">
        <v>3072</v>
      </c>
      <c r="I56" t="s">
        <v>3041</v>
      </c>
      <c r="J56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3073</v>
      </c>
      <c r="E57" t="s">
        <v>86</v>
      </c>
      <c r="F57" t="s">
        <v>3071</v>
      </c>
      <c r="H57" t="s">
        <v>3074</v>
      </c>
      <c r="I57" t="s">
        <v>3044</v>
      </c>
      <c r="J57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3071</v>
      </c>
      <c r="H58" t="s">
        <v>3072</v>
      </c>
      <c r="I58" t="s">
        <v>3047</v>
      </c>
      <c r="J5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3073</v>
      </c>
      <c r="E59" t="s">
        <v>86</v>
      </c>
      <c r="F59" t="s">
        <v>3071</v>
      </c>
      <c r="H59" t="s">
        <v>3074</v>
      </c>
      <c r="I59" t="s">
        <v>3050</v>
      </c>
      <c r="J59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3076</v>
      </c>
      <c r="G60">
        <v>1</v>
      </c>
      <c r="I60" t="s">
        <v>3053</v>
      </c>
      <c r="J60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3073</v>
      </c>
      <c r="E61" t="s">
        <v>86</v>
      </c>
      <c r="F61" t="s">
        <v>3076</v>
      </c>
      <c r="G61">
        <v>1</v>
      </c>
      <c r="H61" t="s">
        <v>3077</v>
      </c>
      <c r="I61" t="s">
        <v>3056</v>
      </c>
      <c r="J61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3076</v>
      </c>
      <c r="G62">
        <v>1</v>
      </c>
      <c r="I62" t="s">
        <v>3059</v>
      </c>
      <c r="J62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3073</v>
      </c>
      <c r="E63" t="s">
        <v>86</v>
      </c>
      <c r="F63" t="s">
        <v>3076</v>
      </c>
      <c r="G63">
        <v>1</v>
      </c>
      <c r="H63" t="s">
        <v>3077</v>
      </c>
      <c r="I63" t="s">
        <v>3062</v>
      </c>
      <c r="J63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3075</v>
      </c>
      <c r="I64" t="s">
        <v>3065</v>
      </c>
      <c r="J64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3078</v>
      </c>
      <c r="I65" t="s">
        <v>3068</v>
      </c>
      <c r="J65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4198</v>
      </c>
      <c r="E66" t="s">
        <v>4192</v>
      </c>
      <c r="F66" t="s">
        <v>51</v>
      </c>
      <c r="I66" t="s">
        <v>3261</v>
      </c>
      <c r="J66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4199</v>
      </c>
      <c r="E67" t="s">
        <v>4200</v>
      </c>
      <c r="H67" t="s">
        <v>3075</v>
      </c>
      <c r="I67" t="s">
        <v>3264</v>
      </c>
      <c r="J67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4199</v>
      </c>
      <c r="E68" t="s">
        <v>4200</v>
      </c>
      <c r="H68" t="s">
        <v>2936</v>
      </c>
      <c r="I68" t="s">
        <v>3267</v>
      </c>
      <c r="J6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4199</v>
      </c>
      <c r="E69" t="s">
        <v>4200</v>
      </c>
      <c r="H69" t="s">
        <v>2936</v>
      </c>
      <c r="I69" t="s">
        <v>3270</v>
      </c>
      <c r="J69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4199</v>
      </c>
      <c r="E70" t="s">
        <v>4200</v>
      </c>
      <c r="H70" t="s">
        <v>2936</v>
      </c>
      <c r="I70" t="s">
        <v>3273</v>
      </c>
      <c r="J70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4199</v>
      </c>
      <c r="E71" t="s">
        <v>4200</v>
      </c>
      <c r="H71" t="s">
        <v>2936</v>
      </c>
      <c r="I71" t="s">
        <v>3276</v>
      </c>
      <c r="J71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4199</v>
      </c>
      <c r="E72" t="s">
        <v>4200</v>
      </c>
      <c r="H72" t="s">
        <v>2936</v>
      </c>
      <c r="I72" t="s">
        <v>3279</v>
      </c>
      <c r="J72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4199</v>
      </c>
      <c r="E73" t="s">
        <v>4200</v>
      </c>
      <c r="H73" t="s">
        <v>2936</v>
      </c>
      <c r="I73" t="s">
        <v>3282</v>
      </c>
      <c r="J73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4199</v>
      </c>
      <c r="E74" t="s">
        <v>4200</v>
      </c>
      <c r="H74" t="s">
        <v>2936</v>
      </c>
      <c r="I74" t="s">
        <v>3285</v>
      </c>
      <c r="J74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4199</v>
      </c>
      <c r="E75" t="s">
        <v>4200</v>
      </c>
      <c r="H75" t="s">
        <v>2936</v>
      </c>
      <c r="I75" t="s">
        <v>3288</v>
      </c>
      <c r="J75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4199</v>
      </c>
      <c r="E76" t="s">
        <v>4200</v>
      </c>
      <c r="H76" t="s">
        <v>2936</v>
      </c>
      <c r="I76" t="s">
        <v>3291</v>
      </c>
      <c r="J76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4199</v>
      </c>
      <c r="E77" t="s">
        <v>4200</v>
      </c>
      <c r="H77" t="s">
        <v>2936</v>
      </c>
      <c r="I77" t="s">
        <v>3294</v>
      </c>
      <c r="J77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3071</v>
      </c>
      <c r="H78" t="s">
        <v>3072</v>
      </c>
      <c r="I78" t="s">
        <v>3297</v>
      </c>
      <c r="J7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3073</v>
      </c>
      <c r="E79" t="s">
        <v>86</v>
      </c>
      <c r="F79" t="s">
        <v>3071</v>
      </c>
      <c r="H79" t="s">
        <v>3074</v>
      </c>
      <c r="I79" t="s">
        <v>3300</v>
      </c>
      <c r="J79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3071</v>
      </c>
      <c r="H80" t="s">
        <v>3072</v>
      </c>
      <c r="I80" t="s">
        <v>3303</v>
      </c>
      <c r="J80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3073</v>
      </c>
      <c r="E81" t="s">
        <v>86</v>
      </c>
      <c r="F81" t="s">
        <v>3071</v>
      </c>
      <c r="H81" t="s">
        <v>3074</v>
      </c>
      <c r="I81" t="s">
        <v>3306</v>
      </c>
      <c r="J81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3071</v>
      </c>
      <c r="H82" t="s">
        <v>3072</v>
      </c>
      <c r="I82" t="s">
        <v>3309</v>
      </c>
      <c r="J82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3073</v>
      </c>
      <c r="E83" t="s">
        <v>86</v>
      </c>
      <c r="F83" t="s">
        <v>3071</v>
      </c>
      <c r="H83" t="s">
        <v>3074</v>
      </c>
      <c r="I83" t="s">
        <v>3312</v>
      </c>
      <c r="J83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3071</v>
      </c>
      <c r="H84" t="s">
        <v>3072</v>
      </c>
      <c r="I84" t="s">
        <v>3315</v>
      </c>
      <c r="J84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3073</v>
      </c>
      <c r="E85" t="s">
        <v>86</v>
      </c>
      <c r="F85" t="s">
        <v>3071</v>
      </c>
      <c r="H85" t="s">
        <v>3074</v>
      </c>
      <c r="I85" t="s">
        <v>3318</v>
      </c>
      <c r="J85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4202</v>
      </c>
      <c r="E86" t="s">
        <v>4193</v>
      </c>
      <c r="F86" t="s">
        <v>51</v>
      </c>
      <c r="I86" t="s">
        <v>3321</v>
      </c>
      <c r="J86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4202</v>
      </c>
      <c r="E87" t="s">
        <v>4193</v>
      </c>
      <c r="F87" t="s">
        <v>51</v>
      </c>
      <c r="H87" t="s">
        <v>2936</v>
      </c>
      <c r="I87" t="s">
        <v>3324</v>
      </c>
      <c r="J87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4202</v>
      </c>
      <c r="E88" t="s">
        <v>4193</v>
      </c>
      <c r="F88" t="s">
        <v>51</v>
      </c>
      <c r="H88" t="s">
        <v>2936</v>
      </c>
      <c r="I88" t="s">
        <v>3327</v>
      </c>
      <c r="J8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4201</v>
      </c>
      <c r="E89" t="s">
        <v>4193</v>
      </c>
      <c r="I89" t="s">
        <v>3330</v>
      </c>
      <c r="J89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3078</v>
      </c>
      <c r="I90" t="s">
        <v>3333</v>
      </c>
      <c r="J90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4258</v>
      </c>
      <c r="J91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5078</v>
      </c>
      <c r="E92" t="s">
        <v>1607</v>
      </c>
      <c r="F92" t="s">
        <v>5079</v>
      </c>
      <c r="H92" t="s">
        <v>5080</v>
      </c>
      <c r="I92" t="s">
        <v>4299</v>
      </c>
      <c r="J92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5081</v>
      </c>
      <c r="E93" t="s">
        <v>86</v>
      </c>
      <c r="F93" t="s">
        <v>3071</v>
      </c>
      <c r="H93" t="s">
        <v>5082</v>
      </c>
      <c r="I93" t="s">
        <v>4302</v>
      </c>
      <c r="J93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4305</v>
      </c>
      <c r="J94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4308</v>
      </c>
      <c r="J95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5081</v>
      </c>
      <c r="E96" t="s">
        <v>86</v>
      </c>
      <c r="F96" t="s">
        <v>2938</v>
      </c>
      <c r="H96" t="s">
        <v>5082</v>
      </c>
      <c r="I96" t="s">
        <v>4311</v>
      </c>
      <c r="J96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5083</v>
      </c>
      <c r="H97" t="s">
        <v>5084</v>
      </c>
      <c r="I97" t="s">
        <v>4314</v>
      </c>
      <c r="J97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4318</v>
      </c>
      <c r="J9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3075</v>
      </c>
      <c r="I99" t="s">
        <v>4321</v>
      </c>
      <c r="J99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3075</v>
      </c>
      <c r="I100" t="s">
        <v>4324</v>
      </c>
      <c r="J100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3075</v>
      </c>
      <c r="I101" t="s">
        <v>4327</v>
      </c>
      <c r="J101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3075</v>
      </c>
      <c r="I102" t="s">
        <v>4330</v>
      </c>
      <c r="J102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3075</v>
      </c>
      <c r="I103" t="s">
        <v>4333</v>
      </c>
      <c r="J103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3075</v>
      </c>
      <c r="I104" t="s">
        <v>4336</v>
      </c>
      <c r="J104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3075</v>
      </c>
      <c r="I105" t="s">
        <v>4339</v>
      </c>
      <c r="J105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5085</v>
      </c>
      <c r="G106">
        <v>3</v>
      </c>
      <c r="H106" t="s">
        <v>3075</v>
      </c>
      <c r="I106" t="s">
        <v>4342</v>
      </c>
      <c r="J106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5085</v>
      </c>
      <c r="G107">
        <v>3</v>
      </c>
      <c r="H107" t="s">
        <v>3075</v>
      </c>
      <c r="I107" t="s">
        <v>4345</v>
      </c>
      <c r="J107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5085</v>
      </c>
      <c r="G108">
        <v>3</v>
      </c>
      <c r="H108" t="s">
        <v>3075</v>
      </c>
      <c r="I108" t="s">
        <v>4348</v>
      </c>
      <c r="J10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4221</v>
      </c>
      <c r="E109" t="s">
        <v>86</v>
      </c>
      <c r="F109" t="s">
        <v>4240</v>
      </c>
      <c r="H109" t="s">
        <v>4236</v>
      </c>
      <c r="I109" t="s">
        <v>4351</v>
      </c>
      <c r="J109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4221</v>
      </c>
      <c r="E110" t="s">
        <v>86</v>
      </c>
      <c r="F110" t="s">
        <v>4240</v>
      </c>
      <c r="H110" t="s">
        <v>2936</v>
      </c>
      <c r="I110" t="s">
        <v>4354</v>
      </c>
      <c r="J110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5085</v>
      </c>
      <c r="G111">
        <v>3</v>
      </c>
      <c r="H111" t="s">
        <v>3075</v>
      </c>
      <c r="I111" t="s">
        <v>4357</v>
      </c>
      <c r="J111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3075</v>
      </c>
      <c r="I112" t="s">
        <v>4360</v>
      </c>
      <c r="J112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3075</v>
      </c>
      <c r="I113" t="s">
        <v>4363</v>
      </c>
      <c r="J113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3075</v>
      </c>
      <c r="I114" t="s">
        <v>4366</v>
      </c>
      <c r="J114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3075</v>
      </c>
      <c r="I115" t="s">
        <v>4369</v>
      </c>
      <c r="J115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3075</v>
      </c>
      <c r="I116" t="s">
        <v>4372</v>
      </c>
      <c r="J116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3075</v>
      </c>
      <c r="I117" t="s">
        <v>4375</v>
      </c>
      <c r="J117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4221</v>
      </c>
      <c r="E118" t="s">
        <v>86</v>
      </c>
      <c r="F118" t="s">
        <v>2938</v>
      </c>
      <c r="H118" t="s">
        <v>4236</v>
      </c>
      <c r="I118" t="s">
        <v>4378</v>
      </c>
      <c r="J11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4221</v>
      </c>
      <c r="E119" t="s">
        <v>86</v>
      </c>
      <c r="F119" t="s">
        <v>2938</v>
      </c>
      <c r="H119" t="s">
        <v>2936</v>
      </c>
      <c r="I119" t="s">
        <v>4381</v>
      </c>
      <c r="J119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3075</v>
      </c>
      <c r="I120" t="s">
        <v>4384</v>
      </c>
      <c r="J120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3075</v>
      </c>
      <c r="I121" t="s">
        <v>4387</v>
      </c>
      <c r="J121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3075</v>
      </c>
      <c r="I122" t="s">
        <v>4390</v>
      </c>
      <c r="J122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3075</v>
      </c>
      <c r="I123" t="s">
        <v>4393</v>
      </c>
      <c r="J123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3075</v>
      </c>
      <c r="I124" t="s">
        <v>4396</v>
      </c>
      <c r="J124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4399</v>
      </c>
      <c r="J125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5196</v>
      </c>
      <c r="J126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t="s">
        <v>4</v>
      </c>
      <c r="E127" t="s">
        <v>4193</v>
      </c>
      <c r="F127" t="s">
        <v>5076</v>
      </c>
      <c r="I127" t="s">
        <v>5282</v>
      </c>
      <c r="J127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t="s">
        <v>4</v>
      </c>
      <c r="E128" t="s">
        <v>4193</v>
      </c>
      <c r="F128" t="s">
        <v>5076</v>
      </c>
      <c r="H128" t="s">
        <v>5474</v>
      </c>
      <c r="I128" t="s">
        <v>5269</v>
      </c>
      <c r="J12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t="s">
        <v>158</v>
      </c>
      <c r="E129" t="s">
        <v>86</v>
      </c>
      <c r="F129" t="s">
        <v>200</v>
      </c>
      <c r="G129">
        <v>3</v>
      </c>
      <c r="H129" t="s">
        <v>3075</v>
      </c>
      <c r="I129" t="s">
        <v>5285</v>
      </c>
      <c r="J129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t="s">
        <v>158</v>
      </c>
      <c r="E130" t="s">
        <v>86</v>
      </c>
      <c r="F130" t="s">
        <v>200</v>
      </c>
      <c r="G130">
        <v>4</v>
      </c>
      <c r="H130" t="s">
        <v>3075</v>
      </c>
      <c r="I130" t="s">
        <v>5288</v>
      </c>
      <c r="J130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t="s">
        <v>4</v>
      </c>
      <c r="E131" t="s">
        <v>5475</v>
      </c>
      <c r="F131" t="s">
        <v>5076</v>
      </c>
      <c r="H131" t="s">
        <v>5474</v>
      </c>
      <c r="I131" t="s">
        <v>5291</v>
      </c>
      <c r="J131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t="s">
        <v>4</v>
      </c>
      <c r="E132" t="s">
        <v>8</v>
      </c>
      <c r="I132" t="s">
        <v>5294</v>
      </c>
      <c r="J132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t="s">
        <v>4198</v>
      </c>
      <c r="E133" t="s">
        <v>86</v>
      </c>
      <c r="F133" t="s">
        <v>6170</v>
      </c>
      <c r="I133" t="s">
        <v>5506</v>
      </c>
      <c r="J133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t="s">
        <v>1606</v>
      </c>
      <c r="E134" t="s">
        <v>4193</v>
      </c>
      <c r="F134" t="s">
        <v>5076</v>
      </c>
      <c r="I134" t="s">
        <v>5509</v>
      </c>
      <c r="J134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t="s">
        <v>6171</v>
      </c>
      <c r="E135" t="s">
        <v>4193</v>
      </c>
      <c r="F135" t="s">
        <v>5076</v>
      </c>
      <c r="H135" t="s">
        <v>5474</v>
      </c>
      <c r="I135" t="s">
        <v>5512</v>
      </c>
      <c r="J135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t="s">
        <v>1606</v>
      </c>
      <c r="E136" t="s">
        <v>4193</v>
      </c>
      <c r="F136" t="s">
        <v>5076</v>
      </c>
      <c r="I136" t="s">
        <v>5515</v>
      </c>
      <c r="J136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t="s">
        <v>6171</v>
      </c>
      <c r="E137" t="s">
        <v>4193</v>
      </c>
      <c r="F137" t="s">
        <v>5076</v>
      </c>
      <c r="H137" t="s">
        <v>5474</v>
      </c>
      <c r="I137" t="s">
        <v>5518</v>
      </c>
      <c r="J137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t="s">
        <v>4198</v>
      </c>
      <c r="E138" t="s">
        <v>86</v>
      </c>
      <c r="F138" t="s">
        <v>2944</v>
      </c>
      <c r="I138" t="s">
        <v>5521</v>
      </c>
      <c r="J13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t="s">
        <v>4198</v>
      </c>
      <c r="E139" t="s">
        <v>86</v>
      </c>
      <c r="F139" t="s">
        <v>2944</v>
      </c>
      <c r="H139" t="s">
        <v>2936</v>
      </c>
      <c r="I139" t="s">
        <v>5524</v>
      </c>
      <c r="J139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t="s">
        <v>4198</v>
      </c>
      <c r="E140" t="s">
        <v>86</v>
      </c>
      <c r="F140" t="s">
        <v>528</v>
      </c>
      <c r="I140" t="s">
        <v>5527</v>
      </c>
      <c r="J140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t="s">
        <v>4198</v>
      </c>
      <c r="E141" t="s">
        <v>86</v>
      </c>
      <c r="F141" t="s">
        <v>528</v>
      </c>
      <c r="H141" t="s">
        <v>2936</v>
      </c>
      <c r="I141" t="s">
        <v>5530</v>
      </c>
      <c r="J141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t="s">
        <v>1606</v>
      </c>
      <c r="E142" t="s">
        <v>4193</v>
      </c>
      <c r="F142" t="s">
        <v>5076</v>
      </c>
      <c r="I142" t="s">
        <v>5533</v>
      </c>
      <c r="J142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t="s">
        <v>6171</v>
      </c>
      <c r="E143" t="s">
        <v>4193</v>
      </c>
      <c r="F143" t="s">
        <v>5076</v>
      </c>
      <c r="H143" t="s">
        <v>5474</v>
      </c>
      <c r="I143" t="s">
        <v>5536</v>
      </c>
      <c r="J143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t="s">
        <v>4</v>
      </c>
      <c r="E144" t="s">
        <v>8</v>
      </c>
      <c r="I144" t="s">
        <v>5801</v>
      </c>
      <c r="J144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t="s">
        <v>4198</v>
      </c>
      <c r="E145" t="s">
        <v>86</v>
      </c>
      <c r="F145" t="s">
        <v>6172</v>
      </c>
      <c r="I145" t="s">
        <v>5804</v>
      </c>
      <c r="J145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t="s">
        <v>158</v>
      </c>
      <c r="E146" t="s">
        <v>86</v>
      </c>
      <c r="F146" t="s">
        <v>200</v>
      </c>
      <c r="G146">
        <v>3</v>
      </c>
      <c r="H146" t="s">
        <v>3075</v>
      </c>
      <c r="I146" t="s">
        <v>5807</v>
      </c>
      <c r="J146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t="s">
        <v>158</v>
      </c>
      <c r="E147" t="s">
        <v>86</v>
      </c>
      <c r="F147" t="s">
        <v>200</v>
      </c>
      <c r="G147">
        <v>4</v>
      </c>
      <c r="H147" t="s">
        <v>3075</v>
      </c>
      <c r="I147" t="s">
        <v>5810</v>
      </c>
      <c r="J147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t="s">
        <v>158</v>
      </c>
      <c r="E148" t="s">
        <v>86</v>
      </c>
      <c r="F148" t="s">
        <v>60</v>
      </c>
      <c r="G148">
        <v>2</v>
      </c>
      <c r="H148" t="s">
        <v>3075</v>
      </c>
      <c r="I148" t="s">
        <v>5813</v>
      </c>
      <c r="J14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t="s">
        <v>158</v>
      </c>
      <c r="E149" t="s">
        <v>86</v>
      </c>
      <c r="F149" t="s">
        <v>200</v>
      </c>
      <c r="G149">
        <v>2</v>
      </c>
      <c r="H149" t="s">
        <v>3075</v>
      </c>
      <c r="I149" t="s">
        <v>5816</v>
      </c>
      <c r="J149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t="s">
        <v>158</v>
      </c>
      <c r="E150" t="s">
        <v>86</v>
      </c>
      <c r="F150" t="s">
        <v>60</v>
      </c>
      <c r="G150">
        <v>3</v>
      </c>
      <c r="H150" t="s">
        <v>3075</v>
      </c>
      <c r="I150" t="s">
        <v>5819</v>
      </c>
      <c r="J150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t="s">
        <v>158</v>
      </c>
      <c r="E151" t="s">
        <v>86</v>
      </c>
      <c r="F151" t="s">
        <v>60</v>
      </c>
      <c r="G151">
        <v>3</v>
      </c>
      <c r="H151" t="s">
        <v>3075</v>
      </c>
      <c r="I151" t="s">
        <v>5822</v>
      </c>
      <c r="J151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t="s">
        <v>158</v>
      </c>
      <c r="E152" t="s">
        <v>86</v>
      </c>
      <c r="F152" t="s">
        <v>200</v>
      </c>
      <c r="G152">
        <v>2</v>
      </c>
      <c r="H152" t="s">
        <v>3075</v>
      </c>
      <c r="I152" t="s">
        <v>5825</v>
      </c>
      <c r="J152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t="s">
        <v>2004</v>
      </c>
      <c r="E153" t="s">
        <v>8</v>
      </c>
      <c r="I153" t="s">
        <v>6020</v>
      </c>
      <c r="J153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t="s">
        <v>2004</v>
      </c>
      <c r="E154" t="s">
        <v>8</v>
      </c>
      <c r="I154" t="s">
        <v>6192</v>
      </c>
      <c r="J154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t="s">
        <v>289</v>
      </c>
      <c r="E155" t="s">
        <v>86</v>
      </c>
      <c r="F155" t="s">
        <v>4240</v>
      </c>
      <c r="I155" t="s">
        <v>6281</v>
      </c>
      <c r="J155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t="s">
        <v>4198</v>
      </c>
      <c r="E156" t="s">
        <v>86</v>
      </c>
      <c r="F156" t="s">
        <v>4240</v>
      </c>
      <c r="H156" t="s">
        <v>1620</v>
      </c>
      <c r="I156" t="s">
        <v>6284</v>
      </c>
      <c r="J156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t="s">
        <v>4198</v>
      </c>
      <c r="E157" t="s">
        <v>86</v>
      </c>
      <c r="F157" t="s">
        <v>6182</v>
      </c>
      <c r="H157" t="s">
        <v>6339</v>
      </c>
      <c r="I157" t="s">
        <v>6287</v>
      </c>
      <c r="J157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t="s">
        <v>1606</v>
      </c>
      <c r="E158" t="s">
        <v>4193</v>
      </c>
      <c r="F158" t="s">
        <v>5076</v>
      </c>
      <c r="I158" t="s">
        <v>6290</v>
      </c>
      <c r="J15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t="s">
        <v>6171</v>
      </c>
      <c r="E159" t="s">
        <v>4193</v>
      </c>
      <c r="F159" t="s">
        <v>5076</v>
      </c>
      <c r="H159" t="s">
        <v>5474</v>
      </c>
      <c r="I159" t="s">
        <v>6293</v>
      </c>
      <c r="J159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t="s">
        <v>650</v>
      </c>
      <c r="E160" t="s">
        <v>4193</v>
      </c>
      <c r="F160" t="s">
        <v>5076</v>
      </c>
      <c r="I160" t="s">
        <v>6297</v>
      </c>
      <c r="J160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t="s">
        <v>158</v>
      </c>
      <c r="E161" t="s">
        <v>86</v>
      </c>
      <c r="F161" t="s">
        <v>528</v>
      </c>
      <c r="G161">
        <v>1</v>
      </c>
      <c r="H161" t="s">
        <v>3075</v>
      </c>
      <c r="I161" t="s">
        <v>6300</v>
      </c>
      <c r="J161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t="s">
        <v>158</v>
      </c>
      <c r="E162" t="s">
        <v>86</v>
      </c>
      <c r="F162" t="s">
        <v>528</v>
      </c>
      <c r="G162">
        <v>1</v>
      </c>
      <c r="H162" t="s">
        <v>3075</v>
      </c>
      <c r="I162" t="s">
        <v>6303</v>
      </c>
      <c r="J162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t="s">
        <v>158</v>
      </c>
      <c r="E163" t="s">
        <v>86</v>
      </c>
      <c r="F163" t="s">
        <v>200</v>
      </c>
      <c r="G163">
        <v>1</v>
      </c>
      <c r="H163" t="s">
        <v>3075</v>
      </c>
      <c r="I163" t="s">
        <v>6306</v>
      </c>
      <c r="J163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t="s">
        <v>6171</v>
      </c>
      <c r="E164" t="s">
        <v>4193</v>
      </c>
      <c r="F164" t="s">
        <v>5076</v>
      </c>
      <c r="H164" t="s">
        <v>5474</v>
      </c>
      <c r="I164" t="s">
        <v>6551</v>
      </c>
      <c r="J164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t="s">
        <v>650</v>
      </c>
      <c r="E165" t="s">
        <v>4193</v>
      </c>
      <c r="F165" t="s">
        <v>5076</v>
      </c>
      <c r="I165" t="s">
        <v>6554</v>
      </c>
      <c r="J165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t="s">
        <v>533</v>
      </c>
      <c r="E166" t="s">
        <v>1607</v>
      </c>
      <c r="F166" t="s">
        <v>1099</v>
      </c>
      <c r="H166" t="s">
        <v>1620</v>
      </c>
      <c r="I166" t="s">
        <v>6682</v>
      </c>
      <c r="J166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t="s">
        <v>4221</v>
      </c>
      <c r="E167" t="s">
        <v>86</v>
      </c>
      <c r="F167" t="s">
        <v>2944</v>
      </c>
      <c r="H167" t="s">
        <v>1620</v>
      </c>
      <c r="I167" t="s">
        <v>6685</v>
      </c>
      <c r="J167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t="s">
        <v>4221</v>
      </c>
      <c r="E168" t="s">
        <v>86</v>
      </c>
      <c r="F168" t="s">
        <v>2944</v>
      </c>
      <c r="H168" t="s">
        <v>2936</v>
      </c>
      <c r="I168" t="s">
        <v>6688</v>
      </c>
      <c r="J16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t="s">
        <v>158</v>
      </c>
      <c r="E169" t="s">
        <v>86</v>
      </c>
      <c r="F169" t="s">
        <v>528</v>
      </c>
      <c r="G169">
        <v>1</v>
      </c>
      <c r="H169" t="s">
        <v>3075</v>
      </c>
      <c r="I169" t="s">
        <v>6691</v>
      </c>
      <c r="J169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t="s">
        <v>1606</v>
      </c>
      <c r="E170" t="s">
        <v>4193</v>
      </c>
      <c r="F170" t="s">
        <v>5076</v>
      </c>
      <c r="I170" t="s">
        <v>6694</v>
      </c>
      <c r="J170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t="s">
        <v>6171</v>
      </c>
      <c r="E171" t="s">
        <v>4193</v>
      </c>
      <c r="F171" t="s">
        <v>5076</v>
      </c>
      <c r="H171" t="s">
        <v>5474</v>
      </c>
      <c r="I171" t="s">
        <v>6697</v>
      </c>
      <c r="J171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t="s">
        <v>650</v>
      </c>
      <c r="E172" t="s">
        <v>4193</v>
      </c>
      <c r="F172" t="s">
        <v>5076</v>
      </c>
      <c r="I172" t="s">
        <v>6700</v>
      </c>
      <c r="J172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t="s">
        <v>4221</v>
      </c>
      <c r="E173" t="s">
        <v>86</v>
      </c>
      <c r="F173" t="s">
        <v>1099</v>
      </c>
      <c r="H173" t="s">
        <v>4236</v>
      </c>
      <c r="I173" t="s">
        <v>6878</v>
      </c>
      <c r="J173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t="s">
        <v>4221</v>
      </c>
      <c r="E174" t="s">
        <v>86</v>
      </c>
      <c r="F174" t="s">
        <v>1099</v>
      </c>
      <c r="H174" t="s">
        <v>4236</v>
      </c>
      <c r="I174" t="s">
        <v>6881</v>
      </c>
      <c r="J174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t="s">
        <v>4221</v>
      </c>
      <c r="E175" t="s">
        <v>86</v>
      </c>
      <c r="F175" t="s">
        <v>1099</v>
      </c>
      <c r="H175" t="s">
        <v>4236</v>
      </c>
      <c r="I175" t="s">
        <v>6884</v>
      </c>
      <c r="J175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t="s">
        <v>4221</v>
      </c>
      <c r="E176" t="s">
        <v>86</v>
      </c>
      <c r="F176" t="s">
        <v>1099</v>
      </c>
      <c r="H176" t="s">
        <v>4236</v>
      </c>
      <c r="I176" t="s">
        <v>6887</v>
      </c>
      <c r="J176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t="s">
        <v>4221</v>
      </c>
      <c r="E177" t="s">
        <v>86</v>
      </c>
      <c r="F177" t="s">
        <v>1099</v>
      </c>
      <c r="H177" t="s">
        <v>4236</v>
      </c>
      <c r="I177" t="s">
        <v>6890</v>
      </c>
      <c r="J177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t="s">
        <v>4221</v>
      </c>
      <c r="E178" t="s">
        <v>86</v>
      </c>
      <c r="F178" t="s">
        <v>1099</v>
      </c>
      <c r="H178" t="s">
        <v>4236</v>
      </c>
      <c r="I178" t="s">
        <v>6893</v>
      </c>
      <c r="J17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t="s">
        <v>2004</v>
      </c>
      <c r="E179" t="s">
        <v>8</v>
      </c>
      <c r="I179" t="s">
        <v>6896</v>
      </c>
      <c r="J179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t="s">
        <v>2004</v>
      </c>
      <c r="E180" t="s">
        <v>8</v>
      </c>
      <c r="I180" t="s">
        <v>7178</v>
      </c>
      <c r="J180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t="s">
        <v>1606</v>
      </c>
      <c r="E181" t="s">
        <v>4193</v>
      </c>
      <c r="F181" t="s">
        <v>5076</v>
      </c>
      <c r="I181" t="s">
        <v>7218</v>
      </c>
      <c r="J181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t="s">
        <v>650</v>
      </c>
      <c r="E182" t="s">
        <v>4193</v>
      </c>
      <c r="F182" t="s">
        <v>5076</v>
      </c>
      <c r="I182" t="s">
        <v>7221</v>
      </c>
      <c r="J182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t="s">
        <v>2004</v>
      </c>
      <c r="E183" t="s">
        <v>8</v>
      </c>
      <c r="I183" t="s">
        <v>7224</v>
      </c>
      <c r="J183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t="s">
        <v>2004</v>
      </c>
      <c r="E184" t="s">
        <v>8</v>
      </c>
      <c r="I184" t="s">
        <v>7439</v>
      </c>
      <c r="J184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t="s">
        <v>2004</v>
      </c>
      <c r="E185" t="s">
        <v>8</v>
      </c>
      <c r="I185" t="s">
        <v>7442</v>
      </c>
      <c r="J185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t="s">
        <v>2004</v>
      </c>
      <c r="E186" t="s">
        <v>8</v>
      </c>
      <c r="I186" t="s">
        <v>7720</v>
      </c>
      <c r="J186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t="s">
        <v>1606</v>
      </c>
      <c r="E187" t="s">
        <v>4193</v>
      </c>
      <c r="F187" t="s">
        <v>5076</v>
      </c>
      <c r="I187" t="s">
        <v>7872</v>
      </c>
      <c r="J187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t="s">
        <v>6171</v>
      </c>
      <c r="E188" t="s">
        <v>4193</v>
      </c>
      <c r="F188" t="s">
        <v>5076</v>
      </c>
      <c r="H188" t="s">
        <v>5474</v>
      </c>
      <c r="I188" t="s">
        <v>7875</v>
      </c>
      <c r="J18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t="s">
        <v>650</v>
      </c>
      <c r="E189" t="s">
        <v>4193</v>
      </c>
      <c r="F189" t="s">
        <v>5076</v>
      </c>
      <c r="I189" t="s">
        <v>7878</v>
      </c>
      <c r="J189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t="s">
        <v>8042</v>
      </c>
      <c r="E190" t="s">
        <v>6329</v>
      </c>
      <c r="F190" t="s">
        <v>5076</v>
      </c>
      <c r="I190" t="s">
        <v>7881</v>
      </c>
      <c r="J190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t="s">
        <v>1606</v>
      </c>
      <c r="E191" t="s">
        <v>4193</v>
      </c>
      <c r="F191" t="s">
        <v>5076</v>
      </c>
      <c r="I191" t="s">
        <v>7884</v>
      </c>
      <c r="J191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t="s">
        <v>650</v>
      </c>
      <c r="E192" t="s">
        <v>4193</v>
      </c>
      <c r="F192" t="s">
        <v>5076</v>
      </c>
      <c r="I192" t="s">
        <v>7887</v>
      </c>
      <c r="J192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t="s">
        <v>533</v>
      </c>
      <c r="E193" t="s">
        <v>531</v>
      </c>
      <c r="F193" t="s">
        <v>1621</v>
      </c>
      <c r="H193" t="s">
        <v>1620</v>
      </c>
      <c r="I193" t="s">
        <v>8078</v>
      </c>
      <c r="J193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t="s">
        <v>2004</v>
      </c>
      <c r="E194" t="s">
        <v>8</v>
      </c>
      <c r="I194" t="s">
        <v>8081</v>
      </c>
      <c r="J194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t="s">
        <v>2004</v>
      </c>
      <c r="E195" t="s">
        <v>8</v>
      </c>
      <c r="I195" t="s">
        <v>8084</v>
      </c>
      <c r="J195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t="s">
        <v>2004</v>
      </c>
      <c r="E196" t="s">
        <v>8</v>
      </c>
      <c r="I196" t="s">
        <v>8087</v>
      </c>
      <c r="J196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t="s">
        <v>2004</v>
      </c>
      <c r="E197" t="s">
        <v>8</v>
      </c>
      <c r="I197" t="s">
        <v>8363</v>
      </c>
      <c r="J197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t="s">
        <v>2004</v>
      </c>
      <c r="E198" t="s">
        <v>8</v>
      </c>
      <c r="I198" t="s">
        <v>8366</v>
      </c>
      <c r="J19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t="s">
        <v>2004</v>
      </c>
      <c r="E199" t="s">
        <v>8</v>
      </c>
      <c r="I199" t="s">
        <v>8369</v>
      </c>
      <c r="J199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t="s">
        <v>2004</v>
      </c>
      <c r="E200" t="s">
        <v>8</v>
      </c>
      <c r="I200" t="s">
        <v>8484</v>
      </c>
      <c r="J200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t="s">
        <v>2004</v>
      </c>
      <c r="E201" t="s">
        <v>8</v>
      </c>
      <c r="I201" t="s">
        <v>8487</v>
      </c>
      <c r="J201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t="s">
        <v>2004</v>
      </c>
      <c r="E202" t="s">
        <v>8</v>
      </c>
      <c r="I202" t="s">
        <v>8490</v>
      </c>
      <c r="J202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t="s">
        <v>2004</v>
      </c>
      <c r="E203" t="s">
        <v>8</v>
      </c>
      <c r="I203" t="s">
        <v>8493</v>
      </c>
      <c r="J203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t="s">
        <v>2004</v>
      </c>
      <c r="E204" t="s">
        <v>8</v>
      </c>
      <c r="I204" t="s">
        <v>8496</v>
      </c>
      <c r="J204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t="s">
        <v>2004</v>
      </c>
      <c r="E205" t="s">
        <v>8</v>
      </c>
      <c r="I205" t="s">
        <v>8499</v>
      </c>
      <c r="J205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t="s">
        <v>2004</v>
      </c>
      <c r="E206" t="s">
        <v>8</v>
      </c>
      <c r="I206" t="s">
        <v>8502</v>
      </c>
      <c r="J206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t="s">
        <v>4221</v>
      </c>
      <c r="E207" t="s">
        <v>86</v>
      </c>
      <c r="F207" t="s">
        <v>4240</v>
      </c>
      <c r="H207" t="s">
        <v>1620</v>
      </c>
      <c r="I207" t="s">
        <v>8828</v>
      </c>
      <c r="J207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t="s">
        <v>4221</v>
      </c>
      <c r="E208" t="s">
        <v>86</v>
      </c>
      <c r="F208" t="s">
        <v>4240</v>
      </c>
      <c r="H208" t="s">
        <v>4236</v>
      </c>
      <c r="I208" t="s">
        <v>8831</v>
      </c>
      <c r="J20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t="s">
        <v>158</v>
      </c>
      <c r="E209" t="s">
        <v>86</v>
      </c>
      <c r="F209" t="s">
        <v>60</v>
      </c>
      <c r="G209">
        <v>3</v>
      </c>
      <c r="H209" t="s">
        <v>3075</v>
      </c>
      <c r="I209" t="s">
        <v>8834</v>
      </c>
      <c r="J209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t="s">
        <v>158</v>
      </c>
      <c r="E210" t="s">
        <v>86</v>
      </c>
      <c r="F210" t="s">
        <v>60</v>
      </c>
      <c r="G210">
        <v>2</v>
      </c>
      <c r="H210" t="s">
        <v>3075</v>
      </c>
      <c r="I210" t="s">
        <v>8837</v>
      </c>
      <c r="J210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t="s">
        <v>158</v>
      </c>
      <c r="E211" t="s">
        <v>86</v>
      </c>
      <c r="F211" t="s">
        <v>60</v>
      </c>
      <c r="G211">
        <v>1</v>
      </c>
      <c r="H211" t="s">
        <v>3075</v>
      </c>
      <c r="I211" t="s">
        <v>8840</v>
      </c>
      <c r="J211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t="s">
        <v>4221</v>
      </c>
      <c r="E212" t="s">
        <v>86</v>
      </c>
      <c r="F212" t="s">
        <v>9189</v>
      </c>
      <c r="H212" t="s">
        <v>1620</v>
      </c>
      <c r="I212" t="s">
        <v>8843</v>
      </c>
      <c r="J212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t="s">
        <v>4221</v>
      </c>
      <c r="E213" t="s">
        <v>86</v>
      </c>
      <c r="F213" t="s">
        <v>9189</v>
      </c>
      <c r="H213" t="s">
        <v>2936</v>
      </c>
      <c r="I213" t="s">
        <v>8846</v>
      </c>
      <c r="J213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t="s">
        <v>158</v>
      </c>
      <c r="E214" t="s">
        <v>86</v>
      </c>
      <c r="F214" t="s">
        <v>60</v>
      </c>
      <c r="G214">
        <v>1</v>
      </c>
      <c r="H214" t="s">
        <v>3075</v>
      </c>
      <c r="I214" t="s">
        <v>8849</v>
      </c>
      <c r="J214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t="s">
        <v>1606</v>
      </c>
      <c r="E215" t="s">
        <v>4193</v>
      </c>
      <c r="I215" t="s">
        <v>9213</v>
      </c>
      <c r="J215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t="s">
        <v>9337</v>
      </c>
      <c r="E216" t="s">
        <v>4193</v>
      </c>
      <c r="I216" t="s">
        <v>9216</v>
      </c>
      <c r="J216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t="s">
        <v>9337</v>
      </c>
      <c r="E217" t="s">
        <v>4193</v>
      </c>
      <c r="H217" t="s">
        <v>9338</v>
      </c>
      <c r="I217" t="s">
        <v>9219</v>
      </c>
      <c r="J217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t="s">
        <v>9337</v>
      </c>
      <c r="E218" t="s">
        <v>4193</v>
      </c>
      <c r="F218" t="s">
        <v>9339</v>
      </c>
      <c r="H218" t="s">
        <v>9340</v>
      </c>
      <c r="I218" t="s">
        <v>9222</v>
      </c>
      <c r="J21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t="s">
        <v>650</v>
      </c>
      <c r="E219" t="s">
        <v>4193</v>
      </c>
      <c r="I219" t="s">
        <v>9225</v>
      </c>
      <c r="J219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t="s">
        <v>2004</v>
      </c>
      <c r="E220" t="s">
        <v>8</v>
      </c>
      <c r="I220" t="s">
        <v>9228</v>
      </c>
      <c r="J220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t="s">
        <v>533</v>
      </c>
      <c r="E221" t="s">
        <v>531</v>
      </c>
      <c r="F221" t="s">
        <v>2929</v>
      </c>
      <c r="I221" t="s">
        <v>9231</v>
      </c>
      <c r="J221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t="s">
        <v>533</v>
      </c>
      <c r="E222" t="s">
        <v>531</v>
      </c>
      <c r="F222" t="s">
        <v>2929</v>
      </c>
      <c r="H222" t="s">
        <v>2936</v>
      </c>
      <c r="I222" t="s">
        <v>9234</v>
      </c>
      <c r="J222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t="s">
        <v>9341</v>
      </c>
      <c r="E223" t="s">
        <v>9342</v>
      </c>
      <c r="H223" t="s">
        <v>6531</v>
      </c>
      <c r="I223" t="s">
        <v>9237</v>
      </c>
      <c r="J223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t="s">
        <v>1606</v>
      </c>
      <c r="E224" t="s">
        <v>6656</v>
      </c>
      <c r="F224" t="s">
        <v>51</v>
      </c>
      <c r="I224" t="s">
        <v>9570</v>
      </c>
      <c r="J224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t="s">
        <v>650</v>
      </c>
      <c r="E225" t="s">
        <v>6656</v>
      </c>
      <c r="F225" t="s">
        <v>4240</v>
      </c>
      <c r="I225" t="s">
        <v>9573</v>
      </c>
      <c r="J225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t="s">
        <v>1606</v>
      </c>
      <c r="E226" t="s">
        <v>6656</v>
      </c>
      <c r="F226" t="s">
        <v>51</v>
      </c>
      <c r="I226" t="s">
        <v>9576</v>
      </c>
      <c r="J226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t="s">
        <v>650</v>
      </c>
      <c r="E227" t="s">
        <v>6656</v>
      </c>
      <c r="F227" t="s">
        <v>9684</v>
      </c>
      <c r="I227" t="s">
        <v>9579</v>
      </c>
      <c r="J227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t="s">
        <v>2004</v>
      </c>
      <c r="E228" t="s">
        <v>8</v>
      </c>
      <c r="I228" t="s">
        <v>9582</v>
      </c>
      <c r="J22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  <row r="229" spans="1:13" x14ac:dyDescent="0.25">
      <c r="A229" s="2" t="s">
        <v>13</v>
      </c>
      <c r="B229" s="4">
        <v>46041</v>
      </c>
      <c r="C229" s="5">
        <v>0.76245370370370369</v>
      </c>
      <c r="D229" t="s">
        <v>2004</v>
      </c>
      <c r="E229" t="s">
        <v>8</v>
      </c>
      <c r="I229" t="s">
        <v>9714</v>
      </c>
      <c r="J229" t="s">
        <v>2989</v>
      </c>
      <c r="K229" t="s">
        <v>9715</v>
      </c>
      <c r="L229" t="s">
        <v>9716</v>
      </c>
      <c r="M229" s="3" t="str">
        <f>HYPERLINK(склад2въезд14[[#This Row],[RelativePath]])</f>
        <v>2 Пилорама поката\E33149364_7_20260119T181756Z.jpg</v>
      </c>
    </row>
    <row r="230" spans="1:13" x14ac:dyDescent="0.25">
      <c r="A230" s="2" t="s">
        <v>14</v>
      </c>
      <c r="B230" s="4">
        <v>46042</v>
      </c>
      <c r="C230" s="5">
        <v>0.72775462962962967</v>
      </c>
      <c r="D230" t="s">
        <v>2004</v>
      </c>
      <c r="E230" t="s">
        <v>8</v>
      </c>
      <c r="I230" t="s">
        <v>9717</v>
      </c>
      <c r="J230" t="s">
        <v>2989</v>
      </c>
      <c r="K230" t="s">
        <v>9718</v>
      </c>
      <c r="L230" t="s">
        <v>9719</v>
      </c>
      <c r="M230" s="3" t="str">
        <f>HYPERLINK(склад2въезд14[[#This Row],[RelativePath]])</f>
        <v>2 Пилорама поката\E33149364_7_20260120T172758Z.jpg</v>
      </c>
    </row>
    <row r="231" spans="1:13" x14ac:dyDescent="0.25">
      <c r="A231" s="2" t="s">
        <v>15</v>
      </c>
      <c r="B231" s="4">
        <v>46043</v>
      </c>
      <c r="C231" s="5">
        <v>0.56034722222222222</v>
      </c>
      <c r="D231" t="s">
        <v>1606</v>
      </c>
      <c r="E231" t="s">
        <v>10140</v>
      </c>
      <c r="H231" t="s">
        <v>5474</v>
      </c>
      <c r="I231" t="s">
        <v>9915</v>
      </c>
      <c r="J231" t="s">
        <v>2989</v>
      </c>
      <c r="K231" t="s">
        <v>9916</v>
      </c>
      <c r="L231" t="s">
        <v>9917</v>
      </c>
      <c r="M231" s="3" t="str">
        <f>HYPERLINK(склад2въезд14[[#This Row],[RelativePath]])</f>
        <v>2 Пилорама поката\E33149364_7_20260121T132654Z.jpg</v>
      </c>
    </row>
    <row r="232" spans="1:13" x14ac:dyDescent="0.25">
      <c r="A232" s="2" t="s">
        <v>15</v>
      </c>
      <c r="B232" s="4">
        <v>46043</v>
      </c>
      <c r="C232" s="5">
        <v>0.82356481481481481</v>
      </c>
      <c r="D232" t="s">
        <v>650</v>
      </c>
      <c r="E232" t="s">
        <v>10140</v>
      </c>
      <c r="I232" t="s">
        <v>9918</v>
      </c>
      <c r="J232" t="s">
        <v>2989</v>
      </c>
      <c r="K232" t="s">
        <v>9919</v>
      </c>
      <c r="L232" t="s">
        <v>9920</v>
      </c>
      <c r="M232" s="3" t="str">
        <f>HYPERLINK(склад2въезд14[[#This Row],[RelativePath]])</f>
        <v>2 Пилорама поката\E33149364_7_20260121T194556Z.jpg</v>
      </c>
    </row>
    <row r="233" spans="1:13" x14ac:dyDescent="0.25">
      <c r="A233" s="2" t="s">
        <v>16</v>
      </c>
      <c r="B233" s="4">
        <v>46044</v>
      </c>
      <c r="C233" s="5">
        <v>0.51006944444444446</v>
      </c>
      <c r="D233" t="s">
        <v>1606</v>
      </c>
      <c r="E233" t="s">
        <v>4193</v>
      </c>
      <c r="H233" t="s">
        <v>5474</v>
      </c>
      <c r="I233" t="s">
        <v>9921</v>
      </c>
      <c r="J233" t="s">
        <v>2989</v>
      </c>
      <c r="K233" t="s">
        <v>9922</v>
      </c>
      <c r="L233" t="s">
        <v>9923</v>
      </c>
      <c r="M233" s="3" t="str">
        <f>HYPERLINK(склад2въезд14[[#This Row],[RelativePath]])</f>
        <v>2 Пилорама поката\E33149364_7_20260122T121430Z.jpg</v>
      </c>
    </row>
    <row r="234" spans="1:13" x14ac:dyDescent="0.25">
      <c r="A234" s="2" t="s">
        <v>16</v>
      </c>
      <c r="B234" s="4">
        <v>46044</v>
      </c>
      <c r="C234" s="5">
        <v>0.52622685185185181</v>
      </c>
      <c r="D234" t="s">
        <v>650</v>
      </c>
      <c r="E234" t="s">
        <v>4193</v>
      </c>
      <c r="I234" t="s">
        <v>9924</v>
      </c>
      <c r="J234" t="s">
        <v>2989</v>
      </c>
      <c r="K234" t="s">
        <v>9925</v>
      </c>
      <c r="L234" t="s">
        <v>9926</v>
      </c>
      <c r="M234" s="3" t="str">
        <f>HYPERLINK(склад2въезд14[[#This Row],[RelativePath]])</f>
        <v>2 Пилорама поката\E33149364_7_20260122T123746Z.jpg</v>
      </c>
    </row>
    <row r="235" spans="1:13" x14ac:dyDescent="0.25">
      <c r="A235" s="2" t="s">
        <v>17</v>
      </c>
      <c r="B235" s="4">
        <v>46045</v>
      </c>
      <c r="C235" s="5">
        <v>0.45284722222222223</v>
      </c>
      <c r="D235" t="s">
        <v>1606</v>
      </c>
      <c r="E235" t="s">
        <v>10166</v>
      </c>
      <c r="F235" t="s">
        <v>5076</v>
      </c>
      <c r="I235" t="s">
        <v>10168</v>
      </c>
      <c r="J235" t="s">
        <v>2989</v>
      </c>
      <c r="K235" t="s">
        <v>10169</v>
      </c>
      <c r="L235" t="s">
        <v>10170</v>
      </c>
      <c r="M235" s="3" t="str">
        <f>HYPERLINK(склад2въезд14[[#This Row],[RelativePath]])</f>
        <v>2 Пилорама поката\E33149364_7_20260123T105206Z.jpg</v>
      </c>
    </row>
    <row r="236" spans="1:13" x14ac:dyDescent="0.25">
      <c r="A236" s="2" t="s">
        <v>17</v>
      </c>
      <c r="B236" s="4">
        <v>46045</v>
      </c>
      <c r="C236" s="5">
        <v>0.51587962962962963</v>
      </c>
      <c r="D236" t="s">
        <v>6171</v>
      </c>
      <c r="E236" t="s">
        <v>10166</v>
      </c>
      <c r="F236" t="s">
        <v>5076</v>
      </c>
      <c r="H236" t="s">
        <v>5474</v>
      </c>
      <c r="I236" t="s">
        <v>10171</v>
      </c>
      <c r="J236" t="s">
        <v>2989</v>
      </c>
      <c r="K236" t="s">
        <v>10172</v>
      </c>
      <c r="L236" t="s">
        <v>10173</v>
      </c>
      <c r="M236" s="3" t="str">
        <f>HYPERLINK(склад2въезд14[[#This Row],[RelativePath]])</f>
        <v>2 Пилорама поката\E33149364_7_20260123T122252Z.jpg</v>
      </c>
    </row>
    <row r="237" spans="1:13" x14ac:dyDescent="0.25">
      <c r="A237" s="2" t="s">
        <v>17</v>
      </c>
      <c r="B237" s="4">
        <v>46045</v>
      </c>
      <c r="C237" s="5">
        <v>0.51633101851851848</v>
      </c>
      <c r="D237" t="s">
        <v>650</v>
      </c>
      <c r="E237" t="s">
        <v>10166</v>
      </c>
      <c r="F237" t="s">
        <v>5076</v>
      </c>
      <c r="I237" t="s">
        <v>10174</v>
      </c>
      <c r="J237" t="s">
        <v>2989</v>
      </c>
      <c r="K237" t="s">
        <v>10175</v>
      </c>
      <c r="L237" t="s">
        <v>10176</v>
      </c>
      <c r="M237" s="3" t="str">
        <f>HYPERLINK(склад2въезд14[[#This Row],[RelativePath]])</f>
        <v>2 Пилорама поката\E33149364_7_20260123T122331Z.jpg</v>
      </c>
    </row>
    <row r="238" spans="1:13" x14ac:dyDescent="0.25">
      <c r="A238" s="2" t="s">
        <v>18</v>
      </c>
      <c r="B238" s="4">
        <v>46046</v>
      </c>
      <c r="C238" s="5">
        <v>0.36871527777777779</v>
      </c>
      <c r="D238" t="s">
        <v>2004</v>
      </c>
      <c r="E238" t="s">
        <v>8</v>
      </c>
      <c r="I238" t="s">
        <v>10446</v>
      </c>
      <c r="J238" t="s">
        <v>2989</v>
      </c>
      <c r="K238" t="s">
        <v>10447</v>
      </c>
      <c r="L238" t="s">
        <v>10448</v>
      </c>
      <c r="M238" s="3" t="str">
        <f>HYPERLINK(склад2въезд14[[#This Row],[RelativePath]])</f>
        <v>2 Пилорама поката\E33149364_7_20260124T085057Z.jpg</v>
      </c>
    </row>
    <row r="239" spans="1:13" x14ac:dyDescent="0.25">
      <c r="A239" s="2" t="s">
        <v>22</v>
      </c>
      <c r="B239" s="4">
        <v>46047</v>
      </c>
      <c r="C239" s="5">
        <v>0.77027777777777773</v>
      </c>
      <c r="D239" t="s">
        <v>2004</v>
      </c>
      <c r="E239" t="s">
        <v>8</v>
      </c>
      <c r="I239" t="s">
        <v>10449</v>
      </c>
      <c r="J239" t="s">
        <v>2989</v>
      </c>
      <c r="K239" t="s">
        <v>10450</v>
      </c>
      <c r="L239" t="s">
        <v>10451</v>
      </c>
      <c r="M239" s="3" t="str">
        <f>HYPERLINK(склад2въезд14[[#This Row],[RelativePath]])</f>
        <v>2 Пилорама поката\E33149364_7_20260125T182912Z.jpg</v>
      </c>
    </row>
    <row r="240" spans="1:13" x14ac:dyDescent="0.25">
      <c r="A240" s="2" t="s">
        <v>13</v>
      </c>
      <c r="B240" s="4">
        <v>46048</v>
      </c>
      <c r="C240" s="5">
        <v>0.77182870370370371</v>
      </c>
      <c r="D240" t="s">
        <v>2004</v>
      </c>
      <c r="E240" t="s">
        <v>8</v>
      </c>
      <c r="I240" t="s">
        <v>10528</v>
      </c>
      <c r="J240" t="s">
        <v>2989</v>
      </c>
      <c r="K240" t="s">
        <v>10529</v>
      </c>
      <c r="L240" t="s">
        <v>10530</v>
      </c>
      <c r="M240" s="3" t="str">
        <f>HYPERLINK(склад2въезд14[[#This Row],[RelativePath]])</f>
        <v>2 Пилорама поката\E33149364_7_20260126T183126Z.jpg</v>
      </c>
    </row>
    <row r="241" spans="1:13" x14ac:dyDescent="0.25">
      <c r="A241" s="2" t="s">
        <v>14</v>
      </c>
      <c r="B241" s="4">
        <v>46049</v>
      </c>
      <c r="C241" s="5">
        <v>0.61211805555555554</v>
      </c>
      <c r="D241" t="s">
        <v>2004</v>
      </c>
      <c r="E241" t="s">
        <v>8</v>
      </c>
      <c r="I241" t="s">
        <v>10531</v>
      </c>
      <c r="J241" t="s">
        <v>2989</v>
      </c>
      <c r="K241" t="s">
        <v>10532</v>
      </c>
      <c r="L241" t="s">
        <v>10533</v>
      </c>
      <c r="M241" s="3" t="str">
        <f>HYPERLINK(склад2въезд14[[#This Row],[RelativePath]])</f>
        <v>2 Пилорама поката\E33149364_7_20260127T144127Z.jpg</v>
      </c>
    </row>
    <row r="242" spans="1:13" x14ac:dyDescent="0.25">
      <c r="A242" s="2" t="s">
        <v>15</v>
      </c>
      <c r="B242" s="4">
        <v>46050</v>
      </c>
      <c r="C242" s="5">
        <v>0.61832175925925925</v>
      </c>
      <c r="D242" t="s">
        <v>158</v>
      </c>
      <c r="E242" t="s">
        <v>1607</v>
      </c>
      <c r="F242" t="s">
        <v>2929</v>
      </c>
      <c r="G242">
        <v>1</v>
      </c>
      <c r="H242" t="s">
        <v>3075</v>
      </c>
      <c r="I242" t="s">
        <v>10641</v>
      </c>
      <c r="J242" t="s">
        <v>2989</v>
      </c>
      <c r="K242" t="s">
        <v>10642</v>
      </c>
      <c r="L242" t="s">
        <v>10643</v>
      </c>
      <c r="M242" s="3" t="str">
        <f>HYPERLINK(склад2въезд14[[#This Row],[RelativePath]])</f>
        <v>2 Пилорама поката\E33149364_7_20260128T145023Z.jpg</v>
      </c>
    </row>
    <row r="243" spans="1:13" x14ac:dyDescent="0.25">
      <c r="A243" s="2" t="s">
        <v>15</v>
      </c>
      <c r="B243" s="4">
        <v>46050</v>
      </c>
      <c r="C243" s="5">
        <v>0.6216666666666667</v>
      </c>
      <c r="D243" t="s">
        <v>158</v>
      </c>
      <c r="E243" t="s">
        <v>1607</v>
      </c>
      <c r="F243" t="s">
        <v>2929</v>
      </c>
      <c r="G243">
        <v>1</v>
      </c>
      <c r="H243" t="s">
        <v>3075</v>
      </c>
      <c r="I243" t="s">
        <v>10644</v>
      </c>
      <c r="J243" t="s">
        <v>2989</v>
      </c>
      <c r="K243" t="s">
        <v>10645</v>
      </c>
      <c r="L243" t="s">
        <v>10646</v>
      </c>
      <c r="M243" s="3" t="str">
        <f>HYPERLINK(склад2въезд14[[#This Row],[RelativePath]])</f>
        <v>2 Пилорама поката\E33149364_7_20260128T145512Z.jpg</v>
      </c>
    </row>
    <row r="244" spans="1:13" x14ac:dyDescent="0.25">
      <c r="A244" s="2" t="s">
        <v>15</v>
      </c>
      <c r="B244" s="4">
        <v>46050</v>
      </c>
      <c r="C244" s="5">
        <v>0.62906249999999997</v>
      </c>
      <c r="D244" t="s">
        <v>158</v>
      </c>
      <c r="E244" t="s">
        <v>1607</v>
      </c>
      <c r="F244" t="s">
        <v>2929</v>
      </c>
      <c r="G244">
        <v>1</v>
      </c>
      <c r="H244" t="s">
        <v>3075</v>
      </c>
      <c r="I244" t="s">
        <v>10647</v>
      </c>
      <c r="J244" t="s">
        <v>2989</v>
      </c>
      <c r="K244" t="s">
        <v>10648</v>
      </c>
      <c r="L244" t="s">
        <v>10649</v>
      </c>
      <c r="M244" s="3" t="str">
        <f>HYPERLINK(склад2въезд14[[#This Row],[RelativePath]])</f>
        <v>2 Пилорама поката\E33149364_7_20260128T150551Z.jpg</v>
      </c>
    </row>
    <row r="245" spans="1:13" x14ac:dyDescent="0.25">
      <c r="A245" s="2" t="s">
        <v>15</v>
      </c>
      <c r="B245" s="4">
        <v>46050</v>
      </c>
      <c r="C245" s="5">
        <v>0.64170138888888884</v>
      </c>
      <c r="D245" t="s">
        <v>158</v>
      </c>
      <c r="E245" t="s">
        <v>1607</v>
      </c>
      <c r="F245" t="s">
        <v>2929</v>
      </c>
      <c r="G245">
        <v>1</v>
      </c>
      <c r="H245" t="s">
        <v>3075</v>
      </c>
      <c r="I245" t="s">
        <v>10650</v>
      </c>
      <c r="J245" t="s">
        <v>2989</v>
      </c>
      <c r="K245" t="s">
        <v>10651</v>
      </c>
      <c r="L245" t="s">
        <v>10652</v>
      </c>
      <c r="M245" s="3" t="str">
        <f>HYPERLINK(склад2въезд14[[#This Row],[RelativePath]])</f>
        <v>2 Пилорама поката\E33149364_7_20260128T152403Z.jpg</v>
      </c>
    </row>
    <row r="246" spans="1:13" x14ac:dyDescent="0.25">
      <c r="A246" s="2" t="s">
        <v>16</v>
      </c>
      <c r="B246" s="4">
        <v>46051</v>
      </c>
      <c r="C246" s="5">
        <v>0.47310185185185183</v>
      </c>
      <c r="D246" t="s">
        <v>289</v>
      </c>
      <c r="E246" t="s">
        <v>10884</v>
      </c>
      <c r="F246" t="s">
        <v>2929</v>
      </c>
      <c r="G246">
        <v>1</v>
      </c>
      <c r="I246" t="s">
        <v>10653</v>
      </c>
      <c r="J246" t="s">
        <v>2989</v>
      </c>
      <c r="K246" t="s">
        <v>10654</v>
      </c>
      <c r="L246" t="s">
        <v>10655</v>
      </c>
      <c r="M246" s="3" t="str">
        <f>HYPERLINK(склад2въезд14[[#This Row],[RelativePath]])</f>
        <v>2 Пилорама поката\E33149364_7_20260129T112116Z.jpg</v>
      </c>
    </row>
    <row r="247" spans="1:13" x14ac:dyDescent="0.25">
      <c r="A247" s="2" t="s">
        <v>16</v>
      </c>
      <c r="B247" s="4">
        <v>46051</v>
      </c>
      <c r="C247" s="5">
        <v>0.47327546296296297</v>
      </c>
      <c r="D247" t="s">
        <v>289</v>
      </c>
      <c r="E247" t="s">
        <v>10884</v>
      </c>
      <c r="F247" t="s">
        <v>2929</v>
      </c>
      <c r="G247">
        <v>1</v>
      </c>
      <c r="H247" t="s">
        <v>2936</v>
      </c>
      <c r="I247" t="s">
        <v>10656</v>
      </c>
      <c r="J247" t="s">
        <v>2989</v>
      </c>
      <c r="K247" t="s">
        <v>10657</v>
      </c>
      <c r="L247" t="s">
        <v>10658</v>
      </c>
      <c r="M247" s="3" t="str">
        <f>HYPERLINK(склад2въезд14[[#This Row],[RelativePath]])</f>
        <v>2 Пилорама поката\E33149364_7_20260129T112131Z.jpg</v>
      </c>
    </row>
    <row r="248" spans="1:13" x14ac:dyDescent="0.25">
      <c r="A248" s="2" t="s">
        <v>16</v>
      </c>
      <c r="B248" s="4">
        <v>46051</v>
      </c>
      <c r="C248" s="5">
        <v>0.47359953703703705</v>
      </c>
      <c r="D248" t="s">
        <v>289</v>
      </c>
      <c r="E248" t="s">
        <v>10884</v>
      </c>
      <c r="F248" t="s">
        <v>2929</v>
      </c>
      <c r="G248">
        <v>1</v>
      </c>
      <c r="H248" t="s">
        <v>2936</v>
      </c>
      <c r="I248" t="s">
        <v>10659</v>
      </c>
      <c r="J248" t="s">
        <v>2989</v>
      </c>
      <c r="K248" t="s">
        <v>10660</v>
      </c>
      <c r="L248" t="s">
        <v>10661</v>
      </c>
      <c r="M248" s="3" t="str">
        <f>HYPERLINK(склад2въезд14[[#This Row],[RelativePath]])</f>
        <v>2 Пилорама поката\E33149364_7_20260129T112159Z.jpg</v>
      </c>
    </row>
    <row r="249" spans="1:13" x14ac:dyDescent="0.25">
      <c r="A249" s="2" t="s">
        <v>16</v>
      </c>
      <c r="B249" s="4">
        <v>46051</v>
      </c>
      <c r="C249" s="5">
        <v>0.4737615740740741</v>
      </c>
      <c r="D249" t="s">
        <v>289</v>
      </c>
      <c r="E249" t="s">
        <v>10884</v>
      </c>
      <c r="F249" t="s">
        <v>2929</v>
      </c>
      <c r="G249">
        <v>1</v>
      </c>
      <c r="H249" t="s">
        <v>2936</v>
      </c>
      <c r="I249" t="s">
        <v>10662</v>
      </c>
      <c r="J249" t="s">
        <v>2989</v>
      </c>
      <c r="K249" t="s">
        <v>10663</v>
      </c>
      <c r="L249" t="s">
        <v>10664</v>
      </c>
      <c r="M249" s="3" t="str">
        <f>HYPERLINK(склад2въезд14[[#This Row],[RelativePath]])</f>
        <v>2 Пилорама поката\E33149364_7_20260129T112213Z.jpg</v>
      </c>
    </row>
    <row r="250" spans="1:13" x14ac:dyDescent="0.25">
      <c r="A250" s="2" t="s">
        <v>16</v>
      </c>
      <c r="B250" s="4">
        <v>46051</v>
      </c>
      <c r="C250" s="5">
        <v>0.47636574074074073</v>
      </c>
      <c r="D250" t="s">
        <v>650</v>
      </c>
      <c r="E250" t="s">
        <v>10884</v>
      </c>
      <c r="F250" t="s">
        <v>58</v>
      </c>
      <c r="H250" t="s">
        <v>9336</v>
      </c>
      <c r="I250" t="s">
        <v>10665</v>
      </c>
      <c r="J250" t="s">
        <v>2989</v>
      </c>
      <c r="K250" t="s">
        <v>10666</v>
      </c>
      <c r="L250" t="s">
        <v>10667</v>
      </c>
      <c r="M250" s="3" t="str">
        <f>HYPERLINK(склад2въезд14[[#This Row],[RelativePath]])</f>
        <v>2 Пилорама поката\E33149364_7_20260129T112558Z.jpg</v>
      </c>
    </row>
    <row r="251" spans="1:13" x14ac:dyDescent="0.25">
      <c r="A251" s="2" t="s">
        <v>16</v>
      </c>
      <c r="B251" s="4">
        <v>46051</v>
      </c>
      <c r="C251" s="5">
        <v>0.53287037037037033</v>
      </c>
      <c r="D251" t="s">
        <v>158</v>
      </c>
      <c r="E251" t="s">
        <v>1607</v>
      </c>
      <c r="F251" t="s">
        <v>2929</v>
      </c>
      <c r="G251">
        <v>1</v>
      </c>
      <c r="H251" t="s">
        <v>3075</v>
      </c>
      <c r="I251" t="s">
        <v>10668</v>
      </c>
      <c r="J251" t="s">
        <v>2989</v>
      </c>
      <c r="K251" t="s">
        <v>10669</v>
      </c>
      <c r="L251" t="s">
        <v>10670</v>
      </c>
      <c r="M251" s="3" t="str">
        <f>HYPERLINK(склад2въезд14[[#This Row],[RelativePath]])</f>
        <v>2 Пилорама поката\E33149364_7_20260129T124720Z.jpg</v>
      </c>
    </row>
    <row r="252" spans="1:13" x14ac:dyDescent="0.25">
      <c r="A252" s="2" t="s">
        <v>16</v>
      </c>
      <c r="B252" s="4">
        <v>46051</v>
      </c>
      <c r="C252" s="5">
        <v>0.58918981481481481</v>
      </c>
      <c r="D252" t="s">
        <v>158</v>
      </c>
      <c r="E252" t="s">
        <v>1607</v>
      </c>
      <c r="F252" t="s">
        <v>2929</v>
      </c>
      <c r="G252">
        <v>2</v>
      </c>
      <c r="H252" t="s">
        <v>3075</v>
      </c>
      <c r="I252" t="s">
        <v>10671</v>
      </c>
      <c r="J252" t="s">
        <v>2989</v>
      </c>
      <c r="K252" t="s">
        <v>10672</v>
      </c>
      <c r="L252" t="s">
        <v>10673</v>
      </c>
      <c r="M252" s="3" t="str">
        <f>HYPERLINK(склад2въезд14[[#This Row],[RelativePath]])</f>
        <v>2 Пилорама поката\E33149364_7_20260129T140826Z.jpg</v>
      </c>
    </row>
    <row r="253" spans="1:13" x14ac:dyDescent="0.25">
      <c r="A253" s="2" t="s">
        <v>16</v>
      </c>
      <c r="B253" s="4">
        <v>46051</v>
      </c>
      <c r="C253" s="5">
        <v>0.58928240740740745</v>
      </c>
      <c r="D253" t="s">
        <v>158</v>
      </c>
      <c r="E253" t="s">
        <v>1607</v>
      </c>
      <c r="F253" t="s">
        <v>2929</v>
      </c>
      <c r="G253">
        <v>2</v>
      </c>
      <c r="H253" t="s">
        <v>3075</v>
      </c>
      <c r="I253" t="s">
        <v>10674</v>
      </c>
      <c r="J253" t="s">
        <v>2989</v>
      </c>
      <c r="K253" t="s">
        <v>10675</v>
      </c>
      <c r="L253" t="s">
        <v>10676</v>
      </c>
      <c r="M253" s="3" t="str">
        <f>HYPERLINK(склад2въезд14[[#This Row],[RelativePath]])</f>
        <v>2 Пилорама поката\E33149364_7_20260129T140834Z.jpg</v>
      </c>
    </row>
    <row r="254" spans="1:13" x14ac:dyDescent="0.25">
      <c r="A254" s="2" t="s">
        <v>16</v>
      </c>
      <c r="B254" s="4">
        <v>46051</v>
      </c>
      <c r="C254" s="5">
        <v>0.59119212962962964</v>
      </c>
      <c r="D254" t="s">
        <v>158</v>
      </c>
      <c r="E254" t="s">
        <v>1607</v>
      </c>
      <c r="F254" t="s">
        <v>2929</v>
      </c>
      <c r="G254">
        <v>2</v>
      </c>
      <c r="H254" t="s">
        <v>3075</v>
      </c>
      <c r="I254" t="s">
        <v>10677</v>
      </c>
      <c r="J254" t="s">
        <v>2989</v>
      </c>
      <c r="K254" t="s">
        <v>10678</v>
      </c>
      <c r="L254" t="s">
        <v>10679</v>
      </c>
      <c r="M254" s="3" t="str">
        <f>HYPERLINK(склад2въезд14[[#This Row],[RelativePath]])</f>
        <v>2 Пилорама поката\E33149364_7_20260129T141119Z.jpg</v>
      </c>
    </row>
    <row r="255" spans="1:13" x14ac:dyDescent="0.25">
      <c r="A255" s="2" t="s">
        <v>16</v>
      </c>
      <c r="B255" s="4">
        <v>46051</v>
      </c>
      <c r="C255" s="5">
        <v>0.6272106481481482</v>
      </c>
      <c r="D255" t="s">
        <v>533</v>
      </c>
      <c r="E255" t="s">
        <v>531</v>
      </c>
      <c r="F255" t="s">
        <v>2929</v>
      </c>
      <c r="H255" t="s">
        <v>10885</v>
      </c>
      <c r="I255" t="s">
        <v>10683</v>
      </c>
      <c r="J255" t="s">
        <v>2989</v>
      </c>
      <c r="K255" t="s">
        <v>10684</v>
      </c>
      <c r="L255" t="s">
        <v>10685</v>
      </c>
      <c r="M255" s="3" t="str">
        <f>HYPERLINK(склад2въезд14[[#This Row],[RelativePath]])</f>
        <v>2 Пилорама поката\E33149364_7_20260129T150311Z.jpg</v>
      </c>
    </row>
    <row r="256" spans="1:13" x14ac:dyDescent="0.25">
      <c r="A256" s="2" t="s">
        <v>16</v>
      </c>
      <c r="B256" s="4">
        <v>46051</v>
      </c>
      <c r="C256" s="5">
        <v>0.6338773148148148</v>
      </c>
      <c r="D256" t="s">
        <v>533</v>
      </c>
      <c r="E256" t="s">
        <v>531</v>
      </c>
      <c r="F256" t="s">
        <v>2929</v>
      </c>
      <c r="H256" t="s">
        <v>10885</v>
      </c>
      <c r="I256" t="s">
        <v>10689</v>
      </c>
      <c r="J256" t="s">
        <v>2989</v>
      </c>
      <c r="K256" t="s">
        <v>10690</v>
      </c>
      <c r="L256" t="s">
        <v>10691</v>
      </c>
      <c r="M256" s="3" t="str">
        <f>HYPERLINK(склад2въезд14[[#This Row],[RelativePath]])</f>
        <v>2 Пилорама поката\E33149364_7_20260129T151247Z.jpg</v>
      </c>
    </row>
    <row r="257" spans="1:13" x14ac:dyDescent="0.25">
      <c r="A257" s="2" t="s">
        <v>16</v>
      </c>
      <c r="B257" s="4">
        <v>46051</v>
      </c>
      <c r="C257" s="5">
        <v>0.65055555555555555</v>
      </c>
      <c r="D257" t="s">
        <v>533</v>
      </c>
      <c r="E257" t="s">
        <v>531</v>
      </c>
      <c r="F257" t="s">
        <v>2929</v>
      </c>
      <c r="H257" t="s">
        <v>10885</v>
      </c>
      <c r="I257" t="s">
        <v>10692</v>
      </c>
      <c r="J257" t="s">
        <v>2989</v>
      </c>
      <c r="K257" t="s">
        <v>10693</v>
      </c>
      <c r="L257" t="s">
        <v>10694</v>
      </c>
      <c r="M257" s="3" t="str">
        <f>HYPERLINK(склад2въезд14[[#This Row],[RelativePath]])</f>
        <v>2 Пилорама поката\E33149364_7_20260129T153648Z.jpg</v>
      </c>
    </row>
    <row r="258" spans="1:13" x14ac:dyDescent="0.25">
      <c r="A258" s="2" t="s">
        <v>16</v>
      </c>
      <c r="B258" s="4">
        <v>46051</v>
      </c>
      <c r="C258" s="5">
        <v>0.66958333333333331</v>
      </c>
      <c r="D258" t="s">
        <v>533</v>
      </c>
      <c r="E258" t="s">
        <v>531</v>
      </c>
      <c r="F258" t="s">
        <v>2929</v>
      </c>
      <c r="H258" t="s">
        <v>10885</v>
      </c>
      <c r="I258" t="s">
        <v>10698</v>
      </c>
      <c r="J258" t="s">
        <v>2989</v>
      </c>
      <c r="K258" t="s">
        <v>10699</v>
      </c>
      <c r="L258" t="s">
        <v>10700</v>
      </c>
      <c r="M258" s="3" t="str">
        <f>HYPERLINK(склад2въезд14[[#This Row],[RelativePath]])</f>
        <v>2 Пилорама поката\E33149364_7_20260129T160412Z.jpg</v>
      </c>
    </row>
    <row r="259" spans="1:13" x14ac:dyDescent="0.25">
      <c r="A259" s="2" t="s">
        <v>16</v>
      </c>
      <c r="B259" s="4">
        <v>46051</v>
      </c>
      <c r="C259" s="5">
        <v>0.69520833333333332</v>
      </c>
      <c r="D259" t="s">
        <v>533</v>
      </c>
      <c r="E259" t="s">
        <v>531</v>
      </c>
      <c r="F259" t="s">
        <v>2929</v>
      </c>
      <c r="H259" t="s">
        <v>10885</v>
      </c>
      <c r="I259" t="s">
        <v>10701</v>
      </c>
      <c r="J259" t="s">
        <v>2989</v>
      </c>
      <c r="K259" t="s">
        <v>10702</v>
      </c>
      <c r="L259" t="s">
        <v>10703</v>
      </c>
      <c r="M259" s="3" t="str">
        <f>HYPERLINK(склад2въезд14[[#This Row],[RelativePath]])</f>
        <v>2 Пилорама поката\E33149364_7_20260129T164106Z.jpg</v>
      </c>
    </row>
    <row r="260" spans="1:13" x14ac:dyDescent="0.25">
      <c r="A260" s="2" t="s">
        <v>16</v>
      </c>
      <c r="B260" s="4">
        <v>46051</v>
      </c>
      <c r="C260" s="5">
        <v>0.69732638888888887</v>
      </c>
      <c r="D260" t="s">
        <v>533</v>
      </c>
      <c r="E260" t="s">
        <v>531</v>
      </c>
      <c r="F260" t="s">
        <v>2929</v>
      </c>
      <c r="H260" t="s">
        <v>10885</v>
      </c>
      <c r="I260" t="s">
        <v>10707</v>
      </c>
      <c r="J260" t="s">
        <v>2989</v>
      </c>
      <c r="K260" t="s">
        <v>10708</v>
      </c>
      <c r="L260" t="s">
        <v>10709</v>
      </c>
      <c r="M260" s="3" t="str">
        <f>HYPERLINK(склад2въезд14[[#This Row],[RelativePath]])</f>
        <v>2 Пилорама поката\E33149364_7_20260129T164409Z.jpg</v>
      </c>
    </row>
    <row r="261" spans="1:13" x14ac:dyDescent="0.25">
      <c r="A261" s="2" t="s">
        <v>16</v>
      </c>
      <c r="B261" s="4">
        <v>46051</v>
      </c>
      <c r="C261" s="5">
        <v>0.62516203703703699</v>
      </c>
      <c r="D261" t="s">
        <v>533</v>
      </c>
      <c r="E261" t="s">
        <v>531</v>
      </c>
      <c r="F261" t="s">
        <v>2929</v>
      </c>
      <c r="H261" t="s">
        <v>10885</v>
      </c>
      <c r="I261" t="s">
        <v>10680</v>
      </c>
      <c r="J261" t="s">
        <v>2989</v>
      </c>
      <c r="K261" t="s">
        <v>10681</v>
      </c>
      <c r="L261" t="s">
        <v>10682</v>
      </c>
      <c r="M261" s="3" t="str">
        <f>HYPERLINK(склад2въезд14[[#This Row],[RelativePath]])</f>
        <v>2 Пилорама поката\E33149364_7_20260129T150014Z.jpg</v>
      </c>
    </row>
    <row r="262" spans="1:13" x14ac:dyDescent="0.25">
      <c r="A262" s="2" t="s">
        <v>16</v>
      </c>
      <c r="B262" s="4">
        <v>46051</v>
      </c>
      <c r="C262" s="5">
        <v>0.63146990740740738</v>
      </c>
      <c r="D262" t="s">
        <v>533</v>
      </c>
      <c r="E262" t="s">
        <v>531</v>
      </c>
      <c r="F262" t="s">
        <v>2929</v>
      </c>
      <c r="H262" t="s">
        <v>10885</v>
      </c>
      <c r="I262" t="s">
        <v>10686</v>
      </c>
      <c r="J262" t="s">
        <v>2989</v>
      </c>
      <c r="K262" t="s">
        <v>10687</v>
      </c>
      <c r="L262" t="s">
        <v>10688</v>
      </c>
      <c r="M262" s="3" t="str">
        <f>HYPERLINK(склад2въезд14[[#This Row],[RelativePath]])</f>
        <v>2 Пилорама поката\E33149364_7_20260129T150919Z.jpg</v>
      </c>
    </row>
    <row r="263" spans="1:13" x14ac:dyDescent="0.25">
      <c r="A263" s="2" t="s">
        <v>16</v>
      </c>
      <c r="B263" s="4">
        <v>46051</v>
      </c>
      <c r="C263" s="5">
        <v>0.66751157407407402</v>
      </c>
      <c r="D263" t="s">
        <v>533</v>
      </c>
      <c r="E263" t="s">
        <v>531</v>
      </c>
      <c r="F263" t="s">
        <v>2929</v>
      </c>
      <c r="H263" t="s">
        <v>10885</v>
      </c>
      <c r="I263" t="s">
        <v>10695</v>
      </c>
      <c r="J263" t="s">
        <v>2989</v>
      </c>
      <c r="K263" t="s">
        <v>10696</v>
      </c>
      <c r="L263" t="s">
        <v>10697</v>
      </c>
      <c r="M263" s="3" t="str">
        <f>HYPERLINK(склад2въезд14[[#This Row],[RelativePath]])</f>
        <v>2 Пилорама поката\E33149364_7_20260129T160113Z.jpg</v>
      </c>
    </row>
    <row r="264" spans="1:13" x14ac:dyDescent="0.25">
      <c r="A264" s="2" t="s">
        <v>16</v>
      </c>
      <c r="B264" s="4">
        <v>46051</v>
      </c>
      <c r="C264" s="5">
        <v>0.69696759259259256</v>
      </c>
      <c r="D264" t="s">
        <v>533</v>
      </c>
      <c r="E264" t="s">
        <v>531</v>
      </c>
      <c r="F264" t="s">
        <v>2929</v>
      </c>
      <c r="H264" t="s">
        <v>10885</v>
      </c>
      <c r="I264" t="s">
        <v>10704</v>
      </c>
      <c r="J264" t="s">
        <v>2989</v>
      </c>
      <c r="K264" t="s">
        <v>10705</v>
      </c>
      <c r="L264" t="s">
        <v>10706</v>
      </c>
      <c r="M264" s="3" t="str">
        <f>HYPERLINK(склад2въезд14[[#This Row],[RelativePath]])</f>
        <v>2 Пилорама поката\E33149364_7_20260129T164338Z.jpg</v>
      </c>
    </row>
    <row r="265" spans="1:13" x14ac:dyDescent="0.25">
      <c r="A265" s="2" t="s">
        <v>17</v>
      </c>
      <c r="B265" s="4">
        <v>46052</v>
      </c>
      <c r="C265" s="5">
        <v>0.57103009259259263</v>
      </c>
      <c r="D265" t="s">
        <v>1606</v>
      </c>
      <c r="E265" t="s">
        <v>10140</v>
      </c>
      <c r="I265" t="s">
        <v>10890</v>
      </c>
      <c r="J265" t="s">
        <v>2989</v>
      </c>
      <c r="K265" t="s">
        <v>10891</v>
      </c>
      <c r="L265" t="s">
        <v>10892</v>
      </c>
      <c r="M265" s="3" t="str">
        <f>HYPERLINK(склад2въезд14[[#This Row],[RelativePath]])</f>
        <v>2 Пилорама поката\E33149364_7_20260130T134217Z.jpg</v>
      </c>
    </row>
    <row r="266" spans="1:13" x14ac:dyDescent="0.25">
      <c r="A266" s="2" t="s">
        <v>17</v>
      </c>
      <c r="B266" s="4">
        <v>46052</v>
      </c>
      <c r="C266" s="5">
        <v>0.5745717592592593</v>
      </c>
      <c r="D266" t="s">
        <v>650</v>
      </c>
      <c r="E266" t="s">
        <v>10140</v>
      </c>
      <c r="I266" t="s">
        <v>10893</v>
      </c>
      <c r="J266" t="s">
        <v>2989</v>
      </c>
      <c r="K266" t="s">
        <v>10894</v>
      </c>
      <c r="L266" t="s">
        <v>10895</v>
      </c>
      <c r="M266" s="3" t="str">
        <f>HYPERLINK(склад2въезд14[[#This Row],[RelativePath]])</f>
        <v>2 Пилорама поката\E33149364_7_20260130T134723Z.jpg</v>
      </c>
    </row>
    <row r="267" spans="1:13" x14ac:dyDescent="0.25">
      <c r="A267" s="2" t="s">
        <v>18</v>
      </c>
      <c r="B267" s="4">
        <v>46053</v>
      </c>
      <c r="C267" s="5">
        <v>0.36234953703703704</v>
      </c>
      <c r="D267" t="s">
        <v>2004</v>
      </c>
      <c r="E267" t="s">
        <v>8</v>
      </c>
      <c r="I267" t="s">
        <v>11022</v>
      </c>
      <c r="J267" t="s">
        <v>2989</v>
      </c>
      <c r="K267" t="s">
        <v>11023</v>
      </c>
      <c r="L267" t="s">
        <v>11024</v>
      </c>
      <c r="M267" s="3" t="str">
        <f>HYPERLINK(склад2въезд14[[#This Row],[RelativePath]])</f>
        <v>2 Пилорама поката\E33149364_7_20260131T084147Z.jpg</v>
      </c>
    </row>
    <row r="268" spans="1:13" x14ac:dyDescent="0.25">
      <c r="A268" s="2" t="s">
        <v>22</v>
      </c>
      <c r="B268" s="4">
        <v>46054</v>
      </c>
      <c r="C268" s="5">
        <v>0.72409722222222217</v>
      </c>
      <c r="D268" t="s">
        <v>2004</v>
      </c>
      <c r="E268" t="s">
        <v>8</v>
      </c>
      <c r="I268" t="s">
        <v>11025</v>
      </c>
      <c r="J268" t="s">
        <v>2989</v>
      </c>
      <c r="K268" t="s">
        <v>11026</v>
      </c>
      <c r="L268" t="s">
        <v>11027</v>
      </c>
      <c r="M268" s="3" t="str">
        <f>HYPERLINK(склад2въезд14[[#This Row],[RelativePath]])</f>
        <v>2 Пилорама поката\E33149364_7_20260201T172242Z.jpg</v>
      </c>
    </row>
  </sheetData>
  <conditionalFormatting sqref="D269:D279 E269:E282 G2:H268 D2:E268">
    <cfRule type="containsText" dxfId="732" priority="14" operator="containsText" text="Выезд с территории">
      <formula>NOT(ISERROR(SEARCH("Выезд с территории",D2)))</formula>
    </cfRule>
  </conditionalFormatting>
  <conditionalFormatting sqref="F2:F268">
    <cfRule type="notContainsText" dxfId="731" priority="13" operator="notContains" text="порожний">
      <formula>ISERROR(SEARCH("порожний",F2))</formula>
    </cfRule>
  </conditionalFormatting>
  <conditionalFormatting sqref="E2:E282">
    <cfRule type="containsText" dxfId="730" priority="11" operator="containsText" text="Газель базы">
      <formula>NOT(ISERROR(SEARCH("Газель базы",E2)))</formula>
    </cfRule>
    <cfRule type="containsText" dxfId="729" priority="12" operator="containsText" text="Погрузчик базы">
      <formula>NOT(ISERROR(SEARCH("Погрузчик базы",E2)))</formula>
    </cfRule>
  </conditionalFormatting>
  <conditionalFormatting sqref="E2:E282">
    <cfRule type="containsText" dxfId="728" priority="10" operator="containsText" text="Трактор базы">
      <formula>NOT(ISERROR(SEARCH("Трактор базы",E2)))</formula>
    </cfRule>
  </conditionalFormatting>
  <conditionalFormatting sqref="A2:C268">
    <cfRule type="expression" dxfId="727" priority="9">
      <formula>$A2="пн"</formula>
    </cfRule>
  </conditionalFormatting>
  <conditionalFormatting sqref="A2:C270">
    <cfRule type="expression" dxfId="726" priority="3">
      <formula>$A2="вс"</formula>
    </cfRule>
    <cfRule type="expression" dxfId="725" priority="4">
      <formula>$A2="сб"</formula>
    </cfRule>
    <cfRule type="expression" dxfId="724" priority="5">
      <formula>$A2="пт"</formula>
    </cfRule>
    <cfRule type="expression" dxfId="723" priority="6">
      <formula>$A2="чт"</formula>
    </cfRule>
    <cfRule type="expression" dxfId="722" priority="7">
      <formula>$A2="ср"</formula>
    </cfRule>
    <cfRule type="expression" dxfId="721" priority="8">
      <formula>$A2="вт"</formula>
    </cfRule>
  </conditionalFormatting>
  <conditionalFormatting sqref="D2:D279">
    <cfRule type="containsText" dxfId="7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9">
    <cfRule type="containsText" dxfId="7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46"/>
  <sheetViews>
    <sheetView zoomScale="90" zoomScaleNormal="90" workbookViewId="0">
      <pane ySplit="1" topLeftCell="A137" activePane="bottomLeft" state="frozen"/>
      <selection pane="bottomLeft" activeCell="I145" sqref="I145:I146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4203</v>
      </c>
      <c r="I45" t="s">
        <v>2082</v>
      </c>
      <c r="J45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3336</v>
      </c>
      <c r="J49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3339</v>
      </c>
      <c r="J50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3342</v>
      </c>
      <c r="J51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4204</v>
      </c>
      <c r="I52" t="s">
        <v>3345</v>
      </c>
      <c r="J52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3348</v>
      </c>
      <c r="J53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3351</v>
      </c>
      <c r="J54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4192</v>
      </c>
      <c r="F55" t="s">
        <v>58</v>
      </c>
      <c r="I55" t="s">
        <v>3354</v>
      </c>
      <c r="J55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3357</v>
      </c>
      <c r="J56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3360</v>
      </c>
      <c r="J57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3363</v>
      </c>
      <c r="J5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3366</v>
      </c>
      <c r="J59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3369</v>
      </c>
      <c r="J60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3372</v>
      </c>
      <c r="J61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3375</v>
      </c>
      <c r="J62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4194</v>
      </c>
      <c r="F63" t="s">
        <v>4196</v>
      </c>
      <c r="I63" t="s">
        <v>3378</v>
      </c>
      <c r="J63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4261</v>
      </c>
      <c r="J64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4558</v>
      </c>
      <c r="J65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4194</v>
      </c>
      <c r="H66" t="s">
        <v>5089</v>
      </c>
      <c r="I66" t="s">
        <v>4561</v>
      </c>
      <c r="J66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4564</v>
      </c>
      <c r="J67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4567</v>
      </c>
      <c r="J6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5086</v>
      </c>
      <c r="J69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4570</v>
      </c>
      <c r="J70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4573</v>
      </c>
      <c r="J71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5262</v>
      </c>
      <c r="F72" t="s">
        <v>1609</v>
      </c>
      <c r="I72" t="s">
        <v>5141</v>
      </c>
      <c r="J72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t="s">
        <v>4</v>
      </c>
      <c r="E73" t="s">
        <v>8</v>
      </c>
      <c r="I73" t="s">
        <v>5276</v>
      </c>
      <c r="J73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t="s">
        <v>2004</v>
      </c>
      <c r="I74" t="s">
        <v>5279</v>
      </c>
      <c r="J74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t="s">
        <v>4</v>
      </c>
      <c r="E75" t="s">
        <v>8</v>
      </c>
      <c r="I75" t="s">
        <v>5684</v>
      </c>
      <c r="J75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t="s">
        <v>4</v>
      </c>
      <c r="E76" t="s">
        <v>8</v>
      </c>
      <c r="I76" t="s">
        <v>5687</v>
      </c>
      <c r="J76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t="s">
        <v>4</v>
      </c>
      <c r="E77" t="s">
        <v>8</v>
      </c>
      <c r="I77" t="s">
        <v>5690</v>
      </c>
      <c r="J77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t="s">
        <v>2004</v>
      </c>
      <c r="E78" t="s">
        <v>8</v>
      </c>
      <c r="I78" t="s">
        <v>5693</v>
      </c>
      <c r="J7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t="s">
        <v>4</v>
      </c>
      <c r="E79" t="s">
        <v>8</v>
      </c>
      <c r="I79" t="s">
        <v>5846</v>
      </c>
      <c r="J79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t="s">
        <v>2004</v>
      </c>
      <c r="E80" t="s">
        <v>8</v>
      </c>
      <c r="I80" t="s">
        <v>5849</v>
      </c>
      <c r="J80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t="s">
        <v>2004</v>
      </c>
      <c r="E81" t="s">
        <v>8</v>
      </c>
      <c r="I81" t="s">
        <v>5852</v>
      </c>
      <c r="J81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t="s">
        <v>4</v>
      </c>
      <c r="E82" t="s">
        <v>8</v>
      </c>
      <c r="I82" t="s">
        <v>6065</v>
      </c>
      <c r="J82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t="s">
        <v>4</v>
      </c>
      <c r="E83" t="s">
        <v>8</v>
      </c>
      <c r="I83" t="s">
        <v>6068</v>
      </c>
      <c r="J83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t="s">
        <v>4</v>
      </c>
      <c r="E84" t="s">
        <v>8</v>
      </c>
      <c r="I84" t="s">
        <v>6071</v>
      </c>
      <c r="J84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t="s">
        <v>2004</v>
      </c>
      <c r="E85" t="s">
        <v>8</v>
      </c>
      <c r="I85" t="s">
        <v>6195</v>
      </c>
      <c r="J85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t="s">
        <v>4</v>
      </c>
      <c r="E86" t="s">
        <v>8</v>
      </c>
      <c r="I86" t="s">
        <v>6323</v>
      </c>
      <c r="J86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t="s">
        <v>4</v>
      </c>
      <c r="E87" t="s">
        <v>8</v>
      </c>
      <c r="I87" t="s">
        <v>6557</v>
      </c>
      <c r="J87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t="s">
        <v>2004</v>
      </c>
      <c r="E88" t="s">
        <v>8</v>
      </c>
      <c r="I88" t="s">
        <v>6658</v>
      </c>
      <c r="J8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t="s">
        <v>2004</v>
      </c>
      <c r="E89" t="s">
        <v>8</v>
      </c>
      <c r="I89" t="s">
        <v>6661</v>
      </c>
      <c r="J89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t="s">
        <v>2004</v>
      </c>
      <c r="E90" t="s">
        <v>8</v>
      </c>
      <c r="I90" t="s">
        <v>6911</v>
      </c>
      <c r="J90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t="s">
        <v>2004</v>
      </c>
      <c r="E91" t="s">
        <v>8</v>
      </c>
      <c r="I91" t="s">
        <v>6914</v>
      </c>
      <c r="J91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t="s">
        <v>2004</v>
      </c>
      <c r="E92" t="s">
        <v>8</v>
      </c>
      <c r="I92" t="s">
        <v>7181</v>
      </c>
      <c r="J92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t="s">
        <v>2004</v>
      </c>
      <c r="E93" t="s">
        <v>8</v>
      </c>
      <c r="I93" t="s">
        <v>7260</v>
      </c>
      <c r="J93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t="s">
        <v>4</v>
      </c>
      <c r="E94" t="s">
        <v>8</v>
      </c>
      <c r="I94" t="s">
        <v>7263</v>
      </c>
      <c r="J94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t="s">
        <v>4</v>
      </c>
      <c r="E95" t="s">
        <v>7410</v>
      </c>
      <c r="F95" t="s">
        <v>51</v>
      </c>
      <c r="I95" t="s">
        <v>7266</v>
      </c>
      <c r="J95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t="s">
        <v>2004</v>
      </c>
      <c r="E96" t="s">
        <v>8</v>
      </c>
      <c r="I96" t="s">
        <v>7478</v>
      </c>
      <c r="J96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t="s">
        <v>4</v>
      </c>
      <c r="E97" t="s">
        <v>7706</v>
      </c>
      <c r="F97" t="s">
        <v>60</v>
      </c>
      <c r="I97" t="s">
        <v>7481</v>
      </c>
      <c r="J97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t="s">
        <v>4</v>
      </c>
      <c r="E98" t="s">
        <v>7706</v>
      </c>
      <c r="F98" t="s">
        <v>51</v>
      </c>
      <c r="I98" t="s">
        <v>7484</v>
      </c>
      <c r="J9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t="s">
        <v>2004</v>
      </c>
      <c r="E99" t="s">
        <v>8</v>
      </c>
      <c r="I99" t="s">
        <v>7487</v>
      </c>
      <c r="J99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t="s">
        <v>289</v>
      </c>
      <c r="E100" t="s">
        <v>2927</v>
      </c>
      <c r="F100" t="s">
        <v>7169</v>
      </c>
      <c r="I100" t="s">
        <v>7819</v>
      </c>
      <c r="J100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t="s">
        <v>289</v>
      </c>
      <c r="E101" t="s">
        <v>2927</v>
      </c>
      <c r="F101" t="s">
        <v>7169</v>
      </c>
      <c r="H101" t="s">
        <v>2936</v>
      </c>
      <c r="I101" t="s">
        <v>7822</v>
      </c>
      <c r="J101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t="s">
        <v>289</v>
      </c>
      <c r="E102" t="s">
        <v>2927</v>
      </c>
      <c r="F102" t="s">
        <v>7169</v>
      </c>
      <c r="H102" t="s">
        <v>2936</v>
      </c>
      <c r="I102" t="s">
        <v>7825</v>
      </c>
      <c r="J102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t="s">
        <v>2004</v>
      </c>
      <c r="E103" t="s">
        <v>8</v>
      </c>
      <c r="I103" t="s">
        <v>7944</v>
      </c>
      <c r="J103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t="s">
        <v>2004</v>
      </c>
      <c r="E104" t="s">
        <v>8</v>
      </c>
      <c r="I104" t="s">
        <v>7947</v>
      </c>
      <c r="J104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t="s">
        <v>4</v>
      </c>
      <c r="E105" t="s">
        <v>531</v>
      </c>
      <c r="I105" t="s">
        <v>7950</v>
      </c>
      <c r="J105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t="s">
        <v>2004</v>
      </c>
      <c r="E106" t="s">
        <v>8</v>
      </c>
      <c r="I106" t="s">
        <v>7953</v>
      </c>
      <c r="J106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t="s">
        <v>2004</v>
      </c>
      <c r="E107" t="s">
        <v>8</v>
      </c>
      <c r="I107" t="s">
        <v>8108</v>
      </c>
      <c r="J107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t="s">
        <v>2004</v>
      </c>
      <c r="E108" t="s">
        <v>8</v>
      </c>
      <c r="I108" t="s">
        <v>8111</v>
      </c>
      <c r="J10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t="s">
        <v>2004</v>
      </c>
      <c r="E109" t="s">
        <v>8</v>
      </c>
      <c r="I109" t="s">
        <v>8114</v>
      </c>
      <c r="J109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t="s">
        <v>2004</v>
      </c>
      <c r="E110" t="s">
        <v>8</v>
      </c>
      <c r="I110" t="s">
        <v>8117</v>
      </c>
      <c r="J110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t="s">
        <v>2004</v>
      </c>
      <c r="E111" t="s">
        <v>8</v>
      </c>
      <c r="I111" t="s">
        <v>8384</v>
      </c>
      <c r="J111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t="s">
        <v>2004</v>
      </c>
      <c r="E112" t="s">
        <v>8</v>
      </c>
      <c r="I112" t="s">
        <v>8387</v>
      </c>
      <c r="J112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t="s">
        <v>2004</v>
      </c>
      <c r="E113" t="s">
        <v>8</v>
      </c>
      <c r="I113" t="s">
        <v>8390</v>
      </c>
      <c r="J113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t="s">
        <v>2004</v>
      </c>
      <c r="E114" t="s">
        <v>8</v>
      </c>
      <c r="I114" t="s">
        <v>8619</v>
      </c>
      <c r="J114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t="s">
        <v>4</v>
      </c>
      <c r="E115" t="s">
        <v>8803</v>
      </c>
      <c r="I115" t="s">
        <v>8622</v>
      </c>
      <c r="J115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t="s">
        <v>4</v>
      </c>
      <c r="E116" t="s">
        <v>8803</v>
      </c>
      <c r="I116" t="s">
        <v>8625</v>
      </c>
      <c r="J116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t="s">
        <v>4</v>
      </c>
      <c r="E117" t="s">
        <v>8803</v>
      </c>
      <c r="I117" t="s">
        <v>8628</v>
      </c>
      <c r="J117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t="s">
        <v>4</v>
      </c>
      <c r="E118" t="s">
        <v>8803</v>
      </c>
      <c r="I118" t="s">
        <v>8631</v>
      </c>
      <c r="J11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t="s">
        <v>4</v>
      </c>
      <c r="E119" t="s">
        <v>8803</v>
      </c>
      <c r="I119" t="s">
        <v>8634</v>
      </c>
      <c r="J119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t="s">
        <v>2004</v>
      </c>
      <c r="E120" t="s">
        <v>8</v>
      </c>
      <c r="I120" t="s">
        <v>8637</v>
      </c>
      <c r="J120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t="s">
        <v>4</v>
      </c>
      <c r="E121" t="s">
        <v>8803</v>
      </c>
      <c r="I121" t="s">
        <v>8975</v>
      </c>
      <c r="J121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t="s">
        <v>289</v>
      </c>
      <c r="E122" t="s">
        <v>9187</v>
      </c>
      <c r="F122" t="s">
        <v>9188</v>
      </c>
      <c r="I122" t="s">
        <v>8979</v>
      </c>
      <c r="J122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t="s">
        <v>289</v>
      </c>
      <c r="E123" t="s">
        <v>9187</v>
      </c>
      <c r="F123" t="s">
        <v>9188</v>
      </c>
      <c r="H123" t="s">
        <v>2936</v>
      </c>
      <c r="I123" t="s">
        <v>8982</v>
      </c>
      <c r="J123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t="s">
        <v>4</v>
      </c>
      <c r="E124" t="s">
        <v>8803</v>
      </c>
      <c r="I124" t="s">
        <v>8985</v>
      </c>
      <c r="J124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t="s">
        <v>4</v>
      </c>
      <c r="E125" t="s">
        <v>8803</v>
      </c>
      <c r="I125" t="s">
        <v>9240</v>
      </c>
      <c r="J125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t="s">
        <v>4</v>
      </c>
      <c r="E126" t="s">
        <v>8803</v>
      </c>
      <c r="I126" t="s">
        <v>9343</v>
      </c>
      <c r="J126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t="s">
        <v>4</v>
      </c>
      <c r="E127" t="s">
        <v>8803</v>
      </c>
      <c r="I127" t="s">
        <v>9346</v>
      </c>
      <c r="J127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t="s">
        <v>4</v>
      </c>
      <c r="E128" t="s">
        <v>8803</v>
      </c>
      <c r="I128" t="s">
        <v>9349</v>
      </c>
      <c r="J12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t="s">
        <v>4</v>
      </c>
      <c r="E129" t="s">
        <v>9685</v>
      </c>
      <c r="I129" t="s">
        <v>9585</v>
      </c>
      <c r="J129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t="s">
        <v>2004</v>
      </c>
      <c r="E130" t="s">
        <v>8</v>
      </c>
      <c r="I130" t="s">
        <v>9588</v>
      </c>
      <c r="J130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  <row r="131" spans="1:13" x14ac:dyDescent="0.25">
      <c r="A131" s="2" t="s">
        <v>13</v>
      </c>
      <c r="B131" s="4">
        <v>46041</v>
      </c>
      <c r="C131" s="5">
        <v>0.6799884259259259</v>
      </c>
      <c r="D131" t="s">
        <v>4</v>
      </c>
      <c r="E131" t="s">
        <v>8803</v>
      </c>
      <c r="I131" t="s">
        <v>9720</v>
      </c>
      <c r="J131" t="s">
        <v>2990</v>
      </c>
      <c r="K131" t="s">
        <v>9721</v>
      </c>
      <c r="L131" t="s">
        <v>9722</v>
      </c>
      <c r="M131" s="3" t="str">
        <f>HYPERLINK(склад2въезд18[[#This Row],[RelativePath]])</f>
        <v>3 Въезд на базу\E33149364_8_20260119T161911Z.jpg</v>
      </c>
    </row>
    <row r="132" spans="1:13" x14ac:dyDescent="0.25">
      <c r="A132" s="2" t="s">
        <v>14</v>
      </c>
      <c r="B132" s="4">
        <v>46042</v>
      </c>
      <c r="C132" s="5">
        <v>0.57337962962962963</v>
      </c>
      <c r="D132" t="s">
        <v>4</v>
      </c>
      <c r="E132" t="s">
        <v>8803</v>
      </c>
      <c r="I132" t="s">
        <v>9723</v>
      </c>
      <c r="J132" t="s">
        <v>2990</v>
      </c>
      <c r="K132" t="s">
        <v>9724</v>
      </c>
      <c r="L132" t="s">
        <v>9725</v>
      </c>
      <c r="M132" s="3" t="str">
        <f>HYPERLINK(склад2въезд18[[#This Row],[RelativePath]])</f>
        <v>3 Въезд на базу\E33149364_8_20260120T134540Z.jpg</v>
      </c>
    </row>
    <row r="133" spans="1:13" x14ac:dyDescent="0.25">
      <c r="A133" s="2" t="s">
        <v>15</v>
      </c>
      <c r="B133" s="4">
        <v>46043</v>
      </c>
      <c r="C133" s="5">
        <v>0.52468749999999997</v>
      </c>
      <c r="D133" t="s">
        <v>4</v>
      </c>
      <c r="E133" t="s">
        <v>8803</v>
      </c>
      <c r="I133" t="s">
        <v>9951</v>
      </c>
      <c r="J133" t="s">
        <v>2990</v>
      </c>
      <c r="K133" t="s">
        <v>9952</v>
      </c>
      <c r="L133" t="s">
        <v>9953</v>
      </c>
      <c r="M133" s="3" t="str">
        <f>HYPERLINK(склад2въезд18[[#This Row],[RelativePath]])</f>
        <v>3 Въезд на базу\E33149364_8_20260121T123533Z.jpg</v>
      </c>
    </row>
    <row r="134" spans="1:13" x14ac:dyDescent="0.25">
      <c r="A134" s="2" t="s">
        <v>15</v>
      </c>
      <c r="B134" s="4">
        <v>46043</v>
      </c>
      <c r="C134" s="5">
        <v>0.69549768518518518</v>
      </c>
      <c r="D134" t="s">
        <v>4</v>
      </c>
      <c r="E134" t="s">
        <v>8803</v>
      </c>
      <c r="I134" t="s">
        <v>9954</v>
      </c>
      <c r="J134" t="s">
        <v>2990</v>
      </c>
      <c r="K134" t="s">
        <v>9955</v>
      </c>
      <c r="L134" t="s">
        <v>9956</v>
      </c>
      <c r="M134" s="3" t="str">
        <f>HYPERLINK(склад2въезд18[[#This Row],[RelativePath]])</f>
        <v>3 Въезд на базу\E33149364_8_20260121T164131Z.jpg</v>
      </c>
    </row>
    <row r="135" spans="1:13" x14ac:dyDescent="0.25">
      <c r="A135" s="2" t="s">
        <v>16</v>
      </c>
      <c r="B135" s="4">
        <v>46044</v>
      </c>
      <c r="C135" s="5">
        <v>0.48153935185185187</v>
      </c>
      <c r="D135" t="s">
        <v>4</v>
      </c>
      <c r="E135" t="s">
        <v>8803</v>
      </c>
      <c r="I135" t="s">
        <v>9957</v>
      </c>
      <c r="J135" t="s">
        <v>2990</v>
      </c>
      <c r="K135" t="s">
        <v>9958</v>
      </c>
      <c r="L135" t="s">
        <v>9959</v>
      </c>
      <c r="M135" s="3" t="str">
        <f>HYPERLINK(склад2въезд18[[#This Row],[RelativePath]])</f>
        <v>3 Въезд на базу\E33149364_8_20260122T113325Z.jpg</v>
      </c>
    </row>
    <row r="136" spans="1:13" x14ac:dyDescent="0.25">
      <c r="A136" s="2" t="s">
        <v>17</v>
      </c>
      <c r="B136" s="4">
        <v>46045</v>
      </c>
      <c r="C136" s="5">
        <v>0.45531250000000001</v>
      </c>
      <c r="D136" t="s">
        <v>4</v>
      </c>
      <c r="E136" t="s">
        <v>8803</v>
      </c>
      <c r="I136" t="s">
        <v>10177</v>
      </c>
      <c r="J136" t="s">
        <v>2990</v>
      </c>
      <c r="K136" t="s">
        <v>10178</v>
      </c>
      <c r="L136" t="s">
        <v>10179</v>
      </c>
      <c r="M136" s="3" t="str">
        <f>HYPERLINK(склад2въезд18[[#This Row],[RelativePath]])</f>
        <v>3 Въезд на базу\E33149364_8_20260123T105539Z.jpg</v>
      </c>
    </row>
    <row r="137" spans="1:13" x14ac:dyDescent="0.25">
      <c r="A137" s="2" t="s">
        <v>18</v>
      </c>
      <c r="B137" s="4">
        <v>46046</v>
      </c>
      <c r="C137" s="5">
        <v>0.67290509259259257</v>
      </c>
      <c r="D137" t="s">
        <v>2004</v>
      </c>
      <c r="E137" t="s">
        <v>8</v>
      </c>
      <c r="I137" t="s">
        <v>10525</v>
      </c>
      <c r="J137" t="s">
        <v>2990</v>
      </c>
      <c r="K137" t="s">
        <v>10526</v>
      </c>
      <c r="L137" t="s">
        <v>10527</v>
      </c>
      <c r="M137" s="3" t="str">
        <f>HYPERLINK(склад2въезд18[[#This Row],[RelativePath]])</f>
        <v>3 Въезд на базу\E33149364_8_20260124T160859Z.jpg</v>
      </c>
    </row>
    <row r="138" spans="1:13" x14ac:dyDescent="0.25">
      <c r="A138" s="2" t="s">
        <v>22</v>
      </c>
      <c r="B138" s="4">
        <v>46047</v>
      </c>
      <c r="C138" s="5">
        <v>0.70944444444444443</v>
      </c>
      <c r="D138" t="s">
        <v>2004</v>
      </c>
      <c r="E138" t="s">
        <v>8</v>
      </c>
      <c r="I138" t="s">
        <v>10491</v>
      </c>
      <c r="J138" t="s">
        <v>2990</v>
      </c>
      <c r="K138" t="s">
        <v>10492</v>
      </c>
      <c r="L138" t="s">
        <v>10493</v>
      </c>
      <c r="M138" s="3" t="str">
        <f>HYPERLINK(склад2въезд18[[#This Row],[RelativePath]])</f>
        <v>3 Въезд на базу\E33149364_8_20260125T170136Z.jpg</v>
      </c>
    </row>
    <row r="139" spans="1:13" x14ac:dyDescent="0.25">
      <c r="A139" s="2" t="s">
        <v>13</v>
      </c>
      <c r="B139" s="4">
        <v>46048</v>
      </c>
      <c r="C139" s="5">
        <v>0.64296296296296296</v>
      </c>
      <c r="D139" t="s">
        <v>4</v>
      </c>
      <c r="E139" t="s">
        <v>8803</v>
      </c>
      <c r="I139" t="s">
        <v>10558</v>
      </c>
      <c r="J139" t="s">
        <v>2990</v>
      </c>
      <c r="K139" t="s">
        <v>10559</v>
      </c>
      <c r="L139" t="s">
        <v>10560</v>
      </c>
      <c r="M139" s="3" t="str">
        <f>HYPERLINK(склад2въезд18[[#This Row],[RelativePath]])</f>
        <v>3 Въезд на базу\E33149364_8_20260126T152552Z.jpg</v>
      </c>
    </row>
    <row r="140" spans="1:13" x14ac:dyDescent="0.25">
      <c r="A140" s="2" t="s">
        <v>14</v>
      </c>
      <c r="B140" s="4">
        <v>46049</v>
      </c>
      <c r="C140" s="5">
        <v>0.6885648148148148</v>
      </c>
      <c r="D140" t="s">
        <v>4</v>
      </c>
      <c r="E140" t="s">
        <v>8803</v>
      </c>
      <c r="I140" t="s">
        <v>10561</v>
      </c>
      <c r="J140" t="s">
        <v>2990</v>
      </c>
      <c r="K140" t="s">
        <v>10562</v>
      </c>
      <c r="L140" t="s">
        <v>10563</v>
      </c>
      <c r="M140" s="3" t="str">
        <f>HYPERLINK(склад2въезд18[[#This Row],[RelativePath]])</f>
        <v>3 Въезд на базу\E33149364_8_20260127T163132Z.jpg</v>
      </c>
    </row>
    <row r="141" spans="1:13" x14ac:dyDescent="0.25">
      <c r="A141" s="2" t="s">
        <v>15</v>
      </c>
      <c r="B141" s="4">
        <v>46050</v>
      </c>
      <c r="C141" s="5">
        <v>0.54774305555555558</v>
      </c>
      <c r="D141" t="s">
        <v>4</v>
      </c>
      <c r="E141" t="s">
        <v>8803</v>
      </c>
      <c r="I141" t="s">
        <v>10737</v>
      </c>
      <c r="J141" t="s">
        <v>2990</v>
      </c>
      <c r="K141" t="s">
        <v>10738</v>
      </c>
      <c r="L141" t="s">
        <v>10739</v>
      </c>
      <c r="M141" s="3" t="str">
        <f>HYPERLINK(склад2въезд18[[#This Row],[RelativePath]])</f>
        <v>3 Въезд на базу\E33149364_8_20260128T130845Z.jpg</v>
      </c>
    </row>
    <row r="142" spans="1:13" x14ac:dyDescent="0.25">
      <c r="A142" s="2" t="s">
        <v>16</v>
      </c>
      <c r="B142" s="4">
        <v>46051</v>
      </c>
      <c r="C142" s="5">
        <v>0.51204861111111111</v>
      </c>
      <c r="D142" t="s">
        <v>4</v>
      </c>
      <c r="E142" t="s">
        <v>8803</v>
      </c>
      <c r="I142" t="s">
        <v>10740</v>
      </c>
      <c r="J142" t="s">
        <v>2990</v>
      </c>
      <c r="K142" t="s">
        <v>10741</v>
      </c>
      <c r="L142" t="s">
        <v>10742</v>
      </c>
      <c r="M142" s="3" t="str">
        <f>HYPERLINK(склад2въезд18[[#This Row],[RelativePath]])</f>
        <v>3 Въезд на базу\E33149364_8_20260129T121721Z.jpg</v>
      </c>
    </row>
    <row r="143" spans="1:13" x14ac:dyDescent="0.25">
      <c r="A143" s="2" t="s">
        <v>17</v>
      </c>
      <c r="B143" s="4">
        <v>46052</v>
      </c>
      <c r="C143" s="5">
        <v>0.4430324074074074</v>
      </c>
      <c r="D143" t="s">
        <v>4</v>
      </c>
      <c r="E143" t="s">
        <v>8803</v>
      </c>
      <c r="I143" t="s">
        <v>10896</v>
      </c>
      <c r="J143" t="s">
        <v>2990</v>
      </c>
      <c r="K143" t="s">
        <v>10897</v>
      </c>
      <c r="L143" t="s">
        <v>10898</v>
      </c>
      <c r="M143" s="3" t="str">
        <f>HYPERLINK(склад2въезд18[[#This Row],[RelativePath]])</f>
        <v>3 Въезд на базу\E33149364_8_20260130T103758Z.jpg</v>
      </c>
    </row>
    <row r="144" spans="1:13" x14ac:dyDescent="0.25">
      <c r="A144" s="2" t="s">
        <v>17</v>
      </c>
      <c r="B144" s="4">
        <v>46052</v>
      </c>
      <c r="C144" s="5">
        <v>0.74435185185185182</v>
      </c>
      <c r="D144" t="s">
        <v>4</v>
      </c>
      <c r="E144" t="s">
        <v>8803</v>
      </c>
      <c r="I144" t="s">
        <v>10899</v>
      </c>
      <c r="J144" t="s">
        <v>2990</v>
      </c>
      <c r="K144" t="s">
        <v>10900</v>
      </c>
      <c r="L144" t="s">
        <v>10901</v>
      </c>
      <c r="M144" s="3" t="str">
        <f>HYPERLINK(склад2въезд18[[#This Row],[RelativePath]])</f>
        <v>3 Въезд на базу\E33149364_8_20260130T175152Z.jpg</v>
      </c>
    </row>
    <row r="145" spans="1:13" x14ac:dyDescent="0.25">
      <c r="A145" s="2" t="s">
        <v>18</v>
      </c>
      <c r="B145" s="4">
        <v>46053</v>
      </c>
      <c r="C145" s="5">
        <v>0.4876388888888889</v>
      </c>
      <c r="D145" t="s">
        <v>4</v>
      </c>
      <c r="E145" t="s">
        <v>11124</v>
      </c>
      <c r="I145" t="s">
        <v>11061</v>
      </c>
      <c r="J145" t="s">
        <v>2990</v>
      </c>
      <c r="K145" t="s">
        <v>11062</v>
      </c>
      <c r="L145" t="s">
        <v>11063</v>
      </c>
      <c r="M145" s="3" t="str">
        <f>HYPERLINK(склад2въезд18[[#This Row],[RelativePath]])</f>
        <v>3 Въезд на базу\E33149364_8_20260131T114212Z.jpg</v>
      </c>
    </row>
    <row r="146" spans="1:13" x14ac:dyDescent="0.25">
      <c r="A146" s="2" t="s">
        <v>22</v>
      </c>
      <c r="B146" s="4">
        <v>46054</v>
      </c>
      <c r="C146" s="5">
        <v>0.72483796296296299</v>
      </c>
      <c r="D146" t="s">
        <v>2004</v>
      </c>
      <c r="E146" t="s">
        <v>8</v>
      </c>
      <c r="I146" t="s">
        <v>11064</v>
      </c>
      <c r="J146" t="s">
        <v>2990</v>
      </c>
      <c r="K146" t="s">
        <v>11065</v>
      </c>
      <c r="L146" t="s">
        <v>11066</v>
      </c>
      <c r="M146" s="3" t="str">
        <f>HYPERLINK(склад2въезд18[[#This Row],[RelativePath]])</f>
        <v>3 Въезд на базу\E33149364_8_20260201T172346Z.jpg</v>
      </c>
    </row>
  </sheetData>
  <conditionalFormatting sqref="D147:D157 E147:E160 G2:H146 D2:E146">
    <cfRule type="containsText" dxfId="718" priority="14" operator="containsText" text="Выезд с территории">
      <formula>NOT(ISERROR(SEARCH("Выезд с территории",D2)))</formula>
    </cfRule>
  </conditionalFormatting>
  <conditionalFormatting sqref="F2:F146">
    <cfRule type="notContainsText" dxfId="717" priority="13" operator="notContains" text="порожний">
      <formula>ISERROR(SEARCH("порожний",F2))</formula>
    </cfRule>
  </conditionalFormatting>
  <conditionalFormatting sqref="E2:E160">
    <cfRule type="containsText" dxfId="716" priority="11" operator="containsText" text="Газель базы">
      <formula>NOT(ISERROR(SEARCH("Газель базы",E2)))</formula>
    </cfRule>
    <cfRule type="containsText" dxfId="715" priority="12" operator="containsText" text="Погрузчик базы">
      <formula>NOT(ISERROR(SEARCH("Погрузчик базы",E2)))</formula>
    </cfRule>
  </conditionalFormatting>
  <conditionalFormatting sqref="E2:E160">
    <cfRule type="containsText" dxfId="714" priority="10" operator="containsText" text="Трактор базы">
      <formula>NOT(ISERROR(SEARCH("Трактор базы",E2)))</formula>
    </cfRule>
  </conditionalFormatting>
  <conditionalFormatting sqref="A2:C146">
    <cfRule type="expression" dxfId="713" priority="9">
      <formula>$A2="пн"</formula>
    </cfRule>
  </conditionalFormatting>
  <conditionalFormatting sqref="A2:C148">
    <cfRule type="expression" dxfId="712" priority="3">
      <formula>$A2="вс"</formula>
    </cfRule>
    <cfRule type="expression" dxfId="711" priority="4">
      <formula>$A2="сб"</formula>
    </cfRule>
    <cfRule type="expression" dxfId="710" priority="5">
      <formula>$A2="пт"</formula>
    </cfRule>
    <cfRule type="expression" dxfId="709" priority="6">
      <formula>$A2="чт"</formula>
    </cfRule>
    <cfRule type="expression" dxfId="708" priority="7">
      <formula>$A2="ср"</formula>
    </cfRule>
    <cfRule type="expression" dxfId="707" priority="8">
      <formula>$A2="вт"</formula>
    </cfRule>
  </conditionalFormatting>
  <conditionalFormatting sqref="D2:D157">
    <cfRule type="containsText" dxfId="7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7">
    <cfRule type="containsText" dxfId="7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68"/>
  <sheetViews>
    <sheetView zoomScale="90" zoomScaleNormal="90" workbookViewId="0">
      <pane ySplit="1" topLeftCell="A158" activePane="bottomLeft" state="frozen"/>
      <selection pane="bottomLeft" activeCell="I167" sqref="I167:I16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t="s">
        <v>4</v>
      </c>
      <c r="E2" t="s">
        <v>8</v>
      </c>
      <c r="H2" t="s">
        <v>5</v>
      </c>
      <c r="I2" t="s">
        <v>291</v>
      </c>
      <c r="J2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t="s">
        <v>4</v>
      </c>
      <c r="E3" t="s">
        <v>8</v>
      </c>
      <c r="H3" t="s">
        <v>6</v>
      </c>
      <c r="I3" t="s">
        <v>295</v>
      </c>
      <c r="J3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t="s">
        <v>4</v>
      </c>
      <c r="E4" t="s">
        <v>8</v>
      </c>
      <c r="H4" t="s">
        <v>5</v>
      </c>
      <c r="I4" t="s">
        <v>298</v>
      </c>
      <c r="J4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t="s">
        <v>4</v>
      </c>
      <c r="E5" t="s">
        <v>8</v>
      </c>
      <c r="H5" t="s">
        <v>6</v>
      </c>
      <c r="I5" t="s">
        <v>301</v>
      </c>
      <c r="J5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t="s">
        <v>4</v>
      </c>
      <c r="E6" t="s">
        <v>8</v>
      </c>
      <c r="H6" t="s">
        <v>331</v>
      </c>
      <c r="I6" t="s">
        <v>304</v>
      </c>
      <c r="J6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t="s">
        <v>4</v>
      </c>
      <c r="E7" t="s">
        <v>8</v>
      </c>
      <c r="H7" t="s">
        <v>331</v>
      </c>
      <c r="I7" t="s">
        <v>307</v>
      </c>
      <c r="J7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t="s">
        <v>4</v>
      </c>
      <c r="E8" t="s">
        <v>8</v>
      </c>
      <c r="H8" t="s">
        <v>332</v>
      </c>
      <c r="I8" t="s">
        <v>310</v>
      </c>
      <c r="J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t="s">
        <v>4</v>
      </c>
      <c r="E9" t="s">
        <v>8</v>
      </c>
      <c r="H9" t="s">
        <v>6</v>
      </c>
      <c r="I9" t="s">
        <v>313</v>
      </c>
      <c r="J9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t="s">
        <v>4</v>
      </c>
      <c r="E10" t="s">
        <v>8</v>
      </c>
      <c r="H10" t="s">
        <v>5</v>
      </c>
      <c r="I10" t="s">
        <v>316</v>
      </c>
      <c r="J10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t="s">
        <v>4</v>
      </c>
      <c r="E11" t="s">
        <v>8</v>
      </c>
      <c r="H11" t="s">
        <v>331</v>
      </c>
      <c r="I11" t="s">
        <v>319</v>
      </c>
      <c r="J11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t="s">
        <v>4</v>
      </c>
      <c r="E12" t="s">
        <v>8</v>
      </c>
      <c r="H12" t="s">
        <v>6</v>
      </c>
      <c r="I12" t="s">
        <v>322</v>
      </c>
      <c r="J12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t="s">
        <v>4</v>
      </c>
      <c r="E13" t="s">
        <v>8</v>
      </c>
      <c r="H13" t="s">
        <v>5</v>
      </c>
      <c r="I13" t="s">
        <v>325</v>
      </c>
      <c r="J13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t="s">
        <v>4</v>
      </c>
      <c r="E14" t="s">
        <v>8</v>
      </c>
      <c r="H14" t="s">
        <v>6</v>
      </c>
      <c r="I14" t="s">
        <v>328</v>
      </c>
      <c r="J14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t="s">
        <v>4</v>
      </c>
      <c r="E15" t="s">
        <v>8</v>
      </c>
      <c r="H15" t="s">
        <v>2009</v>
      </c>
      <c r="I15" t="s">
        <v>1238</v>
      </c>
      <c r="J15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t="s">
        <v>1606</v>
      </c>
      <c r="E16" t="s">
        <v>56</v>
      </c>
      <c r="F16" t="s">
        <v>2010</v>
      </c>
      <c r="G16">
        <v>1</v>
      </c>
      <c r="I16" t="s">
        <v>1241</v>
      </c>
      <c r="J16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t="s">
        <v>1094</v>
      </c>
      <c r="E17" t="s">
        <v>70</v>
      </c>
      <c r="F17" t="s">
        <v>2010</v>
      </c>
      <c r="H17" t="s">
        <v>2011</v>
      </c>
      <c r="I17" t="s">
        <v>1244</v>
      </c>
      <c r="J17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t="s">
        <v>2012</v>
      </c>
      <c r="E18" t="s">
        <v>70</v>
      </c>
      <c r="F18" t="s">
        <v>2010</v>
      </c>
      <c r="H18" t="s">
        <v>2011</v>
      </c>
      <c r="I18" t="s">
        <v>1247</v>
      </c>
      <c r="J1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t="s">
        <v>650</v>
      </c>
      <c r="E19" t="s">
        <v>70</v>
      </c>
      <c r="F19" t="s">
        <v>2010</v>
      </c>
      <c r="I19" t="s">
        <v>1250</v>
      </c>
      <c r="J19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t="s">
        <v>1606</v>
      </c>
      <c r="E20" t="s">
        <v>2001</v>
      </c>
      <c r="I20" t="s">
        <v>1253</v>
      </c>
      <c r="J20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t="s">
        <v>650</v>
      </c>
      <c r="E21" t="s">
        <v>2001</v>
      </c>
      <c r="I21" t="s">
        <v>1256</v>
      </c>
      <c r="J21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t="s">
        <v>1606</v>
      </c>
      <c r="E22" t="s">
        <v>2002</v>
      </c>
      <c r="I22" t="s">
        <v>1259</v>
      </c>
      <c r="J22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t="s">
        <v>1606</v>
      </c>
      <c r="E23" t="s">
        <v>70</v>
      </c>
      <c r="F23" t="s">
        <v>2010</v>
      </c>
      <c r="I23" t="s">
        <v>1262</v>
      </c>
      <c r="J23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t="s">
        <v>4</v>
      </c>
      <c r="E24" t="s">
        <v>8</v>
      </c>
      <c r="I24" t="s">
        <v>1265</v>
      </c>
      <c r="J24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t="s">
        <v>2013</v>
      </c>
      <c r="E25" t="s">
        <v>56</v>
      </c>
      <c r="I25" t="s">
        <v>1268</v>
      </c>
      <c r="J25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t="s">
        <v>289</v>
      </c>
      <c r="E26" t="s">
        <v>56</v>
      </c>
      <c r="F26" t="s">
        <v>200</v>
      </c>
      <c r="I26" t="s">
        <v>1271</v>
      </c>
      <c r="J26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t="s">
        <v>650</v>
      </c>
      <c r="E27" t="s">
        <v>2002</v>
      </c>
      <c r="I27" t="s">
        <v>1274</v>
      </c>
      <c r="J27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t="s">
        <v>650</v>
      </c>
      <c r="E28" t="s">
        <v>56</v>
      </c>
      <c r="F28" t="s">
        <v>200</v>
      </c>
      <c r="I28" t="s">
        <v>1277</v>
      </c>
      <c r="J2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t="s">
        <v>4</v>
      </c>
      <c r="E29" t="s">
        <v>8</v>
      </c>
      <c r="I29" t="s">
        <v>1280</v>
      </c>
      <c r="J29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t="s">
        <v>4</v>
      </c>
      <c r="E30" t="s">
        <v>8</v>
      </c>
      <c r="H30" t="s">
        <v>1625</v>
      </c>
      <c r="I30" t="s">
        <v>1283</v>
      </c>
      <c r="J30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t="s">
        <v>4</v>
      </c>
      <c r="E31" t="s">
        <v>8</v>
      </c>
      <c r="H31" t="s">
        <v>2009</v>
      </c>
      <c r="I31" t="s">
        <v>1286</v>
      </c>
      <c r="J31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t="s">
        <v>4</v>
      </c>
      <c r="E32" t="s">
        <v>8</v>
      </c>
      <c r="H32" t="s">
        <v>2004</v>
      </c>
      <c r="I32" t="s">
        <v>1289</v>
      </c>
      <c r="J32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t="s">
        <v>4</v>
      </c>
      <c r="E33" t="s">
        <v>8</v>
      </c>
      <c r="H33" t="s">
        <v>1625</v>
      </c>
      <c r="I33" t="s">
        <v>1292</v>
      </c>
      <c r="J33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t="s">
        <v>2004</v>
      </c>
      <c r="I34" t="s">
        <v>2133</v>
      </c>
      <c r="J34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t="s">
        <v>4</v>
      </c>
      <c r="E35" t="s">
        <v>2927</v>
      </c>
      <c r="F35" t="s">
        <v>58</v>
      </c>
      <c r="I35" t="s">
        <v>2136</v>
      </c>
      <c r="J35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t="s">
        <v>4</v>
      </c>
      <c r="E36" t="s">
        <v>8</v>
      </c>
      <c r="H36" t="s">
        <v>2931</v>
      </c>
      <c r="I36" t="s">
        <v>2139</v>
      </c>
      <c r="J36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t="s">
        <v>2004</v>
      </c>
      <c r="I37" t="s">
        <v>2142</v>
      </c>
      <c r="J37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t="s">
        <v>2004</v>
      </c>
      <c r="I38" t="s">
        <v>2145</v>
      </c>
      <c r="J3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t="s">
        <v>2004</v>
      </c>
      <c r="I39" t="s">
        <v>2148</v>
      </c>
      <c r="J39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t="s">
        <v>2004</v>
      </c>
      <c r="I40" t="s">
        <v>2151</v>
      </c>
      <c r="J40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t="s">
        <v>4</v>
      </c>
      <c r="E41" t="s">
        <v>8</v>
      </c>
      <c r="I41" t="s">
        <v>3381</v>
      </c>
      <c r="J41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t="s">
        <v>4</v>
      </c>
      <c r="E42" t="s">
        <v>70</v>
      </c>
      <c r="F42" t="s">
        <v>58</v>
      </c>
      <c r="I42" t="s">
        <v>3384</v>
      </c>
      <c r="J42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t="s">
        <v>4</v>
      </c>
      <c r="E43" t="s">
        <v>70</v>
      </c>
      <c r="F43" t="s">
        <v>51</v>
      </c>
      <c r="I43" t="s">
        <v>3387</v>
      </c>
      <c r="J43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t="s">
        <v>4</v>
      </c>
      <c r="E44" t="s">
        <v>8</v>
      </c>
      <c r="I44" t="s">
        <v>3390</v>
      </c>
      <c r="J44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t="s">
        <v>4</v>
      </c>
      <c r="E45" t="s">
        <v>8</v>
      </c>
      <c r="I45" t="s">
        <v>3393</v>
      </c>
      <c r="J45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t="s">
        <v>4</v>
      </c>
      <c r="E46" t="s">
        <v>8</v>
      </c>
      <c r="I46" t="s">
        <v>3396</v>
      </c>
      <c r="J46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t="s">
        <v>4</v>
      </c>
      <c r="E47" t="s">
        <v>8</v>
      </c>
      <c r="I47" t="s">
        <v>3399</v>
      </c>
      <c r="J47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t="s">
        <v>4</v>
      </c>
      <c r="E48" t="s">
        <v>4194</v>
      </c>
      <c r="F48" t="s">
        <v>4196</v>
      </c>
      <c r="H48" t="s">
        <v>4205</v>
      </c>
      <c r="I48" t="s">
        <v>3402</v>
      </c>
      <c r="J4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t="s">
        <v>650</v>
      </c>
      <c r="E49" t="s">
        <v>55</v>
      </c>
      <c r="F49" t="s">
        <v>51</v>
      </c>
      <c r="I49" t="s">
        <v>4264</v>
      </c>
      <c r="J49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t="s">
        <v>1606</v>
      </c>
      <c r="E50" t="s">
        <v>55</v>
      </c>
      <c r="F50" t="s">
        <v>51</v>
      </c>
      <c r="I50" t="s">
        <v>4267</v>
      </c>
      <c r="J50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t="s">
        <v>290</v>
      </c>
      <c r="E51" t="s">
        <v>4194</v>
      </c>
      <c r="F51" t="s">
        <v>5093</v>
      </c>
      <c r="I51" t="s">
        <v>4450</v>
      </c>
      <c r="J51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t="s">
        <v>290</v>
      </c>
      <c r="E52" t="s">
        <v>4194</v>
      </c>
      <c r="F52" t="s">
        <v>5093</v>
      </c>
      <c r="I52" t="s">
        <v>4453</v>
      </c>
      <c r="J52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t="s">
        <v>650</v>
      </c>
      <c r="E53" t="s">
        <v>4194</v>
      </c>
      <c r="I53" t="s">
        <v>4456</v>
      </c>
      <c r="J53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t="s">
        <v>289</v>
      </c>
      <c r="E54" t="s">
        <v>70</v>
      </c>
      <c r="F54" t="s">
        <v>5093</v>
      </c>
      <c r="H54" t="s">
        <v>5094</v>
      </c>
      <c r="I54" t="s">
        <v>4459</v>
      </c>
      <c r="J54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t="s">
        <v>290</v>
      </c>
      <c r="E55" t="s">
        <v>70</v>
      </c>
      <c r="F55" t="s">
        <v>5093</v>
      </c>
      <c r="H55" t="s">
        <v>5094</v>
      </c>
      <c r="I55" t="s">
        <v>5090</v>
      </c>
      <c r="J55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t="s">
        <v>650</v>
      </c>
      <c r="E56" t="s">
        <v>70</v>
      </c>
      <c r="I56" t="s">
        <v>4462</v>
      </c>
      <c r="J56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t="s">
        <v>2004</v>
      </c>
      <c r="E57" t="s">
        <v>8</v>
      </c>
      <c r="I57" t="s">
        <v>4465</v>
      </c>
      <c r="J57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t="s">
        <v>289</v>
      </c>
      <c r="E58" t="s">
        <v>70</v>
      </c>
      <c r="F58" t="s">
        <v>5093</v>
      </c>
      <c r="H58" t="s">
        <v>5095</v>
      </c>
      <c r="I58" t="s">
        <v>4468</v>
      </c>
      <c r="J5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t="s">
        <v>289</v>
      </c>
      <c r="E59" t="s">
        <v>70</v>
      </c>
      <c r="F59" t="s">
        <v>5093</v>
      </c>
      <c r="H59" t="s">
        <v>2936</v>
      </c>
      <c r="I59" t="s">
        <v>4471</v>
      </c>
      <c r="J59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t="s">
        <v>289</v>
      </c>
      <c r="E60" t="s">
        <v>70</v>
      </c>
      <c r="F60" t="s">
        <v>5093</v>
      </c>
      <c r="H60" t="s">
        <v>2936</v>
      </c>
      <c r="I60" t="s">
        <v>4474</v>
      </c>
      <c r="J60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t="s">
        <v>289</v>
      </c>
      <c r="E61" t="s">
        <v>70</v>
      </c>
      <c r="F61" t="s">
        <v>5093</v>
      </c>
      <c r="H61" t="s">
        <v>5096</v>
      </c>
      <c r="I61" t="s">
        <v>4477</v>
      </c>
      <c r="J61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t="s">
        <v>650</v>
      </c>
      <c r="E62" t="s">
        <v>70</v>
      </c>
      <c r="I62" t="s">
        <v>4480</v>
      </c>
      <c r="J62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t="s">
        <v>4</v>
      </c>
      <c r="E63" t="s">
        <v>8</v>
      </c>
      <c r="I63" t="s">
        <v>4483</v>
      </c>
      <c r="J63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t="s">
        <v>2004</v>
      </c>
      <c r="E64" t="s">
        <v>8</v>
      </c>
      <c r="I64" t="s">
        <v>4486</v>
      </c>
      <c r="J64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t="s">
        <v>4</v>
      </c>
      <c r="E65" t="s">
        <v>8</v>
      </c>
      <c r="I65" t="s">
        <v>5226</v>
      </c>
      <c r="J65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t="s">
        <v>2004</v>
      </c>
      <c r="E66" t="s">
        <v>8</v>
      </c>
      <c r="I66" t="s">
        <v>5297</v>
      </c>
      <c r="J66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t="s">
        <v>290</v>
      </c>
      <c r="E67" t="s">
        <v>5505</v>
      </c>
      <c r="F67" t="s">
        <v>6173</v>
      </c>
      <c r="I67" t="s">
        <v>5696</v>
      </c>
      <c r="J67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t="s">
        <v>290</v>
      </c>
      <c r="E68" t="s">
        <v>5505</v>
      </c>
      <c r="F68" t="s">
        <v>6173</v>
      </c>
      <c r="H68" t="s">
        <v>2936</v>
      </c>
      <c r="I68" t="s">
        <v>5699</v>
      </c>
      <c r="J6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t="s">
        <v>290</v>
      </c>
      <c r="E69" t="s">
        <v>5505</v>
      </c>
      <c r="F69" t="s">
        <v>6173</v>
      </c>
      <c r="H69" t="s">
        <v>2936</v>
      </c>
      <c r="I69" t="s">
        <v>5702</v>
      </c>
      <c r="J69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t="s">
        <v>2004</v>
      </c>
      <c r="E70" t="s">
        <v>8</v>
      </c>
      <c r="I70" t="s">
        <v>5705</v>
      </c>
      <c r="J70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t="s">
        <v>4</v>
      </c>
      <c r="E71" t="s">
        <v>8</v>
      </c>
      <c r="I71" t="s">
        <v>5828</v>
      </c>
      <c r="J71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t="s">
        <v>4</v>
      </c>
      <c r="E72" t="s">
        <v>8</v>
      </c>
      <c r="I72" t="s">
        <v>5831</v>
      </c>
      <c r="J72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t="s">
        <v>4</v>
      </c>
      <c r="E73" t="s">
        <v>8</v>
      </c>
      <c r="I73" t="s">
        <v>5834</v>
      </c>
      <c r="J73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t="s">
        <v>1606</v>
      </c>
      <c r="E74" t="s">
        <v>55</v>
      </c>
      <c r="F74" t="s">
        <v>51</v>
      </c>
      <c r="I74" t="s">
        <v>5837</v>
      </c>
      <c r="J74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t="s">
        <v>4</v>
      </c>
      <c r="E75" t="s">
        <v>6167</v>
      </c>
      <c r="F75" t="s">
        <v>58</v>
      </c>
      <c r="I75" t="s">
        <v>6044</v>
      </c>
      <c r="J75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t="s">
        <v>4</v>
      </c>
      <c r="E76" t="s">
        <v>6167</v>
      </c>
      <c r="F76" t="s">
        <v>58</v>
      </c>
      <c r="H76" t="s">
        <v>4205</v>
      </c>
      <c r="I76" t="s">
        <v>6047</v>
      </c>
      <c r="J76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t="s">
        <v>1606</v>
      </c>
      <c r="E77" t="s">
        <v>6166</v>
      </c>
      <c r="F77" t="s">
        <v>51</v>
      </c>
      <c r="I77" t="s">
        <v>6050</v>
      </c>
      <c r="J77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t="s">
        <v>1606</v>
      </c>
      <c r="E78" t="s">
        <v>6165</v>
      </c>
      <c r="F78" t="s">
        <v>51</v>
      </c>
      <c r="I78" t="s">
        <v>6053</v>
      </c>
      <c r="J7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t="s">
        <v>650</v>
      </c>
      <c r="E79" t="s">
        <v>6166</v>
      </c>
      <c r="F79" t="s">
        <v>51</v>
      </c>
      <c r="I79" t="s">
        <v>6056</v>
      </c>
      <c r="J79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t="s">
        <v>650</v>
      </c>
      <c r="E80" t="s">
        <v>6165</v>
      </c>
      <c r="F80" t="s">
        <v>51</v>
      </c>
      <c r="I80" t="s">
        <v>6059</v>
      </c>
      <c r="J80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t="s">
        <v>1606</v>
      </c>
      <c r="E81" t="s">
        <v>6167</v>
      </c>
      <c r="F81" t="s">
        <v>58</v>
      </c>
      <c r="I81" t="s">
        <v>6062</v>
      </c>
      <c r="J81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t="s">
        <v>6174</v>
      </c>
      <c r="E82" t="s">
        <v>6167</v>
      </c>
      <c r="F82" t="s">
        <v>58</v>
      </c>
      <c r="I82" t="s">
        <v>6161</v>
      </c>
      <c r="J82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t="s">
        <v>2004</v>
      </c>
      <c r="E83" t="s">
        <v>8</v>
      </c>
      <c r="I83" t="s">
        <v>6201</v>
      </c>
      <c r="J83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t="s">
        <v>4</v>
      </c>
      <c r="E84" t="s">
        <v>8</v>
      </c>
      <c r="I84" t="s">
        <v>6346</v>
      </c>
      <c r="J84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t="s">
        <v>289</v>
      </c>
      <c r="E85" t="s">
        <v>70</v>
      </c>
      <c r="F85" t="s">
        <v>6342</v>
      </c>
      <c r="I85" t="s">
        <v>6310</v>
      </c>
      <c r="J85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t="s">
        <v>1606</v>
      </c>
      <c r="E86" t="s">
        <v>6656</v>
      </c>
      <c r="F86" t="s">
        <v>51</v>
      </c>
      <c r="I86" t="s">
        <v>6545</v>
      </c>
      <c r="J86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t="s">
        <v>289</v>
      </c>
      <c r="E87" t="s">
        <v>6656</v>
      </c>
      <c r="F87" t="s">
        <v>6657</v>
      </c>
      <c r="I87" t="s">
        <v>6548</v>
      </c>
      <c r="J87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t="s">
        <v>4</v>
      </c>
      <c r="E88" t="s">
        <v>6867</v>
      </c>
      <c r="I88" t="s">
        <v>6703</v>
      </c>
      <c r="J8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t="s">
        <v>650</v>
      </c>
      <c r="E89" t="s">
        <v>6190</v>
      </c>
      <c r="F89" t="s">
        <v>51</v>
      </c>
      <c r="I89" t="s">
        <v>6706</v>
      </c>
      <c r="J89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t="s">
        <v>1606</v>
      </c>
      <c r="E90" t="s">
        <v>6190</v>
      </c>
      <c r="F90" t="s">
        <v>51</v>
      </c>
      <c r="I90" t="s">
        <v>6709</v>
      </c>
      <c r="J90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t="s">
        <v>2004</v>
      </c>
      <c r="E91" t="s">
        <v>8</v>
      </c>
      <c r="I91" t="s">
        <v>6905</v>
      </c>
      <c r="J91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t="s">
        <v>2004</v>
      </c>
      <c r="E92" t="s">
        <v>8</v>
      </c>
      <c r="I92" t="s">
        <v>6908</v>
      </c>
      <c r="J92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t="s">
        <v>2004</v>
      </c>
      <c r="E93" t="s">
        <v>8</v>
      </c>
      <c r="I93" t="s">
        <v>7184</v>
      </c>
      <c r="J93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t="s">
        <v>2004</v>
      </c>
      <c r="E94" t="s">
        <v>8</v>
      </c>
      <c r="I94" t="s">
        <v>7227</v>
      </c>
      <c r="J94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t="s">
        <v>1606</v>
      </c>
      <c r="E95" t="s">
        <v>7410</v>
      </c>
      <c r="F95" t="s">
        <v>60</v>
      </c>
      <c r="I95" t="s">
        <v>7230</v>
      </c>
      <c r="J95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t="s">
        <v>4216</v>
      </c>
      <c r="E96" t="s">
        <v>7410</v>
      </c>
      <c r="F96" t="s">
        <v>60</v>
      </c>
      <c r="I96" t="s">
        <v>7233</v>
      </c>
      <c r="J96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t="s">
        <v>290</v>
      </c>
      <c r="E97" t="s">
        <v>7410</v>
      </c>
      <c r="F97" t="s">
        <v>60</v>
      </c>
      <c r="I97" t="s">
        <v>7236</v>
      </c>
      <c r="J97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t="s">
        <v>650</v>
      </c>
      <c r="E98" t="s">
        <v>7410</v>
      </c>
      <c r="F98" t="s">
        <v>51</v>
      </c>
      <c r="I98" t="s">
        <v>7239</v>
      </c>
      <c r="J9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t="s">
        <v>2004</v>
      </c>
      <c r="E99" t="s">
        <v>8</v>
      </c>
      <c r="I99" t="s">
        <v>7568</v>
      </c>
      <c r="J99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t="s">
        <v>1606</v>
      </c>
      <c r="E100" t="s">
        <v>7706</v>
      </c>
      <c r="F100" t="s">
        <v>60</v>
      </c>
      <c r="I100" t="s">
        <v>7571</v>
      </c>
      <c r="J100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t="s">
        <v>6171</v>
      </c>
      <c r="E101" t="s">
        <v>7706</v>
      </c>
      <c r="F101" t="s">
        <v>60</v>
      </c>
      <c r="I101" t="s">
        <v>7574</v>
      </c>
      <c r="J101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t="s">
        <v>650</v>
      </c>
      <c r="E102" t="s">
        <v>7706</v>
      </c>
      <c r="F102" t="s">
        <v>51</v>
      </c>
      <c r="I102" t="s">
        <v>7577</v>
      </c>
      <c r="J102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t="s">
        <v>2004</v>
      </c>
      <c r="E103" t="s">
        <v>8</v>
      </c>
      <c r="I103" t="s">
        <v>7580</v>
      </c>
      <c r="J103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t="s">
        <v>2004</v>
      </c>
      <c r="E104" t="s">
        <v>8</v>
      </c>
      <c r="I104" t="s">
        <v>7828</v>
      </c>
      <c r="J104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t="s">
        <v>8042</v>
      </c>
      <c r="E105" t="s">
        <v>6656</v>
      </c>
      <c r="F105" t="s">
        <v>5076</v>
      </c>
      <c r="I105" t="s">
        <v>7992</v>
      </c>
      <c r="J105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t="s">
        <v>4</v>
      </c>
      <c r="E106" t="s">
        <v>6656</v>
      </c>
      <c r="F106" t="s">
        <v>5076</v>
      </c>
      <c r="H106" t="s">
        <v>8043</v>
      </c>
      <c r="I106" t="s">
        <v>7995</v>
      </c>
      <c r="J106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t="s">
        <v>4</v>
      </c>
      <c r="E107" t="s">
        <v>4193</v>
      </c>
      <c r="F107" t="s">
        <v>5076</v>
      </c>
      <c r="I107" t="s">
        <v>7998</v>
      </c>
      <c r="J107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t="s">
        <v>4</v>
      </c>
      <c r="E108" t="s">
        <v>8</v>
      </c>
      <c r="H108" t="s">
        <v>8044</v>
      </c>
      <c r="I108" t="s">
        <v>8001</v>
      </c>
      <c r="J108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t="s">
        <v>650</v>
      </c>
      <c r="E109" t="s">
        <v>6190</v>
      </c>
      <c r="F109" t="s">
        <v>51</v>
      </c>
      <c r="I109" t="s">
        <v>8004</v>
      </c>
      <c r="J109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t="s">
        <v>1606</v>
      </c>
      <c r="E110" t="s">
        <v>8041</v>
      </c>
      <c r="I110" t="s">
        <v>8007</v>
      </c>
      <c r="J110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t="s">
        <v>650</v>
      </c>
      <c r="E111" t="s">
        <v>8041</v>
      </c>
      <c r="I111" t="s">
        <v>8010</v>
      </c>
      <c r="J111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t="s">
        <v>1606</v>
      </c>
      <c r="E112" t="s">
        <v>6190</v>
      </c>
      <c r="I112" t="s">
        <v>8013</v>
      </c>
      <c r="J112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t="s">
        <v>4</v>
      </c>
      <c r="E113" t="s">
        <v>1607</v>
      </c>
      <c r="F113" t="s">
        <v>8330</v>
      </c>
      <c r="I113" t="s">
        <v>8090</v>
      </c>
      <c r="J113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t="s">
        <v>4</v>
      </c>
      <c r="E114" t="s">
        <v>8</v>
      </c>
      <c r="I114" t="s">
        <v>8093</v>
      </c>
      <c r="J114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t="s">
        <v>2004</v>
      </c>
      <c r="E115" t="s">
        <v>8</v>
      </c>
      <c r="I115" t="s">
        <v>8096</v>
      </c>
      <c r="J115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t="s">
        <v>2004</v>
      </c>
      <c r="E116" t="s">
        <v>8</v>
      </c>
      <c r="I116" t="s">
        <v>8099</v>
      </c>
      <c r="J116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t="s">
        <v>2004</v>
      </c>
      <c r="E117" t="s">
        <v>8</v>
      </c>
      <c r="I117" t="s">
        <v>8102</v>
      </c>
      <c r="J117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t="s">
        <v>2004</v>
      </c>
      <c r="E118" t="s">
        <v>8</v>
      </c>
      <c r="I118" t="s">
        <v>8105</v>
      </c>
      <c r="J118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t="s">
        <v>2004</v>
      </c>
      <c r="E119" t="s">
        <v>8</v>
      </c>
      <c r="I119" t="s">
        <v>8402</v>
      </c>
      <c r="J119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t="s">
        <v>2004</v>
      </c>
      <c r="E120" t="s">
        <v>8</v>
      </c>
      <c r="I120" t="s">
        <v>8405</v>
      </c>
      <c r="J120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t="s">
        <v>2004</v>
      </c>
      <c r="E121" t="s">
        <v>8</v>
      </c>
      <c r="I121" t="s">
        <v>8408</v>
      </c>
      <c r="J121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t="s">
        <v>2004</v>
      </c>
      <c r="E122" t="s">
        <v>8</v>
      </c>
      <c r="I122" t="s">
        <v>8640</v>
      </c>
      <c r="J122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t="s">
        <v>4</v>
      </c>
      <c r="E123" t="s">
        <v>8</v>
      </c>
      <c r="I123" t="s">
        <v>8643</v>
      </c>
      <c r="J123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t="s">
        <v>4</v>
      </c>
      <c r="E124" t="s">
        <v>8</v>
      </c>
      <c r="I124" t="s">
        <v>8646</v>
      </c>
      <c r="J124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t="s">
        <v>4</v>
      </c>
      <c r="E125" t="s">
        <v>8</v>
      </c>
      <c r="I125" t="s">
        <v>8649</v>
      </c>
      <c r="J125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t="s">
        <v>4</v>
      </c>
      <c r="E126" t="s">
        <v>1607</v>
      </c>
      <c r="I126" t="s">
        <v>8652</v>
      </c>
      <c r="J126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t="s">
        <v>4</v>
      </c>
      <c r="E127" t="s">
        <v>8803</v>
      </c>
      <c r="I127" t="s">
        <v>8655</v>
      </c>
      <c r="J127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t="s">
        <v>4</v>
      </c>
      <c r="E128" t="s">
        <v>8803</v>
      </c>
      <c r="I128" t="s">
        <v>8658</v>
      </c>
      <c r="J128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t="s">
        <v>1606</v>
      </c>
      <c r="E129" t="s">
        <v>8801</v>
      </c>
      <c r="I129" t="s">
        <v>8661</v>
      </c>
      <c r="J129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t="s">
        <v>1606</v>
      </c>
      <c r="E130" t="s">
        <v>8802</v>
      </c>
      <c r="I130" t="s">
        <v>8664</v>
      </c>
      <c r="J130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t="s">
        <v>650</v>
      </c>
      <c r="E131" t="s">
        <v>8802</v>
      </c>
      <c r="I131" t="s">
        <v>8667</v>
      </c>
      <c r="J131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t="s">
        <v>650</v>
      </c>
      <c r="E132" t="s">
        <v>8801</v>
      </c>
      <c r="I132" t="s">
        <v>8670</v>
      </c>
      <c r="J132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t="s">
        <v>2004</v>
      </c>
      <c r="E133" t="s">
        <v>8</v>
      </c>
      <c r="I133" t="s">
        <v>8673</v>
      </c>
      <c r="J133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t="s">
        <v>4</v>
      </c>
      <c r="E134" t="s">
        <v>8804</v>
      </c>
      <c r="I134" t="s">
        <v>8676</v>
      </c>
      <c r="J134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t="s">
        <v>2004</v>
      </c>
      <c r="E135" t="s">
        <v>8</v>
      </c>
      <c r="I135" t="s">
        <v>6161</v>
      </c>
      <c r="J135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t="s">
        <v>2004</v>
      </c>
      <c r="E136" t="s">
        <v>8</v>
      </c>
      <c r="I136" t="s">
        <v>7998</v>
      </c>
      <c r="J136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t="s">
        <v>4</v>
      </c>
      <c r="E137" t="s">
        <v>8803</v>
      </c>
      <c r="I137" t="s">
        <v>8988</v>
      </c>
      <c r="J137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t="s">
        <v>4</v>
      </c>
      <c r="E138" t="s">
        <v>8803</v>
      </c>
      <c r="I138" t="s">
        <v>8991</v>
      </c>
      <c r="J138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t="s">
        <v>4</v>
      </c>
      <c r="E139" t="s">
        <v>8803</v>
      </c>
      <c r="I139" t="s">
        <v>9255</v>
      </c>
      <c r="J139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t="s">
        <v>4</v>
      </c>
      <c r="E140" t="s">
        <v>8803</v>
      </c>
      <c r="I140" t="s">
        <v>9352</v>
      </c>
      <c r="J140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t="s">
        <v>4</v>
      </c>
      <c r="E141" t="s">
        <v>9367</v>
      </c>
      <c r="I141" t="s">
        <v>9355</v>
      </c>
      <c r="J141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t="s">
        <v>158</v>
      </c>
      <c r="E142" t="s">
        <v>5480</v>
      </c>
      <c r="F142" t="s">
        <v>528</v>
      </c>
      <c r="I142" t="s">
        <v>9358</v>
      </c>
      <c r="J142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t="s">
        <v>158</v>
      </c>
      <c r="E143" t="s">
        <v>5480</v>
      </c>
      <c r="F143" t="s">
        <v>528</v>
      </c>
      <c r="H143" t="s">
        <v>2936</v>
      </c>
      <c r="I143" t="s">
        <v>9361</v>
      </c>
      <c r="J143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t="s">
        <v>4</v>
      </c>
      <c r="E144" t="s">
        <v>9368</v>
      </c>
      <c r="I144" t="s">
        <v>9364</v>
      </c>
      <c r="J144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t="s">
        <v>4</v>
      </c>
      <c r="E145" t="s">
        <v>8803</v>
      </c>
      <c r="I145" t="s">
        <v>9633</v>
      </c>
      <c r="J145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t="s">
        <v>2004</v>
      </c>
      <c r="E146" t="s">
        <v>8</v>
      </c>
      <c r="I146" t="s">
        <v>9636</v>
      </c>
      <c r="J146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  <row r="147" spans="1:13" x14ac:dyDescent="0.25">
      <c r="A147" s="2" t="s">
        <v>13</v>
      </c>
      <c r="B147" s="4">
        <v>46041</v>
      </c>
      <c r="C147" s="5">
        <v>0.69586805555555553</v>
      </c>
      <c r="D147" t="s">
        <v>4</v>
      </c>
      <c r="E147" t="s">
        <v>8803</v>
      </c>
      <c r="I147" t="s">
        <v>9726</v>
      </c>
      <c r="J147" t="s">
        <v>2991</v>
      </c>
      <c r="K147" t="s">
        <v>9727</v>
      </c>
      <c r="L147" t="s">
        <v>9728</v>
      </c>
      <c r="M147" s="3" t="str">
        <f>HYPERLINK(склад2въезд13[[#This Row],[RelativePath]])</f>
        <v>4 Крыльцо офиса\K07156189_21_20260119T164203Z.jpg</v>
      </c>
    </row>
    <row r="148" spans="1:13" x14ac:dyDescent="0.25">
      <c r="A148" s="2" t="s">
        <v>14</v>
      </c>
      <c r="B148" s="4">
        <v>46042</v>
      </c>
      <c r="C148" s="5">
        <v>0.50453703703703701</v>
      </c>
      <c r="D148" t="s">
        <v>4</v>
      </c>
      <c r="E148" t="s">
        <v>8803</v>
      </c>
      <c r="I148" t="s">
        <v>9729</v>
      </c>
      <c r="J148" t="s">
        <v>2991</v>
      </c>
      <c r="K148" t="s">
        <v>9730</v>
      </c>
      <c r="L148" t="s">
        <v>9731</v>
      </c>
      <c r="M148" s="3" t="str">
        <f>HYPERLINK(склад2въезд13[[#This Row],[RelativePath]])</f>
        <v>4 Крыльцо офиса\K07156189_21_20260120T120632Z.jpg</v>
      </c>
    </row>
    <row r="149" spans="1:13" x14ac:dyDescent="0.25">
      <c r="A149" s="2" t="s">
        <v>14</v>
      </c>
      <c r="B149" s="4">
        <v>46042</v>
      </c>
      <c r="C149" s="5">
        <v>0.67519675925925926</v>
      </c>
      <c r="D149" t="s">
        <v>4</v>
      </c>
      <c r="E149" t="s">
        <v>8803</v>
      </c>
      <c r="I149" t="s">
        <v>9732</v>
      </c>
      <c r="J149" t="s">
        <v>2991</v>
      </c>
      <c r="K149" t="s">
        <v>9733</v>
      </c>
      <c r="L149" t="s">
        <v>9734</v>
      </c>
      <c r="M149" s="3" t="str">
        <f>HYPERLINK(склад2въезд13[[#This Row],[RelativePath]])</f>
        <v>4 Крыльцо офиса\K07156189_21_20260120T161217Z.jpg</v>
      </c>
    </row>
    <row r="150" spans="1:13" x14ac:dyDescent="0.25">
      <c r="A150" s="2" t="s">
        <v>15</v>
      </c>
      <c r="B150" s="4">
        <v>46043</v>
      </c>
      <c r="C150" s="5">
        <v>0.65590277777777772</v>
      </c>
      <c r="D150" t="s">
        <v>4</v>
      </c>
      <c r="E150" t="s">
        <v>8803</v>
      </c>
      <c r="I150" t="s">
        <v>10122</v>
      </c>
      <c r="J150" t="s">
        <v>2991</v>
      </c>
      <c r="K150" t="s">
        <v>10123</v>
      </c>
      <c r="L150" t="s">
        <v>10124</v>
      </c>
      <c r="M150" s="3" t="str">
        <f>HYPERLINK(склад2въезд13[[#This Row],[RelativePath]])</f>
        <v>4 Крыльцо офиса\K07156189_21_20260121T154430Z.jpg</v>
      </c>
    </row>
    <row r="151" spans="1:13" x14ac:dyDescent="0.25">
      <c r="A151" s="2" t="s">
        <v>15</v>
      </c>
      <c r="B151" s="4">
        <v>46043</v>
      </c>
      <c r="C151" s="5">
        <v>0.695775462962963</v>
      </c>
      <c r="D151" t="s">
        <v>4</v>
      </c>
      <c r="E151" t="s">
        <v>8803</v>
      </c>
      <c r="I151" t="s">
        <v>9960</v>
      </c>
      <c r="J151" t="s">
        <v>2991</v>
      </c>
      <c r="K151" t="s">
        <v>9961</v>
      </c>
      <c r="L151" t="s">
        <v>9962</v>
      </c>
      <c r="M151" s="3" t="str">
        <f>HYPERLINK(склад2въезд13[[#This Row],[RelativePath]])</f>
        <v>4 Крыльцо офиса\K07156189_21_20260121T164155Z.jpg</v>
      </c>
    </row>
    <row r="152" spans="1:13" x14ac:dyDescent="0.25">
      <c r="A152" s="2" t="s">
        <v>16</v>
      </c>
      <c r="B152" s="4">
        <v>46044</v>
      </c>
      <c r="C152" s="5">
        <v>0.45400462962962962</v>
      </c>
      <c r="D152" t="s">
        <v>4</v>
      </c>
      <c r="E152" t="s">
        <v>8803</v>
      </c>
      <c r="I152" t="s">
        <v>9963</v>
      </c>
      <c r="J152" t="s">
        <v>2991</v>
      </c>
      <c r="K152" t="s">
        <v>9964</v>
      </c>
      <c r="L152" t="s">
        <v>9965</v>
      </c>
      <c r="M152" s="3" t="str">
        <f>HYPERLINK(склад2въезд13[[#This Row],[RelativePath]])</f>
        <v>4 Крыльцо офиса\K07156189_21_20260122T105346Z.jpg</v>
      </c>
    </row>
    <row r="153" spans="1:13" x14ac:dyDescent="0.25">
      <c r="A153" s="2" t="s">
        <v>16</v>
      </c>
      <c r="B153" s="4">
        <v>46044</v>
      </c>
      <c r="C153" s="5">
        <v>0.71195601851851853</v>
      </c>
      <c r="D153" t="s">
        <v>4</v>
      </c>
      <c r="E153" t="s">
        <v>8803</v>
      </c>
      <c r="I153" t="s">
        <v>9966</v>
      </c>
      <c r="J153" t="s">
        <v>2991</v>
      </c>
      <c r="K153" t="s">
        <v>9967</v>
      </c>
      <c r="L153" t="s">
        <v>9968</v>
      </c>
      <c r="M153" s="3" t="str">
        <f>HYPERLINK(склад2въезд13[[#This Row],[RelativePath]])</f>
        <v>4 Крыльцо офиса\K07156189_21_20260122T170513Z.jpg</v>
      </c>
    </row>
    <row r="154" spans="1:13" x14ac:dyDescent="0.25">
      <c r="A154" s="2" t="s">
        <v>16</v>
      </c>
      <c r="B154" s="4">
        <v>46044</v>
      </c>
      <c r="C154" s="5">
        <v>0.97177083333333336</v>
      </c>
      <c r="D154" t="s">
        <v>4</v>
      </c>
      <c r="E154" t="s">
        <v>10164</v>
      </c>
      <c r="I154" t="s">
        <v>10186</v>
      </c>
      <c r="J154" t="s">
        <v>2991</v>
      </c>
      <c r="K154" t="s">
        <v>10187</v>
      </c>
      <c r="L154" t="s">
        <v>10188</v>
      </c>
      <c r="M154" s="3" t="str">
        <f>HYPERLINK(склад2въезд13[[#This Row],[RelativePath]])</f>
        <v>4 Крыльцо офиса\K07156189_21_20260122T231921Z.jpg</v>
      </c>
    </row>
    <row r="155" spans="1:13" x14ac:dyDescent="0.25">
      <c r="A155" s="2" t="s">
        <v>16</v>
      </c>
      <c r="B155" s="4">
        <v>46044</v>
      </c>
      <c r="C155" s="5">
        <v>0.98876157407407406</v>
      </c>
      <c r="D155" t="s">
        <v>4</v>
      </c>
      <c r="E155" t="s">
        <v>10164</v>
      </c>
      <c r="H155" t="s">
        <v>10280</v>
      </c>
      <c r="I155" t="s">
        <v>10268</v>
      </c>
      <c r="J155" t="s">
        <v>2991</v>
      </c>
      <c r="K155" t="s">
        <v>10269</v>
      </c>
      <c r="L155" t="s">
        <v>10270</v>
      </c>
      <c r="M155" s="3" t="str">
        <f>HYPERLINK(склад2въезд13[[#This Row],[RelativePath]])</f>
        <v>4 Крыльцо офиса\K07156189_21_20260122T234349Z.jpg</v>
      </c>
    </row>
    <row r="156" spans="1:13" x14ac:dyDescent="0.25">
      <c r="A156" s="2" t="s">
        <v>17</v>
      </c>
      <c r="B156" s="4">
        <v>46045</v>
      </c>
      <c r="C156" s="5">
        <v>4.1898148148148146E-3</v>
      </c>
      <c r="D156" t="s">
        <v>4</v>
      </c>
      <c r="E156" t="s">
        <v>10164</v>
      </c>
      <c r="H156" t="s">
        <v>10280</v>
      </c>
      <c r="I156" t="s">
        <v>10271</v>
      </c>
      <c r="J156" t="s">
        <v>2991</v>
      </c>
      <c r="K156" t="s">
        <v>10272</v>
      </c>
      <c r="L156" t="s">
        <v>10273</v>
      </c>
      <c r="M156" s="3" t="str">
        <f>HYPERLINK(склад2въезд13[[#This Row],[RelativePath]])</f>
        <v>4 Крыльцо офиса\K07156189_21_20260123T000602Z.jpg</v>
      </c>
    </row>
    <row r="157" spans="1:13" x14ac:dyDescent="0.25">
      <c r="A157" s="2" t="s">
        <v>17</v>
      </c>
      <c r="B157" s="4">
        <v>46045</v>
      </c>
      <c r="C157" s="5">
        <v>4.760416666666667E-2</v>
      </c>
      <c r="D157" t="s">
        <v>1606</v>
      </c>
      <c r="E157" t="s">
        <v>10165</v>
      </c>
      <c r="F157" t="s">
        <v>60</v>
      </c>
      <c r="I157" t="s">
        <v>10274</v>
      </c>
      <c r="J157" t="s">
        <v>2991</v>
      </c>
      <c r="K157" t="s">
        <v>10275</v>
      </c>
      <c r="L157" t="s">
        <v>10276</v>
      </c>
      <c r="M157" s="3" t="str">
        <f>HYPERLINK(склад2въезд13[[#This Row],[RelativePath]])</f>
        <v>4 Крыльцо офиса\K07156189_21_20260123T010833Z.jpg</v>
      </c>
    </row>
    <row r="158" spans="1:13" x14ac:dyDescent="0.25">
      <c r="A158" s="2" t="s">
        <v>17</v>
      </c>
      <c r="B158" s="4">
        <v>46045</v>
      </c>
      <c r="C158" s="5">
        <v>0.44877314814814817</v>
      </c>
      <c r="D158" t="s">
        <v>4</v>
      </c>
      <c r="E158" t="s">
        <v>8803</v>
      </c>
      <c r="I158" t="s">
        <v>10277</v>
      </c>
      <c r="J158" t="s">
        <v>2991</v>
      </c>
      <c r="K158" t="s">
        <v>10278</v>
      </c>
      <c r="L158" t="s">
        <v>10279</v>
      </c>
      <c r="M158" s="3" t="str">
        <f>HYPERLINK(склад2въезд13[[#This Row],[RelativePath]])</f>
        <v>4 Крыльцо офиса\K07156189_21_20260123T104614Z.jpg</v>
      </c>
    </row>
    <row r="159" spans="1:13" x14ac:dyDescent="0.25">
      <c r="A159" s="2" t="s">
        <v>18</v>
      </c>
      <c r="B159" s="4">
        <v>46046</v>
      </c>
      <c r="C159" s="5">
        <v>0.68717592592592591</v>
      </c>
      <c r="D159" t="s">
        <v>2004</v>
      </c>
      <c r="E159" t="s">
        <v>8</v>
      </c>
      <c r="I159" t="s">
        <v>10494</v>
      </c>
      <c r="J159" t="s">
        <v>2991</v>
      </c>
      <c r="K159" t="s">
        <v>10495</v>
      </c>
      <c r="L159" t="s">
        <v>10496</v>
      </c>
      <c r="M159" s="3" t="str">
        <f>HYPERLINK(склад2въезд13[[#This Row],[RelativePath]])</f>
        <v>4 Крыльцо офиса\K07156189_21_20260124T162932Z.jpg</v>
      </c>
    </row>
    <row r="160" spans="1:13" x14ac:dyDescent="0.25">
      <c r="A160" s="2" t="s">
        <v>22</v>
      </c>
      <c r="B160" s="4">
        <v>46047</v>
      </c>
      <c r="C160" s="5">
        <v>0.70804398148148151</v>
      </c>
      <c r="D160" t="s">
        <v>2004</v>
      </c>
      <c r="E160" t="s">
        <v>8</v>
      </c>
      <c r="I160" t="s">
        <v>10497</v>
      </c>
      <c r="J160" t="s">
        <v>2991</v>
      </c>
      <c r="K160" t="s">
        <v>10498</v>
      </c>
      <c r="L160" t="s">
        <v>10499</v>
      </c>
      <c r="M160" s="3" t="str">
        <f>HYPERLINK(склад2въезд13[[#This Row],[RelativePath]])</f>
        <v>4 Крыльцо офиса\K07156189_21_20260125T165935Z.jpg</v>
      </c>
    </row>
    <row r="161" spans="1:13" x14ac:dyDescent="0.25">
      <c r="A161" s="2" t="s">
        <v>13</v>
      </c>
      <c r="B161" s="4">
        <v>46048</v>
      </c>
      <c r="C161" s="5">
        <v>0.65995370370370365</v>
      </c>
      <c r="D161" t="s">
        <v>2004</v>
      </c>
      <c r="E161" t="s">
        <v>8</v>
      </c>
      <c r="I161" t="s">
        <v>10540</v>
      </c>
      <c r="J161" t="s">
        <v>2991</v>
      </c>
      <c r="K161" t="s">
        <v>10541</v>
      </c>
      <c r="L161" t="s">
        <v>10542</v>
      </c>
      <c r="M161" s="3" t="str">
        <f>HYPERLINK(склад2въезд13[[#This Row],[RelativePath]])</f>
        <v>4 Крыльцо офиса\K07156189_21_20260126T155020Z.jpg</v>
      </c>
    </row>
    <row r="162" spans="1:13" x14ac:dyDescent="0.25">
      <c r="A162" s="2" t="s">
        <v>14</v>
      </c>
      <c r="B162" s="4">
        <v>46049</v>
      </c>
      <c r="C162" s="5">
        <v>0.50178240740740743</v>
      </c>
      <c r="D162" t="s">
        <v>2004</v>
      </c>
      <c r="E162" t="s">
        <v>8</v>
      </c>
      <c r="I162" t="s">
        <v>10543</v>
      </c>
      <c r="J162" t="s">
        <v>2991</v>
      </c>
      <c r="K162" t="s">
        <v>10544</v>
      </c>
      <c r="L162" t="s">
        <v>10545</v>
      </c>
      <c r="M162" s="3" t="str">
        <f>HYPERLINK(склад2въезд13[[#This Row],[RelativePath]])</f>
        <v>4 Крыльцо офиса\K07156189_21_20260127T120234Z.jpg</v>
      </c>
    </row>
    <row r="163" spans="1:13" x14ac:dyDescent="0.25">
      <c r="A163" s="2" t="s">
        <v>15</v>
      </c>
      <c r="B163" s="4">
        <v>46050</v>
      </c>
      <c r="C163" s="5">
        <v>0.62151620370370375</v>
      </c>
      <c r="D163" t="s">
        <v>4</v>
      </c>
      <c r="E163" t="s">
        <v>10886</v>
      </c>
      <c r="I163" t="s">
        <v>10710</v>
      </c>
      <c r="J163" t="s">
        <v>2991</v>
      </c>
      <c r="K163" t="s">
        <v>10711</v>
      </c>
      <c r="L163" t="s">
        <v>10712</v>
      </c>
      <c r="M163" s="3" t="str">
        <f>HYPERLINK(склад2въезд13[[#This Row],[RelativePath]])</f>
        <v>4 Крыльцо офиса\K07156189_21_20260128T145459Z.jpg</v>
      </c>
    </row>
    <row r="164" spans="1:13" x14ac:dyDescent="0.25">
      <c r="A164" s="2" t="s">
        <v>16</v>
      </c>
      <c r="B164" s="4">
        <v>46051</v>
      </c>
      <c r="C164" s="5">
        <v>0.52840277777777778</v>
      </c>
      <c r="D164" t="s">
        <v>4</v>
      </c>
      <c r="E164" t="s">
        <v>8803</v>
      </c>
      <c r="I164" t="s">
        <v>10713</v>
      </c>
      <c r="J164" t="s">
        <v>2991</v>
      </c>
      <c r="K164" t="s">
        <v>10714</v>
      </c>
      <c r="L164" t="s">
        <v>10715</v>
      </c>
      <c r="M164" s="3" t="str">
        <f>HYPERLINK(склад2въезд13[[#This Row],[RelativePath]])</f>
        <v>4 Крыльцо офиса\K07156189_21_20260129T124054Z.jpg</v>
      </c>
    </row>
    <row r="165" spans="1:13" x14ac:dyDescent="0.25">
      <c r="A165" s="2" t="s">
        <v>17</v>
      </c>
      <c r="B165" s="4">
        <v>46052</v>
      </c>
      <c r="C165" s="5">
        <v>0.38755787037037037</v>
      </c>
      <c r="D165" t="s">
        <v>4</v>
      </c>
      <c r="E165" t="s">
        <v>70</v>
      </c>
      <c r="F165" t="s">
        <v>5093</v>
      </c>
      <c r="I165" t="s">
        <v>10908</v>
      </c>
      <c r="J165" t="s">
        <v>2991</v>
      </c>
      <c r="K165" t="s">
        <v>10909</v>
      </c>
      <c r="L165" t="s">
        <v>10910</v>
      </c>
      <c r="M165" s="3" t="str">
        <f>HYPERLINK(склад2въезд13[[#This Row],[RelativePath]])</f>
        <v>4 Крыльцо офиса\K07156189_21_20260130T091805Z.jpg</v>
      </c>
    </row>
    <row r="166" spans="1:13" x14ac:dyDescent="0.25">
      <c r="A166" s="2" t="s">
        <v>17</v>
      </c>
      <c r="B166" s="4">
        <v>46052</v>
      </c>
      <c r="C166" s="5">
        <v>0.38785879629629627</v>
      </c>
      <c r="D166" t="s">
        <v>289</v>
      </c>
      <c r="E166" t="s">
        <v>70</v>
      </c>
      <c r="F166" t="s">
        <v>5093</v>
      </c>
      <c r="I166" t="s">
        <v>10911</v>
      </c>
      <c r="J166" t="s">
        <v>2991</v>
      </c>
      <c r="K166" t="s">
        <v>10912</v>
      </c>
      <c r="L166" t="s">
        <v>10913</v>
      </c>
      <c r="M166" s="3" t="str">
        <f>HYPERLINK(склад2въезд13[[#This Row],[RelativePath]])</f>
        <v>4 Крыльцо офиса\K07156189_21_20260130T091831Z.jpg</v>
      </c>
    </row>
    <row r="167" spans="1:13" x14ac:dyDescent="0.25">
      <c r="A167" s="2" t="s">
        <v>18</v>
      </c>
      <c r="B167" s="4">
        <v>46053</v>
      </c>
      <c r="C167" s="5">
        <v>0.48790509259259257</v>
      </c>
      <c r="D167" t="s">
        <v>2004</v>
      </c>
      <c r="E167" t="s">
        <v>8</v>
      </c>
      <c r="I167" t="s">
        <v>11028</v>
      </c>
      <c r="J167" t="s">
        <v>2991</v>
      </c>
      <c r="K167" t="s">
        <v>11029</v>
      </c>
      <c r="L167" t="s">
        <v>11030</v>
      </c>
      <c r="M167" s="3" t="str">
        <f>HYPERLINK(склад2въезд13[[#This Row],[RelativePath]])</f>
        <v>4 Крыльцо офиса\K07156189_21_20260131T114235Z.jpg</v>
      </c>
    </row>
    <row r="168" spans="1:13" x14ac:dyDescent="0.25">
      <c r="A168" s="2" t="s">
        <v>22</v>
      </c>
      <c r="B168" s="4">
        <v>46054</v>
      </c>
      <c r="C168" s="5">
        <v>0.70708333333333329</v>
      </c>
      <c r="D168" t="s">
        <v>2004</v>
      </c>
      <c r="E168" t="s">
        <v>8</v>
      </c>
      <c r="I168" t="s">
        <v>11031</v>
      </c>
      <c r="J168" t="s">
        <v>2991</v>
      </c>
      <c r="K168" t="s">
        <v>11032</v>
      </c>
      <c r="L168" t="s">
        <v>11033</v>
      </c>
      <c r="M168" s="3" t="str">
        <f>HYPERLINK(склад2въезд13[[#This Row],[RelativePath]])</f>
        <v>4 Крыльцо офиса\K07156189_21_20260201T165812Z.jpg</v>
      </c>
    </row>
  </sheetData>
  <conditionalFormatting sqref="D169:D179 E169:E182 G2:H168 D2:E168">
    <cfRule type="containsText" dxfId="704" priority="14" operator="containsText" text="Выезд с территории">
      <formula>NOT(ISERROR(SEARCH("Выезд с территории",D2)))</formula>
    </cfRule>
  </conditionalFormatting>
  <conditionalFormatting sqref="F2:F168">
    <cfRule type="notContainsText" dxfId="703" priority="13" operator="notContains" text="порожний">
      <formula>ISERROR(SEARCH("порожний",F2))</formula>
    </cfRule>
  </conditionalFormatting>
  <conditionalFormatting sqref="E2:E182">
    <cfRule type="containsText" dxfId="702" priority="11" operator="containsText" text="Газель базы">
      <formula>NOT(ISERROR(SEARCH("Газель базы",E2)))</formula>
    </cfRule>
    <cfRule type="containsText" dxfId="701" priority="12" operator="containsText" text="Погрузчик базы">
      <formula>NOT(ISERROR(SEARCH("Погрузчик базы",E2)))</formula>
    </cfRule>
  </conditionalFormatting>
  <conditionalFormatting sqref="E2:E182">
    <cfRule type="containsText" dxfId="700" priority="10" operator="containsText" text="Трактор базы">
      <formula>NOT(ISERROR(SEARCH("Трактор базы",E2)))</formula>
    </cfRule>
  </conditionalFormatting>
  <conditionalFormatting sqref="A2:C168">
    <cfRule type="expression" dxfId="699" priority="9">
      <formula>$A2="пн"</formula>
    </cfRule>
  </conditionalFormatting>
  <conditionalFormatting sqref="A2:C170">
    <cfRule type="expression" dxfId="698" priority="3">
      <formula>$A2="вс"</formula>
    </cfRule>
    <cfRule type="expression" dxfId="697" priority="4">
      <formula>$A2="сб"</formula>
    </cfRule>
    <cfRule type="expression" dxfId="696" priority="5">
      <formula>$A2="пт"</formula>
    </cfRule>
    <cfRule type="expression" dxfId="695" priority="6">
      <formula>$A2="чт"</formula>
    </cfRule>
    <cfRule type="expression" dxfId="694" priority="7">
      <formula>$A2="ср"</formula>
    </cfRule>
    <cfRule type="expression" dxfId="693" priority="8">
      <formula>$A2="вт"</formula>
    </cfRule>
  </conditionalFormatting>
  <conditionalFormatting sqref="D2:D179">
    <cfRule type="containsText" dxfId="69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9">
    <cfRule type="containsText" dxfId="69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04"/>
  <sheetViews>
    <sheetView topLeftCell="B1" zoomScale="90" zoomScaleNormal="90" workbookViewId="0">
      <pane ySplit="1" topLeftCell="A292" activePane="bottomLeft" state="frozen"/>
      <selection pane="bottomLeft" activeCell="I302" sqref="I302:I30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t="s">
        <v>4</v>
      </c>
      <c r="E2" t="s">
        <v>8</v>
      </c>
      <c r="H2" t="s">
        <v>5</v>
      </c>
      <c r="I2" t="s">
        <v>333</v>
      </c>
      <c r="J2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t="s">
        <v>460</v>
      </c>
      <c r="E3" t="s">
        <v>461</v>
      </c>
      <c r="I3" t="s">
        <v>337</v>
      </c>
      <c r="J3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t="s">
        <v>7</v>
      </c>
      <c r="E4" t="s">
        <v>461</v>
      </c>
      <c r="I4" t="s">
        <v>340</v>
      </c>
      <c r="J4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t="s">
        <v>4</v>
      </c>
      <c r="E5" t="s">
        <v>463</v>
      </c>
      <c r="I5" t="s">
        <v>343</v>
      </c>
      <c r="J5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t="s">
        <v>4</v>
      </c>
      <c r="E6" t="s">
        <v>462</v>
      </c>
      <c r="I6" t="s">
        <v>346</v>
      </c>
      <c r="J6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t="s">
        <v>4</v>
      </c>
      <c r="E7" t="s">
        <v>462</v>
      </c>
      <c r="I7" t="s">
        <v>349</v>
      </c>
      <c r="J7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t="s">
        <v>4</v>
      </c>
      <c r="E8" t="s">
        <v>463</v>
      </c>
      <c r="I8" t="s">
        <v>352</v>
      </c>
      <c r="J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t="s">
        <v>4</v>
      </c>
      <c r="E9" t="s">
        <v>464</v>
      </c>
      <c r="I9" t="s">
        <v>355</v>
      </c>
      <c r="J9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t="s">
        <v>4</v>
      </c>
      <c r="E10" t="s">
        <v>8</v>
      </c>
      <c r="H10" t="s">
        <v>5</v>
      </c>
      <c r="I10" t="s">
        <v>358</v>
      </c>
      <c r="J10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t="s">
        <v>4</v>
      </c>
      <c r="E11" t="s">
        <v>465</v>
      </c>
      <c r="I11" t="s">
        <v>361</v>
      </c>
      <c r="J11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t="s">
        <v>467</v>
      </c>
      <c r="E12" t="s">
        <v>67</v>
      </c>
      <c r="I12" t="s">
        <v>364</v>
      </c>
      <c r="J12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t="s">
        <v>289</v>
      </c>
      <c r="E13" t="s">
        <v>67</v>
      </c>
      <c r="F13" t="s">
        <v>468</v>
      </c>
      <c r="I13" t="s">
        <v>367</v>
      </c>
      <c r="J13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t="s">
        <v>289</v>
      </c>
      <c r="E14" t="s">
        <v>67</v>
      </c>
      <c r="F14" t="s">
        <v>468</v>
      </c>
      <c r="I14" t="s">
        <v>370</v>
      </c>
      <c r="J14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t="s">
        <v>289</v>
      </c>
      <c r="E15" t="s">
        <v>67</v>
      </c>
      <c r="F15" t="s">
        <v>468</v>
      </c>
      <c r="I15" t="s">
        <v>373</v>
      </c>
      <c r="J15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t="s">
        <v>289</v>
      </c>
      <c r="E16" t="s">
        <v>67</v>
      </c>
      <c r="F16" t="s">
        <v>468</v>
      </c>
      <c r="I16" t="s">
        <v>376</v>
      </c>
      <c r="J16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t="s">
        <v>289</v>
      </c>
      <c r="E17" t="s">
        <v>67</v>
      </c>
      <c r="F17" t="s">
        <v>468</v>
      </c>
      <c r="I17" t="s">
        <v>379</v>
      </c>
      <c r="J17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t="s">
        <v>289</v>
      </c>
      <c r="E18" t="s">
        <v>67</v>
      </c>
      <c r="F18" t="s">
        <v>468</v>
      </c>
      <c r="I18" t="s">
        <v>382</v>
      </c>
      <c r="J1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t="s">
        <v>289</v>
      </c>
      <c r="E19" t="s">
        <v>67</v>
      </c>
      <c r="F19" t="s">
        <v>468</v>
      </c>
      <c r="I19" t="s">
        <v>385</v>
      </c>
      <c r="J19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t="s">
        <v>289</v>
      </c>
      <c r="E20" t="s">
        <v>67</v>
      </c>
      <c r="F20" t="s">
        <v>468</v>
      </c>
      <c r="I20" t="s">
        <v>388</v>
      </c>
      <c r="J20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t="s">
        <v>289</v>
      </c>
      <c r="E21" t="s">
        <v>67</v>
      </c>
      <c r="F21" t="s">
        <v>468</v>
      </c>
      <c r="I21" t="s">
        <v>391</v>
      </c>
      <c r="J21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t="s">
        <v>289</v>
      </c>
      <c r="E22" t="s">
        <v>67</v>
      </c>
      <c r="F22" t="s">
        <v>468</v>
      </c>
      <c r="I22" t="s">
        <v>394</v>
      </c>
      <c r="J22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t="s">
        <v>289</v>
      </c>
      <c r="E23" t="s">
        <v>67</v>
      </c>
      <c r="F23" t="s">
        <v>468</v>
      </c>
      <c r="I23" t="s">
        <v>397</v>
      </c>
      <c r="J23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t="s">
        <v>289</v>
      </c>
      <c r="E24" t="s">
        <v>67</v>
      </c>
      <c r="F24" t="s">
        <v>468</v>
      </c>
      <c r="I24" t="s">
        <v>400</v>
      </c>
      <c r="J24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t="s">
        <v>289</v>
      </c>
      <c r="E25" t="s">
        <v>67</v>
      </c>
      <c r="F25" t="s">
        <v>468</v>
      </c>
      <c r="I25" t="s">
        <v>403</v>
      </c>
      <c r="J25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t="s">
        <v>289</v>
      </c>
      <c r="E26" t="s">
        <v>67</v>
      </c>
      <c r="F26" t="s">
        <v>468</v>
      </c>
      <c r="I26" t="s">
        <v>406</v>
      </c>
      <c r="J26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t="s">
        <v>289</v>
      </c>
      <c r="E27" t="s">
        <v>67</v>
      </c>
      <c r="F27" t="s">
        <v>469</v>
      </c>
      <c r="H27" t="s">
        <v>470</v>
      </c>
      <c r="I27" t="s">
        <v>409</v>
      </c>
      <c r="J27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t="s">
        <v>471</v>
      </c>
      <c r="E28" t="s">
        <v>67</v>
      </c>
      <c r="F28" t="s">
        <v>468</v>
      </c>
      <c r="I28" t="s">
        <v>412</v>
      </c>
      <c r="J2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t="s">
        <v>472</v>
      </c>
      <c r="E29" t="s">
        <v>67</v>
      </c>
      <c r="F29" t="s">
        <v>468</v>
      </c>
      <c r="I29" t="s">
        <v>415</v>
      </c>
      <c r="J29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t="s">
        <v>4</v>
      </c>
      <c r="E30" t="s">
        <v>473</v>
      </c>
      <c r="I30" t="s">
        <v>418</v>
      </c>
      <c r="J30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t="s">
        <v>4</v>
      </c>
      <c r="E31" t="s">
        <v>8</v>
      </c>
      <c r="H31" t="s">
        <v>5</v>
      </c>
      <c r="I31" t="s">
        <v>421</v>
      </c>
      <c r="J31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t="s">
        <v>4</v>
      </c>
      <c r="E32" t="s">
        <v>8</v>
      </c>
      <c r="I32" t="s">
        <v>424</v>
      </c>
      <c r="J32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t="s">
        <v>4</v>
      </c>
      <c r="E33" t="s">
        <v>477</v>
      </c>
      <c r="H33" t="s">
        <v>478</v>
      </c>
      <c r="I33" t="s">
        <v>427</v>
      </c>
      <c r="J33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t="s">
        <v>4</v>
      </c>
      <c r="E34" t="s">
        <v>8</v>
      </c>
      <c r="H34" t="s">
        <v>5</v>
      </c>
      <c r="I34" t="s">
        <v>430</v>
      </c>
      <c r="J34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t="s">
        <v>4</v>
      </c>
      <c r="E35" t="s">
        <v>8</v>
      </c>
      <c r="H35" t="s">
        <v>474</v>
      </c>
      <c r="I35" t="s">
        <v>433</v>
      </c>
      <c r="J35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t="s">
        <v>4</v>
      </c>
      <c r="E36" t="s">
        <v>8</v>
      </c>
      <c r="I36" t="s">
        <v>436</v>
      </c>
      <c r="J36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t="s">
        <v>4</v>
      </c>
      <c r="E37" t="s">
        <v>8</v>
      </c>
      <c r="H37" t="s">
        <v>6</v>
      </c>
      <c r="I37" t="s">
        <v>439</v>
      </c>
      <c r="J37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t="s">
        <v>4</v>
      </c>
      <c r="E38" t="s">
        <v>8</v>
      </c>
      <c r="H38" t="s">
        <v>5</v>
      </c>
      <c r="I38" t="s">
        <v>442</v>
      </c>
      <c r="J3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t="s">
        <v>4</v>
      </c>
      <c r="E39" t="s">
        <v>475</v>
      </c>
      <c r="I39" t="s">
        <v>445</v>
      </c>
      <c r="J39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t="s">
        <v>4</v>
      </c>
      <c r="E40" t="s">
        <v>475</v>
      </c>
      <c r="I40" t="s">
        <v>448</v>
      </c>
      <c r="J40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t="s">
        <v>4</v>
      </c>
      <c r="E41" t="s">
        <v>479</v>
      </c>
      <c r="H41" t="s">
        <v>476</v>
      </c>
      <c r="I41" t="s">
        <v>451</v>
      </c>
      <c r="J41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t="s">
        <v>4</v>
      </c>
      <c r="E42" t="s">
        <v>8</v>
      </c>
      <c r="I42" t="s">
        <v>454</v>
      </c>
      <c r="J42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t="s">
        <v>4</v>
      </c>
      <c r="E43" t="s">
        <v>8</v>
      </c>
      <c r="H43" t="s">
        <v>6</v>
      </c>
      <c r="I43" t="s">
        <v>457</v>
      </c>
      <c r="J43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t="s">
        <v>4</v>
      </c>
      <c r="E44" t="s">
        <v>8</v>
      </c>
      <c r="H44" t="s">
        <v>1625</v>
      </c>
      <c r="I44" t="s">
        <v>1295</v>
      </c>
      <c r="J44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t="s">
        <v>4</v>
      </c>
      <c r="E45" t="s">
        <v>8</v>
      </c>
      <c r="H45" t="s">
        <v>2009</v>
      </c>
      <c r="I45" t="s">
        <v>1298</v>
      </c>
      <c r="J45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t="s">
        <v>4</v>
      </c>
      <c r="E46" t="s">
        <v>2014</v>
      </c>
      <c r="H46" t="s">
        <v>1625</v>
      </c>
      <c r="I46" t="s">
        <v>1301</v>
      </c>
      <c r="J46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t="s">
        <v>4</v>
      </c>
      <c r="E47" t="s">
        <v>8</v>
      </c>
      <c r="I47" t="s">
        <v>2094</v>
      </c>
      <c r="J47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t="s">
        <v>4</v>
      </c>
      <c r="E48" t="s">
        <v>8</v>
      </c>
      <c r="I48" t="s">
        <v>2097</v>
      </c>
      <c r="J4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t="s">
        <v>4</v>
      </c>
      <c r="E49" t="s">
        <v>8</v>
      </c>
      <c r="I49" t="s">
        <v>2100</v>
      </c>
      <c r="J49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t="s">
        <v>4</v>
      </c>
      <c r="E50" t="s">
        <v>8</v>
      </c>
      <c r="I50" t="s">
        <v>2103</v>
      </c>
      <c r="J50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t="s">
        <v>4</v>
      </c>
      <c r="E51" t="s">
        <v>8</v>
      </c>
      <c r="I51" t="s">
        <v>2106</v>
      </c>
      <c r="J51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t="s">
        <v>4</v>
      </c>
      <c r="E52" t="s">
        <v>8</v>
      </c>
      <c r="I52" t="s">
        <v>2109</v>
      </c>
      <c r="J52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t="s">
        <v>4</v>
      </c>
      <c r="E53" t="s">
        <v>8</v>
      </c>
      <c r="I53" t="s">
        <v>2112</v>
      </c>
      <c r="J53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t="s">
        <v>4</v>
      </c>
      <c r="E54" t="s">
        <v>8</v>
      </c>
      <c r="I54" t="s">
        <v>3079</v>
      </c>
      <c r="J54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t="s">
        <v>4</v>
      </c>
      <c r="E55" t="s">
        <v>8</v>
      </c>
      <c r="I55" t="s">
        <v>3082</v>
      </c>
      <c r="J55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t="s">
        <v>4</v>
      </c>
      <c r="E56" t="s">
        <v>8</v>
      </c>
      <c r="I56" t="s">
        <v>3085</v>
      </c>
      <c r="J56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t="s">
        <v>4</v>
      </c>
      <c r="E57" t="s">
        <v>8</v>
      </c>
      <c r="I57" t="s">
        <v>3088</v>
      </c>
      <c r="J57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t="s">
        <v>4</v>
      </c>
      <c r="E58" t="s">
        <v>8</v>
      </c>
      <c r="I58" t="s">
        <v>3091</v>
      </c>
      <c r="J5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t="s">
        <v>4</v>
      </c>
      <c r="E59" t="s">
        <v>8</v>
      </c>
      <c r="I59" t="s">
        <v>3094</v>
      </c>
      <c r="J59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t="s">
        <v>4</v>
      </c>
      <c r="E60" t="s">
        <v>8</v>
      </c>
      <c r="I60" t="s">
        <v>3097</v>
      </c>
      <c r="J60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t="s">
        <v>4</v>
      </c>
      <c r="E61" t="s">
        <v>8</v>
      </c>
      <c r="I61" t="s">
        <v>3100</v>
      </c>
      <c r="J61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t="s">
        <v>2004</v>
      </c>
      <c r="I62" t="s">
        <v>4270</v>
      </c>
      <c r="J62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t="s">
        <v>1094</v>
      </c>
      <c r="E63" t="s">
        <v>4247</v>
      </c>
      <c r="F63" t="s">
        <v>58</v>
      </c>
      <c r="H63" t="s">
        <v>5102</v>
      </c>
      <c r="I63" t="s">
        <v>5097</v>
      </c>
      <c r="J63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t="s">
        <v>4</v>
      </c>
      <c r="E64" t="s">
        <v>8</v>
      </c>
      <c r="I64" t="s">
        <v>4489</v>
      </c>
      <c r="J64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t="s">
        <v>1615</v>
      </c>
      <c r="E65" t="s">
        <v>86</v>
      </c>
      <c r="F65" t="s">
        <v>200</v>
      </c>
      <c r="I65" t="s">
        <v>4492</v>
      </c>
      <c r="J65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t="s">
        <v>4</v>
      </c>
      <c r="E66" t="s">
        <v>8</v>
      </c>
      <c r="I66" t="s">
        <v>4495</v>
      </c>
      <c r="J66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t="s">
        <v>1615</v>
      </c>
      <c r="E67" t="s">
        <v>86</v>
      </c>
      <c r="F67" t="s">
        <v>200</v>
      </c>
      <c r="I67" t="s">
        <v>4498</v>
      </c>
      <c r="J67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t="s">
        <v>1615</v>
      </c>
      <c r="E68" t="s">
        <v>86</v>
      </c>
      <c r="F68" t="s">
        <v>5103</v>
      </c>
      <c r="H68" t="s">
        <v>5104</v>
      </c>
      <c r="I68" t="s">
        <v>4501</v>
      </c>
      <c r="J6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t="s">
        <v>1615</v>
      </c>
      <c r="E69" t="s">
        <v>86</v>
      </c>
      <c r="F69" t="s">
        <v>200</v>
      </c>
      <c r="I69" t="s">
        <v>4504</v>
      </c>
      <c r="J69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t="s">
        <v>1094</v>
      </c>
      <c r="E70" t="s">
        <v>4247</v>
      </c>
      <c r="F70" t="s">
        <v>60</v>
      </c>
      <c r="H70" t="s">
        <v>5102</v>
      </c>
      <c r="I70" t="s">
        <v>4507</v>
      </c>
      <c r="J70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t="s">
        <v>1094</v>
      </c>
      <c r="E71" t="s">
        <v>4247</v>
      </c>
      <c r="F71" t="s">
        <v>60</v>
      </c>
      <c r="H71" t="s">
        <v>2936</v>
      </c>
      <c r="I71" t="s">
        <v>4510</v>
      </c>
      <c r="J71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t="s">
        <v>4</v>
      </c>
      <c r="E72" t="s">
        <v>8</v>
      </c>
      <c r="H72" t="s">
        <v>2936</v>
      </c>
      <c r="I72" t="s">
        <v>4513</v>
      </c>
      <c r="J72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t="s">
        <v>4</v>
      </c>
      <c r="E73" t="s">
        <v>8</v>
      </c>
      <c r="H73" t="s">
        <v>2936</v>
      </c>
      <c r="I73" t="s">
        <v>4516</v>
      </c>
      <c r="J73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t="s">
        <v>4</v>
      </c>
      <c r="E74" t="s">
        <v>8</v>
      </c>
      <c r="H74" t="s">
        <v>2936</v>
      </c>
      <c r="I74" t="s">
        <v>4519</v>
      </c>
      <c r="J74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t="s">
        <v>1606</v>
      </c>
      <c r="E75" t="s">
        <v>70</v>
      </c>
      <c r="I75" t="s">
        <v>4522</v>
      </c>
      <c r="J75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t="s">
        <v>290</v>
      </c>
      <c r="E76" t="s">
        <v>70</v>
      </c>
      <c r="F76" t="s">
        <v>5093</v>
      </c>
      <c r="I76" t="s">
        <v>4525</v>
      </c>
      <c r="J76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t="s">
        <v>466</v>
      </c>
      <c r="E77" t="s">
        <v>86</v>
      </c>
      <c r="F77" t="s">
        <v>5093</v>
      </c>
      <c r="I77" t="s">
        <v>4528</v>
      </c>
      <c r="J77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t="s">
        <v>1615</v>
      </c>
      <c r="E78" t="s">
        <v>86</v>
      </c>
      <c r="F78" t="s">
        <v>5093</v>
      </c>
      <c r="I78" t="s">
        <v>4531</v>
      </c>
      <c r="J7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t="s">
        <v>466</v>
      </c>
      <c r="E79" t="s">
        <v>86</v>
      </c>
      <c r="F79" t="s">
        <v>5093</v>
      </c>
      <c r="I79" t="s">
        <v>5099</v>
      </c>
      <c r="J79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t="s">
        <v>5105</v>
      </c>
      <c r="I80" t="s">
        <v>4534</v>
      </c>
      <c r="J80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t="s">
        <v>1615</v>
      </c>
      <c r="E81" t="s">
        <v>86</v>
      </c>
      <c r="F81" t="s">
        <v>5093</v>
      </c>
      <c r="I81" t="s">
        <v>4537</v>
      </c>
      <c r="J81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t="s">
        <v>4</v>
      </c>
      <c r="E82" t="s">
        <v>8</v>
      </c>
      <c r="I82" t="s">
        <v>4540</v>
      </c>
      <c r="J82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t="s">
        <v>1606</v>
      </c>
      <c r="E83" t="s">
        <v>70</v>
      </c>
      <c r="I83" t="s">
        <v>4543</v>
      </c>
      <c r="J83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t="s">
        <v>1606</v>
      </c>
      <c r="E84" t="s">
        <v>55</v>
      </c>
      <c r="I84" t="s">
        <v>4546</v>
      </c>
      <c r="J84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t="s">
        <v>290</v>
      </c>
      <c r="E85" t="s">
        <v>70</v>
      </c>
      <c r="F85" t="s">
        <v>5093</v>
      </c>
      <c r="I85" t="s">
        <v>4549</v>
      </c>
      <c r="J85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t="s">
        <v>4</v>
      </c>
      <c r="E86" t="s">
        <v>8</v>
      </c>
      <c r="I86" t="s">
        <v>4552</v>
      </c>
      <c r="J86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t="s">
        <v>2004</v>
      </c>
      <c r="I87" t="s">
        <v>4555</v>
      </c>
      <c r="J87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t="s">
        <v>1606</v>
      </c>
      <c r="E88" t="s">
        <v>5263</v>
      </c>
      <c r="F88" t="s">
        <v>4233</v>
      </c>
      <c r="I88" t="s">
        <v>5148</v>
      </c>
      <c r="J8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t="s">
        <v>289</v>
      </c>
      <c r="E89" t="s">
        <v>5263</v>
      </c>
      <c r="F89" t="s">
        <v>5093</v>
      </c>
      <c r="I89" t="s">
        <v>5151</v>
      </c>
      <c r="J89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t="s">
        <v>289</v>
      </c>
      <c r="E90" t="s">
        <v>5263</v>
      </c>
      <c r="F90" t="s">
        <v>5093</v>
      </c>
      <c r="H90" t="s">
        <v>2936</v>
      </c>
      <c r="I90" t="s">
        <v>5154</v>
      </c>
      <c r="J90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t="s">
        <v>289</v>
      </c>
      <c r="E91" t="s">
        <v>5263</v>
      </c>
      <c r="F91" t="s">
        <v>5093</v>
      </c>
      <c r="H91" t="s">
        <v>2936</v>
      </c>
      <c r="I91" t="s">
        <v>5157</v>
      </c>
      <c r="J91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t="s">
        <v>289</v>
      </c>
      <c r="E92" t="s">
        <v>5263</v>
      </c>
      <c r="F92" t="s">
        <v>5093</v>
      </c>
      <c r="H92" t="s">
        <v>2936</v>
      </c>
      <c r="I92" t="s">
        <v>5160</v>
      </c>
      <c r="J92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t="s">
        <v>289</v>
      </c>
      <c r="E93" t="s">
        <v>5263</v>
      </c>
      <c r="F93" t="s">
        <v>5093</v>
      </c>
      <c r="H93" t="s">
        <v>2936</v>
      </c>
      <c r="I93" t="s">
        <v>5163</v>
      </c>
      <c r="J93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t="s">
        <v>289</v>
      </c>
      <c r="E94" t="s">
        <v>5263</v>
      </c>
      <c r="F94" t="s">
        <v>5093</v>
      </c>
      <c r="H94" t="s">
        <v>2936</v>
      </c>
      <c r="I94" t="s">
        <v>5166</v>
      </c>
      <c r="J94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t="s">
        <v>4232</v>
      </c>
      <c r="E95" t="s">
        <v>5263</v>
      </c>
      <c r="F95" t="s">
        <v>1609</v>
      </c>
      <c r="I95" t="s">
        <v>5169</v>
      </c>
      <c r="J95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t="s">
        <v>650</v>
      </c>
      <c r="E96" t="s">
        <v>5263</v>
      </c>
      <c r="F96" t="s">
        <v>1609</v>
      </c>
      <c r="I96" t="s">
        <v>5172</v>
      </c>
      <c r="J96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t="s">
        <v>4</v>
      </c>
      <c r="E97" t="s">
        <v>8</v>
      </c>
      <c r="I97" t="s">
        <v>5304</v>
      </c>
      <c r="J97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t="s">
        <v>2004</v>
      </c>
      <c r="E98" t="s">
        <v>8</v>
      </c>
      <c r="I98" t="s">
        <v>5307</v>
      </c>
      <c r="J9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t="s">
        <v>2004</v>
      </c>
      <c r="E99" t="s">
        <v>8</v>
      </c>
      <c r="I99" t="s">
        <v>5708</v>
      </c>
      <c r="J99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t="s">
        <v>4</v>
      </c>
      <c r="E100" t="s">
        <v>1607</v>
      </c>
      <c r="F100" t="s">
        <v>6175</v>
      </c>
      <c r="I100" t="s">
        <v>5711</v>
      </c>
      <c r="J100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t="s">
        <v>2004</v>
      </c>
      <c r="E101" t="s">
        <v>8</v>
      </c>
      <c r="I101" t="s">
        <v>5714</v>
      </c>
      <c r="J101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t="s">
        <v>2004</v>
      </c>
      <c r="E102" t="s">
        <v>8</v>
      </c>
      <c r="I102" t="s">
        <v>5855</v>
      </c>
      <c r="J102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t="s">
        <v>4</v>
      </c>
      <c r="E103" t="s">
        <v>55</v>
      </c>
      <c r="F103" t="s">
        <v>51</v>
      </c>
      <c r="I103" t="s">
        <v>5858</v>
      </c>
      <c r="J103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t="s">
        <v>650</v>
      </c>
      <c r="E104" t="s">
        <v>55</v>
      </c>
      <c r="F104" t="s">
        <v>51</v>
      </c>
      <c r="H104" t="s">
        <v>6176</v>
      </c>
      <c r="I104" t="s">
        <v>5861</v>
      </c>
      <c r="J104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t="s">
        <v>4</v>
      </c>
      <c r="E105" t="s">
        <v>8</v>
      </c>
      <c r="I105" t="s">
        <v>5864</v>
      </c>
      <c r="J105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t="s">
        <v>2004</v>
      </c>
      <c r="E106" t="s">
        <v>8</v>
      </c>
      <c r="I106" t="s">
        <v>6074</v>
      </c>
      <c r="J106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t="s">
        <v>2004</v>
      </c>
      <c r="E107" t="s">
        <v>8</v>
      </c>
      <c r="I107" t="s">
        <v>6204</v>
      </c>
      <c r="J107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t="s">
        <v>1606</v>
      </c>
      <c r="E108" t="s">
        <v>70</v>
      </c>
      <c r="I108" t="s">
        <v>6313</v>
      </c>
      <c r="J10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t="s">
        <v>4</v>
      </c>
      <c r="E109" t="s">
        <v>6341</v>
      </c>
      <c r="I109" t="s">
        <v>6316</v>
      </c>
      <c r="J109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t="s">
        <v>2004</v>
      </c>
      <c r="E110" t="s">
        <v>8</v>
      </c>
      <c r="I110" t="s">
        <v>6563</v>
      </c>
      <c r="J110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t="s">
        <v>2004</v>
      </c>
      <c r="E111" t="s">
        <v>8</v>
      </c>
      <c r="I111" t="s">
        <v>6712</v>
      </c>
      <c r="J111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t="s">
        <v>4</v>
      </c>
      <c r="E112" t="s">
        <v>8</v>
      </c>
      <c r="I112" t="s">
        <v>7139</v>
      </c>
      <c r="J112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t="s">
        <v>651</v>
      </c>
      <c r="E113" t="s">
        <v>4247</v>
      </c>
      <c r="I113" t="s">
        <v>7142</v>
      </c>
      <c r="J113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t="s">
        <v>12</v>
      </c>
      <c r="E114" t="s">
        <v>1607</v>
      </c>
      <c r="I114" t="s">
        <v>7145</v>
      </c>
      <c r="J114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t="s">
        <v>4</v>
      </c>
      <c r="E115" t="s">
        <v>8</v>
      </c>
      <c r="I115" t="s">
        <v>7148</v>
      </c>
      <c r="J115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t="s">
        <v>2004</v>
      </c>
      <c r="E116" t="s">
        <v>8</v>
      </c>
      <c r="I116" t="s">
        <v>7151</v>
      </c>
      <c r="J116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t="s">
        <v>2004</v>
      </c>
      <c r="E117" t="s">
        <v>8</v>
      </c>
      <c r="I117" t="s">
        <v>7154</v>
      </c>
      <c r="J117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t="s">
        <v>2004</v>
      </c>
      <c r="E118" t="s">
        <v>8</v>
      </c>
      <c r="I118" t="s">
        <v>7172</v>
      </c>
      <c r="J11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t="s">
        <v>12</v>
      </c>
      <c r="E119" t="s">
        <v>1607</v>
      </c>
      <c r="I119" t="s">
        <v>7317</v>
      </c>
      <c r="J119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t="s">
        <v>2004</v>
      </c>
      <c r="E120" t="s">
        <v>8</v>
      </c>
      <c r="I120" t="s">
        <v>7320</v>
      </c>
      <c r="J120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t="s">
        <v>2004</v>
      </c>
      <c r="E121" t="s">
        <v>8</v>
      </c>
      <c r="I121" t="s">
        <v>7323</v>
      </c>
      <c r="J121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t="s">
        <v>4216</v>
      </c>
      <c r="E122" t="s">
        <v>7410</v>
      </c>
      <c r="F122" t="s">
        <v>60</v>
      </c>
      <c r="I122" t="s">
        <v>7326</v>
      </c>
      <c r="J122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t="s">
        <v>4216</v>
      </c>
      <c r="E123" t="s">
        <v>7410</v>
      </c>
      <c r="F123" t="s">
        <v>60</v>
      </c>
      <c r="I123" t="s">
        <v>7329</v>
      </c>
      <c r="J123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t="s">
        <v>290</v>
      </c>
      <c r="E124" t="s">
        <v>86</v>
      </c>
      <c r="F124" t="s">
        <v>60</v>
      </c>
      <c r="G124">
        <v>4</v>
      </c>
      <c r="I124" t="s">
        <v>7332</v>
      </c>
      <c r="J124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t="s">
        <v>1094</v>
      </c>
      <c r="E125" t="s">
        <v>86</v>
      </c>
      <c r="F125" t="s">
        <v>60</v>
      </c>
      <c r="H125" t="s">
        <v>476</v>
      </c>
      <c r="I125" t="s">
        <v>7335</v>
      </c>
      <c r="J125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t="s">
        <v>290</v>
      </c>
      <c r="E126" t="s">
        <v>86</v>
      </c>
      <c r="F126" t="s">
        <v>60</v>
      </c>
      <c r="G126">
        <v>1</v>
      </c>
      <c r="I126" t="s">
        <v>7338</v>
      </c>
      <c r="J126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t="s">
        <v>290</v>
      </c>
      <c r="E127" t="s">
        <v>86</v>
      </c>
      <c r="F127" t="s">
        <v>60</v>
      </c>
      <c r="G127">
        <v>4</v>
      </c>
      <c r="I127" t="s">
        <v>7341</v>
      </c>
      <c r="J127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t="s">
        <v>290</v>
      </c>
      <c r="E128" t="s">
        <v>86</v>
      </c>
      <c r="F128" t="s">
        <v>60</v>
      </c>
      <c r="G128">
        <v>2</v>
      </c>
      <c r="I128" t="s">
        <v>7344</v>
      </c>
      <c r="J12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t="s">
        <v>290</v>
      </c>
      <c r="E129" t="s">
        <v>86</v>
      </c>
      <c r="F129" t="s">
        <v>60</v>
      </c>
      <c r="G129">
        <v>3</v>
      </c>
      <c r="I129" t="s">
        <v>7347</v>
      </c>
      <c r="J129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t="s">
        <v>290</v>
      </c>
      <c r="E130" t="s">
        <v>86</v>
      </c>
      <c r="F130" t="s">
        <v>60</v>
      </c>
      <c r="G130">
        <v>3</v>
      </c>
      <c r="I130" t="s">
        <v>7350</v>
      </c>
      <c r="J130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t="s">
        <v>290</v>
      </c>
      <c r="E131" t="s">
        <v>86</v>
      </c>
      <c r="F131" t="s">
        <v>60</v>
      </c>
      <c r="G131">
        <v>2</v>
      </c>
      <c r="I131" t="s">
        <v>7353</v>
      </c>
      <c r="J131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t="s">
        <v>290</v>
      </c>
      <c r="E132" t="s">
        <v>86</v>
      </c>
      <c r="F132" t="s">
        <v>60</v>
      </c>
      <c r="G132">
        <v>2</v>
      </c>
      <c r="I132" t="s">
        <v>7356</v>
      </c>
      <c r="J132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t="s">
        <v>290</v>
      </c>
      <c r="E133" t="s">
        <v>86</v>
      </c>
      <c r="F133" t="s">
        <v>60</v>
      </c>
      <c r="G133">
        <v>2</v>
      </c>
      <c r="I133" t="s">
        <v>7359</v>
      </c>
      <c r="J133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t="s">
        <v>290</v>
      </c>
      <c r="E134" t="s">
        <v>86</v>
      </c>
      <c r="F134" t="s">
        <v>60</v>
      </c>
      <c r="G134">
        <v>1</v>
      </c>
      <c r="I134" t="s">
        <v>7362</v>
      </c>
      <c r="J134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t="s">
        <v>290</v>
      </c>
      <c r="E135" t="s">
        <v>86</v>
      </c>
      <c r="F135" t="s">
        <v>60</v>
      </c>
      <c r="G135">
        <v>2</v>
      </c>
      <c r="I135" t="s">
        <v>7365</v>
      </c>
      <c r="J135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t="s">
        <v>290</v>
      </c>
      <c r="E136" t="s">
        <v>86</v>
      </c>
      <c r="F136" t="s">
        <v>60</v>
      </c>
      <c r="G136">
        <v>4</v>
      </c>
      <c r="I136" t="s">
        <v>7368</v>
      </c>
      <c r="J136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t="s">
        <v>290</v>
      </c>
      <c r="E137" t="s">
        <v>86</v>
      </c>
      <c r="F137" t="s">
        <v>60</v>
      </c>
      <c r="G137">
        <v>2</v>
      </c>
      <c r="I137" t="s">
        <v>7371</v>
      </c>
      <c r="J137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t="s">
        <v>290</v>
      </c>
      <c r="E138" t="s">
        <v>86</v>
      </c>
      <c r="F138" t="s">
        <v>60</v>
      </c>
      <c r="G138">
        <v>2</v>
      </c>
      <c r="I138" t="s">
        <v>7374</v>
      </c>
      <c r="J13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t="s">
        <v>290</v>
      </c>
      <c r="E139" t="s">
        <v>86</v>
      </c>
      <c r="F139" t="s">
        <v>60</v>
      </c>
      <c r="G139">
        <v>3</v>
      </c>
      <c r="I139" t="s">
        <v>7377</v>
      </c>
      <c r="J139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t="s">
        <v>290</v>
      </c>
      <c r="E140" t="s">
        <v>86</v>
      </c>
      <c r="F140" t="s">
        <v>60</v>
      </c>
      <c r="G140">
        <v>3</v>
      </c>
      <c r="I140" t="s">
        <v>7380</v>
      </c>
      <c r="J140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t="s">
        <v>290</v>
      </c>
      <c r="E141" t="s">
        <v>86</v>
      </c>
      <c r="F141" t="s">
        <v>60</v>
      </c>
      <c r="G141">
        <v>2</v>
      </c>
      <c r="I141" t="s">
        <v>7383</v>
      </c>
      <c r="J141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t="s">
        <v>290</v>
      </c>
      <c r="E142" t="s">
        <v>86</v>
      </c>
      <c r="F142" t="s">
        <v>60</v>
      </c>
      <c r="G142">
        <v>4</v>
      </c>
      <c r="I142" t="s">
        <v>7386</v>
      </c>
      <c r="J142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t="s">
        <v>290</v>
      </c>
      <c r="E143" t="s">
        <v>86</v>
      </c>
      <c r="F143" t="s">
        <v>60</v>
      </c>
      <c r="G143">
        <v>3</v>
      </c>
      <c r="I143" t="s">
        <v>7389</v>
      </c>
      <c r="J143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t="s">
        <v>290</v>
      </c>
      <c r="E144" t="s">
        <v>86</v>
      </c>
      <c r="F144" t="s">
        <v>60</v>
      </c>
      <c r="G144">
        <v>2</v>
      </c>
      <c r="I144" t="s">
        <v>7392</v>
      </c>
      <c r="J144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t="s">
        <v>1615</v>
      </c>
      <c r="E145" t="s">
        <v>86</v>
      </c>
      <c r="F145" t="s">
        <v>60</v>
      </c>
      <c r="H145" t="s">
        <v>7707</v>
      </c>
      <c r="I145" t="s">
        <v>7595</v>
      </c>
      <c r="J145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t="s">
        <v>1615</v>
      </c>
      <c r="E146" t="s">
        <v>86</v>
      </c>
      <c r="F146" t="s">
        <v>60</v>
      </c>
      <c r="H146" t="s">
        <v>7708</v>
      </c>
      <c r="I146" t="s">
        <v>7598</v>
      </c>
      <c r="J146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t="s">
        <v>4</v>
      </c>
      <c r="E147" t="s">
        <v>7706</v>
      </c>
      <c r="F147" t="s">
        <v>60</v>
      </c>
      <c r="I147" t="s">
        <v>7601</v>
      </c>
      <c r="J147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t="s">
        <v>290</v>
      </c>
      <c r="E148" t="s">
        <v>86</v>
      </c>
      <c r="F148" t="s">
        <v>60</v>
      </c>
      <c r="G148">
        <v>3</v>
      </c>
      <c r="I148" t="s">
        <v>7604</v>
      </c>
      <c r="J148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t="s">
        <v>290</v>
      </c>
      <c r="E149" t="s">
        <v>86</v>
      </c>
      <c r="F149" t="s">
        <v>60</v>
      </c>
      <c r="G149">
        <v>2</v>
      </c>
      <c r="I149" t="s">
        <v>7607</v>
      </c>
      <c r="J149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t="s">
        <v>290</v>
      </c>
      <c r="E150" t="s">
        <v>86</v>
      </c>
      <c r="F150" t="s">
        <v>60</v>
      </c>
      <c r="G150">
        <v>2</v>
      </c>
      <c r="I150" t="s">
        <v>7610</v>
      </c>
      <c r="J150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t="s">
        <v>290</v>
      </c>
      <c r="E151" t="s">
        <v>86</v>
      </c>
      <c r="F151" t="s">
        <v>60</v>
      </c>
      <c r="G151">
        <v>3</v>
      </c>
      <c r="I151" t="s">
        <v>7613</v>
      </c>
      <c r="J151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t="s">
        <v>290</v>
      </c>
      <c r="E152" t="s">
        <v>86</v>
      </c>
      <c r="F152" t="s">
        <v>60</v>
      </c>
      <c r="G152">
        <v>4</v>
      </c>
      <c r="I152" t="s">
        <v>7616</v>
      </c>
      <c r="J152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t="s">
        <v>290</v>
      </c>
      <c r="E153" t="s">
        <v>86</v>
      </c>
      <c r="F153" t="s">
        <v>60</v>
      </c>
      <c r="G153">
        <v>3</v>
      </c>
      <c r="I153" t="s">
        <v>7619</v>
      </c>
      <c r="J153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t="s">
        <v>290</v>
      </c>
      <c r="E154" t="s">
        <v>86</v>
      </c>
      <c r="F154" t="s">
        <v>60</v>
      </c>
      <c r="G154">
        <v>3</v>
      </c>
      <c r="I154" t="s">
        <v>7622</v>
      </c>
      <c r="J154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t="s">
        <v>290</v>
      </c>
      <c r="E155" t="s">
        <v>86</v>
      </c>
      <c r="F155" t="s">
        <v>60</v>
      </c>
      <c r="G155">
        <v>2</v>
      </c>
      <c r="I155" t="s">
        <v>7625</v>
      </c>
      <c r="J155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t="s">
        <v>290</v>
      </c>
      <c r="E156" t="s">
        <v>86</v>
      </c>
      <c r="F156" t="s">
        <v>60</v>
      </c>
      <c r="G156">
        <v>2</v>
      </c>
      <c r="I156" t="s">
        <v>7628</v>
      </c>
      <c r="J156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t="s">
        <v>290</v>
      </c>
      <c r="E157" t="s">
        <v>86</v>
      </c>
      <c r="F157" t="s">
        <v>60</v>
      </c>
      <c r="G157">
        <v>3</v>
      </c>
      <c r="I157" t="s">
        <v>7631</v>
      </c>
      <c r="J157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t="s">
        <v>290</v>
      </c>
      <c r="E158" t="s">
        <v>86</v>
      </c>
      <c r="F158" t="s">
        <v>60</v>
      </c>
      <c r="G158">
        <v>3</v>
      </c>
      <c r="I158" t="s">
        <v>7634</v>
      </c>
      <c r="J158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t="s">
        <v>290</v>
      </c>
      <c r="E159" t="s">
        <v>86</v>
      </c>
      <c r="F159" t="s">
        <v>60</v>
      </c>
      <c r="G159">
        <v>2</v>
      </c>
      <c r="I159" t="s">
        <v>7637</v>
      </c>
      <c r="J159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t="s">
        <v>290</v>
      </c>
      <c r="E160" t="s">
        <v>86</v>
      </c>
      <c r="F160" t="s">
        <v>60</v>
      </c>
      <c r="G160">
        <v>1</v>
      </c>
      <c r="I160" t="s">
        <v>7640</v>
      </c>
      <c r="J160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t="s">
        <v>290</v>
      </c>
      <c r="E161" t="s">
        <v>86</v>
      </c>
      <c r="F161" t="s">
        <v>60</v>
      </c>
      <c r="G161">
        <v>4</v>
      </c>
      <c r="I161" t="s">
        <v>7643</v>
      </c>
      <c r="J161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t="s">
        <v>290</v>
      </c>
      <c r="E162" t="s">
        <v>86</v>
      </c>
      <c r="F162" t="s">
        <v>60</v>
      </c>
      <c r="G162">
        <v>3</v>
      </c>
      <c r="I162" t="s">
        <v>7646</v>
      </c>
      <c r="J162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t="s">
        <v>290</v>
      </c>
      <c r="E163" t="s">
        <v>86</v>
      </c>
      <c r="F163" t="s">
        <v>60</v>
      </c>
      <c r="G163">
        <v>3</v>
      </c>
      <c r="I163" t="s">
        <v>7649</v>
      </c>
      <c r="J163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t="s">
        <v>290</v>
      </c>
      <c r="E164" t="s">
        <v>86</v>
      </c>
      <c r="F164" t="s">
        <v>60</v>
      </c>
      <c r="G164">
        <v>3</v>
      </c>
      <c r="I164" t="s">
        <v>7652</v>
      </c>
      <c r="J164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t="s">
        <v>290</v>
      </c>
      <c r="E165" t="s">
        <v>86</v>
      </c>
      <c r="F165" t="s">
        <v>60</v>
      </c>
      <c r="G165">
        <v>2</v>
      </c>
      <c r="I165" t="s">
        <v>7655</v>
      </c>
      <c r="J165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t="s">
        <v>290</v>
      </c>
      <c r="E166" t="s">
        <v>86</v>
      </c>
      <c r="F166" t="s">
        <v>60</v>
      </c>
      <c r="G166">
        <v>3</v>
      </c>
      <c r="I166" t="s">
        <v>7658</v>
      </c>
      <c r="J166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t="s">
        <v>290</v>
      </c>
      <c r="E167" t="s">
        <v>86</v>
      </c>
      <c r="F167" t="s">
        <v>60</v>
      </c>
      <c r="G167">
        <v>3</v>
      </c>
      <c r="I167" t="s">
        <v>7661</v>
      </c>
      <c r="J167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t="s">
        <v>290</v>
      </c>
      <c r="E168" t="s">
        <v>86</v>
      </c>
      <c r="F168" t="s">
        <v>60</v>
      </c>
      <c r="G168">
        <v>3</v>
      </c>
      <c r="I168" t="s">
        <v>7664</v>
      </c>
      <c r="J168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t="s">
        <v>290</v>
      </c>
      <c r="E169" t="s">
        <v>86</v>
      </c>
      <c r="F169" t="s">
        <v>60</v>
      </c>
      <c r="G169">
        <v>4</v>
      </c>
      <c r="I169" t="s">
        <v>7667</v>
      </c>
      <c r="J169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t="s">
        <v>290</v>
      </c>
      <c r="E170" t="s">
        <v>86</v>
      </c>
      <c r="F170" t="s">
        <v>60</v>
      </c>
      <c r="G170">
        <v>2</v>
      </c>
      <c r="I170" t="s">
        <v>7670</v>
      </c>
      <c r="J170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t="s">
        <v>4</v>
      </c>
      <c r="E171" t="s">
        <v>4193</v>
      </c>
      <c r="I171" t="s">
        <v>7673</v>
      </c>
      <c r="J171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t="s">
        <v>2004</v>
      </c>
      <c r="E172" t="s">
        <v>8</v>
      </c>
      <c r="I172" t="s">
        <v>7676</v>
      </c>
      <c r="J172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t="s">
        <v>1094</v>
      </c>
      <c r="E173" t="s">
        <v>86</v>
      </c>
      <c r="F173" t="s">
        <v>60</v>
      </c>
      <c r="H173" t="s">
        <v>7870</v>
      </c>
      <c r="I173" t="s">
        <v>7831</v>
      </c>
      <c r="J173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t="s">
        <v>1094</v>
      </c>
      <c r="E174" t="s">
        <v>86</v>
      </c>
      <c r="F174" t="s">
        <v>60</v>
      </c>
      <c r="H174" t="s">
        <v>7870</v>
      </c>
      <c r="I174" t="s">
        <v>7834</v>
      </c>
      <c r="J174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t="s">
        <v>1094</v>
      </c>
      <c r="E175" t="s">
        <v>86</v>
      </c>
      <c r="F175" t="s">
        <v>60</v>
      </c>
      <c r="H175" t="s">
        <v>7870</v>
      </c>
      <c r="I175" t="s">
        <v>7837</v>
      </c>
      <c r="J175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t="s">
        <v>1094</v>
      </c>
      <c r="E176" t="s">
        <v>86</v>
      </c>
      <c r="F176" t="s">
        <v>60</v>
      </c>
      <c r="H176" t="s">
        <v>7870</v>
      </c>
      <c r="I176" t="s">
        <v>7840</v>
      </c>
      <c r="J176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t="s">
        <v>1094</v>
      </c>
      <c r="E177" t="s">
        <v>86</v>
      </c>
      <c r="F177" t="s">
        <v>60</v>
      </c>
      <c r="H177" t="s">
        <v>7870</v>
      </c>
      <c r="I177" t="s">
        <v>7843</v>
      </c>
      <c r="J177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t="s">
        <v>1094</v>
      </c>
      <c r="E178" t="s">
        <v>86</v>
      </c>
      <c r="F178" t="s">
        <v>60</v>
      </c>
      <c r="H178" t="s">
        <v>7870</v>
      </c>
      <c r="I178" t="s">
        <v>7846</v>
      </c>
      <c r="J178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t="s">
        <v>1094</v>
      </c>
      <c r="E179" t="s">
        <v>86</v>
      </c>
      <c r="F179" t="s">
        <v>60</v>
      </c>
      <c r="H179" t="s">
        <v>7870</v>
      </c>
      <c r="I179" t="s">
        <v>7849</v>
      </c>
      <c r="J179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t="s">
        <v>2004</v>
      </c>
      <c r="E180" t="s">
        <v>8</v>
      </c>
      <c r="I180" t="s">
        <v>7852</v>
      </c>
      <c r="J180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t="s">
        <v>2004</v>
      </c>
      <c r="E181" t="s">
        <v>8</v>
      </c>
      <c r="I181" t="s">
        <v>7929</v>
      </c>
      <c r="J181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t="s">
        <v>8042</v>
      </c>
      <c r="E182" t="s">
        <v>6656</v>
      </c>
      <c r="I182" t="s">
        <v>7932</v>
      </c>
      <c r="J182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t="s">
        <v>4</v>
      </c>
      <c r="E183" t="s">
        <v>8045</v>
      </c>
      <c r="I183" t="s">
        <v>7935</v>
      </c>
      <c r="J183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t="s">
        <v>4</v>
      </c>
      <c r="E184" t="s">
        <v>8045</v>
      </c>
      <c r="I184" t="s">
        <v>7938</v>
      </c>
      <c r="J184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t="s">
        <v>4</v>
      </c>
      <c r="E185" t="s">
        <v>8045</v>
      </c>
      <c r="I185" t="s">
        <v>7941</v>
      </c>
      <c r="J185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t="s">
        <v>4</v>
      </c>
      <c r="E186" t="s">
        <v>8331</v>
      </c>
      <c r="I186" t="s">
        <v>8285</v>
      </c>
      <c r="J186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t="s">
        <v>4</v>
      </c>
      <c r="E187" t="s">
        <v>8331</v>
      </c>
      <c r="I187" t="s">
        <v>8288</v>
      </c>
      <c r="J187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t="s">
        <v>2004</v>
      </c>
      <c r="E188" t="s">
        <v>8</v>
      </c>
      <c r="I188" t="s">
        <v>8291</v>
      </c>
      <c r="J188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t="s">
        <v>4</v>
      </c>
      <c r="E189" t="s">
        <v>1607</v>
      </c>
      <c r="F189" t="s">
        <v>7169</v>
      </c>
      <c r="I189" t="s">
        <v>8294</v>
      </c>
      <c r="J189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t="s">
        <v>2004</v>
      </c>
      <c r="E190" t="s">
        <v>8</v>
      </c>
      <c r="I190" t="s">
        <v>8297</v>
      </c>
      <c r="J190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t="s">
        <v>2004</v>
      </c>
      <c r="E191" t="s">
        <v>8</v>
      </c>
      <c r="I191" t="s">
        <v>8300</v>
      </c>
      <c r="J191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t="s">
        <v>2004</v>
      </c>
      <c r="E192" t="s">
        <v>8</v>
      </c>
      <c r="I192" t="s">
        <v>8429</v>
      </c>
      <c r="J192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t="s">
        <v>4</v>
      </c>
      <c r="E193" t="s">
        <v>8483</v>
      </c>
      <c r="H193" t="s">
        <v>8042</v>
      </c>
      <c r="I193" t="s">
        <v>8432</v>
      </c>
      <c r="J193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t="s">
        <v>2004</v>
      </c>
      <c r="E194" t="s">
        <v>8</v>
      </c>
      <c r="I194" t="s">
        <v>8435</v>
      </c>
      <c r="J194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t="s">
        <v>2004</v>
      </c>
      <c r="E195" t="s">
        <v>8</v>
      </c>
      <c r="I195" t="s">
        <v>8556</v>
      </c>
      <c r="J195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t="s">
        <v>4</v>
      </c>
      <c r="E196" t="s">
        <v>8805</v>
      </c>
      <c r="I196" t="s">
        <v>8559</v>
      </c>
      <c r="J196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t="s">
        <v>2004</v>
      </c>
      <c r="E197" t="s">
        <v>8</v>
      </c>
      <c r="I197" t="s">
        <v>8562</v>
      </c>
      <c r="J197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t="s">
        <v>2004</v>
      </c>
      <c r="E198" t="s">
        <v>8</v>
      </c>
      <c r="I198" t="s">
        <v>8565</v>
      </c>
      <c r="J198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t="s">
        <v>2004</v>
      </c>
      <c r="E199" t="s">
        <v>8</v>
      </c>
      <c r="I199" t="s">
        <v>8568</v>
      </c>
      <c r="J199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t="s">
        <v>2004</v>
      </c>
      <c r="E200" t="s">
        <v>8</v>
      </c>
      <c r="I200" t="s">
        <v>8571</v>
      </c>
      <c r="J200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t="s">
        <v>2004</v>
      </c>
      <c r="E201" t="s">
        <v>8</v>
      </c>
      <c r="I201" t="s">
        <v>8574</v>
      </c>
      <c r="J201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t="s">
        <v>2004</v>
      </c>
      <c r="E202" t="s">
        <v>8</v>
      </c>
      <c r="I202" t="s">
        <v>364</v>
      </c>
      <c r="J202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t="s">
        <v>2004</v>
      </c>
      <c r="E203" t="s">
        <v>8</v>
      </c>
      <c r="I203" t="s">
        <v>367</v>
      </c>
      <c r="J203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t="s">
        <v>2004</v>
      </c>
      <c r="E204" t="s">
        <v>8</v>
      </c>
      <c r="I204" t="s">
        <v>370</v>
      </c>
      <c r="J204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t="s">
        <v>2004</v>
      </c>
      <c r="E205" t="s">
        <v>8</v>
      </c>
      <c r="I205" t="s">
        <v>373</v>
      </c>
      <c r="J205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t="s">
        <v>2004</v>
      </c>
      <c r="E206" t="s">
        <v>8</v>
      </c>
      <c r="I206" t="s">
        <v>376</v>
      </c>
      <c r="J206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t="s">
        <v>6191</v>
      </c>
      <c r="E207" t="s">
        <v>5480</v>
      </c>
      <c r="F207" t="s">
        <v>9190</v>
      </c>
      <c r="I207" t="s">
        <v>8861</v>
      </c>
      <c r="J207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t="s">
        <v>6191</v>
      </c>
      <c r="E208" t="s">
        <v>5480</v>
      </c>
      <c r="F208" t="s">
        <v>9190</v>
      </c>
      <c r="H208" t="s">
        <v>2936</v>
      </c>
      <c r="I208" t="s">
        <v>8864</v>
      </c>
      <c r="J208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t="s">
        <v>1094</v>
      </c>
      <c r="E209" t="s">
        <v>86</v>
      </c>
      <c r="F209" t="s">
        <v>60</v>
      </c>
      <c r="I209" t="s">
        <v>8867</v>
      </c>
      <c r="J209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t="s">
        <v>1094</v>
      </c>
      <c r="E210" t="s">
        <v>86</v>
      </c>
      <c r="F210" t="s">
        <v>60</v>
      </c>
      <c r="H210" t="s">
        <v>2936</v>
      </c>
      <c r="I210" t="s">
        <v>8870</v>
      </c>
      <c r="J210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t="s">
        <v>1094</v>
      </c>
      <c r="E211" t="s">
        <v>86</v>
      </c>
      <c r="F211" t="s">
        <v>60</v>
      </c>
      <c r="H211" t="s">
        <v>2936</v>
      </c>
      <c r="I211" t="s">
        <v>8873</v>
      </c>
      <c r="J211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t="s">
        <v>1094</v>
      </c>
      <c r="E212" t="s">
        <v>4247</v>
      </c>
      <c r="F212" t="s">
        <v>60</v>
      </c>
      <c r="I212" t="s">
        <v>8876</v>
      </c>
      <c r="J212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t="s">
        <v>1094</v>
      </c>
      <c r="E213" t="s">
        <v>4247</v>
      </c>
      <c r="F213" t="s">
        <v>60</v>
      </c>
      <c r="H213" t="s">
        <v>2936</v>
      </c>
      <c r="I213" t="s">
        <v>8879</v>
      </c>
      <c r="J213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t="s">
        <v>1094</v>
      </c>
      <c r="E214" t="s">
        <v>4247</v>
      </c>
      <c r="F214" t="s">
        <v>60</v>
      </c>
      <c r="H214" t="s">
        <v>2936</v>
      </c>
      <c r="I214" t="s">
        <v>8882</v>
      </c>
      <c r="J214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t="s">
        <v>4</v>
      </c>
      <c r="E215" t="s">
        <v>8</v>
      </c>
      <c r="I215" t="s">
        <v>8885</v>
      </c>
      <c r="J215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t="s">
        <v>4</v>
      </c>
      <c r="E216" t="s">
        <v>8045</v>
      </c>
      <c r="I216" t="s">
        <v>8888</v>
      </c>
      <c r="J216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t="s">
        <v>4</v>
      </c>
      <c r="E217" t="s">
        <v>8045</v>
      </c>
      <c r="I217" t="s">
        <v>8891</v>
      </c>
      <c r="J217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t="s">
        <v>4</v>
      </c>
      <c r="E218" t="s">
        <v>8</v>
      </c>
      <c r="I218" t="s">
        <v>8894</v>
      </c>
      <c r="J218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t="s">
        <v>4</v>
      </c>
      <c r="E219" t="s">
        <v>8045</v>
      </c>
      <c r="I219" t="s">
        <v>9258</v>
      </c>
      <c r="J219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t="s">
        <v>4</v>
      </c>
      <c r="E220" t="s">
        <v>8045</v>
      </c>
      <c r="H220" t="s">
        <v>2936</v>
      </c>
      <c r="I220" t="s">
        <v>9261</v>
      </c>
      <c r="J220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t="s">
        <v>4</v>
      </c>
      <c r="E221" t="s">
        <v>8045</v>
      </c>
      <c r="H221" t="s">
        <v>2936</v>
      </c>
      <c r="I221" t="s">
        <v>9264</v>
      </c>
      <c r="J221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t="s">
        <v>1094</v>
      </c>
      <c r="E222" t="s">
        <v>4247</v>
      </c>
      <c r="F222" t="s">
        <v>60</v>
      </c>
      <c r="I222" t="s">
        <v>9369</v>
      </c>
      <c r="J222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t="s">
        <v>4</v>
      </c>
      <c r="E223" t="s">
        <v>8045</v>
      </c>
      <c r="I223" t="s">
        <v>9372</v>
      </c>
      <c r="J223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t="s">
        <v>4</v>
      </c>
      <c r="E224" t="s">
        <v>8045</v>
      </c>
      <c r="I224" t="s">
        <v>9375</v>
      </c>
      <c r="J224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t="s">
        <v>4</v>
      </c>
      <c r="E225" t="s">
        <v>8045</v>
      </c>
      <c r="I225" t="s">
        <v>9378</v>
      </c>
      <c r="J225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t="s">
        <v>4</v>
      </c>
      <c r="E226" t="s">
        <v>8045</v>
      </c>
      <c r="I226" t="s">
        <v>9381</v>
      </c>
      <c r="J226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t="s">
        <v>4</v>
      </c>
      <c r="E227" t="s">
        <v>8</v>
      </c>
      <c r="I227" t="s">
        <v>9384</v>
      </c>
      <c r="J227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t="s">
        <v>4</v>
      </c>
      <c r="E228" t="s">
        <v>8045</v>
      </c>
      <c r="I228" t="s">
        <v>9639</v>
      </c>
      <c r="J228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t="s">
        <v>4</v>
      </c>
      <c r="E229" t="s">
        <v>8045</v>
      </c>
      <c r="I229" t="s">
        <v>9642</v>
      </c>
      <c r="J229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t="s">
        <v>4</v>
      </c>
      <c r="E230" t="s">
        <v>8045</v>
      </c>
      <c r="I230" t="s">
        <v>9645</v>
      </c>
      <c r="J230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  <row r="231" spans="1:13" x14ac:dyDescent="0.25">
      <c r="A231" s="2" t="s">
        <v>13</v>
      </c>
      <c r="B231" s="4">
        <v>46041</v>
      </c>
      <c r="C231" s="5">
        <v>0.44562499999999999</v>
      </c>
      <c r="D231" t="s">
        <v>4</v>
      </c>
      <c r="E231" t="s">
        <v>9876</v>
      </c>
      <c r="I231" t="s">
        <v>9693</v>
      </c>
      <c r="J231" t="s">
        <v>2982</v>
      </c>
      <c r="K231" t="s">
        <v>9694</v>
      </c>
      <c r="L231" t="s">
        <v>9695</v>
      </c>
      <c r="M231" s="3" t="str">
        <f>HYPERLINK(склад2въезд1319[[#This Row],[RelativePath]])</f>
        <v>5 Крыльцо общага\K07156189_22_20260119T104142Z.jpg</v>
      </c>
    </row>
    <row r="232" spans="1:13" x14ac:dyDescent="0.25">
      <c r="A232" s="2" t="s">
        <v>13</v>
      </c>
      <c r="B232" s="4">
        <v>46041</v>
      </c>
      <c r="C232" s="5">
        <v>0.50770833333333332</v>
      </c>
      <c r="D232" t="s">
        <v>4</v>
      </c>
      <c r="E232" t="s">
        <v>9876</v>
      </c>
      <c r="I232" t="s">
        <v>9696</v>
      </c>
      <c r="J232" t="s">
        <v>2982</v>
      </c>
      <c r="K232" t="s">
        <v>9697</v>
      </c>
      <c r="L232" t="s">
        <v>9698</v>
      </c>
      <c r="M232" s="3" t="str">
        <f>HYPERLINK(склад2въезд1319[[#This Row],[RelativePath]])</f>
        <v>5 Крыльцо общага\K07156189_22_20260119T121106Z.jpg</v>
      </c>
    </row>
    <row r="233" spans="1:13" x14ac:dyDescent="0.25">
      <c r="A233" s="2" t="s">
        <v>13</v>
      </c>
      <c r="B233" s="4">
        <v>46041</v>
      </c>
      <c r="C233" s="5">
        <v>0.69420138888888894</v>
      </c>
      <c r="D233" t="s">
        <v>4</v>
      </c>
      <c r="E233" t="s">
        <v>9876</v>
      </c>
      <c r="I233" t="s">
        <v>9699</v>
      </c>
      <c r="J233" t="s">
        <v>2982</v>
      </c>
      <c r="K233" t="s">
        <v>9700</v>
      </c>
      <c r="L233" t="s">
        <v>9701</v>
      </c>
      <c r="M233" s="3" t="str">
        <f>HYPERLINK(склад2въезд1319[[#This Row],[RelativePath]])</f>
        <v>5 Крыльцо общага\K07156189_22_20260119T163939Z.jpg</v>
      </c>
    </row>
    <row r="234" spans="1:13" x14ac:dyDescent="0.25">
      <c r="A234" s="2" t="s">
        <v>14</v>
      </c>
      <c r="B234" s="4">
        <v>46042</v>
      </c>
      <c r="C234" s="5">
        <v>0.49988425925925928</v>
      </c>
      <c r="D234" t="s">
        <v>4</v>
      </c>
      <c r="E234" t="s">
        <v>9876</v>
      </c>
      <c r="I234" t="s">
        <v>9702</v>
      </c>
      <c r="J234" t="s">
        <v>2982</v>
      </c>
      <c r="K234" t="s">
        <v>9703</v>
      </c>
      <c r="L234" t="s">
        <v>9704</v>
      </c>
      <c r="M234" s="3" t="str">
        <f>HYPERLINK(склад2въезд1319[[#This Row],[RelativePath]])</f>
        <v>5 Крыльцо общага\K07156189_22_20260120T115950Z.jpg</v>
      </c>
    </row>
    <row r="235" spans="1:13" x14ac:dyDescent="0.25">
      <c r="A235" s="2" t="s">
        <v>14</v>
      </c>
      <c r="B235" s="4">
        <v>46042</v>
      </c>
      <c r="C235" s="5">
        <v>0.62523148148148144</v>
      </c>
      <c r="D235" t="s">
        <v>4</v>
      </c>
      <c r="E235" t="s">
        <v>9876</v>
      </c>
      <c r="I235" t="s">
        <v>9705</v>
      </c>
      <c r="J235" t="s">
        <v>2982</v>
      </c>
      <c r="K235" t="s">
        <v>9706</v>
      </c>
      <c r="L235" t="s">
        <v>9707</v>
      </c>
      <c r="M235" s="3" t="str">
        <f>HYPERLINK(склад2въезд1319[[#This Row],[RelativePath]])</f>
        <v>5 Крыльцо общага\K07156189_22_20260120T150020Z.jpg</v>
      </c>
    </row>
    <row r="236" spans="1:13" x14ac:dyDescent="0.25">
      <c r="A236" s="2" t="s">
        <v>15</v>
      </c>
      <c r="B236" s="4">
        <v>46043</v>
      </c>
      <c r="C236" s="5">
        <v>0.37590277777777775</v>
      </c>
      <c r="D236" t="s">
        <v>4</v>
      </c>
      <c r="E236" t="s">
        <v>9876</v>
      </c>
      <c r="I236" t="s">
        <v>9936</v>
      </c>
      <c r="J236" t="s">
        <v>2982</v>
      </c>
      <c r="K236" t="s">
        <v>9937</v>
      </c>
      <c r="L236" t="s">
        <v>9938</v>
      </c>
      <c r="M236" s="3" t="str">
        <f>HYPERLINK(склад2въезд1319[[#This Row],[RelativePath]])</f>
        <v>5 Крыльцо общага\K07156189_22_20260121T090118Z.jpg</v>
      </c>
    </row>
    <row r="237" spans="1:13" x14ac:dyDescent="0.25">
      <c r="A237" s="2" t="s">
        <v>15</v>
      </c>
      <c r="B237" s="4">
        <v>46043</v>
      </c>
      <c r="C237" s="5">
        <v>0.6726388888888889</v>
      </c>
      <c r="D237" t="s">
        <v>4</v>
      </c>
      <c r="E237" t="s">
        <v>9876</v>
      </c>
      <c r="I237" t="s">
        <v>9939</v>
      </c>
      <c r="J237" t="s">
        <v>2982</v>
      </c>
      <c r="K237" t="s">
        <v>9940</v>
      </c>
      <c r="L237" t="s">
        <v>9941</v>
      </c>
      <c r="M237" s="3" t="str">
        <f>HYPERLINK(склад2въезд1319[[#This Row],[RelativePath]])</f>
        <v>5 Крыльцо общага\K07156189_22_20260121T160836Z.jpg</v>
      </c>
    </row>
    <row r="238" spans="1:13" x14ac:dyDescent="0.25">
      <c r="A238" s="2" t="s">
        <v>16</v>
      </c>
      <c r="B238" s="4">
        <v>46044</v>
      </c>
      <c r="C238" s="5">
        <v>0.4626851851851852</v>
      </c>
      <c r="D238" t="s">
        <v>4</v>
      </c>
      <c r="E238" t="s">
        <v>9876</v>
      </c>
      <c r="I238" t="s">
        <v>9942</v>
      </c>
      <c r="J238" t="s">
        <v>2982</v>
      </c>
      <c r="K238" t="s">
        <v>9943</v>
      </c>
      <c r="L238" t="s">
        <v>9944</v>
      </c>
      <c r="M238" s="3" t="str">
        <f>HYPERLINK(склад2въезд1319[[#This Row],[RelativePath]])</f>
        <v>5 Крыльцо общага\K07156189_22_20260122T110616Z.jpg</v>
      </c>
    </row>
    <row r="239" spans="1:13" x14ac:dyDescent="0.25">
      <c r="A239" s="2" t="s">
        <v>16</v>
      </c>
      <c r="B239" s="4">
        <v>46044</v>
      </c>
      <c r="C239" s="5">
        <v>0.50471064814814814</v>
      </c>
      <c r="D239" t="s">
        <v>4</v>
      </c>
      <c r="E239" t="s">
        <v>9876</v>
      </c>
      <c r="I239" t="s">
        <v>9945</v>
      </c>
      <c r="J239" t="s">
        <v>2982</v>
      </c>
      <c r="K239" t="s">
        <v>9946</v>
      </c>
      <c r="L239" t="s">
        <v>9947</v>
      </c>
      <c r="M239" s="3" t="str">
        <f>HYPERLINK(склад2въезд1319[[#This Row],[RelativePath]])</f>
        <v>5 Крыльцо общага\K07156189_22_20260122T120647Z.jpg</v>
      </c>
    </row>
    <row r="240" spans="1:13" x14ac:dyDescent="0.25">
      <c r="A240" s="2" t="s">
        <v>16</v>
      </c>
      <c r="B240" s="4">
        <v>46044</v>
      </c>
      <c r="C240" s="5">
        <v>0.71368055555555554</v>
      </c>
      <c r="D240" t="s">
        <v>4</v>
      </c>
      <c r="E240" t="s">
        <v>8</v>
      </c>
      <c r="I240" t="s">
        <v>9948</v>
      </c>
      <c r="J240" t="s">
        <v>2982</v>
      </c>
      <c r="K240" t="s">
        <v>9949</v>
      </c>
      <c r="L240" t="s">
        <v>9950</v>
      </c>
      <c r="M240" s="3" t="str">
        <f>HYPERLINK(склад2въезд1319[[#This Row],[RelativePath]])</f>
        <v>5 Крыльцо общага\K07156189_22_20260122T170742Z.jpg</v>
      </c>
    </row>
    <row r="241" spans="1:13" x14ac:dyDescent="0.25">
      <c r="A241" s="2" t="s">
        <v>16</v>
      </c>
      <c r="B241" s="4">
        <v>46044</v>
      </c>
      <c r="C241" s="5">
        <v>0.97</v>
      </c>
      <c r="D241" t="s">
        <v>290</v>
      </c>
      <c r="E241" t="s">
        <v>86</v>
      </c>
      <c r="F241" t="s">
        <v>60</v>
      </c>
      <c r="G241">
        <v>2</v>
      </c>
      <c r="H241" t="s">
        <v>10210</v>
      </c>
      <c r="I241" t="s">
        <v>10180</v>
      </c>
      <c r="J241" t="s">
        <v>2982</v>
      </c>
      <c r="K241" t="s">
        <v>10181</v>
      </c>
      <c r="L241" t="s">
        <v>10182</v>
      </c>
      <c r="M241" s="3" t="str">
        <f>HYPERLINK(склад2въезд1319[[#This Row],[RelativePath]])</f>
        <v>5 Крыльцо общага\K07156189_22_20260122T231648Z.jpg</v>
      </c>
    </row>
    <row r="242" spans="1:13" x14ac:dyDescent="0.25">
      <c r="A242" s="2" t="s">
        <v>16</v>
      </c>
      <c r="B242" s="4">
        <v>46044</v>
      </c>
      <c r="C242" s="5">
        <v>0.971099537037037</v>
      </c>
      <c r="D242" t="s">
        <v>290</v>
      </c>
      <c r="E242" t="s">
        <v>86</v>
      </c>
      <c r="F242" t="s">
        <v>60</v>
      </c>
      <c r="G242">
        <v>4</v>
      </c>
      <c r="I242" t="s">
        <v>10183</v>
      </c>
      <c r="J242" t="s">
        <v>2982</v>
      </c>
      <c r="K242" t="s">
        <v>10184</v>
      </c>
      <c r="L242" t="s">
        <v>10185</v>
      </c>
      <c r="M242" s="3" t="str">
        <f>HYPERLINK(склад2въезд1319[[#This Row],[RelativePath]])</f>
        <v>5 Крыльцо общага\K07156189_22_20260122T231823Z.jpg</v>
      </c>
    </row>
    <row r="243" spans="1:13" x14ac:dyDescent="0.25">
      <c r="A243" s="2" t="s">
        <v>16</v>
      </c>
      <c r="B243" s="4">
        <v>46044</v>
      </c>
      <c r="C243" s="5">
        <v>0.97232638888888889</v>
      </c>
      <c r="D243" t="s">
        <v>290</v>
      </c>
      <c r="E243" t="s">
        <v>86</v>
      </c>
      <c r="F243" t="s">
        <v>60</v>
      </c>
      <c r="G243">
        <v>3</v>
      </c>
      <c r="I243" t="s">
        <v>10189</v>
      </c>
      <c r="J243" t="s">
        <v>2982</v>
      </c>
      <c r="K243" t="s">
        <v>10190</v>
      </c>
      <c r="L243" t="s">
        <v>10191</v>
      </c>
      <c r="M243" s="3" t="str">
        <f>HYPERLINK(склад2въезд1319[[#This Row],[RelativePath]])</f>
        <v>5 Крыльцо общага\K07156189_22_20260122T232009Z.jpg</v>
      </c>
    </row>
    <row r="244" spans="1:13" x14ac:dyDescent="0.25">
      <c r="A244" s="2" t="s">
        <v>16</v>
      </c>
      <c r="B244" s="4">
        <v>46044</v>
      </c>
      <c r="C244" s="5">
        <v>0.97355324074074079</v>
      </c>
      <c r="D244" t="s">
        <v>290</v>
      </c>
      <c r="E244" t="s">
        <v>86</v>
      </c>
      <c r="F244" t="s">
        <v>60</v>
      </c>
      <c r="G244">
        <v>4</v>
      </c>
      <c r="I244" t="s">
        <v>10192</v>
      </c>
      <c r="J244" t="s">
        <v>2982</v>
      </c>
      <c r="K244" t="s">
        <v>10193</v>
      </c>
      <c r="L244" t="s">
        <v>10194</v>
      </c>
      <c r="M244" s="3" t="str">
        <f>HYPERLINK(склад2въезд1319[[#This Row],[RelativePath]])</f>
        <v>5 Крыльцо общага\K07156189_22_20260122T232155Z.jpg</v>
      </c>
    </row>
    <row r="245" spans="1:13" x14ac:dyDescent="0.25">
      <c r="A245" s="2" t="s">
        <v>16</v>
      </c>
      <c r="B245" s="4">
        <v>46044</v>
      </c>
      <c r="C245" s="5">
        <v>0.97495370370370371</v>
      </c>
      <c r="D245" t="s">
        <v>290</v>
      </c>
      <c r="E245" t="s">
        <v>86</v>
      </c>
      <c r="F245" t="s">
        <v>60</v>
      </c>
      <c r="G245">
        <v>3</v>
      </c>
      <c r="I245" t="s">
        <v>10195</v>
      </c>
      <c r="J245" t="s">
        <v>2982</v>
      </c>
      <c r="K245" t="s">
        <v>10196</v>
      </c>
      <c r="L245" t="s">
        <v>10197</v>
      </c>
      <c r="M245" s="3" t="str">
        <f>HYPERLINK(склад2въезд1319[[#This Row],[RelativePath]])</f>
        <v>5 Крыльцо общага\K07156189_22_20260122T232356Z.jpg</v>
      </c>
    </row>
    <row r="246" spans="1:13" x14ac:dyDescent="0.25">
      <c r="A246" s="2" t="s">
        <v>16</v>
      </c>
      <c r="B246" s="4">
        <v>46044</v>
      </c>
      <c r="C246" s="5">
        <v>0.97534722222222225</v>
      </c>
      <c r="D246" t="s">
        <v>290</v>
      </c>
      <c r="E246" t="s">
        <v>86</v>
      </c>
      <c r="F246" t="s">
        <v>60</v>
      </c>
      <c r="H246" t="s">
        <v>2936</v>
      </c>
      <c r="I246" t="s">
        <v>10198</v>
      </c>
      <c r="J246" t="s">
        <v>2982</v>
      </c>
      <c r="K246" t="s">
        <v>10199</v>
      </c>
      <c r="L246" t="s">
        <v>10200</v>
      </c>
      <c r="M246" s="3" t="str">
        <f>HYPERLINK(склад2въезд1319[[#This Row],[RelativePath]])</f>
        <v>5 Крыльцо общага\K07156189_22_20260122T232430Z.jpg</v>
      </c>
    </row>
    <row r="247" spans="1:13" x14ac:dyDescent="0.25">
      <c r="A247" s="2" t="s">
        <v>16</v>
      </c>
      <c r="B247" s="4">
        <v>46044</v>
      </c>
      <c r="C247" s="5">
        <v>0.97916666666666663</v>
      </c>
      <c r="D247" t="s">
        <v>290</v>
      </c>
      <c r="E247" t="s">
        <v>86</v>
      </c>
      <c r="F247" t="s">
        <v>60</v>
      </c>
      <c r="G247">
        <v>3</v>
      </c>
      <c r="I247" t="s">
        <v>10204</v>
      </c>
      <c r="J247" t="s">
        <v>2982</v>
      </c>
      <c r="K247" t="s">
        <v>10205</v>
      </c>
      <c r="L247" t="s">
        <v>10206</v>
      </c>
      <c r="M247" s="3" t="str">
        <f>HYPERLINK(склад2въезд1319[[#This Row],[RelativePath]])</f>
        <v>5 Крыльцо общага\K07156189_22_20260122T233000Z.jpg</v>
      </c>
    </row>
    <row r="248" spans="1:13" x14ac:dyDescent="0.25">
      <c r="A248" s="2" t="s">
        <v>16</v>
      </c>
      <c r="B248" s="4">
        <v>46044</v>
      </c>
      <c r="C248" s="5">
        <v>0.97717592592592595</v>
      </c>
      <c r="D248" t="s">
        <v>290</v>
      </c>
      <c r="E248" t="s">
        <v>86</v>
      </c>
      <c r="F248" t="s">
        <v>60</v>
      </c>
      <c r="G248">
        <v>1</v>
      </c>
      <c r="I248" t="s">
        <v>10201</v>
      </c>
      <c r="J248" t="s">
        <v>2982</v>
      </c>
      <c r="K248" t="s">
        <v>10202</v>
      </c>
      <c r="L248" t="s">
        <v>10203</v>
      </c>
      <c r="M248" s="3" t="str">
        <f>HYPERLINK(склад2въезд1319[[#This Row],[RelativePath]])</f>
        <v>5 Крыльцо общага\K07156189_22_20260122T232708Z.jpg</v>
      </c>
    </row>
    <row r="249" spans="1:13" x14ac:dyDescent="0.25">
      <c r="A249" s="2" t="s">
        <v>16</v>
      </c>
      <c r="B249" s="4">
        <v>46044</v>
      </c>
      <c r="C249" s="5">
        <v>0.9808217592592593</v>
      </c>
      <c r="D249" t="s">
        <v>290</v>
      </c>
      <c r="E249" t="s">
        <v>86</v>
      </c>
      <c r="F249" t="s">
        <v>60</v>
      </c>
      <c r="G249">
        <v>3</v>
      </c>
      <c r="I249" t="s">
        <v>10207</v>
      </c>
      <c r="J249" t="s">
        <v>2982</v>
      </c>
      <c r="K249" t="s">
        <v>10208</v>
      </c>
      <c r="L249" t="s">
        <v>10209</v>
      </c>
      <c r="M249" s="3" t="str">
        <f>HYPERLINK(склад2въезд1319[[#This Row],[RelativePath]])</f>
        <v>5 Крыльцо общага\K07156189_22_20260122T233223Z.jpg</v>
      </c>
    </row>
    <row r="250" spans="1:13" x14ac:dyDescent="0.25">
      <c r="A250" s="2" t="s">
        <v>16</v>
      </c>
      <c r="B250" s="4">
        <v>46044</v>
      </c>
      <c r="C250" s="5">
        <v>0.98320601851851852</v>
      </c>
      <c r="D250" t="s">
        <v>290</v>
      </c>
      <c r="E250" t="s">
        <v>86</v>
      </c>
      <c r="F250" t="s">
        <v>60</v>
      </c>
      <c r="G250">
        <v>2</v>
      </c>
      <c r="I250" t="s">
        <v>10211</v>
      </c>
      <c r="J250" t="s">
        <v>2982</v>
      </c>
      <c r="K250" t="s">
        <v>10212</v>
      </c>
      <c r="L250" t="s">
        <v>10213</v>
      </c>
      <c r="M250" s="3" t="str">
        <f>HYPERLINK(склад2въезд1319[[#This Row],[RelativePath]])</f>
        <v>5 Крыльцо общага\K07156189_22_20260122T233549Z.jpg</v>
      </c>
    </row>
    <row r="251" spans="1:13" x14ac:dyDescent="0.25">
      <c r="A251" s="2" t="s">
        <v>16</v>
      </c>
      <c r="B251" s="4">
        <v>46044</v>
      </c>
      <c r="C251" s="5">
        <v>0.98479166666666662</v>
      </c>
      <c r="D251" t="s">
        <v>290</v>
      </c>
      <c r="E251" t="s">
        <v>86</v>
      </c>
      <c r="F251" t="s">
        <v>60</v>
      </c>
      <c r="G251">
        <v>3</v>
      </c>
      <c r="I251" t="s">
        <v>10214</v>
      </c>
      <c r="J251" t="s">
        <v>2982</v>
      </c>
      <c r="K251" t="s">
        <v>10215</v>
      </c>
      <c r="L251" t="s">
        <v>10216</v>
      </c>
      <c r="M251" s="3" t="str">
        <f>HYPERLINK(склад2въезд1319[[#This Row],[RelativePath]])</f>
        <v>5 Крыльцо общага\K07156189_22_20260122T233806Z.jpg</v>
      </c>
    </row>
    <row r="252" spans="1:13" x14ac:dyDescent="0.25">
      <c r="A252" s="2" t="s">
        <v>16</v>
      </c>
      <c r="B252" s="4">
        <v>46044</v>
      </c>
      <c r="C252" s="5">
        <v>0.98523148148148143</v>
      </c>
      <c r="D252" t="s">
        <v>290</v>
      </c>
      <c r="E252" t="s">
        <v>86</v>
      </c>
      <c r="F252" t="s">
        <v>60</v>
      </c>
      <c r="H252" t="s">
        <v>2936</v>
      </c>
      <c r="I252" t="s">
        <v>10217</v>
      </c>
      <c r="J252" t="s">
        <v>2982</v>
      </c>
      <c r="K252" t="s">
        <v>10218</v>
      </c>
      <c r="L252" t="s">
        <v>10219</v>
      </c>
      <c r="M252" s="3" t="str">
        <f>HYPERLINK(склад2въезд1319[[#This Row],[RelativePath]])</f>
        <v>5 Крыльцо общага\K07156189_22_20260122T233844Z.jpg</v>
      </c>
    </row>
    <row r="253" spans="1:13" x14ac:dyDescent="0.25">
      <c r="A253" s="2" t="s">
        <v>16</v>
      </c>
      <c r="B253" s="4">
        <v>46044</v>
      </c>
      <c r="C253" s="5">
        <v>0.98657407407407405</v>
      </c>
      <c r="D253" t="s">
        <v>290</v>
      </c>
      <c r="E253" t="s">
        <v>86</v>
      </c>
      <c r="F253" t="s">
        <v>60</v>
      </c>
      <c r="G253">
        <v>2</v>
      </c>
      <c r="I253" t="s">
        <v>10220</v>
      </c>
      <c r="J253" t="s">
        <v>2982</v>
      </c>
      <c r="K253" t="s">
        <v>10221</v>
      </c>
      <c r="L253" t="s">
        <v>10222</v>
      </c>
      <c r="M253" s="3" t="str">
        <f>HYPERLINK(склад2въезд1319[[#This Row],[RelativePath]])</f>
        <v>5 Крыльцо общага\K07156189_22_20260122T234040Z.jpg</v>
      </c>
    </row>
    <row r="254" spans="1:13" x14ac:dyDescent="0.25">
      <c r="A254" s="2" t="s">
        <v>16</v>
      </c>
      <c r="B254" s="4">
        <v>46044</v>
      </c>
      <c r="C254" s="5">
        <v>0.98972222222222217</v>
      </c>
      <c r="D254" t="s">
        <v>290</v>
      </c>
      <c r="E254" t="s">
        <v>86</v>
      </c>
      <c r="F254" t="s">
        <v>60</v>
      </c>
      <c r="G254">
        <v>4</v>
      </c>
      <c r="I254" t="s">
        <v>10223</v>
      </c>
      <c r="J254" t="s">
        <v>2982</v>
      </c>
      <c r="K254" t="s">
        <v>10224</v>
      </c>
      <c r="L254" t="s">
        <v>10225</v>
      </c>
      <c r="M254" s="3" t="str">
        <f>HYPERLINK(склад2въезд1319[[#This Row],[RelativePath]])</f>
        <v>5 Крыльцо общага\K07156189_22_20260122T234512Z.jpg</v>
      </c>
    </row>
    <row r="255" spans="1:13" x14ac:dyDescent="0.25">
      <c r="A255" s="2" t="s">
        <v>16</v>
      </c>
      <c r="B255" s="4">
        <v>46044</v>
      </c>
      <c r="C255" s="5">
        <v>0.99143518518518514</v>
      </c>
      <c r="D255" t="s">
        <v>290</v>
      </c>
      <c r="E255" t="s">
        <v>86</v>
      </c>
      <c r="F255" t="s">
        <v>60</v>
      </c>
      <c r="G255">
        <v>1</v>
      </c>
      <c r="I255" t="s">
        <v>10226</v>
      </c>
      <c r="J255" t="s">
        <v>2982</v>
      </c>
      <c r="K255" t="s">
        <v>10227</v>
      </c>
      <c r="L255" t="s">
        <v>10228</v>
      </c>
      <c r="M255" s="3" t="str">
        <f>HYPERLINK(склад2въезд1319[[#This Row],[RelativePath]])</f>
        <v>5 Крыльцо общага\K07156189_22_20260122T234740Z.jpg</v>
      </c>
    </row>
    <row r="256" spans="1:13" x14ac:dyDescent="0.25">
      <c r="A256" s="2" t="s">
        <v>16</v>
      </c>
      <c r="B256" s="4">
        <v>46044</v>
      </c>
      <c r="C256" s="5">
        <v>0.99332175925925925</v>
      </c>
      <c r="D256" t="s">
        <v>290</v>
      </c>
      <c r="E256" t="s">
        <v>86</v>
      </c>
      <c r="F256" t="s">
        <v>60</v>
      </c>
      <c r="G256">
        <v>3</v>
      </c>
      <c r="I256" t="s">
        <v>10229</v>
      </c>
      <c r="J256" t="s">
        <v>2982</v>
      </c>
      <c r="K256" t="s">
        <v>10230</v>
      </c>
      <c r="L256" t="s">
        <v>10231</v>
      </c>
      <c r="M256" s="3" t="str">
        <f>HYPERLINK(склад2въезд1319[[#This Row],[RelativePath]])</f>
        <v>5 Крыльцо общага\K07156189_22_20260122T235023Z.jpg</v>
      </c>
    </row>
    <row r="257" spans="1:13" x14ac:dyDescent="0.25">
      <c r="A257" s="2" t="s">
        <v>16</v>
      </c>
      <c r="B257" s="4">
        <v>46044</v>
      </c>
      <c r="C257" s="5">
        <v>0.99512731481481487</v>
      </c>
      <c r="D257" t="s">
        <v>290</v>
      </c>
      <c r="E257" t="s">
        <v>86</v>
      </c>
      <c r="F257" t="s">
        <v>60</v>
      </c>
      <c r="G257">
        <v>3</v>
      </c>
      <c r="I257" t="s">
        <v>10232</v>
      </c>
      <c r="J257" t="s">
        <v>2982</v>
      </c>
      <c r="K257" t="s">
        <v>10233</v>
      </c>
      <c r="L257" t="s">
        <v>10234</v>
      </c>
      <c r="M257" s="3" t="str">
        <f>HYPERLINK(склад2въезд1319[[#This Row],[RelativePath]])</f>
        <v>5 Крыльцо общага\K07156189_22_20260122T235259Z.jpg</v>
      </c>
    </row>
    <row r="258" spans="1:13" x14ac:dyDescent="0.25">
      <c r="A258" s="2" t="s">
        <v>16</v>
      </c>
      <c r="B258" s="4">
        <v>46044</v>
      </c>
      <c r="C258" s="5">
        <v>0.99630787037037039</v>
      </c>
      <c r="D258" t="s">
        <v>290</v>
      </c>
      <c r="E258" t="s">
        <v>86</v>
      </c>
      <c r="F258" t="s">
        <v>60</v>
      </c>
      <c r="G258">
        <v>2</v>
      </c>
      <c r="I258" t="s">
        <v>10235</v>
      </c>
      <c r="J258" t="s">
        <v>2982</v>
      </c>
      <c r="K258" t="s">
        <v>10236</v>
      </c>
      <c r="L258" t="s">
        <v>10237</v>
      </c>
      <c r="M258" s="3" t="str">
        <f>HYPERLINK(склад2въезд1319[[#This Row],[RelativePath]])</f>
        <v>5 Крыльцо общага\K07156189_22_20260122T235441Z.jpg</v>
      </c>
    </row>
    <row r="259" spans="1:13" x14ac:dyDescent="0.25">
      <c r="A259" s="2" t="s">
        <v>16</v>
      </c>
      <c r="B259" s="4">
        <v>46044</v>
      </c>
      <c r="C259" s="5">
        <v>0.9975694444444444</v>
      </c>
      <c r="D259" t="s">
        <v>290</v>
      </c>
      <c r="E259" t="s">
        <v>86</v>
      </c>
      <c r="F259" t="s">
        <v>60</v>
      </c>
      <c r="G259">
        <v>2</v>
      </c>
      <c r="I259" t="s">
        <v>10238</v>
      </c>
      <c r="J259" t="s">
        <v>2982</v>
      </c>
      <c r="K259" t="s">
        <v>10239</v>
      </c>
      <c r="L259" t="s">
        <v>10240</v>
      </c>
      <c r="M259" s="3" t="str">
        <f>HYPERLINK(склад2въезд1319[[#This Row],[RelativePath]])</f>
        <v>5 Крыльцо общага\K07156189_22_20260122T235630Z.jpg</v>
      </c>
    </row>
    <row r="260" spans="1:13" x14ac:dyDescent="0.25">
      <c r="A260" s="2" t="s">
        <v>16</v>
      </c>
      <c r="B260" s="4">
        <v>46044</v>
      </c>
      <c r="C260" s="5">
        <v>0.99890046296296298</v>
      </c>
      <c r="D260" t="s">
        <v>290</v>
      </c>
      <c r="E260" t="s">
        <v>86</v>
      </c>
      <c r="F260" t="s">
        <v>60</v>
      </c>
      <c r="G260">
        <v>3</v>
      </c>
      <c r="I260" t="s">
        <v>10241</v>
      </c>
      <c r="J260" t="s">
        <v>2982</v>
      </c>
      <c r="K260" t="s">
        <v>10242</v>
      </c>
      <c r="L260" t="s">
        <v>10243</v>
      </c>
      <c r="M260" s="3" t="str">
        <f>HYPERLINK(склад2въезд1319[[#This Row],[RelativePath]])</f>
        <v>5 Крыльцо общага\K07156189_22_20260122T235825Z.jpg</v>
      </c>
    </row>
    <row r="261" spans="1:13" x14ac:dyDescent="0.25">
      <c r="A261" s="2" t="s">
        <v>17</v>
      </c>
      <c r="B261" s="4">
        <v>46045</v>
      </c>
      <c r="C261" s="5">
        <v>6.9444444444444447E-4</v>
      </c>
      <c r="D261" t="s">
        <v>290</v>
      </c>
      <c r="E261" t="s">
        <v>86</v>
      </c>
      <c r="F261" t="s">
        <v>60</v>
      </c>
      <c r="G261">
        <v>2</v>
      </c>
      <c r="I261" t="s">
        <v>10244</v>
      </c>
      <c r="J261" t="s">
        <v>2982</v>
      </c>
      <c r="K261" t="s">
        <v>10245</v>
      </c>
      <c r="L261" t="s">
        <v>10246</v>
      </c>
      <c r="M261" s="3" t="str">
        <f>HYPERLINK(склад2въезд1319[[#This Row],[RelativePath]])</f>
        <v>5 Крыльцо общага\K07156189_22_20260123T000100Z.jpg</v>
      </c>
    </row>
    <row r="262" spans="1:13" x14ac:dyDescent="0.25">
      <c r="A262" s="2" t="s">
        <v>17</v>
      </c>
      <c r="B262" s="4">
        <v>46045</v>
      </c>
      <c r="C262" s="5">
        <v>2.0601851851851853E-3</v>
      </c>
      <c r="D262" t="s">
        <v>290</v>
      </c>
      <c r="E262" t="s">
        <v>86</v>
      </c>
      <c r="F262" t="s">
        <v>60</v>
      </c>
      <c r="G262">
        <v>2</v>
      </c>
      <c r="I262" t="s">
        <v>10247</v>
      </c>
      <c r="J262" t="s">
        <v>2982</v>
      </c>
      <c r="K262" t="s">
        <v>10248</v>
      </c>
      <c r="L262" t="s">
        <v>10249</v>
      </c>
      <c r="M262" s="3" t="str">
        <f>HYPERLINK(склад2въезд1319[[#This Row],[RelativePath]])</f>
        <v>5 Крыльцо общага\K07156189_22_20260123T000258Z.jpg</v>
      </c>
    </row>
    <row r="263" spans="1:13" x14ac:dyDescent="0.25">
      <c r="A263" s="2" t="s">
        <v>17</v>
      </c>
      <c r="B263" s="4">
        <v>46045</v>
      </c>
      <c r="C263" s="5">
        <v>3.5648148148148149E-3</v>
      </c>
      <c r="D263" t="s">
        <v>290</v>
      </c>
      <c r="E263" t="s">
        <v>86</v>
      </c>
      <c r="F263" t="s">
        <v>60</v>
      </c>
      <c r="G263">
        <v>3</v>
      </c>
      <c r="I263" t="s">
        <v>10250</v>
      </c>
      <c r="J263" t="s">
        <v>2982</v>
      </c>
      <c r="K263" t="s">
        <v>10251</v>
      </c>
      <c r="L263" t="s">
        <v>10252</v>
      </c>
      <c r="M263" s="3" t="str">
        <f>HYPERLINK(склад2въезд1319[[#This Row],[RelativePath]])</f>
        <v>5 Крыльцо общага\K07156189_22_20260123T000508Z.jpg</v>
      </c>
    </row>
    <row r="264" spans="1:13" x14ac:dyDescent="0.25">
      <c r="A264" s="2" t="s">
        <v>17</v>
      </c>
      <c r="B264" s="4">
        <v>46045</v>
      </c>
      <c r="C264" s="5">
        <v>3.9699074074074072E-3</v>
      </c>
      <c r="D264" t="s">
        <v>290</v>
      </c>
      <c r="E264" t="s">
        <v>86</v>
      </c>
      <c r="F264" t="s">
        <v>60</v>
      </c>
      <c r="H264" t="s">
        <v>2936</v>
      </c>
      <c r="I264" t="s">
        <v>10253</v>
      </c>
      <c r="J264" t="s">
        <v>2982</v>
      </c>
      <c r="K264" t="s">
        <v>10254</v>
      </c>
      <c r="L264" t="s">
        <v>10255</v>
      </c>
      <c r="M264" s="3" t="str">
        <f>HYPERLINK(склад2въезд1319[[#This Row],[RelativePath]])</f>
        <v>5 Крыльцо общага\K07156189_22_20260123T000543Z.jpg</v>
      </c>
    </row>
    <row r="265" spans="1:13" x14ac:dyDescent="0.25">
      <c r="A265" s="2" t="s">
        <v>17</v>
      </c>
      <c r="B265" s="4">
        <v>46045</v>
      </c>
      <c r="C265" s="5">
        <v>4.8958333333333336E-3</v>
      </c>
      <c r="D265" t="s">
        <v>290</v>
      </c>
      <c r="E265" t="s">
        <v>86</v>
      </c>
      <c r="F265" t="s">
        <v>60</v>
      </c>
      <c r="G265">
        <v>4</v>
      </c>
      <c r="I265" t="s">
        <v>10256</v>
      </c>
      <c r="J265" t="s">
        <v>2982</v>
      </c>
      <c r="K265" t="s">
        <v>10257</v>
      </c>
      <c r="L265" t="s">
        <v>10258</v>
      </c>
      <c r="M265" s="3" t="str">
        <f>HYPERLINK(склад2въезд1319[[#This Row],[RelativePath]])</f>
        <v>5 Крыльцо общага\K07156189_22_20260123T000703Z.jpg</v>
      </c>
    </row>
    <row r="266" spans="1:13" x14ac:dyDescent="0.25">
      <c r="A266" s="2" t="s">
        <v>17</v>
      </c>
      <c r="B266" s="4">
        <v>46045</v>
      </c>
      <c r="C266" s="5">
        <v>6.4351851851851853E-3</v>
      </c>
      <c r="D266" t="s">
        <v>290</v>
      </c>
      <c r="E266" t="s">
        <v>86</v>
      </c>
      <c r="F266" t="s">
        <v>60</v>
      </c>
      <c r="G266">
        <v>3</v>
      </c>
      <c r="I266" t="s">
        <v>10259</v>
      </c>
      <c r="J266" t="s">
        <v>2982</v>
      </c>
      <c r="K266" t="s">
        <v>10260</v>
      </c>
      <c r="L266" t="s">
        <v>10261</v>
      </c>
      <c r="M266" s="3" t="str">
        <f>HYPERLINK(склад2въезд1319[[#This Row],[RelativePath]])</f>
        <v>5 Крыльцо общага\K07156189_22_20260123T000916Z.jpg</v>
      </c>
    </row>
    <row r="267" spans="1:13" x14ac:dyDescent="0.25">
      <c r="A267" s="2" t="s">
        <v>17</v>
      </c>
      <c r="B267" s="4">
        <v>46045</v>
      </c>
      <c r="C267" s="5">
        <v>7.9976851851851858E-3</v>
      </c>
      <c r="D267" t="s">
        <v>290</v>
      </c>
      <c r="E267" t="s">
        <v>86</v>
      </c>
      <c r="F267" t="s">
        <v>60</v>
      </c>
      <c r="G267">
        <v>3</v>
      </c>
      <c r="I267" t="s">
        <v>10262</v>
      </c>
      <c r="J267" t="s">
        <v>2982</v>
      </c>
      <c r="K267" t="s">
        <v>10263</v>
      </c>
      <c r="L267" t="s">
        <v>10264</v>
      </c>
      <c r="M267" s="3" t="str">
        <f>HYPERLINK(склад2въезд1319[[#This Row],[RelativePath]])</f>
        <v>5 Крыльцо общага\K07156189_22_20260123T001131Z.jpg</v>
      </c>
    </row>
    <row r="268" spans="1:13" x14ac:dyDescent="0.25">
      <c r="A268" s="2" t="s">
        <v>17</v>
      </c>
      <c r="B268" s="4">
        <v>46045</v>
      </c>
      <c r="C268" s="5">
        <v>9.525462962962963E-3</v>
      </c>
      <c r="D268" t="s">
        <v>290</v>
      </c>
      <c r="E268" t="s">
        <v>86</v>
      </c>
      <c r="F268" t="s">
        <v>60</v>
      </c>
      <c r="G268">
        <v>2</v>
      </c>
      <c r="I268" t="s">
        <v>10265</v>
      </c>
      <c r="J268" t="s">
        <v>2982</v>
      </c>
      <c r="K268" t="s">
        <v>10266</v>
      </c>
      <c r="L268" t="s">
        <v>10267</v>
      </c>
      <c r="M268" s="3" t="str">
        <f>HYPERLINK(склад2въезд1319[[#This Row],[RelativePath]])</f>
        <v>5 Крыльцо общага\K07156189_22_20260123T001343Z.jpg</v>
      </c>
    </row>
    <row r="269" spans="1:13" x14ac:dyDescent="0.25">
      <c r="A269" s="2" t="s">
        <v>17</v>
      </c>
      <c r="B269" s="4">
        <v>46045</v>
      </c>
      <c r="C269" s="5">
        <v>0.39523148148148146</v>
      </c>
      <c r="D269" t="s">
        <v>290</v>
      </c>
      <c r="E269" t="s">
        <v>86</v>
      </c>
      <c r="F269" t="s">
        <v>60</v>
      </c>
      <c r="G269">
        <v>2</v>
      </c>
      <c r="H269" t="s">
        <v>10347</v>
      </c>
      <c r="I269" t="s">
        <v>10281</v>
      </c>
      <c r="J269" t="s">
        <v>2982</v>
      </c>
      <c r="K269" t="s">
        <v>10282</v>
      </c>
      <c r="L269" t="s">
        <v>10283</v>
      </c>
      <c r="M269" s="3" t="str">
        <f>HYPERLINK(склад2въезд1319[[#This Row],[RelativePath]])</f>
        <v>5 Крыльцо общага\K07156189_22_20260123T092908Z.jpg</v>
      </c>
    </row>
    <row r="270" spans="1:13" x14ac:dyDescent="0.25">
      <c r="A270" s="2" t="s">
        <v>17</v>
      </c>
      <c r="B270" s="4">
        <v>46045</v>
      </c>
      <c r="C270" s="5">
        <v>0.39759259259259261</v>
      </c>
      <c r="D270" t="s">
        <v>290</v>
      </c>
      <c r="E270" t="s">
        <v>86</v>
      </c>
      <c r="F270" t="s">
        <v>60</v>
      </c>
      <c r="G270">
        <v>3</v>
      </c>
      <c r="H270" t="s">
        <v>10347</v>
      </c>
      <c r="I270" t="s">
        <v>10284</v>
      </c>
      <c r="J270" t="s">
        <v>2982</v>
      </c>
      <c r="K270" t="s">
        <v>10285</v>
      </c>
      <c r="L270" t="s">
        <v>10286</v>
      </c>
      <c r="M270" s="3" t="str">
        <f>HYPERLINK(склад2въезд1319[[#This Row],[RelativePath]])</f>
        <v>5 Крыльцо общага\K07156189_22_20260123T093232Z.jpg</v>
      </c>
    </row>
    <row r="271" spans="1:13" x14ac:dyDescent="0.25">
      <c r="A271" s="2" t="s">
        <v>17</v>
      </c>
      <c r="B271" s="4">
        <v>46045</v>
      </c>
      <c r="C271" s="5">
        <v>0.40006944444444442</v>
      </c>
      <c r="D271" t="s">
        <v>290</v>
      </c>
      <c r="E271" t="s">
        <v>86</v>
      </c>
      <c r="F271" t="s">
        <v>60</v>
      </c>
      <c r="G271">
        <v>3</v>
      </c>
      <c r="H271" t="s">
        <v>10347</v>
      </c>
      <c r="I271" t="s">
        <v>10287</v>
      </c>
      <c r="J271" t="s">
        <v>2982</v>
      </c>
      <c r="K271" t="s">
        <v>10288</v>
      </c>
      <c r="L271" t="s">
        <v>10289</v>
      </c>
      <c r="M271" s="3" t="str">
        <f>HYPERLINK(склад2въезд1319[[#This Row],[RelativePath]])</f>
        <v>5 Крыльцо общага\K07156189_22_20260123T093606Z.jpg</v>
      </c>
    </row>
    <row r="272" spans="1:13" x14ac:dyDescent="0.25">
      <c r="A272" s="2" t="s">
        <v>17</v>
      </c>
      <c r="B272" s="4">
        <v>46045</v>
      </c>
      <c r="C272" s="5">
        <v>0.40269675925925924</v>
      </c>
      <c r="D272" t="s">
        <v>290</v>
      </c>
      <c r="E272" t="s">
        <v>86</v>
      </c>
      <c r="F272" t="s">
        <v>60</v>
      </c>
      <c r="G272">
        <v>4</v>
      </c>
      <c r="H272" t="s">
        <v>10347</v>
      </c>
      <c r="I272" t="s">
        <v>10290</v>
      </c>
      <c r="J272" t="s">
        <v>2982</v>
      </c>
      <c r="K272" t="s">
        <v>10291</v>
      </c>
      <c r="L272" t="s">
        <v>10292</v>
      </c>
      <c r="M272" s="3" t="str">
        <f>HYPERLINK(склад2въезд1319[[#This Row],[RelativePath]])</f>
        <v>5 Крыльцо общага\K07156189_22_20260123T093953Z.jpg</v>
      </c>
    </row>
    <row r="273" spans="1:13" x14ac:dyDescent="0.25">
      <c r="A273" s="2" t="s">
        <v>17</v>
      </c>
      <c r="B273" s="4">
        <v>46045</v>
      </c>
      <c r="C273" s="5">
        <v>0.40763888888888888</v>
      </c>
      <c r="D273" t="s">
        <v>290</v>
      </c>
      <c r="E273" t="s">
        <v>86</v>
      </c>
      <c r="F273" t="s">
        <v>60</v>
      </c>
      <c r="G273">
        <v>4</v>
      </c>
      <c r="H273" t="s">
        <v>10347</v>
      </c>
      <c r="I273" t="s">
        <v>10293</v>
      </c>
      <c r="J273" t="s">
        <v>2982</v>
      </c>
      <c r="K273" t="s">
        <v>10294</v>
      </c>
      <c r="L273" t="s">
        <v>10295</v>
      </c>
      <c r="M273" s="3" t="str">
        <f>HYPERLINK(склад2въезд1319[[#This Row],[RelativePath]])</f>
        <v>5 Крыльцо общага\K07156189_22_20260123T094700Z.jpg</v>
      </c>
    </row>
    <row r="274" spans="1:13" x14ac:dyDescent="0.25">
      <c r="A274" s="2" t="s">
        <v>17</v>
      </c>
      <c r="B274" s="4">
        <v>46045</v>
      </c>
      <c r="C274" s="5">
        <v>0.41028935185185184</v>
      </c>
      <c r="D274" t="s">
        <v>290</v>
      </c>
      <c r="E274" t="s">
        <v>86</v>
      </c>
      <c r="F274" t="s">
        <v>60</v>
      </c>
      <c r="G274">
        <v>4</v>
      </c>
      <c r="H274" t="s">
        <v>10347</v>
      </c>
      <c r="I274" t="s">
        <v>10296</v>
      </c>
      <c r="J274" t="s">
        <v>2982</v>
      </c>
      <c r="K274" t="s">
        <v>10297</v>
      </c>
      <c r="L274" t="s">
        <v>10298</v>
      </c>
      <c r="M274" s="3" t="str">
        <f>HYPERLINK(склад2въезд1319[[#This Row],[RelativePath]])</f>
        <v>5 Крыльцо общага\K07156189_22_20260123T095049Z.jpg</v>
      </c>
    </row>
    <row r="275" spans="1:13" x14ac:dyDescent="0.25">
      <c r="A275" s="2" t="s">
        <v>17</v>
      </c>
      <c r="B275" s="4">
        <v>46045</v>
      </c>
      <c r="C275" s="5">
        <v>0.41259259259259257</v>
      </c>
      <c r="D275" t="s">
        <v>290</v>
      </c>
      <c r="E275" t="s">
        <v>86</v>
      </c>
      <c r="F275" t="s">
        <v>60</v>
      </c>
      <c r="G275">
        <v>5</v>
      </c>
      <c r="H275" t="s">
        <v>10347</v>
      </c>
      <c r="I275" t="s">
        <v>10299</v>
      </c>
      <c r="J275" t="s">
        <v>2982</v>
      </c>
      <c r="K275" t="s">
        <v>10300</v>
      </c>
      <c r="L275" t="s">
        <v>10301</v>
      </c>
      <c r="M275" s="3" t="str">
        <f>HYPERLINK(склад2въезд1319[[#This Row],[RelativePath]])</f>
        <v>5 Крыльцо общага\K07156189_22_20260123T095408Z.jpg</v>
      </c>
    </row>
    <row r="276" spans="1:13" x14ac:dyDescent="0.25">
      <c r="A276" s="2" t="s">
        <v>17</v>
      </c>
      <c r="B276" s="4">
        <v>46045</v>
      </c>
      <c r="C276" s="5">
        <v>0.41501157407407407</v>
      </c>
      <c r="D276" t="s">
        <v>290</v>
      </c>
      <c r="E276" t="s">
        <v>86</v>
      </c>
      <c r="F276" t="s">
        <v>60</v>
      </c>
      <c r="G276">
        <v>2</v>
      </c>
      <c r="H276" t="s">
        <v>10347</v>
      </c>
      <c r="I276" t="s">
        <v>10302</v>
      </c>
      <c r="J276" t="s">
        <v>2982</v>
      </c>
      <c r="K276" t="s">
        <v>10303</v>
      </c>
      <c r="L276" t="s">
        <v>10304</v>
      </c>
      <c r="M276" s="3" t="str">
        <f>HYPERLINK(склад2въезд1319[[#This Row],[RelativePath]])</f>
        <v>5 Крыльцо общага\K07156189_22_20260123T095737Z.jpg</v>
      </c>
    </row>
    <row r="277" spans="1:13" x14ac:dyDescent="0.25">
      <c r="A277" s="2" t="s">
        <v>17</v>
      </c>
      <c r="B277" s="4">
        <v>46045</v>
      </c>
      <c r="C277" s="5">
        <v>0.41718749999999999</v>
      </c>
      <c r="D277" t="s">
        <v>290</v>
      </c>
      <c r="E277" t="s">
        <v>86</v>
      </c>
      <c r="F277" t="s">
        <v>60</v>
      </c>
      <c r="G277">
        <v>3</v>
      </c>
      <c r="H277" t="s">
        <v>10347</v>
      </c>
      <c r="I277" t="s">
        <v>10305</v>
      </c>
      <c r="J277" t="s">
        <v>2982</v>
      </c>
      <c r="K277" t="s">
        <v>10306</v>
      </c>
      <c r="L277" t="s">
        <v>10307</v>
      </c>
      <c r="M277" s="3" t="str">
        <f>HYPERLINK(склад2въезд1319[[#This Row],[RelativePath]])</f>
        <v>5 Крыльцо общага\K07156189_22_20260123T100045Z.jpg</v>
      </c>
    </row>
    <row r="278" spans="1:13" x14ac:dyDescent="0.25">
      <c r="A278" s="2" t="s">
        <v>17</v>
      </c>
      <c r="B278" s="4">
        <v>46045</v>
      </c>
      <c r="C278" s="5">
        <v>0.42162037037037037</v>
      </c>
      <c r="D278" t="s">
        <v>290</v>
      </c>
      <c r="E278" t="s">
        <v>86</v>
      </c>
      <c r="F278" t="s">
        <v>60</v>
      </c>
      <c r="G278">
        <v>3</v>
      </c>
      <c r="H278" t="s">
        <v>10347</v>
      </c>
      <c r="I278" t="s">
        <v>10308</v>
      </c>
      <c r="J278" t="s">
        <v>2982</v>
      </c>
      <c r="K278" t="s">
        <v>10309</v>
      </c>
      <c r="L278" t="s">
        <v>10310</v>
      </c>
      <c r="M278" s="3" t="str">
        <f>HYPERLINK(склад2въезд1319[[#This Row],[RelativePath]])</f>
        <v>5 Крыльцо общага\K07156189_22_20260123T100708Z.jpg</v>
      </c>
    </row>
    <row r="279" spans="1:13" x14ac:dyDescent="0.25">
      <c r="A279" s="2" t="s">
        <v>17</v>
      </c>
      <c r="B279" s="4">
        <v>46045</v>
      </c>
      <c r="C279" s="5">
        <v>0.42399305555555555</v>
      </c>
      <c r="D279" t="s">
        <v>290</v>
      </c>
      <c r="E279" t="s">
        <v>86</v>
      </c>
      <c r="F279" t="s">
        <v>60</v>
      </c>
      <c r="G279">
        <v>3</v>
      </c>
      <c r="H279" t="s">
        <v>10347</v>
      </c>
      <c r="I279" t="s">
        <v>10311</v>
      </c>
      <c r="J279" t="s">
        <v>2982</v>
      </c>
      <c r="K279" t="s">
        <v>10312</v>
      </c>
      <c r="L279" t="s">
        <v>10313</v>
      </c>
      <c r="M279" s="3" t="str">
        <f>HYPERLINK(склад2въезд1319[[#This Row],[RelativePath]])</f>
        <v>5 Крыльцо общага\K07156189_22_20260123T101033Z.jpg</v>
      </c>
    </row>
    <row r="280" spans="1:13" x14ac:dyDescent="0.25">
      <c r="A280" s="2" t="s">
        <v>17</v>
      </c>
      <c r="B280" s="4">
        <v>46045</v>
      </c>
      <c r="C280" s="5">
        <v>0.42623842592592592</v>
      </c>
      <c r="D280" t="s">
        <v>290</v>
      </c>
      <c r="E280" t="s">
        <v>86</v>
      </c>
      <c r="F280" t="s">
        <v>60</v>
      </c>
      <c r="G280">
        <v>2</v>
      </c>
      <c r="H280" t="s">
        <v>10347</v>
      </c>
      <c r="I280" t="s">
        <v>10314</v>
      </c>
      <c r="J280" t="s">
        <v>2982</v>
      </c>
      <c r="K280" t="s">
        <v>10315</v>
      </c>
      <c r="L280" t="s">
        <v>10316</v>
      </c>
      <c r="M280" s="3" t="str">
        <f>HYPERLINK(склад2въезд1319[[#This Row],[RelativePath]])</f>
        <v>5 Крыльцо общага\K07156189_22_20260123T101347Z.jpg</v>
      </c>
    </row>
    <row r="281" spans="1:13" x14ac:dyDescent="0.25">
      <c r="A281" s="2" t="s">
        <v>17</v>
      </c>
      <c r="B281" s="4">
        <v>46045</v>
      </c>
      <c r="C281" s="5">
        <v>0.4287037037037037</v>
      </c>
      <c r="D281" t="s">
        <v>290</v>
      </c>
      <c r="E281" t="s">
        <v>86</v>
      </c>
      <c r="F281" t="s">
        <v>60</v>
      </c>
      <c r="G281">
        <v>2</v>
      </c>
      <c r="H281" t="s">
        <v>10347</v>
      </c>
      <c r="I281" t="s">
        <v>10317</v>
      </c>
      <c r="J281" t="s">
        <v>2982</v>
      </c>
      <c r="K281" t="s">
        <v>10318</v>
      </c>
      <c r="L281" t="s">
        <v>10319</v>
      </c>
      <c r="M281" s="3" t="str">
        <f>HYPERLINK(склад2въезд1319[[#This Row],[RelativePath]])</f>
        <v>5 Крыльцо общага\K07156189_22_20260123T101720Z.jpg</v>
      </c>
    </row>
    <row r="282" spans="1:13" x14ac:dyDescent="0.25">
      <c r="A282" s="2" t="s">
        <v>17</v>
      </c>
      <c r="B282" s="4">
        <v>46045</v>
      </c>
      <c r="C282" s="5">
        <v>0.43062499999999998</v>
      </c>
      <c r="D282" t="s">
        <v>290</v>
      </c>
      <c r="E282" t="s">
        <v>86</v>
      </c>
      <c r="F282" t="s">
        <v>60</v>
      </c>
      <c r="G282">
        <v>3</v>
      </c>
      <c r="H282" t="s">
        <v>10347</v>
      </c>
      <c r="I282" t="s">
        <v>10320</v>
      </c>
      <c r="J282" t="s">
        <v>2982</v>
      </c>
      <c r="K282" t="s">
        <v>10321</v>
      </c>
      <c r="L282" t="s">
        <v>10322</v>
      </c>
      <c r="M282" s="3" t="str">
        <f>HYPERLINK(склад2въезд1319[[#This Row],[RelativePath]])</f>
        <v>5 Крыльцо общага\K07156189_22_20260123T102006Z.jpg</v>
      </c>
    </row>
    <row r="283" spans="1:13" x14ac:dyDescent="0.25">
      <c r="A283" s="2" t="s">
        <v>17</v>
      </c>
      <c r="B283" s="4">
        <v>46045</v>
      </c>
      <c r="C283" s="5">
        <v>0.43278935185185186</v>
      </c>
      <c r="D283" t="s">
        <v>290</v>
      </c>
      <c r="E283" t="s">
        <v>86</v>
      </c>
      <c r="F283" t="s">
        <v>60</v>
      </c>
      <c r="G283">
        <v>3</v>
      </c>
      <c r="H283" t="s">
        <v>10347</v>
      </c>
      <c r="I283" t="s">
        <v>10323</v>
      </c>
      <c r="J283" t="s">
        <v>2982</v>
      </c>
      <c r="K283" t="s">
        <v>10324</v>
      </c>
      <c r="L283" t="s">
        <v>10325</v>
      </c>
      <c r="M283" s="3" t="str">
        <f>HYPERLINK(склад2въезд1319[[#This Row],[RelativePath]])</f>
        <v>5 Крыльцо общага\K07156189_22_20260123T102313Z.jpg</v>
      </c>
    </row>
    <row r="284" spans="1:13" x14ac:dyDescent="0.25">
      <c r="A284" s="2" t="s">
        <v>17</v>
      </c>
      <c r="B284" s="4">
        <v>46045</v>
      </c>
      <c r="C284" s="5">
        <v>0.4349884259259259</v>
      </c>
      <c r="D284" t="s">
        <v>290</v>
      </c>
      <c r="E284" t="s">
        <v>86</v>
      </c>
      <c r="F284" t="s">
        <v>60</v>
      </c>
      <c r="G284">
        <v>3</v>
      </c>
      <c r="H284" t="s">
        <v>10347</v>
      </c>
      <c r="I284" t="s">
        <v>10326</v>
      </c>
      <c r="J284" t="s">
        <v>2982</v>
      </c>
      <c r="K284" t="s">
        <v>10327</v>
      </c>
      <c r="L284" t="s">
        <v>10328</v>
      </c>
      <c r="M284" s="3" t="str">
        <f>HYPERLINK(склад2въезд1319[[#This Row],[RelativePath]])</f>
        <v>5 Крыльцо общага\K07156189_22_20260123T102623Z.jpg</v>
      </c>
    </row>
    <row r="285" spans="1:13" x14ac:dyDescent="0.25">
      <c r="A285" s="2" t="s">
        <v>17</v>
      </c>
      <c r="B285" s="4">
        <v>46045</v>
      </c>
      <c r="C285" s="5">
        <v>0.43710648148148146</v>
      </c>
      <c r="D285" t="s">
        <v>290</v>
      </c>
      <c r="E285" t="s">
        <v>86</v>
      </c>
      <c r="F285" t="s">
        <v>60</v>
      </c>
      <c r="G285">
        <v>2</v>
      </c>
      <c r="H285" t="s">
        <v>10347</v>
      </c>
      <c r="I285" t="s">
        <v>10329</v>
      </c>
      <c r="J285" t="s">
        <v>2982</v>
      </c>
      <c r="K285" t="s">
        <v>10330</v>
      </c>
      <c r="L285" t="s">
        <v>10331</v>
      </c>
      <c r="M285" s="3" t="str">
        <f>HYPERLINK(склад2въезд1319[[#This Row],[RelativePath]])</f>
        <v>5 Крыльцо общага\K07156189_22_20260123T102926Z.jpg</v>
      </c>
    </row>
    <row r="286" spans="1:13" x14ac:dyDescent="0.25">
      <c r="A286" s="2" t="s">
        <v>17</v>
      </c>
      <c r="B286" s="4">
        <v>46045</v>
      </c>
      <c r="C286" s="5">
        <v>0.43928240740740743</v>
      </c>
      <c r="D286" t="s">
        <v>290</v>
      </c>
      <c r="E286" t="s">
        <v>86</v>
      </c>
      <c r="F286" t="s">
        <v>60</v>
      </c>
      <c r="G286">
        <v>2</v>
      </c>
      <c r="H286" t="s">
        <v>10347</v>
      </c>
      <c r="I286" t="s">
        <v>10332</v>
      </c>
      <c r="J286" t="s">
        <v>2982</v>
      </c>
      <c r="K286" t="s">
        <v>10333</v>
      </c>
      <c r="L286" t="s">
        <v>10334</v>
      </c>
      <c r="M286" s="3" t="str">
        <f>HYPERLINK(склад2въезд1319[[#This Row],[RelativePath]])</f>
        <v>5 Крыльцо общага\K07156189_22_20260123T103234Z.jpg</v>
      </c>
    </row>
    <row r="287" spans="1:13" x14ac:dyDescent="0.25">
      <c r="A287" s="2" t="s">
        <v>17</v>
      </c>
      <c r="B287" s="4">
        <v>46045</v>
      </c>
      <c r="C287" s="5">
        <v>0.44248842592592591</v>
      </c>
      <c r="D287" t="s">
        <v>290</v>
      </c>
      <c r="E287" t="s">
        <v>86</v>
      </c>
      <c r="F287" t="s">
        <v>60</v>
      </c>
      <c r="G287">
        <v>2</v>
      </c>
      <c r="H287" t="s">
        <v>10347</v>
      </c>
      <c r="I287" t="s">
        <v>10335</v>
      </c>
      <c r="J287" t="s">
        <v>2982</v>
      </c>
      <c r="K287" t="s">
        <v>10336</v>
      </c>
      <c r="L287" t="s">
        <v>10337</v>
      </c>
      <c r="M287" s="3" t="str">
        <f>HYPERLINK(склад2въезд1319[[#This Row],[RelativePath]])</f>
        <v>5 Крыльцо общага\K07156189_22_20260123T103711Z.jpg</v>
      </c>
    </row>
    <row r="288" spans="1:13" x14ac:dyDescent="0.25">
      <c r="A288" s="2" t="s">
        <v>17</v>
      </c>
      <c r="B288" s="4">
        <v>46045</v>
      </c>
      <c r="C288" s="5">
        <v>0.44937500000000002</v>
      </c>
      <c r="D288" t="s">
        <v>10348</v>
      </c>
      <c r="E288" t="s">
        <v>86</v>
      </c>
      <c r="F288" t="s">
        <v>10167</v>
      </c>
      <c r="G288">
        <v>1</v>
      </c>
      <c r="H288" t="s">
        <v>10349</v>
      </c>
      <c r="I288" t="s">
        <v>10338</v>
      </c>
      <c r="J288" t="s">
        <v>2982</v>
      </c>
      <c r="K288" t="s">
        <v>10339</v>
      </c>
      <c r="L288" t="s">
        <v>10340</v>
      </c>
      <c r="M288" s="3" t="str">
        <f>HYPERLINK(склад2въезд1319[[#This Row],[RelativePath]])</f>
        <v>5 Крыльцо общага\K07156189_22_20260123T104706Z.jpg</v>
      </c>
    </row>
    <row r="289" spans="1:13" x14ac:dyDescent="0.25">
      <c r="A289" s="2" t="s">
        <v>17</v>
      </c>
      <c r="B289" s="4">
        <v>46045</v>
      </c>
      <c r="C289" s="5">
        <v>0.6310648148148148</v>
      </c>
      <c r="D289" t="s">
        <v>4</v>
      </c>
      <c r="E289" t="s">
        <v>9876</v>
      </c>
      <c r="I289" t="s">
        <v>10341</v>
      </c>
      <c r="J289" t="s">
        <v>2982</v>
      </c>
      <c r="K289" t="s">
        <v>10342</v>
      </c>
      <c r="L289" t="s">
        <v>10343</v>
      </c>
      <c r="M289" s="3" t="str">
        <f>HYPERLINK(склад2въезд1319[[#This Row],[RelativePath]])</f>
        <v>5 Крыльцо общага\K07156189_22_20260123T150844Z.jpg</v>
      </c>
    </row>
    <row r="290" spans="1:13" x14ac:dyDescent="0.25">
      <c r="A290" s="2" t="s">
        <v>17</v>
      </c>
      <c r="B290" s="4">
        <v>46045</v>
      </c>
      <c r="C290" s="5">
        <v>0.7228472222222222</v>
      </c>
      <c r="D290" t="s">
        <v>4</v>
      </c>
      <c r="E290" t="s">
        <v>2932</v>
      </c>
      <c r="I290" t="s">
        <v>10344</v>
      </c>
      <c r="J290" t="s">
        <v>2982</v>
      </c>
      <c r="K290" t="s">
        <v>10345</v>
      </c>
      <c r="L290" t="s">
        <v>10346</v>
      </c>
      <c r="M290" s="3" t="str">
        <f>HYPERLINK(склад2въезд1319[[#This Row],[RelativePath]])</f>
        <v>5 Крыльцо общага\K07156189_22_20260123T172054Z.jpg</v>
      </c>
    </row>
    <row r="291" spans="1:13" x14ac:dyDescent="0.25">
      <c r="A291" s="2" t="s">
        <v>18</v>
      </c>
      <c r="B291" s="4">
        <v>46046</v>
      </c>
      <c r="C291" s="5">
        <v>0.7195138888888889</v>
      </c>
      <c r="D291" t="s">
        <v>2004</v>
      </c>
      <c r="E291" t="s">
        <v>8</v>
      </c>
      <c r="I291" t="s">
        <v>10500</v>
      </c>
      <c r="J291" t="s">
        <v>2982</v>
      </c>
      <c r="K291" t="s">
        <v>10501</v>
      </c>
      <c r="L291" t="s">
        <v>10502</v>
      </c>
      <c r="M291" s="3" t="str">
        <f>HYPERLINK(склад2въезд1319[[#This Row],[RelativePath]])</f>
        <v>5 Крыльцо общага\K07156189_22_20260124T171606Z.jpg</v>
      </c>
    </row>
    <row r="292" spans="1:13" x14ac:dyDescent="0.25">
      <c r="A292" s="2" t="s">
        <v>22</v>
      </c>
      <c r="B292" s="4">
        <v>46047</v>
      </c>
      <c r="C292" s="5">
        <v>0.71619212962962964</v>
      </c>
      <c r="D292" t="s">
        <v>2004</v>
      </c>
      <c r="E292" t="s">
        <v>8</v>
      </c>
      <c r="I292" t="s">
        <v>10503</v>
      </c>
      <c r="J292" t="s">
        <v>2982</v>
      </c>
      <c r="K292" t="s">
        <v>10504</v>
      </c>
      <c r="L292" t="s">
        <v>10505</v>
      </c>
      <c r="M292" s="3" t="str">
        <f>HYPERLINK(склад2въезд1319[[#This Row],[RelativePath]])</f>
        <v>5 Крыльцо общага\K07156189_22_20260125T171119Z.jpg</v>
      </c>
    </row>
    <row r="293" spans="1:13" x14ac:dyDescent="0.25">
      <c r="A293" s="2" t="s">
        <v>13</v>
      </c>
      <c r="B293" s="4">
        <v>46048</v>
      </c>
      <c r="C293" s="5">
        <v>0.71994212962962967</v>
      </c>
      <c r="D293" t="s">
        <v>4</v>
      </c>
      <c r="E293" t="s">
        <v>2932</v>
      </c>
      <c r="I293" t="s">
        <v>10546</v>
      </c>
      <c r="J293" t="s">
        <v>2982</v>
      </c>
      <c r="K293" t="s">
        <v>10547</v>
      </c>
      <c r="L293" t="s">
        <v>10548</v>
      </c>
      <c r="M293" s="3" t="str">
        <f>HYPERLINK(склад2въезд1319[[#This Row],[RelativePath]])</f>
        <v>5 Крыльцо общага\K07156189_22_20260126T171643Z.jpg</v>
      </c>
    </row>
    <row r="294" spans="1:13" x14ac:dyDescent="0.25">
      <c r="A294" s="2" t="s">
        <v>14</v>
      </c>
      <c r="B294" s="4">
        <v>46049</v>
      </c>
      <c r="C294" s="5">
        <v>0.62032407407407408</v>
      </c>
      <c r="D294" t="s">
        <v>4</v>
      </c>
      <c r="E294" t="s">
        <v>10630</v>
      </c>
      <c r="I294" t="s">
        <v>10549</v>
      </c>
      <c r="J294" t="s">
        <v>2982</v>
      </c>
      <c r="K294" t="s">
        <v>10550</v>
      </c>
      <c r="L294" t="s">
        <v>10551</v>
      </c>
      <c r="M294" s="3" t="str">
        <f>HYPERLINK(склад2въезд1319[[#This Row],[RelativePath]])</f>
        <v>5 Крыльцо общага\K07156189_22_20260127T145316Z.jpg</v>
      </c>
    </row>
    <row r="295" spans="1:13" x14ac:dyDescent="0.25">
      <c r="A295" s="2" t="s">
        <v>15</v>
      </c>
      <c r="B295" s="4">
        <v>46050</v>
      </c>
      <c r="C295" s="5">
        <v>0.41630787037037037</v>
      </c>
      <c r="D295" t="s">
        <v>4</v>
      </c>
      <c r="E295" t="s">
        <v>9876</v>
      </c>
      <c r="I295" t="s">
        <v>10722</v>
      </c>
      <c r="J295" t="s">
        <v>2982</v>
      </c>
      <c r="K295" t="s">
        <v>10723</v>
      </c>
      <c r="L295" t="s">
        <v>10724</v>
      </c>
      <c r="M295" s="3" t="str">
        <f>HYPERLINK(склад2въезд1319[[#This Row],[RelativePath]])</f>
        <v>5 Крыльцо общага\K07156189_22_20260128T095929Z.jpg</v>
      </c>
    </row>
    <row r="296" spans="1:13" x14ac:dyDescent="0.25">
      <c r="A296" s="2" t="s">
        <v>15</v>
      </c>
      <c r="B296" s="4">
        <v>46050</v>
      </c>
      <c r="C296" s="5">
        <v>0.66324074074074069</v>
      </c>
      <c r="D296" t="s">
        <v>158</v>
      </c>
      <c r="E296" t="s">
        <v>86</v>
      </c>
      <c r="F296" t="s">
        <v>60</v>
      </c>
      <c r="H296" t="s">
        <v>10887</v>
      </c>
      <c r="I296" t="s">
        <v>10725</v>
      </c>
      <c r="J296" t="s">
        <v>2982</v>
      </c>
      <c r="K296" t="s">
        <v>10726</v>
      </c>
      <c r="L296" t="s">
        <v>10727</v>
      </c>
      <c r="M296" s="3" t="str">
        <f>HYPERLINK(склад2въезд1319[[#This Row],[RelativePath]])</f>
        <v>5 Крыльцо общага\K07156189_22_20260128T155504Z.jpg</v>
      </c>
    </row>
    <row r="297" spans="1:13" x14ac:dyDescent="0.25">
      <c r="A297" s="2" t="s">
        <v>15</v>
      </c>
      <c r="B297" s="4">
        <v>46050</v>
      </c>
      <c r="C297" s="5">
        <v>0.70317129629629627</v>
      </c>
      <c r="D297" t="s">
        <v>4</v>
      </c>
      <c r="E297" t="s">
        <v>2932</v>
      </c>
      <c r="I297" t="s">
        <v>10728</v>
      </c>
      <c r="J297" t="s">
        <v>2982</v>
      </c>
      <c r="K297" t="s">
        <v>10729</v>
      </c>
      <c r="L297" t="s">
        <v>10730</v>
      </c>
      <c r="M297" s="3" t="str">
        <f>HYPERLINK(склад2въезд1319[[#This Row],[RelativePath]])</f>
        <v>5 Крыльцо общага\K07156189_22_20260128T165234Z.jpg</v>
      </c>
    </row>
    <row r="298" spans="1:13" x14ac:dyDescent="0.25">
      <c r="A298" s="2" t="s">
        <v>16</v>
      </c>
      <c r="B298" s="4">
        <v>46051</v>
      </c>
      <c r="C298" s="5">
        <v>0.51928240740740739</v>
      </c>
      <c r="D298" t="s">
        <v>4</v>
      </c>
      <c r="E298" t="s">
        <v>9876</v>
      </c>
      <c r="I298" t="s">
        <v>10731</v>
      </c>
      <c r="J298" t="s">
        <v>2982</v>
      </c>
      <c r="K298" t="s">
        <v>10732</v>
      </c>
      <c r="L298" t="s">
        <v>10733</v>
      </c>
      <c r="M298" s="3" t="str">
        <f>HYPERLINK(склад2въезд1319[[#This Row],[RelativePath]])</f>
        <v>5 Крыльцо общага\K07156189_22_20260129T122746Z.jpg</v>
      </c>
    </row>
    <row r="299" spans="1:13" x14ac:dyDescent="0.25">
      <c r="A299" s="2" t="s">
        <v>16</v>
      </c>
      <c r="B299" s="4">
        <v>46051</v>
      </c>
      <c r="C299" s="5">
        <v>0.74149305555555556</v>
      </c>
      <c r="D299" t="s">
        <v>4</v>
      </c>
      <c r="E299" t="s">
        <v>9876</v>
      </c>
      <c r="I299" t="s">
        <v>10734</v>
      </c>
      <c r="J299" t="s">
        <v>2982</v>
      </c>
      <c r="K299" t="s">
        <v>10735</v>
      </c>
      <c r="L299" t="s">
        <v>10736</v>
      </c>
      <c r="M299" s="3" t="str">
        <f>HYPERLINK(склад2въезд1319[[#This Row],[RelativePath]])</f>
        <v>5 Крыльцо общага\K07156189_22_20260129T174745Z.jpg</v>
      </c>
    </row>
    <row r="300" spans="1:13" x14ac:dyDescent="0.25">
      <c r="A300" s="2" t="s">
        <v>17</v>
      </c>
      <c r="B300" s="4">
        <v>46052</v>
      </c>
      <c r="C300" s="5">
        <v>0.42017361111111112</v>
      </c>
      <c r="D300" t="s">
        <v>4</v>
      </c>
      <c r="E300" t="s">
        <v>8045</v>
      </c>
      <c r="I300" t="s">
        <v>10914</v>
      </c>
      <c r="J300" t="s">
        <v>2982</v>
      </c>
      <c r="K300" t="s">
        <v>10915</v>
      </c>
      <c r="L300" t="s">
        <v>10916</v>
      </c>
      <c r="M300" s="3" t="str">
        <f>HYPERLINK(склад2въезд1319[[#This Row],[RelativePath]])</f>
        <v>5 Крыльцо общага\K07156189_22_20260130T100503Z.jpg</v>
      </c>
    </row>
    <row r="301" spans="1:13" x14ac:dyDescent="0.25">
      <c r="A301" s="2" t="s">
        <v>17</v>
      </c>
      <c r="B301" s="4">
        <v>46052</v>
      </c>
      <c r="C301" s="5">
        <v>0.60381944444444446</v>
      </c>
      <c r="D301" t="s">
        <v>4</v>
      </c>
      <c r="E301" t="s">
        <v>8045</v>
      </c>
      <c r="I301" t="s">
        <v>10917</v>
      </c>
      <c r="J301" t="s">
        <v>2982</v>
      </c>
      <c r="K301" t="s">
        <v>10918</v>
      </c>
      <c r="L301" t="s">
        <v>10919</v>
      </c>
      <c r="M301" s="3" t="str">
        <f>HYPERLINK(склад2въезд1319[[#This Row],[RelativePath]])</f>
        <v>5 Крыльцо общага\K07156189_22_20260130T142930Z.jpg</v>
      </c>
    </row>
    <row r="302" spans="1:13" x14ac:dyDescent="0.25">
      <c r="A302" s="2" t="s">
        <v>18</v>
      </c>
      <c r="B302" s="4">
        <v>46053</v>
      </c>
      <c r="C302" s="5">
        <v>0.72431712962962957</v>
      </c>
      <c r="D302" t="s">
        <v>4</v>
      </c>
      <c r="E302" t="s">
        <v>8</v>
      </c>
      <c r="I302" t="s">
        <v>11067</v>
      </c>
      <c r="J302" t="s">
        <v>2982</v>
      </c>
      <c r="K302" t="s">
        <v>11068</v>
      </c>
      <c r="L302" t="s">
        <v>11069</v>
      </c>
      <c r="M302" s="3" t="str">
        <f>HYPERLINK(склад2въезд1319[[#This Row],[RelativePath]])</f>
        <v>5 Крыльцо общага\K07156189_22_20260131T172301Z.jpg</v>
      </c>
    </row>
    <row r="303" spans="1:13" x14ac:dyDescent="0.25">
      <c r="A303" s="2" t="s">
        <v>18</v>
      </c>
      <c r="B303" s="4">
        <v>46053</v>
      </c>
      <c r="C303" s="5">
        <v>0.72693287037037035</v>
      </c>
      <c r="D303" t="s">
        <v>650</v>
      </c>
      <c r="E303" t="s">
        <v>11125</v>
      </c>
      <c r="H303" t="s">
        <v>11126</v>
      </c>
      <c r="I303" t="s">
        <v>11070</v>
      </c>
      <c r="J303" t="s">
        <v>2982</v>
      </c>
      <c r="K303" t="s">
        <v>11071</v>
      </c>
      <c r="L303" t="s">
        <v>11072</v>
      </c>
      <c r="M303" s="3" t="str">
        <f>HYPERLINK(склад2въезд1319[[#This Row],[RelativePath]])</f>
        <v>5 Крыльцо общага\K07156189_22_20260131T172647Z.jpg</v>
      </c>
    </row>
    <row r="304" spans="1:13" x14ac:dyDescent="0.25">
      <c r="A304" s="2" t="s">
        <v>22</v>
      </c>
      <c r="B304" s="4">
        <v>46054</v>
      </c>
      <c r="C304" s="5">
        <v>0.46425925925925926</v>
      </c>
      <c r="D304" t="s">
        <v>4</v>
      </c>
      <c r="E304" t="s">
        <v>9876</v>
      </c>
      <c r="I304" t="s">
        <v>11073</v>
      </c>
      <c r="J304" t="s">
        <v>2982</v>
      </c>
      <c r="K304" t="s">
        <v>11074</v>
      </c>
      <c r="L304" t="s">
        <v>11075</v>
      </c>
      <c r="M304" s="3" t="str">
        <f>HYPERLINK(склад2въезд1319[[#This Row],[RelativePath]])</f>
        <v>5 Крыльцо общага\K07156189_22_20260201T110832Z.jpg</v>
      </c>
    </row>
  </sheetData>
  <conditionalFormatting sqref="E305:E318 D305:D315 G2:H304 D2:E304">
    <cfRule type="containsText" dxfId="690" priority="17" operator="containsText" text="Выезд с территории">
      <formula>NOT(ISERROR(SEARCH("Выезд с территории",D2)))</formula>
    </cfRule>
  </conditionalFormatting>
  <conditionalFormatting sqref="F2:F304">
    <cfRule type="notContainsText" dxfId="689" priority="16" operator="notContains" text="порожний">
      <formula>ISERROR(SEARCH("порожний",F2))</formula>
    </cfRule>
  </conditionalFormatting>
  <conditionalFormatting sqref="E2:E318">
    <cfRule type="containsText" dxfId="688" priority="14" operator="containsText" text="Газель базы">
      <formula>NOT(ISERROR(SEARCH("Газель базы",E2)))</formula>
    </cfRule>
    <cfRule type="containsText" dxfId="687" priority="15" operator="containsText" text="Погрузчик базы">
      <formula>NOT(ISERROR(SEARCH("Погрузчик базы",E2)))</formula>
    </cfRule>
  </conditionalFormatting>
  <conditionalFormatting sqref="E2:E318">
    <cfRule type="containsText" dxfId="686" priority="13" operator="containsText" text="Трактор базы">
      <formula>NOT(ISERROR(SEARCH("Трактор базы",E2)))</formula>
    </cfRule>
  </conditionalFormatting>
  <conditionalFormatting sqref="A2:C304">
    <cfRule type="expression" dxfId="685" priority="12">
      <formula>$A2="пн"</formula>
    </cfRule>
  </conditionalFormatting>
  <conditionalFormatting sqref="A2:C306">
    <cfRule type="expression" dxfId="684" priority="6">
      <formula>$A2="вс"</formula>
    </cfRule>
    <cfRule type="expression" dxfId="683" priority="7">
      <formula>$A2="сб"</formula>
    </cfRule>
    <cfRule type="expression" dxfId="682" priority="8">
      <formula>$A2="пт"</formula>
    </cfRule>
    <cfRule type="expression" dxfId="681" priority="9">
      <formula>$A2="чт"</formula>
    </cfRule>
    <cfRule type="expression" dxfId="680" priority="10">
      <formula>$A2="ср"</formula>
    </cfRule>
    <cfRule type="expression" dxfId="679" priority="11">
      <formula>$A2="вт"</formula>
    </cfRule>
  </conditionalFormatting>
  <conditionalFormatting sqref="D2:D315">
    <cfRule type="containsText" dxfId="678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5">
    <cfRule type="containsText" dxfId="677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26"/>
  <sheetViews>
    <sheetView zoomScale="90" zoomScaleNormal="90" workbookViewId="0">
      <pane ySplit="1" topLeftCell="A112" activePane="bottomLeft" state="frozen"/>
      <selection pane="bottomLeft" activeCell="I125" sqref="I125:I12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16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t="s">
        <v>4</v>
      </c>
      <c r="E2" t="s">
        <v>8</v>
      </c>
      <c r="H2" t="s">
        <v>5</v>
      </c>
      <c r="I2" t="s">
        <v>480</v>
      </c>
      <c r="J2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t="s">
        <v>4</v>
      </c>
      <c r="E3" t="s">
        <v>8</v>
      </c>
      <c r="H3" t="s">
        <v>6</v>
      </c>
      <c r="I3" t="s">
        <v>483</v>
      </c>
      <c r="J3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t="s">
        <v>4</v>
      </c>
      <c r="E4" t="s">
        <v>8</v>
      </c>
      <c r="H4" t="s">
        <v>5</v>
      </c>
      <c r="I4" t="s">
        <v>486</v>
      </c>
      <c r="J4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t="s">
        <v>289</v>
      </c>
      <c r="E5" t="s">
        <v>86</v>
      </c>
      <c r="F5" t="s">
        <v>528</v>
      </c>
      <c r="I5" t="s">
        <v>489</v>
      </c>
      <c r="J5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t="s">
        <v>159</v>
      </c>
      <c r="E6" t="s">
        <v>86</v>
      </c>
      <c r="F6" t="s">
        <v>528</v>
      </c>
      <c r="I6" t="s">
        <v>492</v>
      </c>
      <c r="J6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t="s">
        <v>4</v>
      </c>
      <c r="E7" t="s">
        <v>8</v>
      </c>
      <c r="I7" t="s">
        <v>495</v>
      </c>
      <c r="J7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t="s">
        <v>4</v>
      </c>
      <c r="E8" t="s">
        <v>8</v>
      </c>
      <c r="I8" t="s">
        <v>498</v>
      </c>
      <c r="J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t="s">
        <v>4</v>
      </c>
      <c r="E9" t="s">
        <v>529</v>
      </c>
      <c r="I9" t="s">
        <v>501</v>
      </c>
      <c r="J9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t="s">
        <v>4</v>
      </c>
      <c r="E10" t="s">
        <v>8</v>
      </c>
      <c r="H10" t="s">
        <v>6</v>
      </c>
      <c r="I10" t="s">
        <v>504</v>
      </c>
      <c r="J10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t="s">
        <v>4</v>
      </c>
      <c r="E11" t="s">
        <v>8</v>
      </c>
      <c r="H11" t="s">
        <v>5</v>
      </c>
      <c r="I11" t="s">
        <v>507</v>
      </c>
      <c r="J11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t="s">
        <v>289</v>
      </c>
      <c r="E12" t="s">
        <v>86</v>
      </c>
      <c r="F12" t="s">
        <v>530</v>
      </c>
      <c r="I12" t="s">
        <v>510</v>
      </c>
      <c r="J12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t="s">
        <v>289</v>
      </c>
      <c r="E13" t="s">
        <v>86</v>
      </c>
      <c r="F13" t="s">
        <v>530</v>
      </c>
      <c r="I13" t="s">
        <v>513</v>
      </c>
      <c r="J13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t="s">
        <v>533</v>
      </c>
      <c r="E14" t="s">
        <v>531</v>
      </c>
      <c r="F14" t="s">
        <v>534</v>
      </c>
      <c r="I14" t="s">
        <v>516</v>
      </c>
      <c r="J14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t="s">
        <v>289</v>
      </c>
      <c r="E15" t="s">
        <v>86</v>
      </c>
      <c r="F15" t="s">
        <v>532</v>
      </c>
      <c r="I15" t="s">
        <v>519</v>
      </c>
      <c r="J15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t="s">
        <v>289</v>
      </c>
      <c r="E16" t="s">
        <v>86</v>
      </c>
      <c r="F16" t="s">
        <v>532</v>
      </c>
      <c r="I16" t="s">
        <v>522</v>
      </c>
      <c r="J16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t="s">
        <v>4</v>
      </c>
      <c r="E17" t="s">
        <v>8</v>
      </c>
      <c r="H17" t="s">
        <v>6</v>
      </c>
      <c r="I17" t="s">
        <v>525</v>
      </c>
      <c r="J17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t="s">
        <v>4</v>
      </c>
      <c r="E18" t="s">
        <v>8</v>
      </c>
      <c r="H18" t="s">
        <v>2009</v>
      </c>
      <c r="I18" t="s">
        <v>2015</v>
      </c>
      <c r="J1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t="s">
        <v>4</v>
      </c>
      <c r="E19" t="s">
        <v>8</v>
      </c>
      <c r="H19" t="s">
        <v>2004</v>
      </c>
      <c r="I19" t="s">
        <v>2018</v>
      </c>
      <c r="J19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t="s">
        <v>4</v>
      </c>
      <c r="E20" t="s">
        <v>8</v>
      </c>
      <c r="H20" t="s">
        <v>2004</v>
      </c>
      <c r="I20" t="s">
        <v>2021</v>
      </c>
      <c r="J20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t="s">
        <v>2004</v>
      </c>
      <c r="I21" t="s">
        <v>2115</v>
      </c>
      <c r="J21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t="s">
        <v>4</v>
      </c>
      <c r="E22" t="s">
        <v>8</v>
      </c>
      <c r="H22" t="s">
        <v>2932</v>
      </c>
      <c r="I22" t="s">
        <v>2934</v>
      </c>
      <c r="J22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t="s">
        <v>2004</v>
      </c>
      <c r="I23" t="s">
        <v>2118</v>
      </c>
      <c r="J23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t="s">
        <v>2004</v>
      </c>
      <c r="I24" t="s">
        <v>2121</v>
      </c>
      <c r="J24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t="s">
        <v>2004</v>
      </c>
      <c r="I25" t="s">
        <v>2124</v>
      </c>
      <c r="J25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t="s">
        <v>2004</v>
      </c>
      <c r="I26" t="s">
        <v>2127</v>
      </c>
      <c r="J26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t="s">
        <v>2004</v>
      </c>
      <c r="I27" t="s">
        <v>2130</v>
      </c>
      <c r="J27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t="s">
        <v>4</v>
      </c>
      <c r="E28" t="s">
        <v>8</v>
      </c>
      <c r="I28" t="s">
        <v>3405</v>
      </c>
      <c r="J2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t="s">
        <v>4</v>
      </c>
      <c r="E29" t="s">
        <v>8</v>
      </c>
      <c r="I29" t="s">
        <v>4206</v>
      </c>
      <c r="J29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t="s">
        <v>4</v>
      </c>
      <c r="E30" t="s">
        <v>8</v>
      </c>
      <c r="I30" t="s">
        <v>3408</v>
      </c>
      <c r="J30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t="s">
        <v>4209</v>
      </c>
      <c r="E31" t="s">
        <v>4210</v>
      </c>
      <c r="I31" t="s">
        <v>3411</v>
      </c>
      <c r="J31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t="s">
        <v>4209</v>
      </c>
      <c r="E32" t="s">
        <v>4210</v>
      </c>
      <c r="H32" t="s">
        <v>2936</v>
      </c>
      <c r="I32" t="s">
        <v>3414</v>
      </c>
      <c r="J32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t="s">
        <v>4209</v>
      </c>
      <c r="E33" t="s">
        <v>4210</v>
      </c>
      <c r="H33" t="s">
        <v>2936</v>
      </c>
      <c r="I33" t="s">
        <v>3417</v>
      </c>
      <c r="J33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t="s">
        <v>4209</v>
      </c>
      <c r="E34" t="s">
        <v>4210</v>
      </c>
      <c r="H34" t="s">
        <v>2936</v>
      </c>
      <c r="I34" t="s">
        <v>3420</v>
      </c>
      <c r="J34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t="s">
        <v>4209</v>
      </c>
      <c r="E35" t="s">
        <v>4210</v>
      </c>
      <c r="H35" t="s">
        <v>2936</v>
      </c>
      <c r="I35" t="s">
        <v>3423</v>
      </c>
      <c r="J35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t="s">
        <v>4209</v>
      </c>
      <c r="E36" t="s">
        <v>4210</v>
      </c>
      <c r="H36" t="s">
        <v>2936</v>
      </c>
      <c r="I36" t="s">
        <v>3426</v>
      </c>
      <c r="J36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t="s">
        <v>4209</v>
      </c>
      <c r="E37" t="s">
        <v>4210</v>
      </c>
      <c r="H37" t="s">
        <v>2936</v>
      </c>
      <c r="I37" t="s">
        <v>3429</v>
      </c>
      <c r="J37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t="s">
        <v>4209</v>
      </c>
      <c r="E38" t="s">
        <v>4210</v>
      </c>
      <c r="H38" t="s">
        <v>2936</v>
      </c>
      <c r="I38" t="s">
        <v>3432</v>
      </c>
      <c r="J3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t="s">
        <v>4209</v>
      </c>
      <c r="E39" t="s">
        <v>4210</v>
      </c>
      <c r="H39" t="s">
        <v>2936</v>
      </c>
      <c r="I39" t="s">
        <v>3435</v>
      </c>
      <c r="J39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t="s">
        <v>4209</v>
      </c>
      <c r="E40" t="s">
        <v>4210</v>
      </c>
      <c r="H40" t="s">
        <v>2936</v>
      </c>
      <c r="I40" t="s">
        <v>3438</v>
      </c>
      <c r="J40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t="s">
        <v>4209</v>
      </c>
      <c r="E41" t="s">
        <v>4210</v>
      </c>
      <c r="H41" t="s">
        <v>2936</v>
      </c>
      <c r="I41" t="s">
        <v>3441</v>
      </c>
      <c r="J41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t="s">
        <v>4209</v>
      </c>
      <c r="E42" t="s">
        <v>4210</v>
      </c>
      <c r="H42" t="s">
        <v>2936</v>
      </c>
      <c r="I42" t="s">
        <v>3444</v>
      </c>
      <c r="J42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t="s">
        <v>4</v>
      </c>
      <c r="E43" t="s">
        <v>8</v>
      </c>
      <c r="I43" t="s">
        <v>3447</v>
      </c>
      <c r="J43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t="s">
        <v>289</v>
      </c>
      <c r="E44" t="s">
        <v>4211</v>
      </c>
      <c r="I44" t="s">
        <v>3450</v>
      </c>
      <c r="J44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t="s">
        <v>289</v>
      </c>
      <c r="E45" t="s">
        <v>4211</v>
      </c>
      <c r="H45" t="s">
        <v>2936</v>
      </c>
      <c r="I45" t="s">
        <v>3453</v>
      </c>
      <c r="J45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t="s">
        <v>289</v>
      </c>
      <c r="E46" t="s">
        <v>4211</v>
      </c>
      <c r="H46" t="s">
        <v>2936</v>
      </c>
      <c r="I46" t="s">
        <v>3456</v>
      </c>
      <c r="J46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t="s">
        <v>289</v>
      </c>
      <c r="E47" t="s">
        <v>4211</v>
      </c>
      <c r="H47" t="s">
        <v>2936</v>
      </c>
      <c r="I47" t="s">
        <v>3459</v>
      </c>
      <c r="J47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t="s">
        <v>289</v>
      </c>
      <c r="E48" t="s">
        <v>4211</v>
      </c>
      <c r="H48" t="s">
        <v>2936</v>
      </c>
      <c r="I48" t="s">
        <v>3462</v>
      </c>
      <c r="J4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t="s">
        <v>4</v>
      </c>
      <c r="E49" t="s">
        <v>8</v>
      </c>
      <c r="I49" t="s">
        <v>3465</v>
      </c>
      <c r="J49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t="s">
        <v>2004</v>
      </c>
      <c r="I50" t="s">
        <v>4273</v>
      </c>
      <c r="J50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t="s">
        <v>1615</v>
      </c>
      <c r="E51" t="s">
        <v>86</v>
      </c>
      <c r="F51" t="s">
        <v>200</v>
      </c>
      <c r="I51" t="s">
        <v>5110</v>
      </c>
      <c r="J51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t="s">
        <v>1094</v>
      </c>
      <c r="E52" t="s">
        <v>4247</v>
      </c>
      <c r="F52" t="s">
        <v>60</v>
      </c>
      <c r="I52" t="s">
        <v>5112</v>
      </c>
      <c r="J52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t="s">
        <v>533</v>
      </c>
      <c r="E53" t="s">
        <v>1607</v>
      </c>
      <c r="F53" t="s">
        <v>58</v>
      </c>
      <c r="I53" t="s">
        <v>5114</v>
      </c>
      <c r="J53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t="s">
        <v>1615</v>
      </c>
      <c r="E54" t="s">
        <v>86</v>
      </c>
      <c r="F54" t="s">
        <v>200</v>
      </c>
      <c r="I54" t="s">
        <v>4576</v>
      </c>
      <c r="J54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t="s">
        <v>1094</v>
      </c>
      <c r="E55" t="s">
        <v>4247</v>
      </c>
      <c r="F55" t="s">
        <v>200</v>
      </c>
      <c r="I55" t="s">
        <v>4579</v>
      </c>
      <c r="J55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t="s">
        <v>1094</v>
      </c>
      <c r="E56" t="s">
        <v>4247</v>
      </c>
      <c r="F56" t="s">
        <v>200</v>
      </c>
      <c r="I56" t="s">
        <v>4582</v>
      </c>
      <c r="J56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t="s">
        <v>5109</v>
      </c>
      <c r="E57" t="s">
        <v>86</v>
      </c>
      <c r="I57" t="s">
        <v>4585</v>
      </c>
      <c r="J57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t="s">
        <v>4</v>
      </c>
      <c r="E58" t="s">
        <v>8</v>
      </c>
      <c r="I58" t="s">
        <v>4588</v>
      </c>
      <c r="J5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t="s">
        <v>5109</v>
      </c>
      <c r="E59" t="s">
        <v>86</v>
      </c>
      <c r="I59" t="s">
        <v>4591</v>
      </c>
      <c r="J59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t="s">
        <v>5109</v>
      </c>
      <c r="E60" t="s">
        <v>86</v>
      </c>
      <c r="I60" t="s">
        <v>4594</v>
      </c>
      <c r="J60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t="s">
        <v>2004</v>
      </c>
      <c r="E61" t="s">
        <v>8</v>
      </c>
      <c r="I61" t="s">
        <v>4597</v>
      </c>
      <c r="J61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t="s">
        <v>2004</v>
      </c>
      <c r="E62" t="s">
        <v>8</v>
      </c>
      <c r="I62" t="s">
        <v>5175</v>
      </c>
      <c r="J62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t="s">
        <v>4</v>
      </c>
      <c r="E63" t="s">
        <v>8</v>
      </c>
      <c r="I63" t="s">
        <v>5310</v>
      </c>
      <c r="J63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t="s">
        <v>2004</v>
      </c>
      <c r="E64" t="s">
        <v>8</v>
      </c>
      <c r="I64" t="s">
        <v>5313</v>
      </c>
      <c r="J64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t="s">
        <v>2004</v>
      </c>
      <c r="E65" t="s">
        <v>8</v>
      </c>
      <c r="I65" t="s">
        <v>5539</v>
      </c>
      <c r="J65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t="s">
        <v>2004</v>
      </c>
      <c r="E66" t="s">
        <v>8</v>
      </c>
      <c r="I66" t="s">
        <v>5542</v>
      </c>
      <c r="J66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t="s">
        <v>2004</v>
      </c>
      <c r="E67" t="s">
        <v>8</v>
      </c>
      <c r="I67" t="s">
        <v>5545</v>
      </c>
      <c r="J67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t="s">
        <v>1615</v>
      </c>
      <c r="E68" t="s">
        <v>86</v>
      </c>
      <c r="F68" t="s">
        <v>200</v>
      </c>
      <c r="I68" t="s">
        <v>5867</v>
      </c>
      <c r="J6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t="s">
        <v>1615</v>
      </c>
      <c r="E69" t="s">
        <v>86</v>
      </c>
      <c r="F69" t="s">
        <v>200</v>
      </c>
      <c r="I69" t="s">
        <v>5870</v>
      </c>
      <c r="J69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t="s">
        <v>1615</v>
      </c>
      <c r="E70" t="s">
        <v>86</v>
      </c>
      <c r="F70" t="s">
        <v>200</v>
      </c>
      <c r="I70" t="s">
        <v>5873</v>
      </c>
      <c r="J70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t="s">
        <v>2004</v>
      </c>
      <c r="E71" t="s">
        <v>8</v>
      </c>
      <c r="I71" t="s">
        <v>6077</v>
      </c>
      <c r="J71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t="s">
        <v>2004</v>
      </c>
      <c r="E72" t="s">
        <v>8</v>
      </c>
      <c r="I72" t="s">
        <v>6207</v>
      </c>
      <c r="J72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t="s">
        <v>2004</v>
      </c>
      <c r="E73" t="s">
        <v>8</v>
      </c>
      <c r="I73" t="s">
        <v>6326</v>
      </c>
      <c r="J73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t="s">
        <v>2004</v>
      </c>
      <c r="E74" t="s">
        <v>8</v>
      </c>
      <c r="I74" t="s">
        <v>6566</v>
      </c>
      <c r="J74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t="s">
        <v>2004</v>
      </c>
      <c r="E75" t="s">
        <v>8</v>
      </c>
      <c r="I75" t="s">
        <v>6715</v>
      </c>
      <c r="J75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t="s">
        <v>2004</v>
      </c>
      <c r="E76" t="s">
        <v>8</v>
      </c>
      <c r="I76" t="s">
        <v>6917</v>
      </c>
      <c r="J76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t="s">
        <v>2004</v>
      </c>
      <c r="E77" t="s">
        <v>8</v>
      </c>
      <c r="I77" t="s">
        <v>6920</v>
      </c>
      <c r="J77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t="s">
        <v>2004</v>
      </c>
      <c r="E78" t="s">
        <v>8</v>
      </c>
      <c r="I78" t="s">
        <v>6923</v>
      </c>
      <c r="J7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t="s">
        <v>2004</v>
      </c>
      <c r="E79" t="s">
        <v>8</v>
      </c>
      <c r="I79" t="s">
        <v>7187</v>
      </c>
      <c r="J79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t="s">
        <v>2004</v>
      </c>
      <c r="E80" t="s">
        <v>8</v>
      </c>
      <c r="I80" t="s">
        <v>7254</v>
      </c>
      <c r="J80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t="s">
        <v>2004</v>
      </c>
      <c r="E81" t="s">
        <v>8</v>
      </c>
      <c r="I81" t="s">
        <v>7257</v>
      </c>
      <c r="J81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t="s">
        <v>2004</v>
      </c>
      <c r="E82" t="s">
        <v>8</v>
      </c>
      <c r="I82" t="s">
        <v>7694</v>
      </c>
      <c r="J82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t="s">
        <v>2004</v>
      </c>
      <c r="E83" t="s">
        <v>8</v>
      </c>
      <c r="I83" t="s">
        <v>7697</v>
      </c>
      <c r="J83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t="s">
        <v>290</v>
      </c>
      <c r="E84" t="s">
        <v>86</v>
      </c>
      <c r="F84" t="s">
        <v>60</v>
      </c>
      <c r="H84" t="s">
        <v>5104</v>
      </c>
      <c r="I84" t="s">
        <v>7855</v>
      </c>
      <c r="J84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t="s">
        <v>290</v>
      </c>
      <c r="E85" t="s">
        <v>86</v>
      </c>
      <c r="F85" t="s">
        <v>60</v>
      </c>
      <c r="H85" t="s">
        <v>2936</v>
      </c>
      <c r="I85" t="s">
        <v>7858</v>
      </c>
      <c r="J85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t="s">
        <v>290</v>
      </c>
      <c r="E86" t="s">
        <v>86</v>
      </c>
      <c r="F86" t="s">
        <v>60</v>
      </c>
      <c r="H86" t="s">
        <v>2936</v>
      </c>
      <c r="I86" t="s">
        <v>7861</v>
      </c>
      <c r="J86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t="s">
        <v>2004</v>
      </c>
      <c r="E87" t="s">
        <v>8</v>
      </c>
      <c r="I87" t="s">
        <v>8016</v>
      </c>
      <c r="J87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t="s">
        <v>2004</v>
      </c>
      <c r="E88" t="s">
        <v>8</v>
      </c>
      <c r="I88" t="s">
        <v>8019</v>
      </c>
      <c r="J88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t="s">
        <v>2004</v>
      </c>
      <c r="E89" t="s">
        <v>8</v>
      </c>
      <c r="I89" t="s">
        <v>8303</v>
      </c>
      <c r="J89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t="s">
        <v>2004</v>
      </c>
      <c r="E90" t="s">
        <v>8</v>
      </c>
      <c r="I90" t="s">
        <v>8306</v>
      </c>
      <c r="J90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t="s">
        <v>2004</v>
      </c>
      <c r="E91" t="s">
        <v>8</v>
      </c>
      <c r="I91" t="s">
        <v>8309</v>
      </c>
      <c r="J91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t="s">
        <v>2004</v>
      </c>
      <c r="E92" t="s">
        <v>8</v>
      </c>
      <c r="I92" t="s">
        <v>8312</v>
      </c>
      <c r="J92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t="s">
        <v>2004</v>
      </c>
      <c r="E93" t="s">
        <v>8</v>
      </c>
      <c r="I93" t="s">
        <v>8393</v>
      </c>
      <c r="J93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t="s">
        <v>2004</v>
      </c>
      <c r="E94" t="s">
        <v>8</v>
      </c>
      <c r="I94" t="s">
        <v>8396</v>
      </c>
      <c r="J94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t="s">
        <v>2004</v>
      </c>
      <c r="E95" t="s">
        <v>8</v>
      </c>
      <c r="I95" t="s">
        <v>8399</v>
      </c>
      <c r="J95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t="s">
        <v>2004</v>
      </c>
      <c r="E96" t="s">
        <v>8</v>
      </c>
      <c r="I96" t="s">
        <v>8577</v>
      </c>
      <c r="J96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t="s">
        <v>2004</v>
      </c>
      <c r="E97" t="s">
        <v>8</v>
      </c>
      <c r="I97" t="s">
        <v>8580</v>
      </c>
      <c r="J97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t="s">
        <v>2004</v>
      </c>
      <c r="E98" t="s">
        <v>8</v>
      </c>
      <c r="I98" t="s">
        <v>8583</v>
      </c>
      <c r="J98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t="s">
        <v>2004</v>
      </c>
      <c r="E99" t="s">
        <v>8</v>
      </c>
      <c r="I99" t="s">
        <v>8586</v>
      </c>
      <c r="J99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t="s">
        <v>2004</v>
      </c>
      <c r="E100" t="s">
        <v>8</v>
      </c>
      <c r="I100" t="s">
        <v>8589</v>
      </c>
      <c r="J100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t="s">
        <v>2004</v>
      </c>
      <c r="E101" t="s">
        <v>8</v>
      </c>
      <c r="I101" t="s">
        <v>8592</v>
      </c>
      <c r="J101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t="s">
        <v>2004</v>
      </c>
      <c r="E102" t="s">
        <v>8</v>
      </c>
      <c r="I102" t="s">
        <v>8595</v>
      </c>
      <c r="J102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t="s">
        <v>9191</v>
      </c>
      <c r="E103" t="s">
        <v>5480</v>
      </c>
      <c r="F103" t="s">
        <v>9190</v>
      </c>
      <c r="I103" t="s">
        <v>8994</v>
      </c>
      <c r="J103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t="s">
        <v>2004</v>
      </c>
      <c r="E104" t="s">
        <v>8</v>
      </c>
      <c r="I104" t="s">
        <v>8997</v>
      </c>
      <c r="J104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t="s">
        <v>2004</v>
      </c>
      <c r="E105" t="s">
        <v>8</v>
      </c>
      <c r="I105" t="s">
        <v>9267</v>
      </c>
      <c r="J105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t="s">
        <v>2004</v>
      </c>
      <c r="E106" t="s">
        <v>8</v>
      </c>
      <c r="I106" t="s">
        <v>9387</v>
      </c>
      <c r="J106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t="s">
        <v>9399</v>
      </c>
      <c r="E107" t="s">
        <v>60</v>
      </c>
      <c r="I107" t="s">
        <v>9390</v>
      </c>
      <c r="J107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t="s">
        <v>1094</v>
      </c>
      <c r="E108" t="s">
        <v>4247</v>
      </c>
      <c r="F108" t="s">
        <v>60</v>
      </c>
      <c r="I108" t="s">
        <v>9393</v>
      </c>
      <c r="J108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t="s">
        <v>4</v>
      </c>
      <c r="E109" t="s">
        <v>8</v>
      </c>
      <c r="I109" t="s">
        <v>9396</v>
      </c>
      <c r="J109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t="s">
        <v>2004</v>
      </c>
      <c r="E110" t="s">
        <v>8</v>
      </c>
      <c r="I110" t="s">
        <v>9612</v>
      </c>
      <c r="J110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t="s">
        <v>2004</v>
      </c>
      <c r="E111" t="s">
        <v>8</v>
      </c>
      <c r="I111" t="s">
        <v>9615</v>
      </c>
      <c r="J111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  <row r="112" spans="1:13" x14ac:dyDescent="0.25">
      <c r="A112" s="2" t="s">
        <v>13</v>
      </c>
      <c r="B112" s="4">
        <v>46041</v>
      </c>
      <c r="C112" s="5">
        <v>0.64368055555555559</v>
      </c>
      <c r="D112" t="s">
        <v>2004</v>
      </c>
      <c r="E112" t="s">
        <v>8</v>
      </c>
      <c r="I112" t="s">
        <v>9735</v>
      </c>
      <c r="J112" t="s">
        <v>2983</v>
      </c>
      <c r="K112" t="s">
        <v>9736</v>
      </c>
      <c r="L112" t="s">
        <v>9737</v>
      </c>
      <c r="M112" s="3" t="str">
        <f>HYPERLINK(склад2въезд131920[[#This Row],[RelativePath]])</f>
        <v>6 Площадка 1 общага\826398429_1_20260119T152654Z.jpg</v>
      </c>
    </row>
    <row r="113" spans="1:13" x14ac:dyDescent="0.25">
      <c r="A113" s="2" t="s">
        <v>14</v>
      </c>
      <c r="B113" s="4">
        <v>46042</v>
      </c>
      <c r="C113" s="5">
        <v>0.73013888888888889</v>
      </c>
      <c r="D113" t="s">
        <v>2004</v>
      </c>
      <c r="E113" t="s">
        <v>8</v>
      </c>
      <c r="I113" t="s">
        <v>9738</v>
      </c>
      <c r="J113" t="s">
        <v>2983</v>
      </c>
      <c r="K113" t="s">
        <v>9739</v>
      </c>
      <c r="L113" t="s">
        <v>9740</v>
      </c>
      <c r="M113" s="3" t="str">
        <f>HYPERLINK(склад2въезд131920[[#This Row],[RelativePath]])</f>
        <v>6 Площадка 1 общага\826398429_1_20260120T173124Z.jpg</v>
      </c>
    </row>
    <row r="114" spans="1:13" x14ac:dyDescent="0.25">
      <c r="A114" s="2" t="s">
        <v>15</v>
      </c>
      <c r="B114" s="4">
        <v>46043</v>
      </c>
      <c r="C114" s="5">
        <v>0.50771990740740736</v>
      </c>
      <c r="D114" t="s">
        <v>2004</v>
      </c>
      <c r="E114" t="s">
        <v>8</v>
      </c>
      <c r="I114" t="s">
        <v>9969</v>
      </c>
      <c r="J114" t="s">
        <v>2983</v>
      </c>
      <c r="K114" t="s">
        <v>9970</v>
      </c>
      <c r="L114" t="s">
        <v>9971</v>
      </c>
      <c r="M114" s="3" t="str">
        <f>HYPERLINK(склад2въезд131920[[#This Row],[RelativePath]])</f>
        <v>6 Площадка 1 общага\826398429_1_20260121T121107Z.jpg</v>
      </c>
    </row>
    <row r="115" spans="1:13" x14ac:dyDescent="0.25">
      <c r="A115" s="2" t="s">
        <v>16</v>
      </c>
      <c r="B115" s="4">
        <v>46044</v>
      </c>
      <c r="C115" s="5">
        <v>0.41822916666666665</v>
      </c>
      <c r="D115" t="s">
        <v>4</v>
      </c>
      <c r="E115" t="s">
        <v>8</v>
      </c>
      <c r="I115" t="s">
        <v>9972</v>
      </c>
      <c r="J115" t="s">
        <v>2983</v>
      </c>
      <c r="K115" t="s">
        <v>9973</v>
      </c>
      <c r="L115" t="s">
        <v>9974</v>
      </c>
      <c r="M115" s="3" t="str">
        <f>HYPERLINK(склад2въезд131920[[#This Row],[RelativePath]])</f>
        <v>6 Площадка 1 общага\826398429_1_20260122T100215Z.jpg</v>
      </c>
    </row>
    <row r="116" spans="1:13" x14ac:dyDescent="0.25">
      <c r="A116" s="2" t="s">
        <v>16</v>
      </c>
      <c r="B116" s="4">
        <v>46044</v>
      </c>
      <c r="C116" s="5">
        <v>0.62998842592592597</v>
      </c>
      <c r="D116" t="s">
        <v>4</v>
      </c>
      <c r="E116" t="s">
        <v>8</v>
      </c>
      <c r="H116" t="s">
        <v>2936</v>
      </c>
      <c r="I116" t="s">
        <v>9975</v>
      </c>
      <c r="J116" t="s">
        <v>2983</v>
      </c>
      <c r="K116" t="s">
        <v>9976</v>
      </c>
      <c r="L116" t="s">
        <v>9977</v>
      </c>
      <c r="M116" s="3" t="str">
        <f>HYPERLINK(склад2въезд131920[[#This Row],[RelativePath]])</f>
        <v>6 Площадка 1 общага\826398429_1_20260122T150711Z.jpg</v>
      </c>
    </row>
    <row r="117" spans="1:13" x14ac:dyDescent="0.25">
      <c r="A117" s="2" t="s">
        <v>17</v>
      </c>
      <c r="B117" s="4">
        <v>46045</v>
      </c>
      <c r="C117" s="5">
        <v>0.58543981481481477</v>
      </c>
      <c r="D117" t="s">
        <v>2004</v>
      </c>
      <c r="E117" t="s">
        <v>8</v>
      </c>
      <c r="I117" t="s">
        <v>10350</v>
      </c>
      <c r="J117" t="s">
        <v>2983</v>
      </c>
      <c r="K117" t="s">
        <v>10351</v>
      </c>
      <c r="L117" t="s">
        <v>10352</v>
      </c>
      <c r="M117" s="3" t="str">
        <f>HYPERLINK(склад2въезд131920[[#This Row],[RelativePath]])</f>
        <v>6 Площадка 1 общага\826398429_1_20260123T140302Z.jpg</v>
      </c>
    </row>
    <row r="118" spans="1:13" x14ac:dyDescent="0.25">
      <c r="A118" s="2" t="s">
        <v>18</v>
      </c>
      <c r="B118" s="4">
        <v>46046</v>
      </c>
      <c r="C118" s="5">
        <v>0.70499999999999996</v>
      </c>
      <c r="D118" t="s">
        <v>2004</v>
      </c>
      <c r="E118" t="s">
        <v>8</v>
      </c>
      <c r="I118" t="s">
        <v>10506</v>
      </c>
      <c r="J118" t="s">
        <v>2983</v>
      </c>
      <c r="K118" t="s">
        <v>10507</v>
      </c>
      <c r="L118" t="s">
        <v>10508</v>
      </c>
      <c r="M118" s="3" t="str">
        <f>HYPERLINK(склад2въезд131920[[#This Row],[RelativePath]])</f>
        <v>6 Площадка 1 общага\826398429_1_20260124T165512Z.jpg</v>
      </c>
    </row>
    <row r="119" spans="1:13" x14ac:dyDescent="0.25">
      <c r="A119" s="2" t="s">
        <v>22</v>
      </c>
      <c r="B119" s="4">
        <v>46047</v>
      </c>
      <c r="C119" s="5">
        <v>0.77231481481481479</v>
      </c>
      <c r="D119" t="s">
        <v>2004</v>
      </c>
      <c r="E119" t="s">
        <v>8</v>
      </c>
      <c r="I119" t="s">
        <v>10509</v>
      </c>
      <c r="J119" t="s">
        <v>2983</v>
      </c>
      <c r="K119" t="s">
        <v>10510</v>
      </c>
      <c r="L119" t="s">
        <v>10511</v>
      </c>
      <c r="M119" s="3" t="str">
        <f>HYPERLINK(склад2въезд131920[[#This Row],[RelativePath]])</f>
        <v>6 Площадка 1 общага\826398429_1_20260125T183208Z.jpg</v>
      </c>
    </row>
    <row r="120" spans="1:13" x14ac:dyDescent="0.25">
      <c r="A120" s="2" t="s">
        <v>13</v>
      </c>
      <c r="B120" s="4">
        <v>46048</v>
      </c>
      <c r="C120" s="5">
        <v>0.67927083333333338</v>
      </c>
      <c r="D120" t="s">
        <v>2004</v>
      </c>
      <c r="E120" t="s">
        <v>8</v>
      </c>
      <c r="I120" t="s">
        <v>10552</v>
      </c>
      <c r="J120" t="s">
        <v>2983</v>
      </c>
      <c r="K120" t="s">
        <v>10553</v>
      </c>
      <c r="L120" t="s">
        <v>10554</v>
      </c>
      <c r="M120" s="3" t="str">
        <f>HYPERLINK(склад2въезд131920[[#This Row],[RelativePath]])</f>
        <v>6 Площадка 1 общага\826398429_1_20260126T161809Z.jpg</v>
      </c>
    </row>
    <row r="121" spans="1:13" x14ac:dyDescent="0.25">
      <c r="A121" s="2" t="s">
        <v>14</v>
      </c>
      <c r="B121" s="4">
        <v>46049</v>
      </c>
      <c r="C121" s="5">
        <v>0.52552083333333333</v>
      </c>
      <c r="D121" t="s">
        <v>2004</v>
      </c>
      <c r="E121" t="s">
        <v>8</v>
      </c>
      <c r="I121" t="s">
        <v>10555</v>
      </c>
      <c r="J121" t="s">
        <v>2983</v>
      </c>
      <c r="K121" t="s">
        <v>10556</v>
      </c>
      <c r="L121" t="s">
        <v>10557</v>
      </c>
      <c r="M121" s="3" t="str">
        <f>HYPERLINK(склад2въезд131920[[#This Row],[RelativePath]])</f>
        <v>6 Площадка 1 общага\826398429_1_20260127T123645Z.jpg</v>
      </c>
    </row>
    <row r="122" spans="1:13" x14ac:dyDescent="0.25">
      <c r="A122" s="2" t="s">
        <v>15</v>
      </c>
      <c r="B122" s="4">
        <v>46050</v>
      </c>
      <c r="C122" s="5">
        <v>0.68431712962962965</v>
      </c>
      <c r="D122" t="s">
        <v>2004</v>
      </c>
      <c r="E122" t="s">
        <v>8</v>
      </c>
      <c r="I122" t="s">
        <v>10782</v>
      </c>
      <c r="J122" t="s">
        <v>2983</v>
      </c>
      <c r="K122" t="s">
        <v>10783</v>
      </c>
      <c r="L122" t="s">
        <v>10784</v>
      </c>
      <c r="M122" s="3" t="str">
        <f>HYPERLINK(склад2въезд131920[[#This Row],[RelativePath]])</f>
        <v>6 Площадка 1 общага\826398429_1_20260128T162525Z.jpg</v>
      </c>
    </row>
    <row r="123" spans="1:13" x14ac:dyDescent="0.25">
      <c r="A123" s="2" t="s">
        <v>16</v>
      </c>
      <c r="B123" s="4">
        <v>46051</v>
      </c>
      <c r="C123" s="5">
        <v>0.68480324074074073</v>
      </c>
      <c r="D123" t="s">
        <v>2004</v>
      </c>
      <c r="E123" t="s">
        <v>8</v>
      </c>
      <c r="I123" t="s">
        <v>10785</v>
      </c>
      <c r="J123" t="s">
        <v>2983</v>
      </c>
      <c r="K123" t="s">
        <v>10786</v>
      </c>
      <c r="L123" t="s">
        <v>10787</v>
      </c>
      <c r="M123" s="3" t="str">
        <f>HYPERLINK(склад2въезд131920[[#This Row],[RelativePath]])</f>
        <v>6 Площадка 1 общага\826398429_1_20260129T162607Z.jpg</v>
      </c>
    </row>
    <row r="124" spans="1:13" x14ac:dyDescent="0.25">
      <c r="A124" s="2" t="s">
        <v>17</v>
      </c>
      <c r="B124" s="4">
        <v>46052</v>
      </c>
      <c r="C124" s="5">
        <v>0.54097222222222219</v>
      </c>
      <c r="D124" t="s">
        <v>2004</v>
      </c>
      <c r="E124" t="s">
        <v>8</v>
      </c>
      <c r="I124" t="s">
        <v>10920</v>
      </c>
      <c r="J124" t="s">
        <v>2983</v>
      </c>
      <c r="K124" t="s">
        <v>10921</v>
      </c>
      <c r="L124" t="s">
        <v>10922</v>
      </c>
      <c r="M124" s="3" t="str">
        <f>HYPERLINK(склад2въезд131920[[#This Row],[RelativePath]])</f>
        <v>6 Площадка 1 общага\826398429_1_20260130T125900Z.jpg</v>
      </c>
    </row>
    <row r="125" spans="1:13" x14ac:dyDescent="0.25">
      <c r="A125" s="2" t="s">
        <v>18</v>
      </c>
      <c r="B125" s="4">
        <v>46053</v>
      </c>
      <c r="C125" s="5">
        <v>0.46357638888888891</v>
      </c>
      <c r="D125" t="s">
        <v>4</v>
      </c>
      <c r="E125" t="s">
        <v>8045</v>
      </c>
      <c r="I125" t="s">
        <v>11034</v>
      </c>
      <c r="J125" t="s">
        <v>2983</v>
      </c>
      <c r="K125" t="s">
        <v>11035</v>
      </c>
      <c r="L125" t="s">
        <v>11036</v>
      </c>
      <c r="M125" s="3" t="str">
        <f>HYPERLINK(склад2въезд131920[[#This Row],[RelativePath]])</f>
        <v>6 Площадка 1 общага\826398429_1_20260131T110733Z.jpg</v>
      </c>
    </row>
    <row r="126" spans="1:13" x14ac:dyDescent="0.25">
      <c r="A126" s="2" t="s">
        <v>22</v>
      </c>
      <c r="B126" s="4">
        <v>46054</v>
      </c>
      <c r="C126" s="5">
        <v>0.69827546296296295</v>
      </c>
      <c r="D126" t="s">
        <v>2004</v>
      </c>
      <c r="E126" t="s">
        <v>8</v>
      </c>
      <c r="I126" t="s">
        <v>11037</v>
      </c>
      <c r="J126" t="s">
        <v>2983</v>
      </c>
      <c r="K126" t="s">
        <v>11038</v>
      </c>
      <c r="L126" t="s">
        <v>11039</v>
      </c>
      <c r="M126" s="3" t="str">
        <f>HYPERLINK(склад2въезд131920[[#This Row],[RelativePath]])</f>
        <v>6 Площадка 1 общага\826398429_1_20260201T164531Z.jpg</v>
      </c>
    </row>
  </sheetData>
  <conditionalFormatting sqref="D127:D137 E127:E140 G2:H126 D2:E126">
    <cfRule type="containsText" dxfId="676" priority="14" operator="containsText" text="Выезд с территории">
      <formula>NOT(ISERROR(SEARCH("Выезд с территории",D2)))</formula>
    </cfRule>
  </conditionalFormatting>
  <conditionalFormatting sqref="F2:F126">
    <cfRule type="notContainsText" dxfId="675" priority="13" operator="notContains" text="порожний">
      <formula>ISERROR(SEARCH("порожний",F2))</formula>
    </cfRule>
  </conditionalFormatting>
  <conditionalFormatting sqref="E2:E140">
    <cfRule type="containsText" dxfId="674" priority="11" operator="containsText" text="Газель базы">
      <formula>NOT(ISERROR(SEARCH("Газель базы",E2)))</formula>
    </cfRule>
    <cfRule type="containsText" dxfId="673" priority="12" operator="containsText" text="Погрузчик базы">
      <formula>NOT(ISERROR(SEARCH("Погрузчик базы",E2)))</formula>
    </cfRule>
  </conditionalFormatting>
  <conditionalFormatting sqref="E2:E140">
    <cfRule type="containsText" dxfId="672" priority="10" operator="containsText" text="Трактор базы">
      <formula>NOT(ISERROR(SEARCH("Трактор базы",E2)))</formula>
    </cfRule>
  </conditionalFormatting>
  <conditionalFormatting sqref="A2:C126">
    <cfRule type="expression" dxfId="671" priority="9">
      <formula>$A2="пн"</formula>
    </cfRule>
  </conditionalFormatting>
  <conditionalFormatting sqref="A2:C128">
    <cfRule type="expression" dxfId="670" priority="3">
      <formula>$A2="вс"</formula>
    </cfRule>
    <cfRule type="expression" dxfId="669" priority="4">
      <formula>$A2="сб"</formula>
    </cfRule>
    <cfRule type="expression" dxfId="668" priority="5">
      <formula>$A2="пт"</formula>
    </cfRule>
    <cfRule type="expression" dxfId="667" priority="6">
      <formula>$A2="чт"</formula>
    </cfRule>
    <cfRule type="expression" dxfId="666" priority="7">
      <formula>$A2="ср"</formula>
    </cfRule>
    <cfRule type="expression" dxfId="665" priority="8">
      <formula>$A2="вт"</formula>
    </cfRule>
  </conditionalFormatting>
  <conditionalFormatting sqref="D2:D137">
    <cfRule type="containsText" dxfId="66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7">
    <cfRule type="containsText" dxfId="66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60"/>
  <sheetViews>
    <sheetView zoomScale="90" zoomScaleNormal="90" workbookViewId="0">
      <pane ySplit="1" topLeftCell="A248" activePane="bottomLeft" state="frozen"/>
      <selection pane="bottomLeft" activeCell="I259" sqref="I259:I26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t="s">
        <v>4</v>
      </c>
      <c r="E2" t="s">
        <v>8</v>
      </c>
      <c r="H2" t="s">
        <v>5</v>
      </c>
      <c r="I2" t="s">
        <v>535</v>
      </c>
      <c r="J2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t="s">
        <v>4</v>
      </c>
      <c r="E3" t="s">
        <v>11</v>
      </c>
      <c r="I3" t="s">
        <v>538</v>
      </c>
      <c r="J3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t="s">
        <v>4</v>
      </c>
      <c r="E4" t="s">
        <v>19</v>
      </c>
      <c r="I4" t="s">
        <v>541</v>
      </c>
      <c r="J4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t="s">
        <v>4</v>
      </c>
      <c r="E5" t="s">
        <v>19</v>
      </c>
      <c r="I5" t="s">
        <v>544</v>
      </c>
      <c r="J5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t="s">
        <v>4</v>
      </c>
      <c r="E6" t="s">
        <v>8</v>
      </c>
      <c r="H6" t="s">
        <v>6</v>
      </c>
      <c r="I6" t="s">
        <v>547</v>
      </c>
      <c r="J6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t="s">
        <v>4</v>
      </c>
      <c r="E7" t="s">
        <v>8</v>
      </c>
      <c r="H7" t="s">
        <v>5</v>
      </c>
      <c r="I7" t="s">
        <v>550</v>
      </c>
      <c r="J7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t="s">
        <v>4</v>
      </c>
      <c r="E8" t="s">
        <v>19</v>
      </c>
      <c r="I8" t="s">
        <v>553</v>
      </c>
      <c r="J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t="s">
        <v>4</v>
      </c>
      <c r="E9" t="s">
        <v>19</v>
      </c>
      <c r="I9" t="s">
        <v>556</v>
      </c>
      <c r="J9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t="s">
        <v>648</v>
      </c>
      <c r="E10" t="s">
        <v>86</v>
      </c>
      <c r="F10" t="s">
        <v>528</v>
      </c>
      <c r="I10" t="s">
        <v>559</v>
      </c>
      <c r="J10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t="s">
        <v>4</v>
      </c>
      <c r="E11" t="s">
        <v>19</v>
      </c>
      <c r="I11" t="s">
        <v>562</v>
      </c>
      <c r="J11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t="s">
        <v>158</v>
      </c>
      <c r="E12" t="s">
        <v>86</v>
      </c>
      <c r="F12" t="s">
        <v>649</v>
      </c>
      <c r="I12" t="s">
        <v>565</v>
      </c>
      <c r="J12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t="s">
        <v>290</v>
      </c>
      <c r="E13" t="s">
        <v>86</v>
      </c>
      <c r="F13" t="s">
        <v>649</v>
      </c>
      <c r="I13" t="s">
        <v>568</v>
      </c>
      <c r="J13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t="s">
        <v>289</v>
      </c>
      <c r="E14" t="s">
        <v>86</v>
      </c>
      <c r="F14" t="s">
        <v>60</v>
      </c>
      <c r="G14">
        <v>2</v>
      </c>
      <c r="I14" t="s">
        <v>571</v>
      </c>
      <c r="J14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t="s">
        <v>650</v>
      </c>
      <c r="E15" t="s">
        <v>86</v>
      </c>
      <c r="F15" t="s">
        <v>60</v>
      </c>
      <c r="I15" t="s">
        <v>574</v>
      </c>
      <c r="J15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t="s">
        <v>4</v>
      </c>
      <c r="E16" t="s">
        <v>12</v>
      </c>
      <c r="I16" t="s">
        <v>577</v>
      </c>
      <c r="J16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t="s">
        <v>4</v>
      </c>
      <c r="E17" t="s">
        <v>651</v>
      </c>
      <c r="I17" t="s">
        <v>580</v>
      </c>
      <c r="J17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t="s">
        <v>4</v>
      </c>
      <c r="E18" t="s">
        <v>8</v>
      </c>
      <c r="H18" t="s">
        <v>6</v>
      </c>
      <c r="I18" t="s">
        <v>583</v>
      </c>
      <c r="J1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t="s">
        <v>4</v>
      </c>
      <c r="E19" t="s">
        <v>652</v>
      </c>
      <c r="I19" t="s">
        <v>586</v>
      </c>
      <c r="J19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t="s">
        <v>4</v>
      </c>
      <c r="E20" t="s">
        <v>652</v>
      </c>
      <c r="I20" t="s">
        <v>589</v>
      </c>
      <c r="J20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t="s">
        <v>4</v>
      </c>
      <c r="E21" t="s">
        <v>7</v>
      </c>
      <c r="I21" t="s">
        <v>592</v>
      </c>
      <c r="J21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t="s">
        <v>4</v>
      </c>
      <c r="E22" t="s">
        <v>652</v>
      </c>
      <c r="I22" t="s">
        <v>595</v>
      </c>
      <c r="J22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t="s">
        <v>4</v>
      </c>
      <c r="E23" t="s">
        <v>8</v>
      </c>
      <c r="H23" t="s">
        <v>5</v>
      </c>
      <c r="I23" t="s">
        <v>598</v>
      </c>
      <c r="J23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t="s">
        <v>4</v>
      </c>
      <c r="E24" t="s">
        <v>652</v>
      </c>
      <c r="I24" t="s">
        <v>601</v>
      </c>
      <c r="J24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t="s">
        <v>4</v>
      </c>
      <c r="E25" t="s">
        <v>7</v>
      </c>
      <c r="I25" t="s">
        <v>603</v>
      </c>
      <c r="J25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t="s">
        <v>4</v>
      </c>
      <c r="E26" t="s">
        <v>7</v>
      </c>
      <c r="I26" t="s">
        <v>606</v>
      </c>
      <c r="J26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t="s">
        <v>4</v>
      </c>
      <c r="E27" t="s">
        <v>652</v>
      </c>
      <c r="I27" t="s">
        <v>609</v>
      </c>
      <c r="J27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t="s">
        <v>4</v>
      </c>
      <c r="E28" t="s">
        <v>652</v>
      </c>
      <c r="I28" t="s">
        <v>612</v>
      </c>
      <c r="J2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t="s">
        <v>4</v>
      </c>
      <c r="E29" t="s">
        <v>8</v>
      </c>
      <c r="H29" t="s">
        <v>6</v>
      </c>
      <c r="I29" t="s">
        <v>615</v>
      </c>
      <c r="J29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t="s">
        <v>4</v>
      </c>
      <c r="E30" t="s">
        <v>12</v>
      </c>
      <c r="I30" t="s">
        <v>618</v>
      </c>
      <c r="J30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t="s">
        <v>4</v>
      </c>
      <c r="E31" t="s">
        <v>11</v>
      </c>
      <c r="I31" t="s">
        <v>621</v>
      </c>
      <c r="J31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t="s">
        <v>4</v>
      </c>
      <c r="E32" t="s">
        <v>11</v>
      </c>
      <c r="I32" t="s">
        <v>624</v>
      </c>
      <c r="J32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t="s">
        <v>289</v>
      </c>
      <c r="E33" t="s">
        <v>86</v>
      </c>
      <c r="F33" t="s">
        <v>60</v>
      </c>
      <c r="G33">
        <v>1</v>
      </c>
      <c r="I33" t="s">
        <v>627</v>
      </c>
      <c r="J33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t="s">
        <v>653</v>
      </c>
      <c r="E34" t="s">
        <v>86</v>
      </c>
      <c r="F34" t="s">
        <v>200</v>
      </c>
      <c r="I34" t="s">
        <v>630</v>
      </c>
      <c r="J34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t="s">
        <v>650</v>
      </c>
      <c r="E35" t="s">
        <v>86</v>
      </c>
      <c r="F35" t="s">
        <v>200</v>
      </c>
      <c r="I35" t="s">
        <v>633</v>
      </c>
      <c r="J35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t="s">
        <v>289</v>
      </c>
      <c r="E36" t="s">
        <v>86</v>
      </c>
      <c r="F36" t="s">
        <v>200</v>
      </c>
      <c r="I36" t="s">
        <v>636</v>
      </c>
      <c r="J36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t="s">
        <v>650</v>
      </c>
      <c r="E37" t="s">
        <v>86</v>
      </c>
      <c r="F37" t="s">
        <v>200</v>
      </c>
      <c r="I37" t="s">
        <v>639</v>
      </c>
      <c r="J37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t="s">
        <v>4</v>
      </c>
      <c r="E38" t="s">
        <v>11</v>
      </c>
      <c r="I38" t="s">
        <v>642</v>
      </c>
      <c r="J3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t="s">
        <v>4</v>
      </c>
      <c r="E39" t="s">
        <v>8</v>
      </c>
      <c r="H39" t="s">
        <v>6</v>
      </c>
      <c r="I39" t="s">
        <v>645</v>
      </c>
      <c r="J39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t="s">
        <v>4</v>
      </c>
      <c r="E40" t="s">
        <v>8</v>
      </c>
      <c r="I40" t="s">
        <v>1115</v>
      </c>
      <c r="J40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t="s">
        <v>4</v>
      </c>
      <c r="E41" t="s">
        <v>8</v>
      </c>
      <c r="H41" t="s">
        <v>2004</v>
      </c>
      <c r="I41" t="s">
        <v>1118</v>
      </c>
      <c r="J41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t="s">
        <v>4</v>
      </c>
      <c r="E42" t="s">
        <v>8</v>
      </c>
      <c r="I42" t="s">
        <v>1121</v>
      </c>
      <c r="J42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t="s">
        <v>4</v>
      </c>
      <c r="E43" t="s">
        <v>8</v>
      </c>
      <c r="H43" t="s">
        <v>2004</v>
      </c>
      <c r="I43" t="s">
        <v>1124</v>
      </c>
      <c r="J43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t="s">
        <v>4</v>
      </c>
      <c r="E44" t="s">
        <v>8</v>
      </c>
      <c r="I44" t="s">
        <v>1127</v>
      </c>
      <c r="J44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t="s">
        <v>11</v>
      </c>
      <c r="I45" t="s">
        <v>2154</v>
      </c>
      <c r="J45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t="s">
        <v>11</v>
      </c>
      <c r="I46" t="s">
        <v>2157</v>
      </c>
      <c r="J46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t="s">
        <v>11</v>
      </c>
      <c r="I47" t="s">
        <v>2160</v>
      </c>
      <c r="J47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t="s">
        <v>11</v>
      </c>
      <c r="I48" t="s">
        <v>2163</v>
      </c>
      <c r="J4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t="s">
        <v>11</v>
      </c>
      <c r="I49" t="s">
        <v>2166</v>
      </c>
      <c r="J49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t="s">
        <v>11</v>
      </c>
      <c r="I50" t="s">
        <v>2169</v>
      </c>
      <c r="J50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t="s">
        <v>11</v>
      </c>
      <c r="I51" t="s">
        <v>2172</v>
      </c>
      <c r="J51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t="s">
        <v>11</v>
      </c>
      <c r="I52" t="s">
        <v>2175</v>
      </c>
      <c r="J52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t="s">
        <v>11</v>
      </c>
      <c r="I53" t="s">
        <v>2178</v>
      </c>
      <c r="J53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t="s">
        <v>4</v>
      </c>
      <c r="E54" t="s">
        <v>8</v>
      </c>
      <c r="H54" t="s">
        <v>1625</v>
      </c>
      <c r="I54" t="s">
        <v>2181</v>
      </c>
      <c r="J54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t="s">
        <v>11</v>
      </c>
      <c r="I55" t="s">
        <v>2184</v>
      </c>
      <c r="J55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t="s">
        <v>11</v>
      </c>
      <c r="I56" t="s">
        <v>2187</v>
      </c>
      <c r="J56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t="s">
        <v>11</v>
      </c>
      <c r="I57" t="s">
        <v>2190</v>
      </c>
      <c r="J57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t="s">
        <v>11</v>
      </c>
      <c r="I58" t="s">
        <v>2193</v>
      </c>
      <c r="J5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t="s">
        <v>11</v>
      </c>
      <c r="I59" t="s">
        <v>2196</v>
      </c>
      <c r="J59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t="s">
        <v>11</v>
      </c>
      <c r="I60" t="s">
        <v>2199</v>
      </c>
      <c r="J60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t="s">
        <v>11</v>
      </c>
      <c r="I61" t="s">
        <v>2202</v>
      </c>
      <c r="J61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t="s">
        <v>11</v>
      </c>
      <c r="I62" t="s">
        <v>2205</v>
      </c>
      <c r="J62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t="s">
        <v>11</v>
      </c>
      <c r="I63" t="s">
        <v>2208</v>
      </c>
      <c r="J63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t="s">
        <v>11</v>
      </c>
      <c r="I64" t="s">
        <v>2211</v>
      </c>
      <c r="J64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t="s">
        <v>11</v>
      </c>
      <c r="I65" t="s">
        <v>2214</v>
      </c>
      <c r="J65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t="s">
        <v>11</v>
      </c>
      <c r="I66" t="s">
        <v>2217</v>
      </c>
      <c r="J66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t="s">
        <v>11</v>
      </c>
      <c r="I67" t="s">
        <v>2220</v>
      </c>
      <c r="J67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t="s">
        <v>4</v>
      </c>
      <c r="E68" t="s">
        <v>8</v>
      </c>
      <c r="H68" t="s">
        <v>1625</v>
      </c>
      <c r="I68" t="s">
        <v>2223</v>
      </c>
      <c r="J6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t="s">
        <v>2004</v>
      </c>
      <c r="I69" t="s">
        <v>2226</v>
      </c>
      <c r="J69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t="s">
        <v>2004</v>
      </c>
      <c r="I70" t="s">
        <v>2229</v>
      </c>
      <c r="J70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t="s">
        <v>4</v>
      </c>
      <c r="E71" t="s">
        <v>8</v>
      </c>
      <c r="I71" t="s">
        <v>3468</v>
      </c>
      <c r="J71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t="s">
        <v>4</v>
      </c>
      <c r="E72" t="s">
        <v>8</v>
      </c>
      <c r="I72" t="s">
        <v>3471</v>
      </c>
      <c r="J72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t="s">
        <v>4</v>
      </c>
      <c r="E73" t="s">
        <v>8</v>
      </c>
      <c r="I73" t="s">
        <v>3474</v>
      </c>
      <c r="J73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t="s">
        <v>4212</v>
      </c>
      <c r="I74" t="s">
        <v>4213</v>
      </c>
      <c r="J74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t="s">
        <v>4</v>
      </c>
      <c r="E75" t="s">
        <v>8</v>
      </c>
      <c r="I75" t="s">
        <v>3477</v>
      </c>
      <c r="J75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t="s">
        <v>4209</v>
      </c>
      <c r="E76" t="s">
        <v>4210</v>
      </c>
      <c r="I76" t="s">
        <v>3480</v>
      </c>
      <c r="J76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t="s">
        <v>4209</v>
      </c>
      <c r="E77" t="s">
        <v>4210</v>
      </c>
      <c r="H77" t="s">
        <v>2936</v>
      </c>
      <c r="I77" t="s">
        <v>3483</v>
      </c>
      <c r="J77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t="s">
        <v>4209</v>
      </c>
      <c r="E78" t="s">
        <v>4210</v>
      </c>
      <c r="H78" t="s">
        <v>2936</v>
      </c>
      <c r="I78" t="s">
        <v>3486</v>
      </c>
      <c r="J7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t="s">
        <v>4209</v>
      </c>
      <c r="E79" t="s">
        <v>4210</v>
      </c>
      <c r="H79" t="s">
        <v>2936</v>
      </c>
      <c r="I79" t="s">
        <v>3489</v>
      </c>
      <c r="J79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t="s">
        <v>4209</v>
      </c>
      <c r="E80" t="s">
        <v>4210</v>
      </c>
      <c r="H80" t="s">
        <v>2936</v>
      </c>
      <c r="I80" t="s">
        <v>3492</v>
      </c>
      <c r="J80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t="s">
        <v>4209</v>
      </c>
      <c r="E81" t="s">
        <v>4210</v>
      </c>
      <c r="H81" t="s">
        <v>2936</v>
      </c>
      <c r="I81" t="s">
        <v>3495</v>
      </c>
      <c r="J81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t="s">
        <v>4209</v>
      </c>
      <c r="E82" t="s">
        <v>4210</v>
      </c>
      <c r="H82" t="s">
        <v>2936</v>
      </c>
      <c r="I82" t="s">
        <v>3498</v>
      </c>
      <c r="J82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t="s">
        <v>4209</v>
      </c>
      <c r="E83" t="s">
        <v>4210</v>
      </c>
      <c r="H83" t="s">
        <v>2936</v>
      </c>
      <c r="I83" t="s">
        <v>3501</v>
      </c>
      <c r="J83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t="s">
        <v>4209</v>
      </c>
      <c r="E84" t="s">
        <v>4210</v>
      </c>
      <c r="H84" t="s">
        <v>2936</v>
      </c>
      <c r="I84" t="s">
        <v>3504</v>
      </c>
      <c r="J84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t="s">
        <v>4209</v>
      </c>
      <c r="E85" t="s">
        <v>4210</v>
      </c>
      <c r="H85" t="s">
        <v>2936</v>
      </c>
      <c r="I85" t="s">
        <v>3507</v>
      </c>
      <c r="J85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t="s">
        <v>4209</v>
      </c>
      <c r="E86" t="s">
        <v>4210</v>
      </c>
      <c r="H86" t="s">
        <v>2936</v>
      </c>
      <c r="I86" t="s">
        <v>3510</v>
      </c>
      <c r="J86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t="s">
        <v>4209</v>
      </c>
      <c r="E87" t="s">
        <v>4210</v>
      </c>
      <c r="H87" t="s">
        <v>2936</v>
      </c>
      <c r="I87" t="s">
        <v>3513</v>
      </c>
      <c r="J87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t="s">
        <v>4209</v>
      </c>
      <c r="E88" t="s">
        <v>4210</v>
      </c>
      <c r="H88" t="s">
        <v>2936</v>
      </c>
      <c r="I88" t="s">
        <v>3516</v>
      </c>
      <c r="J8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t="s">
        <v>4209</v>
      </c>
      <c r="E89" t="s">
        <v>4210</v>
      </c>
      <c r="H89" t="s">
        <v>2936</v>
      </c>
      <c r="I89" t="s">
        <v>3519</v>
      </c>
      <c r="J89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t="s">
        <v>4209</v>
      </c>
      <c r="E90" t="s">
        <v>4210</v>
      </c>
      <c r="H90" t="s">
        <v>2936</v>
      </c>
      <c r="I90" t="s">
        <v>3522</v>
      </c>
      <c r="J90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t="s">
        <v>4209</v>
      </c>
      <c r="E91" t="s">
        <v>4210</v>
      </c>
      <c r="H91" t="s">
        <v>2936</v>
      </c>
      <c r="I91" t="s">
        <v>3525</v>
      </c>
      <c r="J91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t="s">
        <v>4209</v>
      </c>
      <c r="E92" t="s">
        <v>4210</v>
      </c>
      <c r="H92" t="s">
        <v>2936</v>
      </c>
      <c r="I92" t="s">
        <v>3528</v>
      </c>
      <c r="J92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t="s">
        <v>4209</v>
      </c>
      <c r="E93" t="s">
        <v>4210</v>
      </c>
      <c r="H93" t="s">
        <v>2936</v>
      </c>
      <c r="I93" t="s">
        <v>3531</v>
      </c>
      <c r="J93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t="s">
        <v>4209</v>
      </c>
      <c r="E94" t="s">
        <v>4210</v>
      </c>
      <c r="H94" t="s">
        <v>2936</v>
      </c>
      <c r="I94" t="s">
        <v>3534</v>
      </c>
      <c r="J94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t="s">
        <v>4209</v>
      </c>
      <c r="E95" t="s">
        <v>4210</v>
      </c>
      <c r="H95" t="s">
        <v>2936</v>
      </c>
      <c r="I95" t="s">
        <v>3537</v>
      </c>
      <c r="J95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t="s">
        <v>4216</v>
      </c>
      <c r="E96" t="s">
        <v>4211</v>
      </c>
      <c r="I96" t="s">
        <v>3540</v>
      </c>
      <c r="J96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t="s">
        <v>4216</v>
      </c>
      <c r="E97" t="s">
        <v>4211</v>
      </c>
      <c r="H97" t="s">
        <v>2936</v>
      </c>
      <c r="I97" t="s">
        <v>3543</v>
      </c>
      <c r="J97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t="s">
        <v>4216</v>
      </c>
      <c r="E98" t="s">
        <v>4211</v>
      </c>
      <c r="H98" t="s">
        <v>2936</v>
      </c>
      <c r="I98" t="s">
        <v>3546</v>
      </c>
      <c r="J9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t="s">
        <v>4216</v>
      </c>
      <c r="E99" t="s">
        <v>4211</v>
      </c>
      <c r="H99" t="s">
        <v>2936</v>
      </c>
      <c r="I99" t="s">
        <v>3549</v>
      </c>
      <c r="J99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t="s">
        <v>4216</v>
      </c>
      <c r="E100" t="s">
        <v>4211</v>
      </c>
      <c r="H100" t="s">
        <v>2936</v>
      </c>
      <c r="I100" t="s">
        <v>3552</v>
      </c>
      <c r="J100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t="s">
        <v>4216</v>
      </c>
      <c r="E101" t="s">
        <v>4211</v>
      </c>
      <c r="H101" t="s">
        <v>2936</v>
      </c>
      <c r="I101" t="s">
        <v>3555</v>
      </c>
      <c r="J101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t="s">
        <v>4</v>
      </c>
      <c r="E102" t="s">
        <v>8</v>
      </c>
      <c r="I102" t="s">
        <v>3558</v>
      </c>
      <c r="J102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t="s">
        <v>1606</v>
      </c>
      <c r="E103" t="s">
        <v>4194</v>
      </c>
      <c r="I103" t="s">
        <v>3561</v>
      </c>
      <c r="J103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t="s">
        <v>1606</v>
      </c>
      <c r="E104" t="s">
        <v>4217</v>
      </c>
      <c r="I104" t="s">
        <v>3564</v>
      </c>
      <c r="J104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t="s">
        <v>289</v>
      </c>
      <c r="E105" t="s">
        <v>4217</v>
      </c>
      <c r="F105" t="s">
        <v>4211</v>
      </c>
      <c r="I105" t="s">
        <v>3567</v>
      </c>
      <c r="J105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t="s">
        <v>289</v>
      </c>
      <c r="E106" t="s">
        <v>4217</v>
      </c>
      <c r="F106" t="s">
        <v>4211</v>
      </c>
      <c r="H106" t="s">
        <v>2936</v>
      </c>
      <c r="I106" t="s">
        <v>3570</v>
      </c>
      <c r="J106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t="s">
        <v>289</v>
      </c>
      <c r="E107" t="s">
        <v>4217</v>
      </c>
      <c r="F107" t="s">
        <v>4211</v>
      </c>
      <c r="H107" t="s">
        <v>2936</v>
      </c>
      <c r="I107" t="s">
        <v>3573</v>
      </c>
      <c r="J107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t="s">
        <v>289</v>
      </c>
      <c r="E108" t="s">
        <v>4217</v>
      </c>
      <c r="F108" t="s">
        <v>4211</v>
      </c>
      <c r="H108" t="s">
        <v>2936</v>
      </c>
      <c r="I108" t="s">
        <v>3576</v>
      </c>
      <c r="J10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t="s">
        <v>289</v>
      </c>
      <c r="E109" t="s">
        <v>4217</v>
      </c>
      <c r="F109" t="s">
        <v>4211</v>
      </c>
      <c r="H109" t="s">
        <v>2936</v>
      </c>
      <c r="I109" t="s">
        <v>3579</v>
      </c>
      <c r="J109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t="s">
        <v>289</v>
      </c>
      <c r="E110" t="s">
        <v>4217</v>
      </c>
      <c r="F110" t="s">
        <v>4211</v>
      </c>
      <c r="H110" t="s">
        <v>2936</v>
      </c>
      <c r="I110" t="s">
        <v>3582</v>
      </c>
      <c r="J110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t="s">
        <v>289</v>
      </c>
      <c r="E111" t="s">
        <v>4217</v>
      </c>
      <c r="F111" t="s">
        <v>4211</v>
      </c>
      <c r="H111" t="s">
        <v>2936</v>
      </c>
      <c r="I111" t="s">
        <v>3585</v>
      </c>
      <c r="J111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t="s">
        <v>289</v>
      </c>
      <c r="E112" t="s">
        <v>4217</v>
      </c>
      <c r="F112" t="s">
        <v>4211</v>
      </c>
      <c r="H112" t="s">
        <v>2936</v>
      </c>
      <c r="I112" t="s">
        <v>3588</v>
      </c>
      <c r="J112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t="s">
        <v>289</v>
      </c>
      <c r="E113" t="s">
        <v>4217</v>
      </c>
      <c r="F113" t="s">
        <v>4211</v>
      </c>
      <c r="H113" t="s">
        <v>2936</v>
      </c>
      <c r="I113" t="s">
        <v>3591</v>
      </c>
      <c r="J113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t="s">
        <v>289</v>
      </c>
      <c r="E114" t="s">
        <v>4217</v>
      </c>
      <c r="F114" t="s">
        <v>4211</v>
      </c>
      <c r="H114" t="s">
        <v>2936</v>
      </c>
      <c r="I114" t="s">
        <v>3594</v>
      </c>
      <c r="J114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t="s">
        <v>289</v>
      </c>
      <c r="E115" t="s">
        <v>4217</v>
      </c>
      <c r="F115" t="s">
        <v>4211</v>
      </c>
      <c r="H115" t="s">
        <v>2936</v>
      </c>
      <c r="I115" t="s">
        <v>3597</v>
      </c>
      <c r="J115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t="s">
        <v>289</v>
      </c>
      <c r="E116" t="s">
        <v>4217</v>
      </c>
      <c r="F116" t="s">
        <v>4211</v>
      </c>
      <c r="H116" t="s">
        <v>2936</v>
      </c>
      <c r="I116" t="s">
        <v>3600</v>
      </c>
      <c r="J116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t="s">
        <v>289</v>
      </c>
      <c r="E117" t="s">
        <v>4217</v>
      </c>
      <c r="F117" t="s">
        <v>4211</v>
      </c>
      <c r="H117" t="s">
        <v>2936</v>
      </c>
      <c r="I117" t="s">
        <v>3603</v>
      </c>
      <c r="J117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t="s">
        <v>289</v>
      </c>
      <c r="E118" t="s">
        <v>4217</v>
      </c>
      <c r="F118" t="s">
        <v>4211</v>
      </c>
      <c r="H118" t="s">
        <v>2936</v>
      </c>
      <c r="I118" t="s">
        <v>3606</v>
      </c>
      <c r="J11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t="s">
        <v>650</v>
      </c>
      <c r="E119" t="s">
        <v>4217</v>
      </c>
      <c r="F119" t="s">
        <v>4211</v>
      </c>
      <c r="H119" t="s">
        <v>4218</v>
      </c>
      <c r="I119" t="s">
        <v>3609</v>
      </c>
      <c r="J119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t="s">
        <v>289</v>
      </c>
      <c r="E120" t="s">
        <v>4194</v>
      </c>
      <c r="F120" t="s">
        <v>4211</v>
      </c>
      <c r="I120" t="s">
        <v>3612</v>
      </c>
      <c r="J120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t="s">
        <v>289</v>
      </c>
      <c r="E121" t="s">
        <v>4194</v>
      </c>
      <c r="F121" t="s">
        <v>4211</v>
      </c>
      <c r="H121" t="s">
        <v>2936</v>
      </c>
      <c r="I121" t="s">
        <v>3615</v>
      </c>
      <c r="J121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t="s">
        <v>289</v>
      </c>
      <c r="E122" t="s">
        <v>4194</v>
      </c>
      <c r="F122" t="s">
        <v>4211</v>
      </c>
      <c r="H122" t="s">
        <v>2936</v>
      </c>
      <c r="I122" t="s">
        <v>3618</v>
      </c>
      <c r="J122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t="s">
        <v>289</v>
      </c>
      <c r="E123" t="s">
        <v>4194</v>
      </c>
      <c r="F123" t="s">
        <v>4211</v>
      </c>
      <c r="H123" t="s">
        <v>2936</v>
      </c>
      <c r="I123" t="s">
        <v>3621</v>
      </c>
      <c r="J123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t="s">
        <v>289</v>
      </c>
      <c r="E124" t="s">
        <v>4194</v>
      </c>
      <c r="F124" t="s">
        <v>4211</v>
      </c>
      <c r="H124" t="s">
        <v>2936</v>
      </c>
      <c r="I124" t="s">
        <v>3624</v>
      </c>
      <c r="J124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t="s">
        <v>289</v>
      </c>
      <c r="E125" t="s">
        <v>4194</v>
      </c>
      <c r="F125" t="s">
        <v>4211</v>
      </c>
      <c r="H125" t="s">
        <v>2936</v>
      </c>
      <c r="I125" t="s">
        <v>3627</v>
      </c>
      <c r="J125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t="s">
        <v>289</v>
      </c>
      <c r="E126" t="s">
        <v>4194</v>
      </c>
      <c r="F126" t="s">
        <v>4211</v>
      </c>
      <c r="H126" t="s">
        <v>2936</v>
      </c>
      <c r="I126" t="s">
        <v>3630</v>
      </c>
      <c r="J126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t="s">
        <v>289</v>
      </c>
      <c r="E127" t="s">
        <v>4194</v>
      </c>
      <c r="F127" t="s">
        <v>4211</v>
      </c>
      <c r="H127" t="s">
        <v>2936</v>
      </c>
      <c r="I127" t="s">
        <v>3633</v>
      </c>
      <c r="J127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t="s">
        <v>289</v>
      </c>
      <c r="E128" t="s">
        <v>4194</v>
      </c>
      <c r="F128" t="s">
        <v>4211</v>
      </c>
      <c r="H128" t="s">
        <v>2936</v>
      </c>
      <c r="I128" t="s">
        <v>3636</v>
      </c>
      <c r="J12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t="s">
        <v>289</v>
      </c>
      <c r="E129" t="s">
        <v>4194</v>
      </c>
      <c r="F129" t="s">
        <v>4211</v>
      </c>
      <c r="H129" t="s">
        <v>2936</v>
      </c>
      <c r="I129" t="s">
        <v>3639</v>
      </c>
      <c r="J129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t="s">
        <v>289</v>
      </c>
      <c r="E130" t="s">
        <v>4194</v>
      </c>
      <c r="F130" t="s">
        <v>4211</v>
      </c>
      <c r="H130" t="s">
        <v>2936</v>
      </c>
      <c r="I130" t="s">
        <v>3642</v>
      </c>
      <c r="J130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t="s">
        <v>289</v>
      </c>
      <c r="E131" t="s">
        <v>4194</v>
      </c>
      <c r="F131" t="s">
        <v>87</v>
      </c>
      <c r="I131" t="s">
        <v>3645</v>
      </c>
      <c r="J131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t="s">
        <v>1606</v>
      </c>
      <c r="E132" t="s">
        <v>4195</v>
      </c>
      <c r="I132" t="s">
        <v>3648</v>
      </c>
      <c r="J132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t="s">
        <v>1606</v>
      </c>
      <c r="E133" t="s">
        <v>4195</v>
      </c>
      <c r="H133" t="s">
        <v>2936</v>
      </c>
      <c r="I133" t="s">
        <v>3650</v>
      </c>
      <c r="J133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t="s">
        <v>289</v>
      </c>
      <c r="E134" t="s">
        <v>4195</v>
      </c>
      <c r="F134" t="s">
        <v>4211</v>
      </c>
      <c r="I134" t="s">
        <v>3653</v>
      </c>
      <c r="J134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t="s">
        <v>289</v>
      </c>
      <c r="E135" t="s">
        <v>4195</v>
      </c>
      <c r="F135" t="s">
        <v>4211</v>
      </c>
      <c r="H135" t="s">
        <v>2936</v>
      </c>
      <c r="I135" t="s">
        <v>3656</v>
      </c>
      <c r="J135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t="s">
        <v>289</v>
      </c>
      <c r="E136" t="s">
        <v>4195</v>
      </c>
      <c r="F136" t="s">
        <v>4211</v>
      </c>
      <c r="H136" t="s">
        <v>2936</v>
      </c>
      <c r="I136" t="s">
        <v>3659</v>
      </c>
      <c r="J136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t="s">
        <v>289</v>
      </c>
      <c r="E137" t="s">
        <v>4195</v>
      </c>
      <c r="F137" t="s">
        <v>4211</v>
      </c>
      <c r="H137" t="s">
        <v>2936</v>
      </c>
      <c r="I137" t="s">
        <v>3662</v>
      </c>
      <c r="J137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t="s">
        <v>289</v>
      </c>
      <c r="E138" t="s">
        <v>4195</v>
      </c>
      <c r="F138" t="s">
        <v>4211</v>
      </c>
      <c r="H138" t="s">
        <v>2936</v>
      </c>
      <c r="I138" t="s">
        <v>3665</v>
      </c>
      <c r="J13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t="s">
        <v>289</v>
      </c>
      <c r="E139" t="s">
        <v>4195</v>
      </c>
      <c r="F139" t="s">
        <v>4211</v>
      </c>
      <c r="H139" t="s">
        <v>2936</v>
      </c>
      <c r="I139" t="s">
        <v>3668</v>
      </c>
      <c r="J139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t="s">
        <v>289</v>
      </c>
      <c r="E140" t="s">
        <v>4195</v>
      </c>
      <c r="F140" t="s">
        <v>4211</v>
      </c>
      <c r="H140" t="s">
        <v>2936</v>
      </c>
      <c r="I140" t="s">
        <v>3671</v>
      </c>
      <c r="J140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t="s">
        <v>289</v>
      </c>
      <c r="E141" t="s">
        <v>4195</v>
      </c>
      <c r="F141" t="s">
        <v>4211</v>
      </c>
      <c r="H141" t="s">
        <v>2936</v>
      </c>
      <c r="I141" t="s">
        <v>3674</v>
      </c>
      <c r="J141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t="s">
        <v>289</v>
      </c>
      <c r="E142" t="s">
        <v>4195</v>
      </c>
      <c r="F142" t="s">
        <v>4211</v>
      </c>
      <c r="H142" t="s">
        <v>2936</v>
      </c>
      <c r="I142" t="s">
        <v>3677</v>
      </c>
      <c r="J142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t="s">
        <v>289</v>
      </c>
      <c r="E143" t="s">
        <v>4195</v>
      </c>
      <c r="F143" t="s">
        <v>4211</v>
      </c>
      <c r="H143" t="s">
        <v>2936</v>
      </c>
      <c r="I143" t="s">
        <v>3680</v>
      </c>
      <c r="J143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t="s">
        <v>289</v>
      </c>
      <c r="E144" t="s">
        <v>4195</v>
      </c>
      <c r="F144" t="s">
        <v>4211</v>
      </c>
      <c r="H144" t="s">
        <v>2936</v>
      </c>
      <c r="I144" t="s">
        <v>3683</v>
      </c>
      <c r="J144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t="s">
        <v>289</v>
      </c>
      <c r="E145" t="s">
        <v>4195</v>
      </c>
      <c r="F145" t="s">
        <v>4211</v>
      </c>
      <c r="H145" t="s">
        <v>2936</v>
      </c>
      <c r="I145" t="s">
        <v>3686</v>
      </c>
      <c r="J145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t="s">
        <v>289</v>
      </c>
      <c r="E146" t="s">
        <v>4195</v>
      </c>
      <c r="F146" t="s">
        <v>4211</v>
      </c>
      <c r="H146" t="s">
        <v>2936</v>
      </c>
      <c r="I146" t="s">
        <v>3689</v>
      </c>
      <c r="J146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t="s">
        <v>289</v>
      </c>
      <c r="E147" t="s">
        <v>4195</v>
      </c>
      <c r="F147" t="s">
        <v>4211</v>
      </c>
      <c r="H147" t="s">
        <v>2936</v>
      </c>
      <c r="I147" t="s">
        <v>3692</v>
      </c>
      <c r="J147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t="s">
        <v>289</v>
      </c>
      <c r="E148" t="s">
        <v>4195</v>
      </c>
      <c r="F148" t="s">
        <v>4211</v>
      </c>
      <c r="H148" t="s">
        <v>2936</v>
      </c>
      <c r="I148" t="s">
        <v>3695</v>
      </c>
      <c r="J14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t="s">
        <v>289</v>
      </c>
      <c r="E149" t="s">
        <v>4195</v>
      </c>
      <c r="F149" t="s">
        <v>4211</v>
      </c>
      <c r="H149" t="s">
        <v>2936</v>
      </c>
      <c r="I149" t="s">
        <v>3698</v>
      </c>
      <c r="J149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t="s">
        <v>289</v>
      </c>
      <c r="E150" t="s">
        <v>4195</v>
      </c>
      <c r="F150" t="s">
        <v>4211</v>
      </c>
      <c r="H150" t="s">
        <v>2936</v>
      </c>
      <c r="I150" t="s">
        <v>3701</v>
      </c>
      <c r="J150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t="s">
        <v>289</v>
      </c>
      <c r="E151" t="s">
        <v>4195</v>
      </c>
      <c r="F151" t="s">
        <v>4211</v>
      </c>
      <c r="H151" t="s">
        <v>2936</v>
      </c>
      <c r="I151" t="s">
        <v>3704</v>
      </c>
      <c r="J151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t="s">
        <v>289</v>
      </c>
      <c r="E152" t="s">
        <v>4195</v>
      </c>
      <c r="F152" t="s">
        <v>4211</v>
      </c>
      <c r="H152" t="s">
        <v>2936</v>
      </c>
      <c r="I152" t="s">
        <v>3707</v>
      </c>
      <c r="J152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t="s">
        <v>289</v>
      </c>
      <c r="E153" t="s">
        <v>4195</v>
      </c>
      <c r="F153" t="s">
        <v>4211</v>
      </c>
      <c r="H153" t="s">
        <v>2936</v>
      </c>
      <c r="I153" t="s">
        <v>3710</v>
      </c>
      <c r="J153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t="s">
        <v>471</v>
      </c>
      <c r="E154" t="s">
        <v>4195</v>
      </c>
      <c r="I154" t="s">
        <v>3713</v>
      </c>
      <c r="J154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t="s">
        <v>650</v>
      </c>
      <c r="E155" t="s">
        <v>4195</v>
      </c>
      <c r="F155" t="s">
        <v>4211</v>
      </c>
      <c r="H155" t="s">
        <v>4219</v>
      </c>
      <c r="I155" t="s">
        <v>3716</v>
      </c>
      <c r="J155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t="s">
        <v>4297</v>
      </c>
      <c r="E156" t="s">
        <v>55</v>
      </c>
      <c r="I156" t="s">
        <v>4276</v>
      </c>
      <c r="J156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t="s">
        <v>289</v>
      </c>
      <c r="E157" t="s">
        <v>86</v>
      </c>
      <c r="F157" t="s">
        <v>200</v>
      </c>
      <c r="I157" t="s">
        <v>4999</v>
      </c>
      <c r="J157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t="s">
        <v>289</v>
      </c>
      <c r="E158" t="s">
        <v>86</v>
      </c>
      <c r="F158" t="s">
        <v>200</v>
      </c>
      <c r="I158" t="s">
        <v>5002</v>
      </c>
      <c r="J15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t="s">
        <v>289</v>
      </c>
      <c r="E159" t="s">
        <v>86</v>
      </c>
      <c r="F159" t="s">
        <v>200</v>
      </c>
      <c r="I159" t="s">
        <v>5005</v>
      </c>
      <c r="J159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t="s">
        <v>1094</v>
      </c>
      <c r="E160" t="s">
        <v>4247</v>
      </c>
      <c r="F160" t="s">
        <v>58</v>
      </c>
      <c r="I160" t="s">
        <v>5008</v>
      </c>
      <c r="J160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t="s">
        <v>289</v>
      </c>
      <c r="E161" t="s">
        <v>86</v>
      </c>
      <c r="F161" t="s">
        <v>200</v>
      </c>
      <c r="I161" t="s">
        <v>5011</v>
      </c>
      <c r="J161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t="s">
        <v>1094</v>
      </c>
      <c r="E162" t="s">
        <v>4247</v>
      </c>
      <c r="F162" t="s">
        <v>58</v>
      </c>
      <c r="I162" t="s">
        <v>5014</v>
      </c>
      <c r="J162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t="s">
        <v>1094</v>
      </c>
      <c r="E163" t="s">
        <v>531</v>
      </c>
      <c r="F163" t="s">
        <v>58</v>
      </c>
      <c r="I163" t="s">
        <v>5017</v>
      </c>
      <c r="J163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t="s">
        <v>4</v>
      </c>
      <c r="E164" t="s">
        <v>8</v>
      </c>
      <c r="I164" t="s">
        <v>5020</v>
      </c>
      <c r="J164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t="s">
        <v>289</v>
      </c>
      <c r="E165" t="s">
        <v>86</v>
      </c>
      <c r="F165" t="s">
        <v>60</v>
      </c>
      <c r="I165" t="s">
        <v>5023</v>
      </c>
      <c r="J165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t="s">
        <v>289</v>
      </c>
      <c r="E166" t="s">
        <v>86</v>
      </c>
      <c r="F166" t="s">
        <v>60</v>
      </c>
      <c r="I166" t="s">
        <v>5026</v>
      </c>
      <c r="J166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t="s">
        <v>289</v>
      </c>
      <c r="E167" t="s">
        <v>86</v>
      </c>
      <c r="F167" t="s">
        <v>200</v>
      </c>
      <c r="I167" t="s">
        <v>5029</v>
      </c>
      <c r="J167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t="s">
        <v>4</v>
      </c>
      <c r="E168" t="s">
        <v>8</v>
      </c>
      <c r="I168" t="s">
        <v>5032</v>
      </c>
      <c r="J16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t="s">
        <v>289</v>
      </c>
      <c r="E169" t="s">
        <v>86</v>
      </c>
      <c r="F169" t="s">
        <v>60</v>
      </c>
      <c r="I169" t="s">
        <v>5035</v>
      </c>
      <c r="J169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t="s">
        <v>289</v>
      </c>
      <c r="E170" t="s">
        <v>86</v>
      </c>
      <c r="F170" t="s">
        <v>60</v>
      </c>
      <c r="I170" t="s">
        <v>5038</v>
      </c>
      <c r="J170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t="s">
        <v>4</v>
      </c>
      <c r="E171" t="s">
        <v>8</v>
      </c>
      <c r="I171" t="s">
        <v>5041</v>
      </c>
      <c r="J171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t="s">
        <v>1094</v>
      </c>
      <c r="E172" t="s">
        <v>4247</v>
      </c>
      <c r="F172" t="s">
        <v>60</v>
      </c>
      <c r="I172" t="s">
        <v>5116</v>
      </c>
      <c r="J172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t="s">
        <v>1094</v>
      </c>
      <c r="E173" t="s">
        <v>4247</v>
      </c>
      <c r="F173" t="s">
        <v>200</v>
      </c>
      <c r="I173" t="s">
        <v>5119</v>
      </c>
      <c r="J173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t="s">
        <v>1094</v>
      </c>
      <c r="E174" t="s">
        <v>4247</v>
      </c>
      <c r="F174" t="s">
        <v>200</v>
      </c>
      <c r="I174" t="s">
        <v>5122</v>
      </c>
      <c r="J174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t="s">
        <v>4</v>
      </c>
      <c r="E175" t="s">
        <v>8</v>
      </c>
      <c r="H175" t="s">
        <v>2936</v>
      </c>
      <c r="I175" t="s">
        <v>5125</v>
      </c>
      <c r="J175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t="s">
        <v>4</v>
      </c>
      <c r="E176" t="s">
        <v>8</v>
      </c>
      <c r="H176" t="s">
        <v>2936</v>
      </c>
      <c r="I176" t="s">
        <v>5128</v>
      </c>
      <c r="J176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t="s">
        <v>4</v>
      </c>
      <c r="E177" t="s">
        <v>8</v>
      </c>
      <c r="H177" t="s">
        <v>2936</v>
      </c>
      <c r="I177" t="s">
        <v>5131</v>
      </c>
      <c r="J177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t="s">
        <v>4</v>
      </c>
      <c r="E178" t="s">
        <v>8</v>
      </c>
      <c r="H178" t="s">
        <v>2936</v>
      </c>
      <c r="I178" t="s">
        <v>5044</v>
      </c>
      <c r="J17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t="s">
        <v>4</v>
      </c>
      <c r="E179" t="s">
        <v>8</v>
      </c>
      <c r="H179" t="s">
        <v>2936</v>
      </c>
      <c r="I179" t="s">
        <v>5047</v>
      </c>
      <c r="J179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t="s">
        <v>4</v>
      </c>
      <c r="E180" t="s">
        <v>8</v>
      </c>
      <c r="H180" t="s">
        <v>2936</v>
      </c>
      <c r="I180" t="s">
        <v>5050</v>
      </c>
      <c r="J180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t="s">
        <v>289</v>
      </c>
      <c r="E181" t="s">
        <v>86</v>
      </c>
      <c r="F181" t="s">
        <v>200</v>
      </c>
      <c r="I181" t="s">
        <v>5053</v>
      </c>
      <c r="J181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t="s">
        <v>289</v>
      </c>
      <c r="E182" t="s">
        <v>86</v>
      </c>
      <c r="F182" t="s">
        <v>200</v>
      </c>
      <c r="I182" t="s">
        <v>5056</v>
      </c>
      <c r="J182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t="s">
        <v>289</v>
      </c>
      <c r="E183" t="s">
        <v>86</v>
      </c>
      <c r="F183" t="s">
        <v>200</v>
      </c>
      <c r="I183" t="s">
        <v>5059</v>
      </c>
      <c r="J183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t="s">
        <v>289</v>
      </c>
      <c r="E184" t="s">
        <v>86</v>
      </c>
      <c r="F184" t="s">
        <v>200</v>
      </c>
      <c r="I184" t="s">
        <v>5062</v>
      </c>
      <c r="J184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t="s">
        <v>289</v>
      </c>
      <c r="E185" t="s">
        <v>86</v>
      </c>
      <c r="F185" t="s">
        <v>200</v>
      </c>
      <c r="I185" t="s">
        <v>5065</v>
      </c>
      <c r="J185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t="s">
        <v>5134</v>
      </c>
      <c r="I186" t="s">
        <v>5068</v>
      </c>
      <c r="J186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t="s">
        <v>2004</v>
      </c>
      <c r="I187" t="s">
        <v>5071</v>
      </c>
      <c r="J187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t="s">
        <v>2004</v>
      </c>
      <c r="I188" t="s">
        <v>5229</v>
      </c>
      <c r="J18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t="s">
        <v>4</v>
      </c>
      <c r="E189" t="s">
        <v>8</v>
      </c>
      <c r="I189" t="s">
        <v>5316</v>
      </c>
      <c r="J189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t="s">
        <v>289</v>
      </c>
      <c r="E190" t="s">
        <v>86</v>
      </c>
      <c r="F190" t="s">
        <v>200</v>
      </c>
      <c r="I190" t="s">
        <v>5319</v>
      </c>
      <c r="J190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t="s">
        <v>289</v>
      </c>
      <c r="E191" t="s">
        <v>86</v>
      </c>
      <c r="F191" t="s">
        <v>200</v>
      </c>
      <c r="I191" t="s">
        <v>5322</v>
      </c>
      <c r="J191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t="s">
        <v>2004</v>
      </c>
      <c r="E192" t="s">
        <v>8</v>
      </c>
      <c r="I192" t="s">
        <v>5548</v>
      </c>
      <c r="J192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t="s">
        <v>2004</v>
      </c>
      <c r="E193" t="s">
        <v>8</v>
      </c>
      <c r="I193" t="s">
        <v>5551</v>
      </c>
      <c r="J193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t="s">
        <v>2004</v>
      </c>
      <c r="E194" t="s">
        <v>8</v>
      </c>
      <c r="I194" t="s">
        <v>5554</v>
      </c>
      <c r="J194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t="s">
        <v>4212</v>
      </c>
      <c r="I195" t="s">
        <v>6330</v>
      </c>
      <c r="J195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t="s">
        <v>4212</v>
      </c>
      <c r="I196" t="s">
        <v>6333</v>
      </c>
      <c r="J196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t="s">
        <v>4212</v>
      </c>
      <c r="I197" t="s">
        <v>6336</v>
      </c>
      <c r="J197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t="s">
        <v>2004</v>
      </c>
      <c r="E198" t="s">
        <v>8</v>
      </c>
      <c r="I198" t="s">
        <v>6320</v>
      </c>
      <c r="J19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t="s">
        <v>2004</v>
      </c>
      <c r="E199" t="s">
        <v>8</v>
      </c>
      <c r="I199" t="s">
        <v>6560</v>
      </c>
      <c r="J199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t="s">
        <v>4</v>
      </c>
      <c r="E200" t="s">
        <v>6868</v>
      </c>
      <c r="I200" t="s">
        <v>6875</v>
      </c>
      <c r="J200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t="s">
        <v>2004</v>
      </c>
      <c r="E201" t="s">
        <v>8</v>
      </c>
      <c r="I201" t="s">
        <v>6926</v>
      </c>
      <c r="J201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t="s">
        <v>4212</v>
      </c>
      <c r="I202" t="s">
        <v>7160</v>
      </c>
      <c r="J202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t="s">
        <v>2004</v>
      </c>
      <c r="E203" t="s">
        <v>8</v>
      </c>
      <c r="I203" t="s">
        <v>6929</v>
      </c>
      <c r="J203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t="s">
        <v>2004</v>
      </c>
      <c r="E204" t="s">
        <v>8</v>
      </c>
      <c r="I204" t="s">
        <v>7214</v>
      </c>
      <c r="J204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t="s">
        <v>2004</v>
      </c>
      <c r="E205" t="s">
        <v>8</v>
      </c>
      <c r="I205" t="s">
        <v>7411</v>
      </c>
      <c r="J205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t="s">
        <v>2004</v>
      </c>
      <c r="E206" t="s">
        <v>8</v>
      </c>
      <c r="I206" t="s">
        <v>7414</v>
      </c>
      <c r="J206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t="s">
        <v>2004</v>
      </c>
      <c r="E207" t="s">
        <v>8</v>
      </c>
      <c r="I207" t="s">
        <v>7700</v>
      </c>
      <c r="J207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t="s">
        <v>2004</v>
      </c>
      <c r="E208" t="s">
        <v>8</v>
      </c>
      <c r="I208" t="s">
        <v>7703</v>
      </c>
      <c r="J208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t="s">
        <v>2004</v>
      </c>
      <c r="E209" t="s">
        <v>8</v>
      </c>
      <c r="I209" t="s">
        <v>7867</v>
      </c>
      <c r="J209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t="s">
        <v>2004</v>
      </c>
      <c r="E210" t="s">
        <v>8</v>
      </c>
      <c r="I210" t="s">
        <v>8046</v>
      </c>
      <c r="J210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t="s">
        <v>2004</v>
      </c>
      <c r="E211" t="s">
        <v>8</v>
      </c>
      <c r="I211" t="s">
        <v>8049</v>
      </c>
      <c r="J211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t="s">
        <v>2004</v>
      </c>
      <c r="E212" t="s">
        <v>8</v>
      </c>
      <c r="I212" t="s">
        <v>8336</v>
      </c>
      <c r="J212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t="s">
        <v>2004</v>
      </c>
      <c r="E213" t="s">
        <v>8</v>
      </c>
      <c r="I213" t="s">
        <v>8339</v>
      </c>
      <c r="J213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t="s">
        <v>2004</v>
      </c>
      <c r="E214" t="s">
        <v>8</v>
      </c>
      <c r="I214" t="s">
        <v>8342</v>
      </c>
      <c r="J214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t="s">
        <v>2004</v>
      </c>
      <c r="E215" t="s">
        <v>8</v>
      </c>
      <c r="I215" t="s">
        <v>8346</v>
      </c>
      <c r="J215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t="s">
        <v>2004</v>
      </c>
      <c r="E216" t="s">
        <v>8</v>
      </c>
      <c r="I216" t="s">
        <v>8348</v>
      </c>
      <c r="J216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t="s">
        <v>2004</v>
      </c>
      <c r="E217" t="s">
        <v>8</v>
      </c>
      <c r="I217" t="s">
        <v>8474</v>
      </c>
      <c r="J217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t="s">
        <v>2004</v>
      </c>
      <c r="E218" t="s">
        <v>8</v>
      </c>
      <c r="I218" t="s">
        <v>8477</v>
      </c>
      <c r="J218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t="s">
        <v>2004</v>
      </c>
      <c r="E219" t="s">
        <v>8</v>
      </c>
      <c r="I219" t="s">
        <v>8480</v>
      </c>
      <c r="J219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t="s">
        <v>2004</v>
      </c>
      <c r="E220" t="s">
        <v>8</v>
      </c>
      <c r="I220" t="s">
        <v>8679</v>
      </c>
      <c r="J220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t="s">
        <v>2004</v>
      </c>
      <c r="E221" t="s">
        <v>8</v>
      </c>
      <c r="I221" t="s">
        <v>8806</v>
      </c>
      <c r="J221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t="s">
        <v>2004</v>
      </c>
      <c r="E222" t="s">
        <v>8</v>
      </c>
      <c r="I222" t="s">
        <v>8809</v>
      </c>
      <c r="J222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t="s">
        <v>2004</v>
      </c>
      <c r="E223" t="s">
        <v>8</v>
      </c>
      <c r="I223" t="s">
        <v>8812</v>
      </c>
      <c r="J223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t="s">
        <v>2004</v>
      </c>
      <c r="E224" t="s">
        <v>8</v>
      </c>
      <c r="I224" t="s">
        <v>8815</v>
      </c>
      <c r="J224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t="s">
        <v>2004</v>
      </c>
      <c r="E225" t="s">
        <v>8</v>
      </c>
      <c r="I225" t="s">
        <v>8818</v>
      </c>
      <c r="J225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t="s">
        <v>2004</v>
      </c>
      <c r="E226" t="s">
        <v>8</v>
      </c>
      <c r="I226" t="s">
        <v>8821</v>
      </c>
      <c r="J226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t="s">
        <v>2004</v>
      </c>
      <c r="E227" t="s">
        <v>8</v>
      </c>
      <c r="I227" t="s">
        <v>9192</v>
      </c>
      <c r="J227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t="s">
        <v>2004</v>
      </c>
      <c r="E228" t="s">
        <v>8</v>
      </c>
      <c r="I228" t="s">
        <v>9195</v>
      </c>
      <c r="J228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t="s">
        <v>2004</v>
      </c>
      <c r="E229" t="s">
        <v>8</v>
      </c>
      <c r="I229" t="s">
        <v>9400</v>
      </c>
      <c r="J229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t="s">
        <v>2004</v>
      </c>
      <c r="E230" t="s">
        <v>8</v>
      </c>
      <c r="I230" t="s">
        <v>9403</v>
      </c>
      <c r="J230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t="s">
        <v>2004</v>
      </c>
      <c r="E231" t="s">
        <v>8</v>
      </c>
      <c r="I231" t="s">
        <v>9406</v>
      </c>
      <c r="J231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t="s">
        <v>2004</v>
      </c>
      <c r="E232" t="s">
        <v>8</v>
      </c>
      <c r="I232" t="s">
        <v>9686</v>
      </c>
      <c r="J232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t="s">
        <v>2004</v>
      </c>
      <c r="E233" t="s">
        <v>8</v>
      </c>
      <c r="I233" t="s">
        <v>9688</v>
      </c>
      <c r="J233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2" t="s">
        <v>13</v>
      </c>
      <c r="B234" s="4">
        <v>46041</v>
      </c>
      <c r="C234" s="5">
        <v>0.6087731481481482</v>
      </c>
      <c r="D234" t="s">
        <v>4</v>
      </c>
      <c r="E234" t="s">
        <v>9913</v>
      </c>
      <c r="I234" t="s">
        <v>9877</v>
      </c>
      <c r="J234" t="s">
        <v>2984</v>
      </c>
      <c r="K234" t="s">
        <v>9878</v>
      </c>
      <c r="L234" t="s">
        <v>9879</v>
      </c>
      <c r="M234" s="3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2" t="s">
        <v>13</v>
      </c>
      <c r="B235" s="4">
        <v>46041</v>
      </c>
      <c r="C235" s="5">
        <v>0.64523148148148146</v>
      </c>
      <c r="D235" t="s">
        <v>4</v>
      </c>
      <c r="E235" t="s">
        <v>9913</v>
      </c>
      <c r="H235" t="s">
        <v>2936</v>
      </c>
      <c r="I235" t="s">
        <v>9880</v>
      </c>
      <c r="J235" t="s">
        <v>2984</v>
      </c>
      <c r="K235" t="s">
        <v>9881</v>
      </c>
      <c r="L235" t="s">
        <v>9882</v>
      </c>
      <c r="M235" s="3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2" t="s">
        <v>13</v>
      </c>
      <c r="B236" s="4">
        <v>46041</v>
      </c>
      <c r="C236" s="5">
        <v>0.67918981481481477</v>
      </c>
      <c r="D236" t="s">
        <v>4</v>
      </c>
      <c r="E236" t="s">
        <v>9913</v>
      </c>
      <c r="H236" t="s">
        <v>2936</v>
      </c>
      <c r="I236" t="s">
        <v>9883</v>
      </c>
      <c r="J236" t="s">
        <v>2984</v>
      </c>
      <c r="K236" t="s">
        <v>9884</v>
      </c>
      <c r="L236" t="s">
        <v>9885</v>
      </c>
      <c r="M236" s="3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2" t="s">
        <v>13</v>
      </c>
      <c r="B237" s="4">
        <v>46041</v>
      </c>
      <c r="C237" s="5">
        <v>0.70503472222222219</v>
      </c>
      <c r="D237" t="s">
        <v>4</v>
      </c>
      <c r="E237" t="s">
        <v>9913</v>
      </c>
      <c r="H237" t="s">
        <v>2936</v>
      </c>
      <c r="I237" t="s">
        <v>9886</v>
      </c>
      <c r="J237" t="s">
        <v>2984</v>
      </c>
      <c r="K237" t="s">
        <v>9887</v>
      </c>
      <c r="L237" t="s">
        <v>9888</v>
      </c>
      <c r="M237" s="3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2" t="s">
        <v>14</v>
      </c>
      <c r="B238" s="4">
        <v>46042</v>
      </c>
      <c r="C238" s="5">
        <v>0.4791435185185185</v>
      </c>
      <c r="D238" t="s">
        <v>4</v>
      </c>
      <c r="E238" t="s">
        <v>9913</v>
      </c>
      <c r="H238" t="s">
        <v>2936</v>
      </c>
      <c r="I238" t="s">
        <v>9889</v>
      </c>
      <c r="J238" t="s">
        <v>2984</v>
      </c>
      <c r="K238" t="s">
        <v>9890</v>
      </c>
      <c r="L238" t="s">
        <v>9891</v>
      </c>
      <c r="M238" s="3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2" t="s">
        <v>14</v>
      </c>
      <c r="B239" s="4">
        <v>46042</v>
      </c>
      <c r="C239" s="5">
        <v>0.48581018518518521</v>
      </c>
      <c r="D239" t="s">
        <v>4</v>
      </c>
      <c r="E239" t="s">
        <v>9913</v>
      </c>
      <c r="H239" t="s">
        <v>2936</v>
      </c>
      <c r="I239" t="s">
        <v>9892</v>
      </c>
      <c r="J239" t="s">
        <v>2984</v>
      </c>
      <c r="K239" t="s">
        <v>9893</v>
      </c>
      <c r="L239" t="s">
        <v>9894</v>
      </c>
      <c r="M239" s="3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2" t="s">
        <v>14</v>
      </c>
      <c r="B240" s="4">
        <v>46042</v>
      </c>
      <c r="C240" s="5">
        <v>0.51609953703703704</v>
      </c>
      <c r="D240" t="s">
        <v>4</v>
      </c>
      <c r="E240" t="s">
        <v>9913</v>
      </c>
      <c r="H240" t="s">
        <v>2936</v>
      </c>
      <c r="I240" t="s">
        <v>9895</v>
      </c>
      <c r="J240" t="s">
        <v>2984</v>
      </c>
      <c r="K240" t="s">
        <v>9896</v>
      </c>
      <c r="L240" t="s">
        <v>9897</v>
      </c>
      <c r="M240" s="3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2" t="s">
        <v>14</v>
      </c>
      <c r="B241" s="4">
        <v>46042</v>
      </c>
      <c r="C241" s="5">
        <v>0.54896990740740736</v>
      </c>
      <c r="D241" t="s">
        <v>4</v>
      </c>
      <c r="E241" t="s">
        <v>9913</v>
      </c>
      <c r="H241" t="s">
        <v>2936</v>
      </c>
      <c r="I241" t="s">
        <v>9898</v>
      </c>
      <c r="J241" t="s">
        <v>2984</v>
      </c>
      <c r="K241" t="s">
        <v>9899</v>
      </c>
      <c r="L241" t="s">
        <v>9900</v>
      </c>
      <c r="M241" s="3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2" t="s">
        <v>14</v>
      </c>
      <c r="B242" s="4">
        <v>46042</v>
      </c>
      <c r="C242" s="5">
        <v>0.59947916666666667</v>
      </c>
      <c r="D242" t="s">
        <v>4</v>
      </c>
      <c r="E242" t="s">
        <v>9913</v>
      </c>
      <c r="H242" t="s">
        <v>2936</v>
      </c>
      <c r="I242" t="s">
        <v>9901</v>
      </c>
      <c r="J242" t="s">
        <v>2984</v>
      </c>
      <c r="K242" t="s">
        <v>9902</v>
      </c>
      <c r="L242" t="s">
        <v>9903</v>
      </c>
      <c r="M242" s="3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2" t="s">
        <v>14</v>
      </c>
      <c r="B243" s="4">
        <v>46042</v>
      </c>
      <c r="C243" s="5">
        <v>0.61100694444444448</v>
      </c>
      <c r="D243" t="s">
        <v>4</v>
      </c>
      <c r="E243" t="s">
        <v>9913</v>
      </c>
      <c r="H243" t="s">
        <v>2936</v>
      </c>
      <c r="I243" t="s">
        <v>9904</v>
      </c>
      <c r="J243" t="s">
        <v>2984</v>
      </c>
      <c r="K243" t="s">
        <v>9905</v>
      </c>
      <c r="L243" t="s">
        <v>9906</v>
      </c>
      <c r="M243" s="3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2" t="s">
        <v>14</v>
      </c>
      <c r="B244" s="4">
        <v>46042</v>
      </c>
      <c r="C244" s="5">
        <v>0.62930555555555556</v>
      </c>
      <c r="D244" t="s">
        <v>4</v>
      </c>
      <c r="E244" t="s">
        <v>9913</v>
      </c>
      <c r="H244" t="s">
        <v>2936</v>
      </c>
      <c r="I244" t="s">
        <v>9907</v>
      </c>
      <c r="J244" t="s">
        <v>2984</v>
      </c>
      <c r="K244" t="s">
        <v>9908</v>
      </c>
      <c r="L244" t="s">
        <v>9909</v>
      </c>
      <c r="M244" s="3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2" t="s">
        <v>14</v>
      </c>
      <c r="B245" s="4">
        <v>46042</v>
      </c>
      <c r="C245" s="5">
        <v>0.74508101851851849</v>
      </c>
      <c r="D245" t="s">
        <v>4</v>
      </c>
      <c r="E245" t="s">
        <v>9913</v>
      </c>
      <c r="H245" t="s">
        <v>2936</v>
      </c>
      <c r="I245" t="s">
        <v>9910</v>
      </c>
      <c r="J245" t="s">
        <v>2984</v>
      </c>
      <c r="K245" t="s">
        <v>9911</v>
      </c>
      <c r="L245" t="s">
        <v>9912</v>
      </c>
      <c r="M245" s="3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2" t="s">
        <v>15</v>
      </c>
      <c r="B246" s="4">
        <v>46043</v>
      </c>
      <c r="C246" s="5">
        <v>0.38614583333333335</v>
      </c>
      <c r="D246" t="s">
        <v>4</v>
      </c>
      <c r="E246" t="s">
        <v>9913</v>
      </c>
      <c r="H246" t="s">
        <v>2936</v>
      </c>
      <c r="I246" t="s">
        <v>10125</v>
      </c>
      <c r="J246" t="s">
        <v>2984</v>
      </c>
      <c r="K246" t="s">
        <v>10126</v>
      </c>
      <c r="L246" t="s">
        <v>10127</v>
      </c>
      <c r="M246" s="3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2" t="s">
        <v>15</v>
      </c>
      <c r="B247" s="4">
        <v>46043</v>
      </c>
      <c r="C247" s="5">
        <v>0.4481134259259259</v>
      </c>
      <c r="D247" t="s">
        <v>4</v>
      </c>
      <c r="E247" t="s">
        <v>9913</v>
      </c>
      <c r="H247" t="s">
        <v>2936</v>
      </c>
      <c r="I247" t="s">
        <v>10128</v>
      </c>
      <c r="J247" t="s">
        <v>2984</v>
      </c>
      <c r="K247" t="s">
        <v>10129</v>
      </c>
      <c r="L247" t="s">
        <v>10130</v>
      </c>
      <c r="M247" s="3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2" t="s">
        <v>15</v>
      </c>
      <c r="B248" s="4">
        <v>46043</v>
      </c>
      <c r="C248" s="5">
        <v>0.53672453703703704</v>
      </c>
      <c r="D248" t="s">
        <v>4</v>
      </c>
      <c r="E248" t="s">
        <v>9913</v>
      </c>
      <c r="H248" t="s">
        <v>2936</v>
      </c>
      <c r="I248" t="s">
        <v>10131</v>
      </c>
      <c r="J248" t="s">
        <v>2984</v>
      </c>
      <c r="K248" t="s">
        <v>10132</v>
      </c>
      <c r="L248" t="s">
        <v>10133</v>
      </c>
      <c r="M248" s="3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2" t="s">
        <v>15</v>
      </c>
      <c r="B249" s="4">
        <v>46043</v>
      </c>
      <c r="C249" s="5">
        <v>0.69086805555555553</v>
      </c>
      <c r="D249" t="s">
        <v>4</v>
      </c>
      <c r="E249" t="s">
        <v>9913</v>
      </c>
      <c r="H249" t="s">
        <v>2936</v>
      </c>
      <c r="I249" t="s">
        <v>10134</v>
      </c>
      <c r="J249" t="s">
        <v>2984</v>
      </c>
      <c r="K249" t="s">
        <v>10135</v>
      </c>
      <c r="L249" t="s">
        <v>10136</v>
      </c>
      <c r="M249" s="3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2" t="s">
        <v>16</v>
      </c>
      <c r="B250" s="4">
        <v>46044</v>
      </c>
      <c r="C250" s="5">
        <v>0.71340277777777783</v>
      </c>
      <c r="D250" t="s">
        <v>2004</v>
      </c>
      <c r="E250" t="s">
        <v>8</v>
      </c>
      <c r="I250" t="s">
        <v>10137</v>
      </c>
      <c r="J250" t="s">
        <v>2984</v>
      </c>
      <c r="K250" t="s">
        <v>10138</v>
      </c>
      <c r="L250" t="s">
        <v>10139</v>
      </c>
      <c r="M250" s="3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2" t="s">
        <v>17</v>
      </c>
      <c r="B251" s="4">
        <v>46045</v>
      </c>
      <c r="C251" s="5">
        <v>0.70863425925925927</v>
      </c>
      <c r="D251" t="s">
        <v>4</v>
      </c>
      <c r="E251" t="s">
        <v>10392</v>
      </c>
      <c r="I251" t="s">
        <v>10389</v>
      </c>
      <c r="J251" t="s">
        <v>2984</v>
      </c>
      <c r="K251" t="s">
        <v>10390</v>
      </c>
      <c r="L251" t="s">
        <v>10391</v>
      </c>
      <c r="M251" s="3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2" t="s">
        <v>18</v>
      </c>
      <c r="B252" s="4">
        <v>46046</v>
      </c>
      <c r="C252" s="5">
        <v>0.76748842592592592</v>
      </c>
      <c r="D252" t="s">
        <v>2004</v>
      </c>
      <c r="E252" t="s">
        <v>8</v>
      </c>
      <c r="I252" t="s">
        <v>10512</v>
      </c>
      <c r="J252" t="s">
        <v>2984</v>
      </c>
      <c r="K252" t="s">
        <v>10513</v>
      </c>
      <c r="L252" t="s">
        <v>10514</v>
      </c>
      <c r="M252" s="3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2" t="s">
        <v>22</v>
      </c>
      <c r="B253" s="4">
        <v>46047</v>
      </c>
      <c r="C253" s="5">
        <v>0.66824074074074069</v>
      </c>
      <c r="D253" t="s">
        <v>2004</v>
      </c>
      <c r="E253" t="s">
        <v>8</v>
      </c>
      <c r="I253" t="s">
        <v>10515</v>
      </c>
      <c r="J253" t="s">
        <v>2984</v>
      </c>
      <c r="K253" t="s">
        <v>10516</v>
      </c>
      <c r="L253" t="s">
        <v>10517</v>
      </c>
      <c r="M253" s="3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2" t="s">
        <v>13</v>
      </c>
      <c r="B254" s="4">
        <v>46048</v>
      </c>
      <c r="C254" s="5">
        <v>0.68172453703703706</v>
      </c>
      <c r="D254" t="s">
        <v>2004</v>
      </c>
      <c r="E254" t="s">
        <v>8</v>
      </c>
      <c r="I254" t="s">
        <v>10631</v>
      </c>
      <c r="J254" t="s">
        <v>2984</v>
      </c>
      <c r="K254" t="s">
        <v>10632</v>
      </c>
      <c r="L254" t="s">
        <v>10633</v>
      </c>
      <c r="M254" s="3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2" t="s">
        <v>14</v>
      </c>
      <c r="B255" s="4">
        <v>46049</v>
      </c>
      <c r="C255" s="5">
        <v>0.58978009259259256</v>
      </c>
      <c r="D255" t="s">
        <v>2004</v>
      </c>
      <c r="E255" t="s">
        <v>8</v>
      </c>
      <c r="I255" t="s">
        <v>10634</v>
      </c>
      <c r="J255" t="s">
        <v>2984</v>
      </c>
      <c r="K255" t="s">
        <v>10635</v>
      </c>
      <c r="L255" t="s">
        <v>10636</v>
      </c>
      <c r="M255" s="3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2" t="s">
        <v>15</v>
      </c>
      <c r="B256" s="4">
        <v>46050</v>
      </c>
      <c r="C256" s="5">
        <v>0.69539351851851849</v>
      </c>
      <c r="D256" t="s">
        <v>2004</v>
      </c>
      <c r="E256" t="s">
        <v>8</v>
      </c>
      <c r="I256" t="s">
        <v>10878</v>
      </c>
      <c r="J256" t="s">
        <v>2984</v>
      </c>
      <c r="K256" t="s">
        <v>10879</v>
      </c>
      <c r="L256" t="s">
        <v>10880</v>
      </c>
      <c r="M256" s="3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2" t="s">
        <v>16</v>
      </c>
      <c r="B257" s="4">
        <v>46051</v>
      </c>
      <c r="C257" s="5">
        <v>0.74454861111111115</v>
      </c>
      <c r="D257" t="s">
        <v>2004</v>
      </c>
      <c r="E257" t="s">
        <v>8</v>
      </c>
      <c r="I257" t="s">
        <v>10881</v>
      </c>
      <c r="J257" t="s">
        <v>2984</v>
      </c>
      <c r="K257" t="s">
        <v>10882</v>
      </c>
      <c r="L257" t="s">
        <v>10883</v>
      </c>
      <c r="M257" s="3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2" t="s">
        <v>17</v>
      </c>
      <c r="B258" s="4">
        <v>46052</v>
      </c>
      <c r="C258" s="5">
        <v>0.75040509259259258</v>
      </c>
      <c r="D258" t="s">
        <v>2004</v>
      </c>
      <c r="E258" t="s">
        <v>8</v>
      </c>
      <c r="I258" t="s">
        <v>11004</v>
      </c>
      <c r="J258" t="s">
        <v>2984</v>
      </c>
      <c r="K258" t="s">
        <v>11005</v>
      </c>
      <c r="L258" t="s">
        <v>11006</v>
      </c>
      <c r="M258" s="3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2" t="s">
        <v>18</v>
      </c>
      <c r="B259" s="4">
        <v>46053</v>
      </c>
      <c r="C259" s="5">
        <v>0.74990740740740736</v>
      </c>
      <c r="D259" t="s">
        <v>2004</v>
      </c>
      <c r="E259" t="s">
        <v>8</v>
      </c>
      <c r="I259" t="s">
        <v>11127</v>
      </c>
      <c r="J259" t="s">
        <v>2984</v>
      </c>
      <c r="K259" t="s">
        <v>11128</v>
      </c>
      <c r="L259" t="s">
        <v>11129</v>
      </c>
      <c r="M259" s="3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2" t="s">
        <v>22</v>
      </c>
      <c r="B260" s="4">
        <v>46054</v>
      </c>
      <c r="C260" s="5">
        <v>0.4538773148148148</v>
      </c>
      <c r="D260" t="s">
        <v>2004</v>
      </c>
      <c r="E260" t="s">
        <v>8</v>
      </c>
      <c r="I260" t="s">
        <v>11130</v>
      </c>
      <c r="J260" t="s">
        <v>2984</v>
      </c>
      <c r="K260" t="s">
        <v>11131</v>
      </c>
      <c r="L260" t="s">
        <v>11132</v>
      </c>
      <c r="M260" s="3" t="str">
        <f>HYPERLINK(склад2въезд13192021[[#This Row],[RelativePath]])</f>
        <v>7 Площадка 2 бетонщики\K07156189_18_20260201T105335Z.jpg</v>
      </c>
    </row>
  </sheetData>
  <conditionalFormatting sqref="E261:E274 D1:D197 D261:D1048576 G2:H260 D2:E260">
    <cfRule type="containsText" dxfId="662" priority="18" operator="containsText" text="Выезд с территории">
      <formula>NOT(ISERROR(SEARCH("Выезд с территории",D1)))</formula>
    </cfRule>
  </conditionalFormatting>
  <conditionalFormatting sqref="F2:F260">
    <cfRule type="notContainsText" dxfId="661" priority="17" operator="notContains" text="порожний">
      <formula>ISERROR(SEARCH("порожний",F2))</formula>
    </cfRule>
  </conditionalFormatting>
  <conditionalFormatting sqref="E2:E274">
    <cfRule type="containsText" dxfId="660" priority="15" operator="containsText" text="Газель базы">
      <formula>NOT(ISERROR(SEARCH("Газель базы",E2)))</formula>
    </cfRule>
    <cfRule type="containsText" dxfId="659" priority="16" operator="containsText" text="Погрузчик базы">
      <formula>NOT(ISERROR(SEARCH("Погрузчик базы",E2)))</formula>
    </cfRule>
  </conditionalFormatting>
  <conditionalFormatting sqref="E2:E274">
    <cfRule type="containsText" dxfId="658" priority="14" operator="containsText" text="Трактор базы">
      <formula>NOT(ISERROR(SEARCH("Трактор базы",E2)))</formula>
    </cfRule>
  </conditionalFormatting>
  <conditionalFormatting sqref="A2:C260">
    <cfRule type="expression" dxfId="657" priority="13">
      <formula>$A2="пн"</formula>
    </cfRule>
  </conditionalFormatting>
  <conditionalFormatting sqref="A2:C262">
    <cfRule type="expression" dxfId="656" priority="7">
      <formula>$A2="вс"</formula>
    </cfRule>
    <cfRule type="expression" dxfId="655" priority="8">
      <formula>$A2="сб"</formula>
    </cfRule>
    <cfRule type="expression" dxfId="654" priority="9">
      <formula>$A2="пт"</formula>
    </cfRule>
    <cfRule type="expression" dxfId="653" priority="10">
      <formula>$A2="чт"</formula>
    </cfRule>
    <cfRule type="expression" dxfId="652" priority="11">
      <formula>$A2="ср"</formula>
    </cfRule>
    <cfRule type="expression" dxfId="651" priority="12">
      <formula>$A2="вт"</formula>
    </cfRule>
  </conditionalFormatting>
  <conditionalFormatting sqref="D1:D1048576">
    <cfRule type="containsText" dxfId="650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649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648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71"/>
  <sheetViews>
    <sheetView topLeftCell="B1" zoomScale="90" zoomScaleNormal="90" workbookViewId="0">
      <pane ySplit="1" topLeftCell="A260" activePane="bottomLeft" state="frozen"/>
      <selection pane="bottomLeft" activeCell="I270" sqref="I270:I27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E90" t="s">
        <v>8</v>
      </c>
      <c r="I90" t="s">
        <v>2310</v>
      </c>
      <c r="J90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E98" t="s">
        <v>8</v>
      </c>
      <c r="I98" t="s">
        <v>2334</v>
      </c>
      <c r="J9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E100" t="s">
        <v>8</v>
      </c>
      <c r="I100" t="s">
        <v>3718</v>
      </c>
      <c r="J100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E101" t="s">
        <v>8</v>
      </c>
      <c r="I101" t="s">
        <v>3721</v>
      </c>
      <c r="J101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E102" t="s">
        <v>8</v>
      </c>
      <c r="I102" t="s">
        <v>3724</v>
      </c>
      <c r="J102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E103" t="s">
        <v>8</v>
      </c>
      <c r="I103" t="s">
        <v>3727</v>
      </c>
      <c r="J103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E104" t="s">
        <v>8</v>
      </c>
      <c r="I104" t="s">
        <v>3730</v>
      </c>
      <c r="J104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4220</v>
      </c>
      <c r="F105" t="s">
        <v>1099</v>
      </c>
      <c r="G105">
        <v>4</v>
      </c>
      <c r="I105" t="s">
        <v>3733</v>
      </c>
      <c r="J105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E106" t="s">
        <v>8</v>
      </c>
      <c r="I106" t="s">
        <v>4279</v>
      </c>
      <c r="J106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4600</v>
      </c>
      <c r="J107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794</v>
      </c>
      <c r="E108" t="s">
        <v>5135</v>
      </c>
      <c r="I108" t="s">
        <v>4603</v>
      </c>
      <c r="J10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4606</v>
      </c>
      <c r="J109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E110" t="s">
        <v>8</v>
      </c>
      <c r="I110" t="s">
        <v>4609</v>
      </c>
      <c r="J110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E111" t="s">
        <v>8</v>
      </c>
      <c r="I111" t="s">
        <v>4612</v>
      </c>
      <c r="J111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4615</v>
      </c>
      <c r="J112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4618</v>
      </c>
      <c r="J113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E114" t="s">
        <v>8</v>
      </c>
      <c r="I114" t="s">
        <v>4621</v>
      </c>
      <c r="J114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E115" t="s">
        <v>8</v>
      </c>
      <c r="I115" t="s">
        <v>4624</v>
      </c>
      <c r="J115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E116" t="s">
        <v>8</v>
      </c>
      <c r="I116" t="s">
        <v>5178</v>
      </c>
      <c r="J116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t="s">
        <v>2004</v>
      </c>
      <c r="E117" t="s">
        <v>8</v>
      </c>
      <c r="I117" t="s">
        <v>5325</v>
      </c>
      <c r="J117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t="s">
        <v>2004</v>
      </c>
      <c r="E118" t="s">
        <v>8</v>
      </c>
      <c r="I118" t="s">
        <v>5717</v>
      </c>
      <c r="J11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t="s">
        <v>4</v>
      </c>
      <c r="E119" t="s">
        <v>9</v>
      </c>
      <c r="I119" t="s">
        <v>5720</v>
      </c>
      <c r="J119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t="s">
        <v>794</v>
      </c>
      <c r="I120" t="s">
        <v>5723</v>
      </c>
      <c r="J120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t="s">
        <v>794</v>
      </c>
      <c r="I121" t="s">
        <v>5726</v>
      </c>
      <c r="J121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t="s">
        <v>793</v>
      </c>
      <c r="E122" t="s">
        <v>531</v>
      </c>
      <c r="I122" t="s">
        <v>5729</v>
      </c>
      <c r="J122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t="s">
        <v>4</v>
      </c>
      <c r="E123" t="s">
        <v>9</v>
      </c>
      <c r="I123" t="s">
        <v>5732</v>
      </c>
      <c r="J123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t="s">
        <v>4</v>
      </c>
      <c r="E124" t="s">
        <v>9</v>
      </c>
      <c r="H124" t="s">
        <v>2936</v>
      </c>
      <c r="I124" t="s">
        <v>5735</v>
      </c>
      <c r="J124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t="s">
        <v>4</v>
      </c>
      <c r="E125" t="s">
        <v>9</v>
      </c>
      <c r="H125" t="s">
        <v>2936</v>
      </c>
      <c r="I125" t="s">
        <v>5738</v>
      </c>
      <c r="J125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t="s">
        <v>2004</v>
      </c>
      <c r="E126" t="s">
        <v>8</v>
      </c>
      <c r="I126" t="s">
        <v>5741</v>
      </c>
      <c r="J126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t="s">
        <v>2004</v>
      </c>
      <c r="E127" t="s">
        <v>8</v>
      </c>
      <c r="I127" t="s">
        <v>5876</v>
      </c>
      <c r="J127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t="s">
        <v>2004</v>
      </c>
      <c r="E128" t="s">
        <v>8</v>
      </c>
      <c r="I128" t="s">
        <v>6080</v>
      </c>
      <c r="J12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t="s">
        <v>2004</v>
      </c>
      <c r="E129" t="s">
        <v>8</v>
      </c>
      <c r="I129" t="s">
        <v>6210</v>
      </c>
      <c r="J129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t="s">
        <v>2004</v>
      </c>
      <c r="E130" t="s">
        <v>8</v>
      </c>
      <c r="I130" t="s">
        <v>6349</v>
      </c>
      <c r="J130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t="s">
        <v>2024</v>
      </c>
      <c r="E131" t="s">
        <v>796</v>
      </c>
      <c r="I131" t="s">
        <v>6569</v>
      </c>
      <c r="J131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t="s">
        <v>4</v>
      </c>
      <c r="E132" t="s">
        <v>9</v>
      </c>
      <c r="I132" t="s">
        <v>6572</v>
      </c>
      <c r="J132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t="s">
        <v>2024</v>
      </c>
      <c r="E133" t="s">
        <v>796</v>
      </c>
      <c r="I133" t="s">
        <v>6575</v>
      </c>
      <c r="J133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t="s">
        <v>2024</v>
      </c>
      <c r="E134" t="s">
        <v>796</v>
      </c>
      <c r="I134" t="s">
        <v>6578</v>
      </c>
      <c r="J134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t="s">
        <v>4</v>
      </c>
      <c r="E135" t="s">
        <v>9</v>
      </c>
      <c r="I135" t="s">
        <v>6581</v>
      </c>
      <c r="J135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t="s">
        <v>4</v>
      </c>
      <c r="E136" t="s">
        <v>9</v>
      </c>
      <c r="I136" t="s">
        <v>6718</v>
      </c>
      <c r="J136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t="s">
        <v>2004</v>
      </c>
      <c r="E137" t="s">
        <v>9</v>
      </c>
      <c r="I137" t="s">
        <v>6721</v>
      </c>
      <c r="J137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t="s">
        <v>2004</v>
      </c>
      <c r="E138" t="s">
        <v>9</v>
      </c>
      <c r="I138" t="s">
        <v>6932</v>
      </c>
      <c r="J13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t="s">
        <v>4</v>
      </c>
      <c r="E139" t="s">
        <v>9</v>
      </c>
      <c r="I139" t="s">
        <v>6935</v>
      </c>
      <c r="J139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t="s">
        <v>7166</v>
      </c>
      <c r="I140" t="s">
        <v>6938</v>
      </c>
      <c r="J140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t="s">
        <v>1091</v>
      </c>
      <c r="E141" t="s">
        <v>7167</v>
      </c>
      <c r="I141" t="s">
        <v>6941</v>
      </c>
      <c r="J141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t="s">
        <v>2004</v>
      </c>
      <c r="E142" t="s">
        <v>9</v>
      </c>
      <c r="I142" t="s">
        <v>6944</v>
      </c>
      <c r="J142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t="s">
        <v>2004</v>
      </c>
      <c r="E143" t="s">
        <v>9</v>
      </c>
      <c r="I143" t="s">
        <v>7190</v>
      </c>
      <c r="J143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t="s">
        <v>2004</v>
      </c>
      <c r="E144" t="s">
        <v>9</v>
      </c>
      <c r="I144" t="s">
        <v>7395</v>
      </c>
      <c r="J144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t="s">
        <v>2004</v>
      </c>
      <c r="E145" t="s">
        <v>9</v>
      </c>
      <c r="I145" t="s">
        <v>7398</v>
      </c>
      <c r="J145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t="s">
        <v>2004</v>
      </c>
      <c r="E146" t="s">
        <v>9</v>
      </c>
      <c r="I146" t="s">
        <v>7445</v>
      </c>
      <c r="J146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t="s">
        <v>2004</v>
      </c>
      <c r="E147" t="s">
        <v>9</v>
      </c>
      <c r="I147" t="s">
        <v>7448</v>
      </c>
      <c r="J147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t="s">
        <v>2004</v>
      </c>
      <c r="E148" t="s">
        <v>9</v>
      </c>
      <c r="I148" t="s">
        <v>7864</v>
      </c>
      <c r="J14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t="s">
        <v>2004</v>
      </c>
      <c r="E149" t="s">
        <v>9</v>
      </c>
      <c r="I149" t="s">
        <v>8022</v>
      </c>
      <c r="J149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t="s">
        <v>2004</v>
      </c>
      <c r="E150" t="s">
        <v>9</v>
      </c>
      <c r="I150" t="s">
        <v>8025</v>
      </c>
      <c r="J150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t="s">
        <v>7166</v>
      </c>
      <c r="I151" t="s">
        <v>8144</v>
      </c>
      <c r="J151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t="s">
        <v>1091</v>
      </c>
      <c r="E152" t="s">
        <v>53</v>
      </c>
      <c r="G152">
        <v>5</v>
      </c>
      <c r="I152" t="s">
        <v>8147</v>
      </c>
      <c r="J152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t="s">
        <v>4</v>
      </c>
      <c r="E153" t="s">
        <v>531</v>
      </c>
      <c r="I153" t="s">
        <v>8150</v>
      </c>
      <c r="J153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t="s">
        <v>2004</v>
      </c>
      <c r="E154" t="s">
        <v>9</v>
      </c>
      <c r="I154" t="s">
        <v>8153</v>
      </c>
      <c r="J154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t="s">
        <v>2004</v>
      </c>
      <c r="E155" t="s">
        <v>9</v>
      </c>
      <c r="I155" t="s">
        <v>8332</v>
      </c>
      <c r="J155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t="s">
        <v>2004</v>
      </c>
      <c r="E156" t="s">
        <v>9</v>
      </c>
      <c r="I156" t="s">
        <v>8156</v>
      </c>
      <c r="J156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t="s">
        <v>2004</v>
      </c>
      <c r="E157" t="s">
        <v>9</v>
      </c>
      <c r="I157" t="s">
        <v>8411</v>
      </c>
      <c r="J157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t="s">
        <v>2004</v>
      </c>
      <c r="E158" t="s">
        <v>9</v>
      </c>
      <c r="I158" t="s">
        <v>8414</v>
      </c>
      <c r="J15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t="s">
        <v>2004</v>
      </c>
      <c r="E159" t="s">
        <v>9</v>
      </c>
      <c r="I159" t="s">
        <v>8417</v>
      </c>
      <c r="J159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t="s">
        <v>2004</v>
      </c>
      <c r="E160" t="s">
        <v>9</v>
      </c>
      <c r="I160" t="s">
        <v>8598</v>
      </c>
      <c r="J160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t="s">
        <v>2004</v>
      </c>
      <c r="E161" t="s">
        <v>9</v>
      </c>
      <c r="I161" t="s">
        <v>8601</v>
      </c>
      <c r="J161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t="s">
        <v>2004</v>
      </c>
      <c r="E162" t="s">
        <v>9</v>
      </c>
      <c r="I162" t="s">
        <v>8604</v>
      </c>
      <c r="J162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t="s">
        <v>2004</v>
      </c>
      <c r="E163" t="s">
        <v>9</v>
      </c>
      <c r="I163" t="s">
        <v>8607</v>
      </c>
      <c r="J163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t="s">
        <v>2004</v>
      </c>
      <c r="E164" t="s">
        <v>9</v>
      </c>
      <c r="I164" t="s">
        <v>8610</v>
      </c>
      <c r="J164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t="s">
        <v>2004</v>
      </c>
      <c r="E165" t="s">
        <v>9</v>
      </c>
      <c r="I165" t="s">
        <v>8613</v>
      </c>
      <c r="J165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t="s">
        <v>2004</v>
      </c>
      <c r="E166" t="s">
        <v>8824</v>
      </c>
      <c r="I166" t="s">
        <v>8616</v>
      </c>
      <c r="J166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t="s">
        <v>2004</v>
      </c>
      <c r="E167" t="s">
        <v>5477</v>
      </c>
      <c r="I167" t="s">
        <v>9000</v>
      </c>
      <c r="J167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t="s">
        <v>4</v>
      </c>
      <c r="E168" t="s">
        <v>9</v>
      </c>
      <c r="I168" t="s">
        <v>9003</v>
      </c>
      <c r="J16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t="s">
        <v>793</v>
      </c>
      <c r="E169" t="s">
        <v>1607</v>
      </c>
      <c r="I169" t="s">
        <v>9006</v>
      </c>
      <c r="J169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t="s">
        <v>2024</v>
      </c>
      <c r="E170" t="s">
        <v>796</v>
      </c>
      <c r="I170" t="s">
        <v>9009</v>
      </c>
      <c r="J170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t="s">
        <v>9198</v>
      </c>
      <c r="E171" t="s">
        <v>9199</v>
      </c>
      <c r="I171" t="s">
        <v>9012</v>
      </c>
      <c r="J171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t="s">
        <v>2024</v>
      </c>
      <c r="E172" t="s">
        <v>796</v>
      </c>
      <c r="I172" t="s">
        <v>9015</v>
      </c>
      <c r="J172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t="s">
        <v>2024</v>
      </c>
      <c r="E173" t="s">
        <v>796</v>
      </c>
      <c r="H173" t="s">
        <v>2936</v>
      </c>
      <c r="I173" t="s">
        <v>9018</v>
      </c>
      <c r="J173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t="s">
        <v>4</v>
      </c>
      <c r="E174" t="s">
        <v>9</v>
      </c>
      <c r="I174" t="s">
        <v>9021</v>
      </c>
      <c r="J174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t="s">
        <v>4</v>
      </c>
      <c r="E175" t="s">
        <v>9</v>
      </c>
      <c r="I175" t="s">
        <v>9024</v>
      </c>
      <c r="J175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t="s">
        <v>4</v>
      </c>
      <c r="E176" t="s">
        <v>9</v>
      </c>
      <c r="I176" t="s">
        <v>9270</v>
      </c>
      <c r="J176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t="s">
        <v>4</v>
      </c>
      <c r="E177" t="s">
        <v>9</v>
      </c>
      <c r="H177" t="s">
        <v>2936</v>
      </c>
      <c r="I177" t="s">
        <v>9273</v>
      </c>
      <c r="J177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t="s">
        <v>9409</v>
      </c>
      <c r="E178" t="s">
        <v>1607</v>
      </c>
      <c r="I178" t="s">
        <v>9276</v>
      </c>
      <c r="J17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t="s">
        <v>9409</v>
      </c>
      <c r="E179" t="s">
        <v>1607</v>
      </c>
      <c r="H179" t="s">
        <v>2936</v>
      </c>
      <c r="I179" t="s">
        <v>9279</v>
      </c>
      <c r="J179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t="s">
        <v>9409</v>
      </c>
      <c r="E180" t="s">
        <v>1607</v>
      </c>
      <c r="H180" t="s">
        <v>2936</v>
      </c>
      <c r="I180" t="s">
        <v>9282</v>
      </c>
      <c r="J180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t="s">
        <v>2024</v>
      </c>
      <c r="E181" t="s">
        <v>796</v>
      </c>
      <c r="I181" t="s">
        <v>9285</v>
      </c>
      <c r="J181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t="s">
        <v>4</v>
      </c>
      <c r="E182" t="s">
        <v>9</v>
      </c>
      <c r="I182" t="s">
        <v>9410</v>
      </c>
      <c r="J182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t="s">
        <v>2024</v>
      </c>
      <c r="E183" t="s">
        <v>796</v>
      </c>
      <c r="I183" t="s">
        <v>9413</v>
      </c>
      <c r="J183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t="s">
        <v>2024</v>
      </c>
      <c r="E184" t="s">
        <v>796</v>
      </c>
      <c r="I184" t="s">
        <v>9416</v>
      </c>
      <c r="J184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t="s">
        <v>9409</v>
      </c>
      <c r="E185" t="s">
        <v>1607</v>
      </c>
      <c r="I185" t="s">
        <v>9419</v>
      </c>
      <c r="J185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t="s">
        <v>2024</v>
      </c>
      <c r="E186" t="s">
        <v>796</v>
      </c>
      <c r="I186" t="s">
        <v>9422</v>
      </c>
      <c r="J186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t="s">
        <v>2024</v>
      </c>
      <c r="E187" t="s">
        <v>796</v>
      </c>
      <c r="I187" t="s">
        <v>9425</v>
      </c>
      <c r="J187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t="s">
        <v>9409</v>
      </c>
      <c r="E188" t="s">
        <v>1607</v>
      </c>
      <c r="I188" t="s">
        <v>9428</v>
      </c>
      <c r="J18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t="s">
        <v>2024</v>
      </c>
      <c r="E189" t="s">
        <v>796</v>
      </c>
      <c r="I189" t="s">
        <v>9431</v>
      </c>
      <c r="J189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t="s">
        <v>2024</v>
      </c>
      <c r="E190" t="s">
        <v>796</v>
      </c>
      <c r="I190" t="s">
        <v>9434</v>
      </c>
      <c r="J190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t="s">
        <v>9455</v>
      </c>
      <c r="E191" t="s">
        <v>531</v>
      </c>
      <c r="I191" t="s">
        <v>9437</v>
      </c>
      <c r="J191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t="s">
        <v>9409</v>
      </c>
      <c r="E192" t="s">
        <v>1607</v>
      </c>
      <c r="I192" t="s">
        <v>9440</v>
      </c>
      <c r="J192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t="s">
        <v>9409</v>
      </c>
      <c r="E193" t="s">
        <v>1607</v>
      </c>
      <c r="I193" t="s">
        <v>9443</v>
      </c>
      <c r="J193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t="s">
        <v>9409</v>
      </c>
      <c r="E194" t="s">
        <v>1607</v>
      </c>
      <c r="I194" t="s">
        <v>9446</v>
      </c>
      <c r="J194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t="s">
        <v>2024</v>
      </c>
      <c r="E195" t="s">
        <v>796</v>
      </c>
      <c r="I195" t="s">
        <v>9449</v>
      </c>
      <c r="J195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t="s">
        <v>9409</v>
      </c>
      <c r="E196" t="s">
        <v>1607</v>
      </c>
      <c r="I196" t="s">
        <v>9452</v>
      </c>
      <c r="J196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t="s">
        <v>9409</v>
      </c>
      <c r="E197" t="s">
        <v>1607</v>
      </c>
      <c r="I197" t="s">
        <v>9618</v>
      </c>
      <c r="J197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t="s">
        <v>4</v>
      </c>
      <c r="E198" t="s">
        <v>9</v>
      </c>
      <c r="I198" t="s">
        <v>9621</v>
      </c>
      <c r="J19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t="s">
        <v>9409</v>
      </c>
      <c r="E199" t="s">
        <v>1607</v>
      </c>
      <c r="I199" t="s">
        <v>9624</v>
      </c>
      <c r="J199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t="s">
        <v>2024</v>
      </c>
      <c r="E200" t="s">
        <v>796</v>
      </c>
      <c r="I200" t="s">
        <v>9627</v>
      </c>
      <c r="J200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t="s">
        <v>4</v>
      </c>
      <c r="E201" t="s">
        <v>9</v>
      </c>
      <c r="I201" t="s">
        <v>9630</v>
      </c>
      <c r="J201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  <row r="202" spans="1:13" x14ac:dyDescent="0.25">
      <c r="A202" s="2" t="s">
        <v>13</v>
      </c>
      <c r="B202" s="4">
        <v>46041</v>
      </c>
      <c r="C202" s="5">
        <v>0.39363425925925927</v>
      </c>
      <c r="D202" t="s">
        <v>9409</v>
      </c>
      <c r="E202" t="s">
        <v>1607</v>
      </c>
      <c r="I202" t="s">
        <v>9741</v>
      </c>
      <c r="J202" t="s">
        <v>2992</v>
      </c>
      <c r="K202" t="s">
        <v>9742</v>
      </c>
      <c r="L202" t="s">
        <v>9743</v>
      </c>
      <c r="M202" s="3" t="str">
        <f>HYPERLINK(склад2въезд1319202122[[#This Row],[RelativePath]])</f>
        <v>8 Рейсмус\E33149364_2_20260119T092650Z.jpg</v>
      </c>
    </row>
    <row r="203" spans="1:13" x14ac:dyDescent="0.25">
      <c r="A203" s="2" t="s">
        <v>13</v>
      </c>
      <c r="B203" s="4">
        <v>46041</v>
      </c>
      <c r="C203" s="5">
        <v>0.41575231481481484</v>
      </c>
      <c r="D203" t="s">
        <v>9409</v>
      </c>
      <c r="E203" t="s">
        <v>1607</v>
      </c>
      <c r="I203" t="s">
        <v>9744</v>
      </c>
      <c r="J203" t="s">
        <v>2992</v>
      </c>
      <c r="K203" t="s">
        <v>9745</v>
      </c>
      <c r="L203" t="s">
        <v>9746</v>
      </c>
      <c r="M203" s="3" t="str">
        <f>HYPERLINK(склад2въезд1319202122[[#This Row],[RelativePath]])</f>
        <v>8 Рейсмус\E33149364_2_20260119T095841Z.jpg</v>
      </c>
    </row>
    <row r="204" spans="1:13" x14ac:dyDescent="0.25">
      <c r="A204" s="2" t="s">
        <v>13</v>
      </c>
      <c r="B204" s="4">
        <v>46041</v>
      </c>
      <c r="C204" s="5">
        <v>0.43177083333333333</v>
      </c>
      <c r="D204" t="s">
        <v>9409</v>
      </c>
      <c r="E204" t="s">
        <v>1607</v>
      </c>
      <c r="I204" t="s">
        <v>9747</v>
      </c>
      <c r="J204" t="s">
        <v>2992</v>
      </c>
      <c r="K204" t="s">
        <v>9748</v>
      </c>
      <c r="L204" t="s">
        <v>9749</v>
      </c>
      <c r="M204" s="3" t="str">
        <f>HYPERLINK(склад2въезд1319202122[[#This Row],[RelativePath]])</f>
        <v>8 Рейсмус\E33149364_2_20260119T102145Z.jpg</v>
      </c>
    </row>
    <row r="205" spans="1:13" x14ac:dyDescent="0.25">
      <c r="A205" s="2" t="s">
        <v>13</v>
      </c>
      <c r="B205" s="4">
        <v>46041</v>
      </c>
      <c r="C205" s="5">
        <v>0.48458333333333331</v>
      </c>
      <c r="D205" t="s">
        <v>2024</v>
      </c>
      <c r="E205" t="s">
        <v>796</v>
      </c>
      <c r="I205" t="s">
        <v>9750</v>
      </c>
      <c r="J205" t="s">
        <v>2992</v>
      </c>
      <c r="K205" t="s">
        <v>9751</v>
      </c>
      <c r="L205" t="s">
        <v>9752</v>
      </c>
      <c r="M205" s="3" t="str">
        <f>HYPERLINK(склад2въезд1319202122[[#This Row],[RelativePath]])</f>
        <v>8 Рейсмус\E33149364_2_20260119T113748Z.jpg</v>
      </c>
    </row>
    <row r="206" spans="1:13" x14ac:dyDescent="0.25">
      <c r="A206" s="2" t="s">
        <v>13</v>
      </c>
      <c r="B206" s="4">
        <v>46041</v>
      </c>
      <c r="C206" s="5">
        <v>0.48930555555555555</v>
      </c>
      <c r="D206" t="s">
        <v>2024</v>
      </c>
      <c r="E206" t="s">
        <v>796</v>
      </c>
      <c r="I206" t="s">
        <v>9753</v>
      </c>
      <c r="J206" t="s">
        <v>2992</v>
      </c>
      <c r="K206" t="s">
        <v>9754</v>
      </c>
      <c r="L206" t="s">
        <v>9755</v>
      </c>
      <c r="M206" s="3" t="str">
        <f>HYPERLINK(склад2въезд1319202122[[#This Row],[RelativePath]])</f>
        <v>8 Рейсмус\E33149364_2_20260119T114436Z.jpg</v>
      </c>
    </row>
    <row r="207" spans="1:13" x14ac:dyDescent="0.25">
      <c r="A207" s="2" t="s">
        <v>13</v>
      </c>
      <c r="B207" s="4">
        <v>46041</v>
      </c>
      <c r="C207" s="5">
        <v>0.52443287037037034</v>
      </c>
      <c r="D207" t="s">
        <v>2024</v>
      </c>
      <c r="E207" t="s">
        <v>796</v>
      </c>
      <c r="I207" t="s">
        <v>9756</v>
      </c>
      <c r="J207" t="s">
        <v>2992</v>
      </c>
      <c r="K207" t="s">
        <v>9757</v>
      </c>
      <c r="L207" t="s">
        <v>9758</v>
      </c>
      <c r="M207" s="3" t="str">
        <f>HYPERLINK(склад2въезд1319202122[[#This Row],[RelativePath]])</f>
        <v>8 Рейсмус\E33149364_2_20260119T123511Z.jpg</v>
      </c>
    </row>
    <row r="208" spans="1:13" x14ac:dyDescent="0.25">
      <c r="A208" s="2" t="s">
        <v>14</v>
      </c>
      <c r="B208" s="4">
        <v>46042</v>
      </c>
      <c r="C208" s="5">
        <v>0.42226851851851854</v>
      </c>
      <c r="D208" t="s">
        <v>9409</v>
      </c>
      <c r="E208" t="s">
        <v>1607</v>
      </c>
      <c r="I208" t="s">
        <v>9759</v>
      </c>
      <c r="J208" t="s">
        <v>2992</v>
      </c>
      <c r="K208" t="s">
        <v>9760</v>
      </c>
      <c r="L208" t="s">
        <v>9761</v>
      </c>
      <c r="M208" s="3" t="str">
        <f>HYPERLINK(склад2въезд1319202122[[#This Row],[RelativePath]])</f>
        <v>8 Рейсмус\E33149364_2_20260120T100804Z.jpg</v>
      </c>
    </row>
    <row r="209" spans="1:13" x14ac:dyDescent="0.25">
      <c r="A209" s="2" t="s">
        <v>14</v>
      </c>
      <c r="B209" s="4">
        <v>46042</v>
      </c>
      <c r="C209" s="5">
        <v>0.49842592592592594</v>
      </c>
      <c r="D209" t="s">
        <v>4</v>
      </c>
      <c r="E209" t="s">
        <v>9</v>
      </c>
      <c r="I209" t="s">
        <v>9762</v>
      </c>
      <c r="J209" t="s">
        <v>2992</v>
      </c>
      <c r="K209" t="s">
        <v>9763</v>
      </c>
      <c r="L209" t="s">
        <v>9764</v>
      </c>
      <c r="M209" s="3" t="str">
        <f>HYPERLINK(склад2въезд1319202122[[#This Row],[RelativePath]])</f>
        <v>8 Рейсмус\E33149364_2_20260120T115744Z.jpg</v>
      </c>
    </row>
    <row r="210" spans="1:13" x14ac:dyDescent="0.25">
      <c r="A210" s="2" t="s">
        <v>14</v>
      </c>
      <c r="B210" s="4">
        <v>46042</v>
      </c>
      <c r="C210" s="5">
        <v>0.5012268518518519</v>
      </c>
      <c r="D210" t="s">
        <v>9409</v>
      </c>
      <c r="E210" t="s">
        <v>1607</v>
      </c>
      <c r="I210" t="s">
        <v>9765</v>
      </c>
      <c r="J210" t="s">
        <v>2992</v>
      </c>
      <c r="K210" t="s">
        <v>9766</v>
      </c>
      <c r="L210" t="s">
        <v>9767</v>
      </c>
      <c r="M210" s="3" t="str">
        <f>HYPERLINK(склад2въезд1319202122[[#This Row],[RelativePath]])</f>
        <v>8 Рейсмус\E33149364_2_20260120T120146Z.jpg</v>
      </c>
    </row>
    <row r="211" spans="1:13" x14ac:dyDescent="0.25">
      <c r="A211" s="2" t="s">
        <v>14</v>
      </c>
      <c r="B211" s="4">
        <v>46042</v>
      </c>
      <c r="C211" s="5">
        <v>0.50423611111111111</v>
      </c>
      <c r="D211" t="s">
        <v>2024</v>
      </c>
      <c r="E211" t="s">
        <v>796</v>
      </c>
      <c r="I211" t="s">
        <v>9768</v>
      </c>
      <c r="J211" t="s">
        <v>2992</v>
      </c>
      <c r="K211" t="s">
        <v>9769</v>
      </c>
      <c r="L211" t="s">
        <v>9770</v>
      </c>
      <c r="M211" s="3" t="str">
        <f>HYPERLINK(склад2въезд1319202122[[#This Row],[RelativePath]])</f>
        <v>8 Рейсмус\E33149364_2_20260120T120606Z.jpg</v>
      </c>
    </row>
    <row r="212" spans="1:13" x14ac:dyDescent="0.25">
      <c r="A212" s="2" t="s">
        <v>14</v>
      </c>
      <c r="B212" s="4">
        <v>46042</v>
      </c>
      <c r="C212" s="5">
        <v>0.61972222222222217</v>
      </c>
      <c r="D212" t="s">
        <v>9409</v>
      </c>
      <c r="E212" t="s">
        <v>1607</v>
      </c>
      <c r="I212" t="s">
        <v>9771</v>
      </c>
      <c r="J212" t="s">
        <v>2992</v>
      </c>
      <c r="K212" t="s">
        <v>9772</v>
      </c>
      <c r="L212" t="s">
        <v>9773</v>
      </c>
      <c r="M212" s="3" t="str">
        <f>HYPERLINK(склад2въезд1319202122[[#This Row],[RelativePath]])</f>
        <v>8 Рейсмус\E33149364_2_20260120T145224Z.jpg</v>
      </c>
    </row>
    <row r="213" spans="1:13" x14ac:dyDescent="0.25">
      <c r="A213" s="2" t="s">
        <v>14</v>
      </c>
      <c r="B213" s="4">
        <v>46042</v>
      </c>
      <c r="C213" s="5">
        <v>0.62640046296296292</v>
      </c>
      <c r="D213" t="s">
        <v>9409</v>
      </c>
      <c r="E213" t="s">
        <v>1607</v>
      </c>
      <c r="I213" t="s">
        <v>9774</v>
      </c>
      <c r="J213" t="s">
        <v>2992</v>
      </c>
      <c r="K213" t="s">
        <v>9775</v>
      </c>
      <c r="L213" t="s">
        <v>9776</v>
      </c>
      <c r="M213" s="3" t="str">
        <f>HYPERLINK(склад2въезд1319202122[[#This Row],[RelativePath]])</f>
        <v>8 Рейсмус\E33149364_2_20260120T150201Z.jpg</v>
      </c>
    </row>
    <row r="214" spans="1:13" x14ac:dyDescent="0.25">
      <c r="A214" s="2" t="s">
        <v>14</v>
      </c>
      <c r="B214" s="4">
        <v>46042</v>
      </c>
      <c r="C214" s="5">
        <v>0.64103009259259258</v>
      </c>
      <c r="D214" t="s">
        <v>9409</v>
      </c>
      <c r="E214" t="s">
        <v>1607</v>
      </c>
      <c r="I214" t="s">
        <v>9777</v>
      </c>
      <c r="J214" t="s">
        <v>2992</v>
      </c>
      <c r="K214" t="s">
        <v>9778</v>
      </c>
      <c r="L214" t="s">
        <v>9779</v>
      </c>
      <c r="M214" s="3" t="str">
        <f>HYPERLINK(склад2въезд1319202122[[#This Row],[RelativePath]])</f>
        <v>8 Рейсмус\E33149364_2_20260120T152305Z.jpg</v>
      </c>
    </row>
    <row r="215" spans="1:13" x14ac:dyDescent="0.25">
      <c r="A215" s="2" t="s">
        <v>14</v>
      </c>
      <c r="B215" s="4">
        <v>46042</v>
      </c>
      <c r="C215" s="5">
        <v>0.64179398148148148</v>
      </c>
      <c r="D215" t="s">
        <v>9455</v>
      </c>
      <c r="E215" t="s">
        <v>531</v>
      </c>
      <c r="I215" t="s">
        <v>9780</v>
      </c>
      <c r="J215" t="s">
        <v>2992</v>
      </c>
      <c r="K215" t="s">
        <v>9781</v>
      </c>
      <c r="L215" t="s">
        <v>9782</v>
      </c>
      <c r="M215" s="3" t="str">
        <f>HYPERLINK(склад2въезд1319202122[[#This Row],[RelativePath]])</f>
        <v>8 Рейсмус\E33149364_2_20260120T152411Z.jpg</v>
      </c>
    </row>
    <row r="216" spans="1:13" x14ac:dyDescent="0.25">
      <c r="A216" s="2" t="s">
        <v>14</v>
      </c>
      <c r="B216" s="4">
        <v>46042</v>
      </c>
      <c r="C216" s="5">
        <v>0.68402777777777779</v>
      </c>
      <c r="D216" t="s">
        <v>9409</v>
      </c>
      <c r="E216" t="s">
        <v>1607</v>
      </c>
      <c r="I216" t="s">
        <v>9783</v>
      </c>
      <c r="J216" t="s">
        <v>2992</v>
      </c>
      <c r="K216" t="s">
        <v>9784</v>
      </c>
      <c r="L216" t="s">
        <v>9785</v>
      </c>
      <c r="M216" s="3" t="str">
        <f>HYPERLINK(склад2въезд1319202122[[#This Row],[RelativePath]])</f>
        <v>8 Рейсмус\E33149364_2_20260120T162500Z.jpg</v>
      </c>
    </row>
    <row r="217" spans="1:13" x14ac:dyDescent="0.25">
      <c r="A217" s="2" t="s">
        <v>14</v>
      </c>
      <c r="B217" s="4">
        <v>46042</v>
      </c>
      <c r="C217" s="5">
        <v>0.68424768518518519</v>
      </c>
      <c r="D217" t="s">
        <v>9409</v>
      </c>
      <c r="E217" t="s">
        <v>1607</v>
      </c>
      <c r="I217" t="s">
        <v>9786</v>
      </c>
      <c r="J217" t="s">
        <v>2992</v>
      </c>
      <c r="K217" t="s">
        <v>9787</v>
      </c>
      <c r="L217" t="s">
        <v>9788</v>
      </c>
      <c r="M217" s="3" t="str">
        <f>HYPERLINK(склад2въезд1319202122[[#This Row],[RelativePath]])</f>
        <v>8 Рейсмус\E33149364_2_20260120T162519Z.jpg</v>
      </c>
    </row>
    <row r="218" spans="1:13" x14ac:dyDescent="0.25">
      <c r="A218" s="2" t="s">
        <v>14</v>
      </c>
      <c r="B218" s="4">
        <v>46042</v>
      </c>
      <c r="C218" s="5">
        <v>0.85829861111111116</v>
      </c>
      <c r="D218" t="s">
        <v>2024</v>
      </c>
      <c r="E218" t="s">
        <v>796</v>
      </c>
      <c r="I218" t="s">
        <v>9789</v>
      </c>
      <c r="J218" t="s">
        <v>2992</v>
      </c>
      <c r="K218" t="s">
        <v>9790</v>
      </c>
      <c r="L218" t="s">
        <v>9791</v>
      </c>
      <c r="M218" s="3" t="str">
        <f>HYPERLINK(склад2въезд1319202122[[#This Row],[RelativePath]])</f>
        <v>8 Рейсмус\E33149364_2_20260120T203557Z.jpg</v>
      </c>
    </row>
    <row r="219" spans="1:13" x14ac:dyDescent="0.25">
      <c r="A219" s="2" t="s">
        <v>14</v>
      </c>
      <c r="B219" s="4">
        <v>46042</v>
      </c>
      <c r="C219" s="5">
        <v>0.8825925925925926</v>
      </c>
      <c r="D219" t="s">
        <v>2024</v>
      </c>
      <c r="E219" t="s">
        <v>796</v>
      </c>
      <c r="I219" t="s">
        <v>9792</v>
      </c>
      <c r="J219" t="s">
        <v>2992</v>
      </c>
      <c r="K219" t="s">
        <v>9793</v>
      </c>
      <c r="L219" t="s">
        <v>9794</v>
      </c>
      <c r="M219" s="3" t="str">
        <f>HYPERLINK(склад2въезд1319202122[[#This Row],[RelativePath]])</f>
        <v>8 Рейсмус\E33149364_2_20260120T211056Z.jpg</v>
      </c>
    </row>
    <row r="220" spans="1:13" x14ac:dyDescent="0.25">
      <c r="A220" s="2" t="s">
        <v>15</v>
      </c>
      <c r="B220" s="4">
        <v>46043</v>
      </c>
      <c r="C220" s="5">
        <v>0.41660879629629627</v>
      </c>
      <c r="D220" t="s">
        <v>2024</v>
      </c>
      <c r="E220" t="s">
        <v>796</v>
      </c>
      <c r="I220" t="s">
        <v>9978</v>
      </c>
      <c r="J220" t="s">
        <v>2992</v>
      </c>
      <c r="K220" t="s">
        <v>9979</v>
      </c>
      <c r="L220" t="s">
        <v>9980</v>
      </c>
      <c r="M220" s="3" t="str">
        <f>HYPERLINK(склад2въезд1319202122[[#This Row],[RelativePath]])</f>
        <v>8 Рейсмус\E33149364_2_20260121T095955Z.jpg</v>
      </c>
    </row>
    <row r="221" spans="1:13" x14ac:dyDescent="0.25">
      <c r="A221" s="2" t="s">
        <v>15</v>
      </c>
      <c r="B221" s="4">
        <v>46043</v>
      </c>
      <c r="C221" s="5">
        <v>0.51423611111111112</v>
      </c>
      <c r="D221" t="s">
        <v>2024</v>
      </c>
      <c r="E221" t="s">
        <v>796</v>
      </c>
      <c r="I221" t="s">
        <v>9981</v>
      </c>
      <c r="J221" t="s">
        <v>2992</v>
      </c>
      <c r="K221" t="s">
        <v>9982</v>
      </c>
      <c r="L221" t="s">
        <v>9983</v>
      </c>
      <c r="M221" s="3" t="str">
        <f>HYPERLINK(склад2въезд1319202122[[#This Row],[RelativePath]])</f>
        <v>8 Рейсмус\E33149364_2_20260121T122030Z.jpg</v>
      </c>
    </row>
    <row r="222" spans="1:13" x14ac:dyDescent="0.25">
      <c r="A222" s="2" t="s">
        <v>15</v>
      </c>
      <c r="B222" s="4">
        <v>46043</v>
      </c>
      <c r="C222" s="5">
        <v>0.59491898148148148</v>
      </c>
      <c r="D222" t="s">
        <v>2024</v>
      </c>
      <c r="E222" t="s">
        <v>796</v>
      </c>
      <c r="I222" t="s">
        <v>9984</v>
      </c>
      <c r="J222" t="s">
        <v>2992</v>
      </c>
      <c r="K222" t="s">
        <v>9985</v>
      </c>
      <c r="L222" t="s">
        <v>9986</v>
      </c>
      <c r="M222" s="3" t="str">
        <f>HYPERLINK(склад2въезд1319202122[[#This Row],[RelativePath]])</f>
        <v>8 Рейсмус\E33149364_2_20260121T141641Z.jpg</v>
      </c>
    </row>
    <row r="223" spans="1:13" x14ac:dyDescent="0.25">
      <c r="A223" s="2" t="s">
        <v>15</v>
      </c>
      <c r="B223" s="4">
        <v>46043</v>
      </c>
      <c r="C223" s="5">
        <v>0.65162037037037035</v>
      </c>
      <c r="D223" t="s">
        <v>9409</v>
      </c>
      <c r="E223" t="s">
        <v>1607</v>
      </c>
      <c r="I223" t="s">
        <v>9987</v>
      </c>
      <c r="J223" t="s">
        <v>2992</v>
      </c>
      <c r="K223" t="s">
        <v>9988</v>
      </c>
      <c r="L223" t="s">
        <v>9989</v>
      </c>
      <c r="M223" s="3" t="str">
        <f>HYPERLINK(склад2въезд1319202122[[#This Row],[RelativePath]])</f>
        <v>8 Рейсмус\E33149364_2_20260121T153820Z.jpg</v>
      </c>
    </row>
    <row r="224" spans="1:13" x14ac:dyDescent="0.25">
      <c r="A224" s="2" t="s">
        <v>15</v>
      </c>
      <c r="B224" s="4">
        <v>46043</v>
      </c>
      <c r="C224" s="5">
        <v>0.70797453703703705</v>
      </c>
      <c r="D224" t="s">
        <v>9409</v>
      </c>
      <c r="E224" t="s">
        <v>1607</v>
      </c>
      <c r="I224" t="s">
        <v>9990</v>
      </c>
      <c r="J224" t="s">
        <v>2992</v>
      </c>
      <c r="K224" t="s">
        <v>9991</v>
      </c>
      <c r="L224" t="s">
        <v>9992</v>
      </c>
      <c r="M224" s="3" t="str">
        <f>HYPERLINK(склад2въезд1319202122[[#This Row],[RelativePath]])</f>
        <v>8 Рейсмус\E33149364_2_20260121T165929Z.jpg</v>
      </c>
    </row>
    <row r="225" spans="1:13" x14ac:dyDescent="0.25">
      <c r="A225" s="2" t="s">
        <v>15</v>
      </c>
      <c r="B225" s="4">
        <v>46043</v>
      </c>
      <c r="C225" s="5">
        <v>0.86859953703703707</v>
      </c>
      <c r="D225" t="s">
        <v>9409</v>
      </c>
      <c r="E225" t="s">
        <v>1607</v>
      </c>
      <c r="I225" t="s">
        <v>9993</v>
      </c>
      <c r="J225" t="s">
        <v>2992</v>
      </c>
      <c r="K225" t="s">
        <v>9994</v>
      </c>
      <c r="L225" t="s">
        <v>9995</v>
      </c>
      <c r="M225" s="3" t="str">
        <f>HYPERLINK(склад2въезд1319202122[[#This Row],[RelativePath]])</f>
        <v>8 Рейсмус\E33149364_2_20260121T205047Z.jpg</v>
      </c>
    </row>
    <row r="226" spans="1:13" x14ac:dyDescent="0.25">
      <c r="A226" s="2" t="s">
        <v>16</v>
      </c>
      <c r="B226" s="4">
        <v>46044</v>
      </c>
      <c r="C226" s="5">
        <v>0.39048611111111109</v>
      </c>
      <c r="D226" t="s">
        <v>9409</v>
      </c>
      <c r="E226" t="s">
        <v>1607</v>
      </c>
      <c r="I226" t="s">
        <v>9996</v>
      </c>
      <c r="J226" t="s">
        <v>2992</v>
      </c>
      <c r="K226" t="s">
        <v>9997</v>
      </c>
      <c r="L226" t="s">
        <v>9998</v>
      </c>
      <c r="M226" s="3" t="str">
        <f>HYPERLINK(склад2въезд1319202122[[#This Row],[RelativePath]])</f>
        <v>8 Рейсмус\E33149364_2_20260122T092218Z.jpg</v>
      </c>
    </row>
    <row r="227" spans="1:13" x14ac:dyDescent="0.25">
      <c r="A227" s="2" t="s">
        <v>16</v>
      </c>
      <c r="B227" s="4">
        <v>46044</v>
      </c>
      <c r="C227" s="5">
        <v>0.41710648148148149</v>
      </c>
      <c r="D227" t="s">
        <v>9409</v>
      </c>
      <c r="E227" t="s">
        <v>1607</v>
      </c>
      <c r="I227" t="s">
        <v>9999</v>
      </c>
      <c r="J227" t="s">
        <v>2992</v>
      </c>
      <c r="K227" t="s">
        <v>10000</v>
      </c>
      <c r="L227" t="s">
        <v>10001</v>
      </c>
      <c r="M227" s="3" t="str">
        <f>HYPERLINK(склад2въезд1319202122[[#This Row],[RelativePath]])</f>
        <v>8 Рейсмус\E33149364_2_20260122T100038Z.jpg</v>
      </c>
    </row>
    <row r="228" spans="1:13" x14ac:dyDescent="0.25">
      <c r="A228" s="2" t="s">
        <v>16</v>
      </c>
      <c r="B228" s="4">
        <v>46044</v>
      </c>
      <c r="C228" s="5">
        <v>0.43164351851851851</v>
      </c>
      <c r="D228" t="s">
        <v>9409</v>
      </c>
      <c r="E228" t="s">
        <v>1607</v>
      </c>
      <c r="I228" t="s">
        <v>10002</v>
      </c>
      <c r="J228" t="s">
        <v>2992</v>
      </c>
      <c r="K228" t="s">
        <v>10003</v>
      </c>
      <c r="L228" t="s">
        <v>10004</v>
      </c>
      <c r="M228" s="3" t="str">
        <f>HYPERLINK(склад2въезд1319202122[[#This Row],[RelativePath]])</f>
        <v>8 Рейсмус\E33149364_2_20260122T102134Z.jpg</v>
      </c>
    </row>
    <row r="229" spans="1:13" x14ac:dyDescent="0.25">
      <c r="A229" s="2" t="s">
        <v>16</v>
      </c>
      <c r="B229" s="4">
        <v>46044</v>
      </c>
      <c r="C229" s="5">
        <v>0.48932870370370368</v>
      </c>
      <c r="D229" t="s">
        <v>2024</v>
      </c>
      <c r="E229" t="s">
        <v>796</v>
      </c>
      <c r="I229" t="s">
        <v>10005</v>
      </c>
      <c r="J229" t="s">
        <v>2992</v>
      </c>
      <c r="K229" t="s">
        <v>10006</v>
      </c>
      <c r="L229" t="s">
        <v>10007</v>
      </c>
      <c r="M229" s="3" t="str">
        <f>HYPERLINK(склад2въезд1319202122[[#This Row],[RelativePath]])</f>
        <v>8 Рейсмус\E33149364_2_20260122T114438Z.jpg</v>
      </c>
    </row>
    <row r="230" spans="1:13" x14ac:dyDescent="0.25">
      <c r="A230" s="2" t="s">
        <v>16</v>
      </c>
      <c r="B230" s="4">
        <v>46044</v>
      </c>
      <c r="C230" s="5">
        <v>0.59359953703703705</v>
      </c>
      <c r="D230" t="s">
        <v>9455</v>
      </c>
      <c r="E230" t="s">
        <v>531</v>
      </c>
      <c r="I230" t="s">
        <v>10008</v>
      </c>
      <c r="J230" t="s">
        <v>2992</v>
      </c>
      <c r="K230" t="s">
        <v>10009</v>
      </c>
      <c r="L230" t="s">
        <v>10010</v>
      </c>
      <c r="M230" s="3" t="str">
        <f>HYPERLINK(склад2въезд1319202122[[#This Row],[RelativePath]])</f>
        <v>8 Рейсмус\E33149364_2_20260122T141447Z.jpg</v>
      </c>
    </row>
    <row r="231" spans="1:13" x14ac:dyDescent="0.25">
      <c r="A231" s="2" t="s">
        <v>16</v>
      </c>
      <c r="B231" s="4">
        <v>46044</v>
      </c>
      <c r="C231" s="5">
        <v>0.68226851851851855</v>
      </c>
      <c r="D231" t="s">
        <v>4</v>
      </c>
      <c r="E231" t="s">
        <v>9</v>
      </c>
      <c r="I231" t="s">
        <v>10011</v>
      </c>
      <c r="J231" t="s">
        <v>2992</v>
      </c>
      <c r="K231" t="s">
        <v>10012</v>
      </c>
      <c r="L231" t="s">
        <v>10013</v>
      </c>
      <c r="M231" s="3" t="str">
        <f>HYPERLINK(склад2въезд1319202122[[#This Row],[RelativePath]])</f>
        <v>8 Рейсмус\E33149364_2_20260122T162228Z.jpg</v>
      </c>
    </row>
    <row r="232" spans="1:13" x14ac:dyDescent="0.25">
      <c r="A232" s="2" t="s">
        <v>16</v>
      </c>
      <c r="B232" s="4">
        <v>46044</v>
      </c>
      <c r="C232" s="5">
        <v>0.68927083333333339</v>
      </c>
      <c r="D232" t="s">
        <v>2024</v>
      </c>
      <c r="E232" t="s">
        <v>796</v>
      </c>
      <c r="I232" t="s">
        <v>10014</v>
      </c>
      <c r="J232" t="s">
        <v>2992</v>
      </c>
      <c r="K232" t="s">
        <v>10015</v>
      </c>
      <c r="L232" t="s">
        <v>10016</v>
      </c>
      <c r="M232" s="3" t="str">
        <f>HYPERLINK(склад2въезд1319202122[[#This Row],[RelativePath]])</f>
        <v>8 Рейсмус\E33149364_2_20260122T163233Z.jpg</v>
      </c>
    </row>
    <row r="233" spans="1:13" x14ac:dyDescent="0.25">
      <c r="A233" s="2" t="s">
        <v>17</v>
      </c>
      <c r="B233" s="4">
        <v>46045</v>
      </c>
      <c r="C233" s="5">
        <v>0.40087962962962964</v>
      </c>
      <c r="D233" t="s">
        <v>9409</v>
      </c>
      <c r="E233" t="s">
        <v>1607</v>
      </c>
      <c r="I233" t="s">
        <v>10353</v>
      </c>
      <c r="J233" t="s">
        <v>2992</v>
      </c>
      <c r="K233" t="s">
        <v>10354</v>
      </c>
      <c r="L233" t="s">
        <v>10355</v>
      </c>
      <c r="M233" s="3" t="str">
        <f>HYPERLINK(склад2въезд1319202122[[#This Row],[RelativePath]])</f>
        <v>8 Рейсмус\E33149364_2_20260123T093716Z.jpg</v>
      </c>
    </row>
    <row r="234" spans="1:13" x14ac:dyDescent="0.25">
      <c r="A234" s="2" t="s">
        <v>17</v>
      </c>
      <c r="B234" s="4">
        <v>46045</v>
      </c>
      <c r="C234" s="5">
        <v>0.48358796296296297</v>
      </c>
      <c r="D234" t="s">
        <v>9409</v>
      </c>
      <c r="E234" t="s">
        <v>1607</v>
      </c>
      <c r="I234" t="s">
        <v>10356</v>
      </c>
      <c r="J234" t="s">
        <v>2992</v>
      </c>
      <c r="K234" t="s">
        <v>10357</v>
      </c>
      <c r="L234" t="s">
        <v>10358</v>
      </c>
      <c r="M234" s="3" t="str">
        <f>HYPERLINK(склад2въезд1319202122[[#This Row],[RelativePath]])</f>
        <v>8 Рейсмус\E33149364_2_20260123T113622Z.jpg</v>
      </c>
    </row>
    <row r="235" spans="1:13" x14ac:dyDescent="0.25">
      <c r="A235" s="2" t="s">
        <v>17</v>
      </c>
      <c r="B235" s="4">
        <v>46045</v>
      </c>
      <c r="C235" s="5">
        <v>0.60998842592592595</v>
      </c>
      <c r="D235" t="s">
        <v>4</v>
      </c>
      <c r="E235" t="s">
        <v>9</v>
      </c>
      <c r="I235" t="s">
        <v>10359</v>
      </c>
      <c r="J235" t="s">
        <v>2992</v>
      </c>
      <c r="K235" t="s">
        <v>10360</v>
      </c>
      <c r="L235" t="s">
        <v>10361</v>
      </c>
      <c r="M235" s="3" t="str">
        <f>HYPERLINK(склад2въезд1319202122[[#This Row],[RelativePath]])</f>
        <v>8 Рейсмус\E33149364_2_20260123T143823Z.jpg</v>
      </c>
    </row>
    <row r="236" spans="1:13" x14ac:dyDescent="0.25">
      <c r="A236" s="2" t="s">
        <v>17</v>
      </c>
      <c r="B236" s="4">
        <v>46045</v>
      </c>
      <c r="C236" s="5">
        <v>0.67019675925925926</v>
      </c>
      <c r="D236" t="s">
        <v>9409</v>
      </c>
      <c r="E236" t="s">
        <v>1607</v>
      </c>
      <c r="I236" t="s">
        <v>10362</v>
      </c>
      <c r="J236" t="s">
        <v>2992</v>
      </c>
      <c r="K236" t="s">
        <v>10363</v>
      </c>
      <c r="L236" t="s">
        <v>10364</v>
      </c>
      <c r="M236" s="3" t="str">
        <f>HYPERLINK(склад2въезд1319202122[[#This Row],[RelativePath]])</f>
        <v>8 Рейсмус\E33149364_2_20260123T160505Z.jpg</v>
      </c>
    </row>
    <row r="237" spans="1:13" x14ac:dyDescent="0.25">
      <c r="A237" s="2" t="s">
        <v>17</v>
      </c>
      <c r="B237" s="4">
        <v>46045</v>
      </c>
      <c r="C237" s="5">
        <v>0.86416666666666664</v>
      </c>
      <c r="D237" t="s">
        <v>9409</v>
      </c>
      <c r="E237" t="s">
        <v>1607</v>
      </c>
      <c r="I237" t="s">
        <v>10365</v>
      </c>
      <c r="J237" t="s">
        <v>2992</v>
      </c>
      <c r="K237" t="s">
        <v>10366</v>
      </c>
      <c r="L237" t="s">
        <v>10367</v>
      </c>
      <c r="M237" s="3" t="str">
        <f>HYPERLINK(склад2въезд1319202122[[#This Row],[RelativePath]])</f>
        <v>8 Рейсмус\E33149364_2_20260123T204424Z.jpg</v>
      </c>
    </row>
    <row r="238" spans="1:13" x14ac:dyDescent="0.25">
      <c r="A238" s="2" t="s">
        <v>17</v>
      </c>
      <c r="B238" s="4">
        <v>46045</v>
      </c>
      <c r="C238" s="5">
        <v>0.88143518518518515</v>
      </c>
      <c r="D238" t="s">
        <v>4</v>
      </c>
      <c r="E238" t="s">
        <v>9</v>
      </c>
      <c r="I238" t="s">
        <v>10368</v>
      </c>
      <c r="J238" t="s">
        <v>2992</v>
      </c>
      <c r="K238" t="s">
        <v>10369</v>
      </c>
      <c r="L238" t="s">
        <v>10370</v>
      </c>
      <c r="M238" s="3" t="str">
        <f>HYPERLINK(склад2въезд1319202122[[#This Row],[RelativePath]])</f>
        <v>8 Рейсмус\E33149364_2_20260123T210916Z.jpg</v>
      </c>
    </row>
    <row r="239" spans="1:13" x14ac:dyDescent="0.25">
      <c r="A239" s="2" t="s">
        <v>18</v>
      </c>
      <c r="B239" s="4">
        <v>46046</v>
      </c>
      <c r="C239" s="5">
        <v>0.47820601851851852</v>
      </c>
      <c r="D239" t="s">
        <v>9409</v>
      </c>
      <c r="E239" t="s">
        <v>1607</v>
      </c>
      <c r="I239" t="s">
        <v>10458</v>
      </c>
      <c r="J239" t="s">
        <v>2992</v>
      </c>
      <c r="K239" t="s">
        <v>10459</v>
      </c>
      <c r="L239" t="s">
        <v>10460</v>
      </c>
      <c r="M239" s="3" t="str">
        <f>HYPERLINK(склад2въезд1319202122[[#This Row],[RelativePath]])</f>
        <v>8 Рейсмус\E33149364_2_20260124T112837Z.jpg</v>
      </c>
    </row>
    <row r="240" spans="1:13" x14ac:dyDescent="0.25">
      <c r="A240" s="2" t="s">
        <v>22</v>
      </c>
      <c r="B240" s="4">
        <v>46047</v>
      </c>
      <c r="C240" s="5">
        <v>0.68988425925925922</v>
      </c>
      <c r="D240" t="s">
        <v>9409</v>
      </c>
      <c r="E240" t="s">
        <v>1607</v>
      </c>
      <c r="I240" t="s">
        <v>10461</v>
      </c>
      <c r="J240" t="s">
        <v>2992</v>
      </c>
      <c r="K240" t="s">
        <v>10462</v>
      </c>
      <c r="L240" t="s">
        <v>10463</v>
      </c>
      <c r="M240" s="3" t="str">
        <f>HYPERLINK(склад2въезд1319202122[[#This Row],[RelativePath]])</f>
        <v>8 Рейсмус\E33149364_2_20260125T163326Z.jpg</v>
      </c>
    </row>
    <row r="241" spans="1:13" x14ac:dyDescent="0.25">
      <c r="A241" s="2" t="s">
        <v>22</v>
      </c>
      <c r="B241" s="4">
        <v>46047</v>
      </c>
      <c r="C241" s="5">
        <v>0.79008101851851853</v>
      </c>
      <c r="D241" t="s">
        <v>4</v>
      </c>
      <c r="E241" t="s">
        <v>9</v>
      </c>
      <c r="I241" t="s">
        <v>10464</v>
      </c>
      <c r="J241" t="s">
        <v>2992</v>
      </c>
      <c r="K241" t="s">
        <v>10465</v>
      </c>
      <c r="L241" t="s">
        <v>10466</v>
      </c>
      <c r="M241" s="3" t="str">
        <f>HYPERLINK(склад2въезд1319202122[[#This Row],[RelativePath]])</f>
        <v>8 Рейсмус\E33149364_2_20260125T185743Z.jpg</v>
      </c>
    </row>
    <row r="242" spans="1:13" x14ac:dyDescent="0.25">
      <c r="A242" s="2" t="s">
        <v>13</v>
      </c>
      <c r="B242" s="4">
        <v>46048</v>
      </c>
      <c r="C242" s="5">
        <v>0.44032407407407409</v>
      </c>
      <c r="D242" t="s">
        <v>9409</v>
      </c>
      <c r="E242" t="s">
        <v>1607</v>
      </c>
      <c r="I242" t="s">
        <v>10564</v>
      </c>
      <c r="J242" t="s">
        <v>2992</v>
      </c>
      <c r="K242" t="s">
        <v>10565</v>
      </c>
      <c r="L242" t="s">
        <v>10566</v>
      </c>
      <c r="M242" s="3" t="str">
        <f>HYPERLINK(склад2въезд1319202122[[#This Row],[RelativePath]])</f>
        <v>8 Рейсмус\E33149364_2_20260126T103404Z.jpg</v>
      </c>
    </row>
    <row r="243" spans="1:13" x14ac:dyDescent="0.25">
      <c r="A243" s="2" t="s">
        <v>13</v>
      </c>
      <c r="B243" s="4">
        <v>46048</v>
      </c>
      <c r="C243" s="5">
        <v>0.61940972222222224</v>
      </c>
      <c r="D243" t="s">
        <v>9409</v>
      </c>
      <c r="E243" t="s">
        <v>1607</v>
      </c>
      <c r="H243" t="s">
        <v>2936</v>
      </c>
      <c r="I243" t="s">
        <v>10567</v>
      </c>
      <c r="J243" t="s">
        <v>2992</v>
      </c>
      <c r="K243" t="s">
        <v>10568</v>
      </c>
      <c r="L243" t="s">
        <v>10569</v>
      </c>
      <c r="M243" s="3" t="str">
        <f>HYPERLINK(склад2въезд1319202122[[#This Row],[RelativePath]])</f>
        <v>8 Рейсмус\E33149364_2_20260126T145157Z.jpg</v>
      </c>
    </row>
    <row r="244" spans="1:13" x14ac:dyDescent="0.25">
      <c r="A244" s="2" t="s">
        <v>13</v>
      </c>
      <c r="B244" s="4">
        <v>46048</v>
      </c>
      <c r="C244" s="5">
        <v>0.69887731481481485</v>
      </c>
      <c r="D244" t="s">
        <v>9409</v>
      </c>
      <c r="E244" t="s">
        <v>1607</v>
      </c>
      <c r="H244" t="s">
        <v>2936</v>
      </c>
      <c r="I244" t="s">
        <v>10570</v>
      </c>
      <c r="J244" t="s">
        <v>2992</v>
      </c>
      <c r="K244" t="s">
        <v>10571</v>
      </c>
      <c r="L244" t="s">
        <v>10572</v>
      </c>
      <c r="M244" s="3" t="str">
        <f>HYPERLINK(склад2въезд1319202122[[#This Row],[RelativePath]])</f>
        <v>8 Рейсмус\E33149364_2_20260126T164623Z.jpg</v>
      </c>
    </row>
    <row r="245" spans="1:13" x14ac:dyDescent="0.25">
      <c r="A245" s="2" t="s">
        <v>13</v>
      </c>
      <c r="B245" s="4">
        <v>46048</v>
      </c>
      <c r="C245" s="5">
        <v>0.7534143518518519</v>
      </c>
      <c r="D245" t="s">
        <v>9409</v>
      </c>
      <c r="E245" t="s">
        <v>1607</v>
      </c>
      <c r="H245" t="s">
        <v>2936</v>
      </c>
      <c r="I245" t="s">
        <v>10573</v>
      </c>
      <c r="J245" t="s">
        <v>2992</v>
      </c>
      <c r="K245" t="s">
        <v>10574</v>
      </c>
      <c r="L245" t="s">
        <v>10575</v>
      </c>
      <c r="M245" s="3" t="str">
        <f>HYPERLINK(склад2въезд1319202122[[#This Row],[RelativePath]])</f>
        <v>8 Рейсмус\E33149364_2_20260126T180455Z.jpg</v>
      </c>
    </row>
    <row r="246" spans="1:13" x14ac:dyDescent="0.25">
      <c r="A246" s="2" t="s">
        <v>14</v>
      </c>
      <c r="B246" s="4">
        <v>46049</v>
      </c>
      <c r="C246" s="5">
        <v>0.51380787037037035</v>
      </c>
      <c r="D246" t="s">
        <v>9409</v>
      </c>
      <c r="E246" t="s">
        <v>1607</v>
      </c>
      <c r="H246" t="s">
        <v>2936</v>
      </c>
      <c r="I246" t="s">
        <v>10576</v>
      </c>
      <c r="J246" t="s">
        <v>2992</v>
      </c>
      <c r="K246" t="s">
        <v>10577</v>
      </c>
      <c r="L246" t="s">
        <v>10578</v>
      </c>
      <c r="M246" s="3" t="str">
        <f>HYPERLINK(склад2въезд1319202122[[#This Row],[RelativePath]])</f>
        <v>8 Рейсмус\E33149364_2_20260127T121953Z.jpg</v>
      </c>
    </row>
    <row r="247" spans="1:13" x14ac:dyDescent="0.25">
      <c r="A247" s="2" t="s">
        <v>14</v>
      </c>
      <c r="B247" s="4">
        <v>46049</v>
      </c>
      <c r="C247" s="5">
        <v>0.62049768518518522</v>
      </c>
      <c r="D247" t="s">
        <v>9409</v>
      </c>
      <c r="E247" t="s">
        <v>1607</v>
      </c>
      <c r="H247" t="s">
        <v>2936</v>
      </c>
      <c r="I247" t="s">
        <v>10579</v>
      </c>
      <c r="J247" t="s">
        <v>2992</v>
      </c>
      <c r="K247" t="s">
        <v>10580</v>
      </c>
      <c r="L247" t="s">
        <v>10581</v>
      </c>
      <c r="M247" s="3" t="str">
        <f>HYPERLINK(склад2въезд1319202122[[#This Row],[RelativePath]])</f>
        <v>8 Рейсмус\E33149364_2_20260127T145331Z.jpg</v>
      </c>
    </row>
    <row r="248" spans="1:13" x14ac:dyDescent="0.25">
      <c r="A248" s="2" t="s">
        <v>14</v>
      </c>
      <c r="B248" s="4">
        <v>46049</v>
      </c>
      <c r="C248" s="5">
        <v>0.67222222222222228</v>
      </c>
      <c r="D248" t="s">
        <v>9409</v>
      </c>
      <c r="E248" t="s">
        <v>1607</v>
      </c>
      <c r="H248" t="s">
        <v>2936</v>
      </c>
      <c r="I248" t="s">
        <v>10582</v>
      </c>
      <c r="J248" t="s">
        <v>2992</v>
      </c>
      <c r="K248" t="s">
        <v>10583</v>
      </c>
      <c r="L248" t="s">
        <v>10584</v>
      </c>
      <c r="M248" s="3" t="str">
        <f>HYPERLINK(склад2въезд1319202122[[#This Row],[RelativePath]])</f>
        <v>8 Рейсмус\E33149364_2_20260127T160800Z.jpg</v>
      </c>
    </row>
    <row r="249" spans="1:13" x14ac:dyDescent="0.25">
      <c r="A249" s="2" t="s">
        <v>15</v>
      </c>
      <c r="B249" s="4">
        <v>46050</v>
      </c>
      <c r="C249" s="5">
        <v>0.25831018518518517</v>
      </c>
      <c r="D249" t="s">
        <v>10888</v>
      </c>
      <c r="E249" t="s">
        <v>796</v>
      </c>
      <c r="I249" t="s">
        <v>10743</v>
      </c>
      <c r="J249" t="s">
        <v>2992</v>
      </c>
      <c r="K249" t="s">
        <v>10744</v>
      </c>
      <c r="L249" t="s">
        <v>10745</v>
      </c>
      <c r="M249" s="3" t="str">
        <f>HYPERLINK(склад2въезд1319202122[[#This Row],[RelativePath]])</f>
        <v>8 Рейсмус\E33149364_2_20260128T061158Z.jpg</v>
      </c>
    </row>
    <row r="250" spans="1:13" x14ac:dyDescent="0.25">
      <c r="A250" s="2" t="s">
        <v>15</v>
      </c>
      <c r="B250" s="4">
        <v>46050</v>
      </c>
      <c r="C250" s="5">
        <v>0.47245370370370371</v>
      </c>
      <c r="D250" t="s">
        <v>10888</v>
      </c>
      <c r="E250" t="s">
        <v>796</v>
      </c>
      <c r="I250" t="s">
        <v>10746</v>
      </c>
      <c r="J250" t="s">
        <v>2992</v>
      </c>
      <c r="K250" t="s">
        <v>10747</v>
      </c>
      <c r="L250" t="s">
        <v>10748</v>
      </c>
      <c r="M250" s="3" t="str">
        <f>HYPERLINK(склад2въезд1319202122[[#This Row],[RelativePath]])</f>
        <v>8 Рейсмус\E33149364_2_20260128T112020Z.jpg</v>
      </c>
    </row>
    <row r="251" spans="1:13" x14ac:dyDescent="0.25">
      <c r="A251" s="2" t="s">
        <v>15</v>
      </c>
      <c r="B251" s="4">
        <v>46050</v>
      </c>
      <c r="C251" s="5">
        <v>0.62357638888888889</v>
      </c>
      <c r="D251" t="s">
        <v>2024</v>
      </c>
      <c r="E251" t="s">
        <v>796</v>
      </c>
      <c r="I251" t="s">
        <v>10749</v>
      </c>
      <c r="J251" t="s">
        <v>2992</v>
      </c>
      <c r="K251" t="s">
        <v>10750</v>
      </c>
      <c r="L251" t="s">
        <v>10751</v>
      </c>
      <c r="M251" s="3" t="str">
        <f>HYPERLINK(склад2въезд1319202122[[#This Row],[RelativePath]])</f>
        <v>8 Рейсмус\E33149364_2_20260128T145757Z.jpg</v>
      </c>
    </row>
    <row r="252" spans="1:13" x14ac:dyDescent="0.25">
      <c r="A252" s="2" t="s">
        <v>15</v>
      </c>
      <c r="B252" s="4">
        <v>46050</v>
      </c>
      <c r="C252" s="5">
        <v>0.69281250000000005</v>
      </c>
      <c r="D252" t="s">
        <v>10888</v>
      </c>
      <c r="E252" t="s">
        <v>796</v>
      </c>
      <c r="I252" t="s">
        <v>10752</v>
      </c>
      <c r="J252" t="s">
        <v>2992</v>
      </c>
      <c r="K252" t="s">
        <v>10753</v>
      </c>
      <c r="L252" t="s">
        <v>10754</v>
      </c>
      <c r="M252" s="3" t="str">
        <f>HYPERLINK(склад2въезд1319202122[[#This Row],[RelativePath]])</f>
        <v>8 Рейсмус\E33149364_2_20260128T163739Z.jpg</v>
      </c>
    </row>
    <row r="253" spans="1:13" x14ac:dyDescent="0.25">
      <c r="A253" s="2" t="s">
        <v>15</v>
      </c>
      <c r="B253" s="4">
        <v>46050</v>
      </c>
      <c r="C253" s="5">
        <v>0.73747685185185186</v>
      </c>
      <c r="D253" t="s">
        <v>2024</v>
      </c>
      <c r="E253" t="s">
        <v>796</v>
      </c>
      <c r="I253" t="s">
        <v>10755</v>
      </c>
      <c r="J253" t="s">
        <v>2992</v>
      </c>
      <c r="K253" t="s">
        <v>10756</v>
      </c>
      <c r="L253" t="s">
        <v>10757</v>
      </c>
      <c r="M253" s="3" t="str">
        <f>HYPERLINK(склад2въезд1319202122[[#This Row],[RelativePath]])</f>
        <v>8 Рейсмус\E33149364_2_20260128T174158Z.jpg</v>
      </c>
    </row>
    <row r="254" spans="1:13" x14ac:dyDescent="0.25">
      <c r="A254" s="2" t="s">
        <v>15</v>
      </c>
      <c r="B254" s="4">
        <v>46050</v>
      </c>
      <c r="C254" s="5">
        <v>0.86285879629629625</v>
      </c>
      <c r="D254" t="s">
        <v>2024</v>
      </c>
      <c r="E254" t="s">
        <v>796</v>
      </c>
      <c r="I254" t="s">
        <v>10758</v>
      </c>
      <c r="J254" t="s">
        <v>2992</v>
      </c>
      <c r="K254" t="s">
        <v>10759</v>
      </c>
      <c r="L254" t="s">
        <v>10760</v>
      </c>
      <c r="M254" s="3" t="str">
        <f>HYPERLINK(склад2въезд1319202122[[#This Row],[RelativePath]])</f>
        <v>8 Рейсмус\E33149364_2_20260128T204231Z.jpg</v>
      </c>
    </row>
    <row r="255" spans="1:13" x14ac:dyDescent="0.25">
      <c r="A255" s="2" t="s">
        <v>15</v>
      </c>
      <c r="B255" s="4">
        <v>46050</v>
      </c>
      <c r="C255" s="5">
        <v>0.94796296296296301</v>
      </c>
      <c r="D255" t="s">
        <v>2024</v>
      </c>
      <c r="E255" t="s">
        <v>796</v>
      </c>
      <c r="I255" t="s">
        <v>10761</v>
      </c>
      <c r="J255" t="s">
        <v>2992</v>
      </c>
      <c r="K255" t="s">
        <v>10762</v>
      </c>
      <c r="L255" t="s">
        <v>10763</v>
      </c>
      <c r="M255" s="3" t="str">
        <f>HYPERLINK(склад2въезд1319202122[[#This Row],[RelativePath]])</f>
        <v>8 Рейсмус\E33149364_2_20260128T224504Z.jpg</v>
      </c>
    </row>
    <row r="256" spans="1:13" x14ac:dyDescent="0.25">
      <c r="A256" s="2" t="s">
        <v>16</v>
      </c>
      <c r="B256" s="4">
        <v>46051</v>
      </c>
      <c r="C256" s="5">
        <v>0.41031250000000002</v>
      </c>
      <c r="D256" t="s">
        <v>9409</v>
      </c>
      <c r="E256" t="s">
        <v>1607</v>
      </c>
      <c r="I256" t="s">
        <v>10764</v>
      </c>
      <c r="J256" t="s">
        <v>2992</v>
      </c>
      <c r="K256" t="s">
        <v>10765</v>
      </c>
      <c r="L256" t="s">
        <v>10766</v>
      </c>
      <c r="M256" s="3" t="str">
        <f>HYPERLINK(склад2въезд1319202122[[#This Row],[RelativePath]])</f>
        <v>8 Рейсмус\E33149364_2_20260129T095051Z.jpg</v>
      </c>
    </row>
    <row r="257" spans="1:13" x14ac:dyDescent="0.25">
      <c r="A257" s="2" t="s">
        <v>16</v>
      </c>
      <c r="B257" s="4">
        <v>46051</v>
      </c>
      <c r="C257" s="5">
        <v>0.43032407407407408</v>
      </c>
      <c r="D257" t="s">
        <v>2024</v>
      </c>
      <c r="E257" t="s">
        <v>796</v>
      </c>
      <c r="I257" t="s">
        <v>10767</v>
      </c>
      <c r="J257" t="s">
        <v>2992</v>
      </c>
      <c r="K257" t="s">
        <v>10768</v>
      </c>
      <c r="L257" t="s">
        <v>10769</v>
      </c>
      <c r="M257" s="3" t="str">
        <f>HYPERLINK(склад2въезд1319202122[[#This Row],[RelativePath]])</f>
        <v>8 Рейсмус\E33149364_2_20260129T101940Z.jpg</v>
      </c>
    </row>
    <row r="258" spans="1:13" x14ac:dyDescent="0.25">
      <c r="A258" s="2" t="s">
        <v>16</v>
      </c>
      <c r="B258" s="4">
        <v>46051</v>
      </c>
      <c r="C258" s="5">
        <v>0.47116898148148151</v>
      </c>
      <c r="D258" t="s">
        <v>9409</v>
      </c>
      <c r="E258" t="s">
        <v>1607</v>
      </c>
      <c r="I258" t="s">
        <v>10770</v>
      </c>
      <c r="J258" t="s">
        <v>2992</v>
      </c>
      <c r="K258" t="s">
        <v>10771</v>
      </c>
      <c r="L258" t="s">
        <v>10772</v>
      </c>
      <c r="M258" s="3" t="str">
        <f>HYPERLINK(склад2въезд1319202122[[#This Row],[RelativePath]])</f>
        <v>8 Рейсмус\E33149364_2_20260129T111829Z.jpg</v>
      </c>
    </row>
    <row r="259" spans="1:13" x14ac:dyDescent="0.25">
      <c r="A259" s="2" t="s">
        <v>16</v>
      </c>
      <c r="B259" s="4">
        <v>46051</v>
      </c>
      <c r="C259" s="5">
        <v>0.5896527777777778</v>
      </c>
      <c r="D259" t="s">
        <v>9409</v>
      </c>
      <c r="E259" t="s">
        <v>1607</v>
      </c>
      <c r="I259" t="s">
        <v>10773</v>
      </c>
      <c r="J259" t="s">
        <v>2992</v>
      </c>
      <c r="K259" t="s">
        <v>10774</v>
      </c>
      <c r="L259" t="s">
        <v>10775</v>
      </c>
      <c r="M259" s="3" t="str">
        <f>HYPERLINK(склад2въезд1319202122[[#This Row],[RelativePath]])</f>
        <v>8 Рейсмус\E33149364_2_20260129T140906Z.jpg</v>
      </c>
    </row>
    <row r="260" spans="1:13" x14ac:dyDescent="0.25">
      <c r="A260" s="2" t="s">
        <v>16</v>
      </c>
      <c r="B260" s="4">
        <v>46051</v>
      </c>
      <c r="C260" s="5">
        <v>0.65328703703703705</v>
      </c>
      <c r="D260" t="s">
        <v>2024</v>
      </c>
      <c r="E260" t="s">
        <v>796</v>
      </c>
      <c r="I260" t="s">
        <v>10776</v>
      </c>
      <c r="J260" t="s">
        <v>2992</v>
      </c>
      <c r="K260" t="s">
        <v>10777</v>
      </c>
      <c r="L260" t="s">
        <v>10778</v>
      </c>
      <c r="M260" s="3" t="str">
        <f>HYPERLINK(склад2въезд1319202122[[#This Row],[RelativePath]])</f>
        <v>8 Рейсмус\E33149364_2_20260129T154044Z.jpg</v>
      </c>
    </row>
    <row r="261" spans="1:13" x14ac:dyDescent="0.25">
      <c r="A261" s="2" t="s">
        <v>16</v>
      </c>
      <c r="B261" s="4">
        <v>46051</v>
      </c>
      <c r="C261" s="5">
        <v>0.69645833333333329</v>
      </c>
      <c r="D261" t="s">
        <v>2024</v>
      </c>
      <c r="E261" t="s">
        <v>796</v>
      </c>
      <c r="I261" t="s">
        <v>10779</v>
      </c>
      <c r="J261" t="s">
        <v>2992</v>
      </c>
      <c r="K261" t="s">
        <v>10780</v>
      </c>
      <c r="L261" t="s">
        <v>10781</v>
      </c>
      <c r="M261" s="3" t="str">
        <f>HYPERLINK(склад2въезд1319202122[[#This Row],[RelativePath]])</f>
        <v>8 Рейсмус\E33149364_2_20260129T164254Z.jpg</v>
      </c>
    </row>
    <row r="262" spans="1:13" x14ac:dyDescent="0.25">
      <c r="A262" s="2" t="s">
        <v>17</v>
      </c>
      <c r="B262" s="4">
        <v>46052</v>
      </c>
      <c r="C262" s="5">
        <v>0.38638888888888889</v>
      </c>
      <c r="D262" t="s">
        <v>4</v>
      </c>
      <c r="E262" t="s">
        <v>9</v>
      </c>
      <c r="I262" t="s">
        <v>10923</v>
      </c>
      <c r="J262" t="s">
        <v>2992</v>
      </c>
      <c r="K262" t="s">
        <v>10924</v>
      </c>
      <c r="L262" t="s">
        <v>10925</v>
      </c>
      <c r="M262" s="3" t="str">
        <f>HYPERLINK(склад2въезд1319202122[[#This Row],[RelativePath]])</f>
        <v>8 Рейсмус\E33149364_2_20260130T091624Z.jpg</v>
      </c>
    </row>
    <row r="263" spans="1:13" x14ac:dyDescent="0.25">
      <c r="A263" s="2" t="s">
        <v>17</v>
      </c>
      <c r="B263" s="4">
        <v>46052</v>
      </c>
      <c r="C263" s="5">
        <v>0.49533564814814812</v>
      </c>
      <c r="D263" t="s">
        <v>9409</v>
      </c>
      <c r="E263" t="s">
        <v>1607</v>
      </c>
      <c r="I263" t="s">
        <v>10926</v>
      </c>
      <c r="J263" t="s">
        <v>2992</v>
      </c>
      <c r="K263" t="s">
        <v>10927</v>
      </c>
      <c r="L263" t="s">
        <v>10928</v>
      </c>
      <c r="M263" s="3" t="str">
        <f>HYPERLINK(склад2въезд1319202122[[#This Row],[RelativePath]])</f>
        <v>8 Рейсмус\E33149364_2_20260130T115317Z.jpg</v>
      </c>
    </row>
    <row r="264" spans="1:13" x14ac:dyDescent="0.25">
      <c r="A264" s="2" t="s">
        <v>17</v>
      </c>
      <c r="B264" s="4">
        <v>46052</v>
      </c>
      <c r="C264" s="5">
        <v>0.51030092592592591</v>
      </c>
      <c r="D264" t="s">
        <v>10888</v>
      </c>
      <c r="E264" t="s">
        <v>796</v>
      </c>
      <c r="I264" t="s">
        <v>10929</v>
      </c>
      <c r="J264" t="s">
        <v>2992</v>
      </c>
      <c r="K264" t="s">
        <v>10930</v>
      </c>
      <c r="L264" t="s">
        <v>10931</v>
      </c>
      <c r="M264" s="3" t="str">
        <f>HYPERLINK(склад2въезд1319202122[[#This Row],[RelativePath]])</f>
        <v>8 Рейсмус\E33149364_2_20260130T121450Z.jpg</v>
      </c>
    </row>
    <row r="265" spans="1:13" x14ac:dyDescent="0.25">
      <c r="A265" s="2" t="s">
        <v>17</v>
      </c>
      <c r="B265" s="4">
        <v>46052</v>
      </c>
      <c r="C265" s="5">
        <v>0.62442129629629628</v>
      </c>
      <c r="D265" t="s">
        <v>2024</v>
      </c>
      <c r="E265" t="s">
        <v>796</v>
      </c>
      <c r="I265" t="s">
        <v>10932</v>
      </c>
      <c r="J265" t="s">
        <v>2992</v>
      </c>
      <c r="K265" t="s">
        <v>10933</v>
      </c>
      <c r="L265" t="s">
        <v>10934</v>
      </c>
      <c r="M265" s="3" t="str">
        <f>HYPERLINK(склад2въезд1319202122[[#This Row],[RelativePath]])</f>
        <v>8 Рейсмус\E33149364_2_20260130T145910Z.jpg</v>
      </c>
    </row>
    <row r="266" spans="1:13" x14ac:dyDescent="0.25">
      <c r="A266" s="2" t="s">
        <v>17</v>
      </c>
      <c r="B266" s="4">
        <v>46052</v>
      </c>
      <c r="C266" s="5">
        <v>0.64053240740740736</v>
      </c>
      <c r="D266" t="s">
        <v>10888</v>
      </c>
      <c r="E266" t="s">
        <v>796</v>
      </c>
      <c r="I266" t="s">
        <v>10935</v>
      </c>
      <c r="J266" t="s">
        <v>2992</v>
      </c>
      <c r="K266" t="s">
        <v>10936</v>
      </c>
      <c r="L266" t="s">
        <v>10937</v>
      </c>
      <c r="M266" s="3" t="str">
        <f>HYPERLINK(склад2въезд1319202122[[#This Row],[RelativePath]])</f>
        <v>8 Рейсмус\E33149364_2_20260130T152222Z.jpg</v>
      </c>
    </row>
    <row r="267" spans="1:13" x14ac:dyDescent="0.25">
      <c r="A267" s="2" t="s">
        <v>17</v>
      </c>
      <c r="B267" s="4">
        <v>46052</v>
      </c>
      <c r="C267" s="5">
        <v>0.6426736111111111</v>
      </c>
      <c r="D267" t="s">
        <v>2024</v>
      </c>
      <c r="E267" t="s">
        <v>796</v>
      </c>
      <c r="I267" t="s">
        <v>10938</v>
      </c>
      <c r="J267" t="s">
        <v>2992</v>
      </c>
      <c r="K267" t="s">
        <v>10939</v>
      </c>
      <c r="L267" t="s">
        <v>10940</v>
      </c>
      <c r="M267" s="3" t="str">
        <f>HYPERLINK(склад2въезд1319202122[[#This Row],[RelativePath]])</f>
        <v>8 Рейсмус\E33149364_2_20260130T152527Z.jpg</v>
      </c>
    </row>
    <row r="268" spans="1:13" x14ac:dyDescent="0.25">
      <c r="A268" s="2" t="s">
        <v>17</v>
      </c>
      <c r="B268" s="4">
        <v>46052</v>
      </c>
      <c r="C268" s="5">
        <v>0.65142361111111113</v>
      </c>
      <c r="D268" t="s">
        <v>10888</v>
      </c>
      <c r="E268" t="s">
        <v>796</v>
      </c>
      <c r="I268" t="s">
        <v>10941</v>
      </c>
      <c r="J268" t="s">
        <v>2992</v>
      </c>
      <c r="K268" t="s">
        <v>10942</v>
      </c>
      <c r="L268" t="s">
        <v>10943</v>
      </c>
      <c r="M268" s="3" t="str">
        <f>HYPERLINK(склад2въезд1319202122[[#This Row],[RelativePath]])</f>
        <v>8 Рейсмус\E33149364_2_20260130T153803Z.jpg</v>
      </c>
    </row>
    <row r="269" spans="1:13" x14ac:dyDescent="0.25">
      <c r="A269" s="2" t="s">
        <v>17</v>
      </c>
      <c r="B269" s="4">
        <v>46052</v>
      </c>
      <c r="C269" s="5">
        <v>0.68055555555555558</v>
      </c>
      <c r="D269" t="s">
        <v>2024</v>
      </c>
      <c r="E269" t="s">
        <v>796</v>
      </c>
      <c r="I269" t="s">
        <v>10944</v>
      </c>
      <c r="J269" t="s">
        <v>2992</v>
      </c>
      <c r="K269" t="s">
        <v>10945</v>
      </c>
      <c r="L269" t="s">
        <v>10946</v>
      </c>
      <c r="M269" s="3" t="str">
        <f>HYPERLINK(склад2въезд1319202122[[#This Row],[RelativePath]])</f>
        <v>8 Рейсмус\E33149364_2_20260130T162000Z.jpg</v>
      </c>
    </row>
    <row r="270" spans="1:13" x14ac:dyDescent="0.25">
      <c r="A270" s="2" t="s">
        <v>18</v>
      </c>
      <c r="B270" s="4">
        <v>46053</v>
      </c>
      <c r="C270" s="5">
        <v>0.49210648148148151</v>
      </c>
      <c r="D270" t="s">
        <v>9455</v>
      </c>
      <c r="E270" t="s">
        <v>1607</v>
      </c>
      <c r="I270" t="s">
        <v>11040</v>
      </c>
      <c r="J270" t="s">
        <v>2992</v>
      </c>
      <c r="K270" t="s">
        <v>11041</v>
      </c>
      <c r="L270" t="s">
        <v>11042</v>
      </c>
      <c r="M270" s="3" t="str">
        <f>HYPERLINK(склад2въезд1319202122[[#This Row],[RelativePath]])</f>
        <v>8 Рейсмус\E33149364_2_20260131T114838Z.jpg</v>
      </c>
    </row>
    <row r="271" spans="1:13" x14ac:dyDescent="0.25">
      <c r="A271" s="2" t="s">
        <v>22</v>
      </c>
      <c r="B271" s="4">
        <v>46054</v>
      </c>
      <c r="C271" s="5">
        <v>0.49217592592592591</v>
      </c>
      <c r="D271" t="s">
        <v>2024</v>
      </c>
      <c r="E271" t="s">
        <v>796</v>
      </c>
      <c r="I271" t="s">
        <v>11043</v>
      </c>
      <c r="J271" t="s">
        <v>2992</v>
      </c>
      <c r="K271" t="s">
        <v>11044</v>
      </c>
      <c r="L271" t="s">
        <v>11045</v>
      </c>
      <c r="M271" s="3" t="str">
        <f>HYPERLINK(склад2въезд1319202122[[#This Row],[RelativePath]])</f>
        <v>8 Рейсмус\E33149364_2_20260201T114844Z.jpg</v>
      </c>
    </row>
  </sheetData>
  <conditionalFormatting sqref="D272:D282 E272:E285 G2:H271 D2:E271">
    <cfRule type="containsText" dxfId="647" priority="14" operator="containsText" text="Выезд с территории">
      <formula>NOT(ISERROR(SEARCH("Выезд с территории",D2)))</formula>
    </cfRule>
  </conditionalFormatting>
  <conditionalFormatting sqref="F2:F271">
    <cfRule type="notContainsText" dxfId="646" priority="13" operator="notContains" text="порожний">
      <formula>ISERROR(SEARCH("порожний",F2))</formula>
    </cfRule>
  </conditionalFormatting>
  <conditionalFormatting sqref="E2:E285">
    <cfRule type="containsText" dxfId="645" priority="11" operator="containsText" text="Газель базы">
      <formula>NOT(ISERROR(SEARCH("Газель базы",E2)))</formula>
    </cfRule>
    <cfRule type="containsText" dxfId="644" priority="12" operator="containsText" text="Погрузчик базы">
      <formula>NOT(ISERROR(SEARCH("Погрузчик базы",E2)))</formula>
    </cfRule>
  </conditionalFormatting>
  <conditionalFormatting sqref="E2:E285">
    <cfRule type="containsText" dxfId="643" priority="10" operator="containsText" text="Трактор базы">
      <formula>NOT(ISERROR(SEARCH("Трактор базы",E2)))</formula>
    </cfRule>
  </conditionalFormatting>
  <conditionalFormatting sqref="A2:C271">
    <cfRule type="expression" dxfId="642" priority="9">
      <formula>$A2="пн"</formula>
    </cfRule>
  </conditionalFormatting>
  <conditionalFormatting sqref="A2:C273">
    <cfRule type="expression" dxfId="641" priority="3">
      <formula>$A2="вс"</formula>
    </cfRule>
    <cfRule type="expression" dxfId="640" priority="4">
      <formula>$A2="сб"</formula>
    </cfRule>
    <cfRule type="expression" dxfId="639" priority="5">
      <formula>$A2="пт"</formula>
    </cfRule>
    <cfRule type="expression" dxfId="638" priority="6">
      <formula>$A2="чт"</formula>
    </cfRule>
    <cfRule type="expression" dxfId="637" priority="7">
      <formula>$A2="ср"</formula>
    </cfRule>
    <cfRule type="expression" dxfId="636" priority="8">
      <formula>$A2="вт"</formula>
    </cfRule>
  </conditionalFormatting>
  <conditionalFormatting sqref="D2:D282">
    <cfRule type="containsText" dxfId="6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2">
    <cfRule type="containsText" dxfId="6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572"/>
  <sheetViews>
    <sheetView zoomScale="90" zoomScaleNormal="90" workbookViewId="0">
      <pane ySplit="1" topLeftCell="A568" activePane="bottomLeft" state="frozen"/>
      <selection pane="bottomLeft" activeCell="I571" sqref="I571:I57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3736</v>
      </c>
      <c r="J169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3739</v>
      </c>
      <c r="J170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3742</v>
      </c>
      <c r="J171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3745</v>
      </c>
      <c r="J172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3748</v>
      </c>
      <c r="J173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3751</v>
      </c>
      <c r="J174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3754</v>
      </c>
      <c r="J175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3757</v>
      </c>
      <c r="J176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3760</v>
      </c>
      <c r="J177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3763</v>
      </c>
      <c r="J17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3766</v>
      </c>
      <c r="J179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3769</v>
      </c>
      <c r="J180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3772</v>
      </c>
      <c r="J181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3775</v>
      </c>
      <c r="J182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3778</v>
      </c>
      <c r="J183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3781</v>
      </c>
      <c r="J184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3784</v>
      </c>
      <c r="J185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3787</v>
      </c>
      <c r="J186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3790</v>
      </c>
      <c r="J187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3793</v>
      </c>
      <c r="J18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3796</v>
      </c>
      <c r="J189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3799</v>
      </c>
      <c r="J190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3802</v>
      </c>
      <c r="J191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3805</v>
      </c>
      <c r="J192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3808</v>
      </c>
      <c r="J193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3811</v>
      </c>
      <c r="J194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3814</v>
      </c>
      <c r="J195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3817</v>
      </c>
      <c r="J196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3820</v>
      </c>
      <c r="J197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3823</v>
      </c>
      <c r="J19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3826</v>
      </c>
      <c r="J199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3829</v>
      </c>
      <c r="J200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3832</v>
      </c>
      <c r="J201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3835</v>
      </c>
      <c r="J202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3838</v>
      </c>
      <c r="J203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3841</v>
      </c>
      <c r="J204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3844</v>
      </c>
      <c r="J205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3847</v>
      </c>
      <c r="J206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3850</v>
      </c>
      <c r="J207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3853</v>
      </c>
      <c r="J20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3856</v>
      </c>
      <c r="J209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4221</v>
      </c>
      <c r="E210" t="s">
        <v>86</v>
      </c>
      <c r="F210" t="s">
        <v>58</v>
      </c>
      <c r="I210" t="s">
        <v>3859</v>
      </c>
      <c r="J210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3862</v>
      </c>
      <c r="J211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4222</v>
      </c>
      <c r="F212" t="s">
        <v>1099</v>
      </c>
      <c r="I212" t="s">
        <v>3865</v>
      </c>
      <c r="J212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4282</v>
      </c>
      <c r="J213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4627</v>
      </c>
      <c r="J214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5136</v>
      </c>
      <c r="E215" t="s">
        <v>5135</v>
      </c>
      <c r="I215" t="s">
        <v>4630</v>
      </c>
      <c r="J215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5136</v>
      </c>
      <c r="E216" t="s">
        <v>5135</v>
      </c>
      <c r="H216" t="s">
        <v>2936</v>
      </c>
      <c r="I216" t="s">
        <v>4633</v>
      </c>
      <c r="J216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5137</v>
      </c>
      <c r="F217" t="s">
        <v>1099</v>
      </c>
      <c r="I217" t="s">
        <v>4636</v>
      </c>
      <c r="J217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5137</v>
      </c>
      <c r="F218" t="s">
        <v>1099</v>
      </c>
      <c r="H218" t="s">
        <v>2936</v>
      </c>
      <c r="I218" t="s">
        <v>4639</v>
      </c>
      <c r="J21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4642</v>
      </c>
      <c r="J219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4645</v>
      </c>
      <c r="J220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4648</v>
      </c>
      <c r="J221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4651</v>
      </c>
      <c r="J222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4654</v>
      </c>
      <c r="J223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4657</v>
      </c>
      <c r="J224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4660</v>
      </c>
      <c r="J225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4663</v>
      </c>
      <c r="J226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4666</v>
      </c>
      <c r="J227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4669</v>
      </c>
      <c r="J22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4672</v>
      </c>
      <c r="J229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4675</v>
      </c>
      <c r="J230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4678</v>
      </c>
      <c r="J231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4681</v>
      </c>
      <c r="J232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4684</v>
      </c>
      <c r="J233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4687</v>
      </c>
      <c r="J234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4690</v>
      </c>
      <c r="J235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4693</v>
      </c>
      <c r="J236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4696</v>
      </c>
      <c r="J237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4699</v>
      </c>
      <c r="J23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4702</v>
      </c>
      <c r="J239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4705</v>
      </c>
      <c r="J240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4708</v>
      </c>
      <c r="J241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4711</v>
      </c>
      <c r="J242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4714</v>
      </c>
      <c r="J243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4717</v>
      </c>
      <c r="J244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4720</v>
      </c>
      <c r="J245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4723</v>
      </c>
      <c r="J246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4726</v>
      </c>
      <c r="J247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4729</v>
      </c>
      <c r="J24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4732</v>
      </c>
      <c r="J249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4735</v>
      </c>
      <c r="J250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4738</v>
      </c>
      <c r="J251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4741</v>
      </c>
      <c r="J252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4744</v>
      </c>
      <c r="J253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4747</v>
      </c>
      <c r="J254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4750</v>
      </c>
      <c r="J255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5138</v>
      </c>
      <c r="I256" t="s">
        <v>4753</v>
      </c>
      <c r="J256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4756</v>
      </c>
      <c r="J257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4759</v>
      </c>
      <c r="J25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4762</v>
      </c>
      <c r="J259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4765</v>
      </c>
      <c r="J260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4768</v>
      </c>
      <c r="J261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4771</v>
      </c>
      <c r="J262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4774</v>
      </c>
      <c r="J263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4777</v>
      </c>
      <c r="J264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4780</v>
      </c>
      <c r="J265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4783</v>
      </c>
      <c r="J266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4786</v>
      </c>
      <c r="J267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4789</v>
      </c>
      <c r="J26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4792</v>
      </c>
      <c r="J269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4795</v>
      </c>
      <c r="J270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4798</v>
      </c>
      <c r="J271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4801</v>
      </c>
      <c r="J272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4804</v>
      </c>
      <c r="J273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4807</v>
      </c>
      <c r="J274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4810</v>
      </c>
      <c r="J275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4813</v>
      </c>
      <c r="J276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4816</v>
      </c>
      <c r="J277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4819</v>
      </c>
      <c r="J27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4822</v>
      </c>
      <c r="J279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4825</v>
      </c>
      <c r="J280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4828</v>
      </c>
      <c r="J281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5232</v>
      </c>
      <c r="J282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5264</v>
      </c>
      <c r="I283" t="s">
        <v>5235</v>
      </c>
      <c r="J283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5238</v>
      </c>
      <c r="J284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5241</v>
      </c>
      <c r="J285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5244</v>
      </c>
      <c r="J286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5247</v>
      </c>
      <c r="J287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5250</v>
      </c>
      <c r="J28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5253</v>
      </c>
      <c r="J289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5256</v>
      </c>
      <c r="J290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t="s">
        <v>4</v>
      </c>
      <c r="E291" t="s">
        <v>9</v>
      </c>
      <c r="I291" t="s">
        <v>5328</v>
      </c>
      <c r="J291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t="s">
        <v>4</v>
      </c>
      <c r="E292" t="s">
        <v>9</v>
      </c>
      <c r="H292" t="s">
        <v>2936</v>
      </c>
      <c r="I292" t="s">
        <v>5331</v>
      </c>
      <c r="J292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t="s">
        <v>4</v>
      </c>
      <c r="E293" t="s">
        <v>9</v>
      </c>
      <c r="H293" t="s">
        <v>2936</v>
      </c>
      <c r="I293" t="s">
        <v>5334</v>
      </c>
      <c r="J293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t="s">
        <v>5136</v>
      </c>
      <c r="I294" t="s">
        <v>5337</v>
      </c>
      <c r="J294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t="s">
        <v>4</v>
      </c>
      <c r="E295" t="s">
        <v>53</v>
      </c>
      <c r="I295" t="s">
        <v>5340</v>
      </c>
      <c r="J295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t="s">
        <v>1091</v>
      </c>
      <c r="E296" t="s">
        <v>53</v>
      </c>
      <c r="I296" t="s">
        <v>5343</v>
      </c>
      <c r="J296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t="s">
        <v>1091</v>
      </c>
      <c r="E297" t="s">
        <v>58</v>
      </c>
      <c r="I297" t="s">
        <v>5346</v>
      </c>
      <c r="J297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t="s">
        <v>4</v>
      </c>
      <c r="E298" t="s">
        <v>9</v>
      </c>
      <c r="H298" t="s">
        <v>2936</v>
      </c>
      <c r="I298" t="s">
        <v>5349</v>
      </c>
      <c r="J29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t="s">
        <v>4</v>
      </c>
      <c r="E299" t="s">
        <v>9</v>
      </c>
      <c r="H299" t="s">
        <v>2936</v>
      </c>
      <c r="I299" t="s">
        <v>5352</v>
      </c>
      <c r="J299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t="s">
        <v>4</v>
      </c>
      <c r="E300" t="s">
        <v>9</v>
      </c>
      <c r="H300" t="s">
        <v>2936</v>
      </c>
      <c r="I300" t="s">
        <v>5355</v>
      </c>
      <c r="J300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t="s">
        <v>5476</v>
      </c>
      <c r="E301" t="s">
        <v>86</v>
      </c>
      <c r="F301" t="s">
        <v>58</v>
      </c>
      <c r="I301" t="s">
        <v>5358</v>
      </c>
      <c r="J301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t="s">
        <v>5476</v>
      </c>
      <c r="E302" t="s">
        <v>86</v>
      </c>
      <c r="F302" t="s">
        <v>58</v>
      </c>
      <c r="I302" t="s">
        <v>5361</v>
      </c>
      <c r="J302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t="s">
        <v>4</v>
      </c>
      <c r="E303" t="s">
        <v>5477</v>
      </c>
      <c r="I303" t="s">
        <v>5364</v>
      </c>
      <c r="J303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t="s">
        <v>4</v>
      </c>
      <c r="E304" t="s">
        <v>9</v>
      </c>
      <c r="I304" t="s">
        <v>5367</v>
      </c>
      <c r="J304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t="s">
        <v>4</v>
      </c>
      <c r="E305" t="s">
        <v>9</v>
      </c>
      <c r="H305" t="s">
        <v>2936</v>
      </c>
      <c r="I305" t="s">
        <v>5370</v>
      </c>
      <c r="J305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t="s">
        <v>4</v>
      </c>
      <c r="E306" t="s">
        <v>9</v>
      </c>
      <c r="H306" t="s">
        <v>2936</v>
      </c>
      <c r="I306" t="s">
        <v>5373</v>
      </c>
      <c r="J306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t="s">
        <v>5476</v>
      </c>
      <c r="E307" t="s">
        <v>86</v>
      </c>
      <c r="F307" t="s">
        <v>58</v>
      </c>
      <c r="I307" t="s">
        <v>5376</v>
      </c>
      <c r="J307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t="s">
        <v>4</v>
      </c>
      <c r="E308" t="s">
        <v>9</v>
      </c>
      <c r="I308" t="s">
        <v>5379</v>
      </c>
      <c r="J30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t="s">
        <v>4</v>
      </c>
      <c r="E309" t="s">
        <v>9</v>
      </c>
      <c r="I309" t="s">
        <v>5382</v>
      </c>
      <c r="J309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t="s">
        <v>4</v>
      </c>
      <c r="E310" t="s">
        <v>9</v>
      </c>
      <c r="I310" t="s">
        <v>5557</v>
      </c>
      <c r="J310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t="s">
        <v>4</v>
      </c>
      <c r="E311" t="s">
        <v>86</v>
      </c>
      <c r="F311" t="s">
        <v>528</v>
      </c>
      <c r="H311" t="s">
        <v>6177</v>
      </c>
      <c r="I311" t="s">
        <v>5560</v>
      </c>
      <c r="J311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t="s">
        <v>4</v>
      </c>
      <c r="E312" t="s">
        <v>9</v>
      </c>
      <c r="H312" t="s">
        <v>2936</v>
      </c>
      <c r="I312" t="s">
        <v>5563</v>
      </c>
      <c r="J312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t="s">
        <v>4</v>
      </c>
      <c r="E313" t="s">
        <v>9</v>
      </c>
      <c r="H313" t="s">
        <v>2936</v>
      </c>
      <c r="I313" t="s">
        <v>5566</v>
      </c>
      <c r="J313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t="s">
        <v>4</v>
      </c>
      <c r="E314" t="s">
        <v>9</v>
      </c>
      <c r="H314" t="s">
        <v>2936</v>
      </c>
      <c r="I314" t="s">
        <v>5569</v>
      </c>
      <c r="J314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t="s">
        <v>4</v>
      </c>
      <c r="E315" t="s">
        <v>9</v>
      </c>
      <c r="H315" t="s">
        <v>2936</v>
      </c>
      <c r="I315" t="s">
        <v>5572</v>
      </c>
      <c r="J315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t="s">
        <v>4</v>
      </c>
      <c r="E316" t="s">
        <v>9</v>
      </c>
      <c r="H316" t="s">
        <v>2936</v>
      </c>
      <c r="I316" t="s">
        <v>5575</v>
      </c>
      <c r="J316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t="s">
        <v>4</v>
      </c>
      <c r="E317" t="s">
        <v>9</v>
      </c>
      <c r="H317" t="s">
        <v>2936</v>
      </c>
      <c r="I317" t="s">
        <v>5578</v>
      </c>
      <c r="J317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t="s">
        <v>4</v>
      </c>
      <c r="E318" t="s">
        <v>9</v>
      </c>
      <c r="H318" t="s">
        <v>2936</v>
      </c>
      <c r="I318" t="s">
        <v>5581</v>
      </c>
      <c r="J31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t="s">
        <v>4</v>
      </c>
      <c r="E319" t="s">
        <v>9</v>
      </c>
      <c r="H319" t="s">
        <v>2936</v>
      </c>
      <c r="I319" t="s">
        <v>5584</v>
      </c>
      <c r="J319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t="s">
        <v>4</v>
      </c>
      <c r="E320" t="s">
        <v>9</v>
      </c>
      <c r="H320" t="s">
        <v>2936</v>
      </c>
      <c r="I320" t="s">
        <v>5587</v>
      </c>
      <c r="J320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t="s">
        <v>6178</v>
      </c>
      <c r="I321" t="s">
        <v>5590</v>
      </c>
      <c r="J321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t="s">
        <v>1091</v>
      </c>
      <c r="E322" t="s">
        <v>531</v>
      </c>
      <c r="F322" t="s">
        <v>6179</v>
      </c>
      <c r="I322" t="s">
        <v>5593</v>
      </c>
      <c r="J322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t="s">
        <v>4</v>
      </c>
      <c r="E323" t="s">
        <v>9</v>
      </c>
      <c r="I323" t="s">
        <v>5596</v>
      </c>
      <c r="J323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t="s">
        <v>4</v>
      </c>
      <c r="E324" t="s">
        <v>9</v>
      </c>
      <c r="I324" t="s">
        <v>5599</v>
      </c>
      <c r="J324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t="s">
        <v>4</v>
      </c>
      <c r="E325" t="s">
        <v>9</v>
      </c>
      <c r="I325" t="s">
        <v>5602</v>
      </c>
      <c r="J325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t="s">
        <v>4</v>
      </c>
      <c r="E326" t="s">
        <v>9</v>
      </c>
      <c r="I326" t="s">
        <v>5605</v>
      </c>
      <c r="J326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t="s">
        <v>6178</v>
      </c>
      <c r="I327" t="s">
        <v>5608</v>
      </c>
      <c r="J327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t="s">
        <v>6180</v>
      </c>
      <c r="E328" t="s">
        <v>531</v>
      </c>
      <c r="F328" t="s">
        <v>6179</v>
      </c>
      <c r="I328" t="s">
        <v>5611</v>
      </c>
      <c r="J32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t="s">
        <v>4</v>
      </c>
      <c r="E329" t="s">
        <v>9</v>
      </c>
      <c r="I329" t="s">
        <v>5614</v>
      </c>
      <c r="J329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t="s">
        <v>4</v>
      </c>
      <c r="E330" t="s">
        <v>9</v>
      </c>
      <c r="I330" t="s">
        <v>5617</v>
      </c>
      <c r="J330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t="s">
        <v>4</v>
      </c>
      <c r="E331" t="s">
        <v>9</v>
      </c>
      <c r="H331" t="s">
        <v>2936</v>
      </c>
      <c r="I331" t="s">
        <v>5620</v>
      </c>
      <c r="J331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t="s">
        <v>4</v>
      </c>
      <c r="E332" t="s">
        <v>9</v>
      </c>
      <c r="H332" t="s">
        <v>2936</v>
      </c>
      <c r="I332" t="s">
        <v>5623</v>
      </c>
      <c r="J332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t="s">
        <v>4</v>
      </c>
      <c r="E333" t="s">
        <v>9</v>
      </c>
      <c r="H333" t="s">
        <v>2936</v>
      </c>
      <c r="I333" t="s">
        <v>5626</v>
      </c>
      <c r="J333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t="s">
        <v>4</v>
      </c>
      <c r="E334" t="s">
        <v>9</v>
      </c>
      <c r="H334" t="s">
        <v>2936</v>
      </c>
      <c r="I334" t="s">
        <v>5629</v>
      </c>
      <c r="J334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t="s">
        <v>4</v>
      </c>
      <c r="E335" t="s">
        <v>9</v>
      </c>
      <c r="H335" t="s">
        <v>2936</v>
      </c>
      <c r="I335" t="s">
        <v>5933</v>
      </c>
      <c r="J335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t="s">
        <v>4</v>
      </c>
      <c r="E336" t="s">
        <v>9</v>
      </c>
      <c r="H336" t="s">
        <v>2936</v>
      </c>
      <c r="I336" t="s">
        <v>5936</v>
      </c>
      <c r="J336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t="s">
        <v>4</v>
      </c>
      <c r="E337" t="s">
        <v>9</v>
      </c>
      <c r="H337" t="s">
        <v>2936</v>
      </c>
      <c r="I337" t="s">
        <v>5939</v>
      </c>
      <c r="J337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t="s">
        <v>4</v>
      </c>
      <c r="E338" t="s">
        <v>9</v>
      </c>
      <c r="H338" t="s">
        <v>2936</v>
      </c>
      <c r="I338" t="s">
        <v>5942</v>
      </c>
      <c r="J33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t="s">
        <v>4</v>
      </c>
      <c r="E339" t="s">
        <v>9</v>
      </c>
      <c r="H339" t="s">
        <v>2936</v>
      </c>
      <c r="I339" t="s">
        <v>5945</v>
      </c>
      <c r="J339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t="s">
        <v>4</v>
      </c>
      <c r="E340" t="s">
        <v>9</v>
      </c>
      <c r="H340" t="s">
        <v>2936</v>
      </c>
      <c r="I340" t="s">
        <v>5948</v>
      </c>
      <c r="J340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t="s">
        <v>4</v>
      </c>
      <c r="E341" t="s">
        <v>9</v>
      </c>
      <c r="H341" t="s">
        <v>2936</v>
      </c>
      <c r="I341" t="s">
        <v>5951</v>
      </c>
      <c r="J341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t="s">
        <v>4</v>
      </c>
      <c r="E342" t="s">
        <v>9</v>
      </c>
      <c r="H342" t="s">
        <v>2936</v>
      </c>
      <c r="I342" t="s">
        <v>5954</v>
      </c>
      <c r="J342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t="s">
        <v>4</v>
      </c>
      <c r="E343" t="s">
        <v>9</v>
      </c>
      <c r="H343" t="s">
        <v>2936</v>
      </c>
      <c r="I343" t="s">
        <v>5957</v>
      </c>
      <c r="J343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t="s">
        <v>1091</v>
      </c>
      <c r="E344" t="s">
        <v>58</v>
      </c>
      <c r="I344" t="s">
        <v>5960</v>
      </c>
      <c r="J344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t="s">
        <v>1091</v>
      </c>
      <c r="E345" t="s">
        <v>6181</v>
      </c>
      <c r="I345" t="s">
        <v>5963</v>
      </c>
      <c r="J345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t="s">
        <v>4</v>
      </c>
      <c r="E346" t="s">
        <v>9</v>
      </c>
      <c r="I346" t="s">
        <v>5966</v>
      </c>
      <c r="J346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t="s">
        <v>4</v>
      </c>
      <c r="E347" t="s">
        <v>9</v>
      </c>
      <c r="H347" t="s">
        <v>2936</v>
      </c>
      <c r="I347" t="s">
        <v>5969</v>
      </c>
      <c r="J347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t="s">
        <v>4</v>
      </c>
      <c r="E348" t="s">
        <v>9</v>
      </c>
      <c r="H348" t="s">
        <v>2936</v>
      </c>
      <c r="I348" t="s">
        <v>5972</v>
      </c>
      <c r="J34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t="s">
        <v>4</v>
      </c>
      <c r="E349" t="s">
        <v>9</v>
      </c>
      <c r="H349" t="s">
        <v>2936</v>
      </c>
      <c r="I349" t="s">
        <v>5975</v>
      </c>
      <c r="J349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t="s">
        <v>4</v>
      </c>
      <c r="E350" t="s">
        <v>9</v>
      </c>
      <c r="H350" t="s">
        <v>2936</v>
      </c>
      <c r="I350" t="s">
        <v>5978</v>
      </c>
      <c r="J350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t="s">
        <v>4</v>
      </c>
      <c r="E351" t="s">
        <v>9</v>
      </c>
      <c r="H351" t="s">
        <v>2936</v>
      </c>
      <c r="I351" t="s">
        <v>5981</v>
      </c>
      <c r="J351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t="s">
        <v>4</v>
      </c>
      <c r="E352" t="s">
        <v>9</v>
      </c>
      <c r="H352" t="s">
        <v>2936</v>
      </c>
      <c r="I352" t="s">
        <v>5984</v>
      </c>
      <c r="J352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t="s">
        <v>4</v>
      </c>
      <c r="E353" t="s">
        <v>9</v>
      </c>
      <c r="H353" t="s">
        <v>2936</v>
      </c>
      <c r="I353" t="s">
        <v>5987</v>
      </c>
      <c r="J353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t="s">
        <v>4</v>
      </c>
      <c r="E354" t="s">
        <v>9</v>
      </c>
      <c r="H354" t="s">
        <v>2936</v>
      </c>
      <c r="I354" t="s">
        <v>6083</v>
      </c>
      <c r="J354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t="s">
        <v>4</v>
      </c>
      <c r="E355" t="s">
        <v>9</v>
      </c>
      <c r="H355" t="s">
        <v>2936</v>
      </c>
      <c r="I355" t="s">
        <v>6086</v>
      </c>
      <c r="J355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t="s">
        <v>4</v>
      </c>
      <c r="E356" t="s">
        <v>9</v>
      </c>
      <c r="H356" t="s">
        <v>2936</v>
      </c>
      <c r="I356" t="s">
        <v>6089</v>
      </c>
      <c r="J356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t="s">
        <v>4</v>
      </c>
      <c r="E357" t="s">
        <v>9</v>
      </c>
      <c r="I357" t="s">
        <v>6092</v>
      </c>
      <c r="J357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t="s">
        <v>4</v>
      </c>
      <c r="E358" t="s">
        <v>9</v>
      </c>
      <c r="I358" t="s">
        <v>6213</v>
      </c>
      <c r="J35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t="s">
        <v>2024</v>
      </c>
      <c r="E359" t="s">
        <v>1304</v>
      </c>
      <c r="I359" t="s">
        <v>6216</v>
      </c>
      <c r="J359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t="s">
        <v>4</v>
      </c>
      <c r="E360" t="s">
        <v>9</v>
      </c>
      <c r="I360" t="s">
        <v>6219</v>
      </c>
      <c r="J360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t="s">
        <v>2024</v>
      </c>
      <c r="E361" t="s">
        <v>1304</v>
      </c>
      <c r="I361" t="s">
        <v>6222</v>
      </c>
      <c r="J361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t="s">
        <v>2024</v>
      </c>
      <c r="E362" t="s">
        <v>1304</v>
      </c>
      <c r="H362" t="s">
        <v>2936</v>
      </c>
      <c r="I362" t="s">
        <v>6225</v>
      </c>
      <c r="J362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t="s">
        <v>2024</v>
      </c>
      <c r="E363" t="s">
        <v>1304</v>
      </c>
      <c r="H363" t="s">
        <v>2936</v>
      </c>
      <c r="I363" t="s">
        <v>6228</v>
      </c>
      <c r="J363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t="s">
        <v>4</v>
      </c>
      <c r="E364" t="s">
        <v>9</v>
      </c>
      <c r="H364" t="s">
        <v>2936</v>
      </c>
      <c r="I364" t="s">
        <v>6231</v>
      </c>
      <c r="J364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t="s">
        <v>2024</v>
      </c>
      <c r="E365" t="s">
        <v>1304</v>
      </c>
      <c r="H365" t="s">
        <v>2936</v>
      </c>
      <c r="I365" t="s">
        <v>6234</v>
      </c>
      <c r="J365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t="s">
        <v>2024</v>
      </c>
      <c r="E366" t="s">
        <v>1304</v>
      </c>
      <c r="H366" t="s">
        <v>2936</v>
      </c>
      <c r="I366" t="s">
        <v>6237</v>
      </c>
      <c r="J366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t="s">
        <v>2024</v>
      </c>
      <c r="E367" t="s">
        <v>1304</v>
      </c>
      <c r="H367" t="s">
        <v>2936</v>
      </c>
      <c r="I367" t="s">
        <v>6240</v>
      </c>
      <c r="J367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t="s">
        <v>2024</v>
      </c>
      <c r="E368" t="s">
        <v>1304</v>
      </c>
      <c r="H368" t="s">
        <v>2936</v>
      </c>
      <c r="I368" t="s">
        <v>6243</v>
      </c>
      <c r="J36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t="s">
        <v>2024</v>
      </c>
      <c r="E369" t="s">
        <v>1304</v>
      </c>
      <c r="H369" t="s">
        <v>2936</v>
      </c>
      <c r="I369" t="s">
        <v>6246</v>
      </c>
      <c r="J369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t="s">
        <v>4</v>
      </c>
      <c r="E370" t="s">
        <v>9</v>
      </c>
      <c r="I370" t="s">
        <v>6352</v>
      </c>
      <c r="J370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t="s">
        <v>4</v>
      </c>
      <c r="E371" t="s">
        <v>9</v>
      </c>
      <c r="H371" t="s">
        <v>2936</v>
      </c>
      <c r="I371" t="s">
        <v>6355</v>
      </c>
      <c r="J371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t="s">
        <v>4</v>
      </c>
      <c r="E372" t="s">
        <v>9</v>
      </c>
      <c r="H372" t="s">
        <v>2936</v>
      </c>
      <c r="I372" t="s">
        <v>6358</v>
      </c>
      <c r="J372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t="s">
        <v>1091</v>
      </c>
      <c r="E373" t="s">
        <v>58</v>
      </c>
      <c r="I373" t="s">
        <v>6361</v>
      </c>
      <c r="J373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t="s">
        <v>4</v>
      </c>
      <c r="E374" t="s">
        <v>9</v>
      </c>
      <c r="H374" t="s">
        <v>2936</v>
      </c>
      <c r="I374" t="s">
        <v>6364</v>
      </c>
      <c r="J374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t="s">
        <v>1091</v>
      </c>
      <c r="E375" t="s">
        <v>58</v>
      </c>
      <c r="I375" t="s">
        <v>6367</v>
      </c>
      <c r="J375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t="s">
        <v>1091</v>
      </c>
      <c r="E376" t="s">
        <v>58</v>
      </c>
      <c r="I376" t="s">
        <v>6370</v>
      </c>
      <c r="J376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t="s">
        <v>4</v>
      </c>
      <c r="E377" t="s">
        <v>9</v>
      </c>
      <c r="I377" t="s">
        <v>6373</v>
      </c>
      <c r="J377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t="s">
        <v>1091</v>
      </c>
      <c r="E378" t="s">
        <v>53</v>
      </c>
      <c r="I378" t="s">
        <v>6376</v>
      </c>
      <c r="J37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t="s">
        <v>4</v>
      </c>
      <c r="E379" t="s">
        <v>9</v>
      </c>
      <c r="I379" t="s">
        <v>6379</v>
      </c>
      <c r="J379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t="s">
        <v>4</v>
      </c>
      <c r="E380" t="s">
        <v>9</v>
      </c>
      <c r="H380" t="s">
        <v>2936</v>
      </c>
      <c r="I380" t="s">
        <v>6382</v>
      </c>
      <c r="J380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t="s">
        <v>4</v>
      </c>
      <c r="E381" t="s">
        <v>9</v>
      </c>
      <c r="H381" t="s">
        <v>2936</v>
      </c>
      <c r="I381" t="s">
        <v>6385</v>
      </c>
      <c r="J381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t="s">
        <v>4</v>
      </c>
      <c r="E382" t="s">
        <v>9</v>
      </c>
      <c r="H382" t="s">
        <v>2936</v>
      </c>
      <c r="I382" t="s">
        <v>6388</v>
      </c>
      <c r="J382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t="s">
        <v>4</v>
      </c>
      <c r="E383" t="s">
        <v>9</v>
      </c>
      <c r="I383" t="s">
        <v>6584</v>
      </c>
      <c r="J383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t="s">
        <v>4</v>
      </c>
      <c r="E384" t="s">
        <v>9</v>
      </c>
      <c r="H384" t="s">
        <v>2936</v>
      </c>
      <c r="I384" t="s">
        <v>6587</v>
      </c>
      <c r="J384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t="s">
        <v>4</v>
      </c>
      <c r="E385" t="s">
        <v>9</v>
      </c>
      <c r="H385" t="s">
        <v>2936</v>
      </c>
      <c r="I385" t="s">
        <v>6590</v>
      </c>
      <c r="J385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t="s">
        <v>4</v>
      </c>
      <c r="E386" t="s">
        <v>9</v>
      </c>
      <c r="H386" t="s">
        <v>2936</v>
      </c>
      <c r="I386" t="s">
        <v>6593</v>
      </c>
      <c r="J386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t="s">
        <v>4</v>
      </c>
      <c r="E387" t="s">
        <v>9</v>
      </c>
      <c r="H387" t="s">
        <v>2936</v>
      </c>
      <c r="I387" t="s">
        <v>6596</v>
      </c>
      <c r="J387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t="s">
        <v>4</v>
      </c>
      <c r="E388" t="s">
        <v>9</v>
      </c>
      <c r="H388" t="s">
        <v>2936</v>
      </c>
      <c r="I388" t="s">
        <v>6599</v>
      </c>
      <c r="J38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t="s">
        <v>4</v>
      </c>
      <c r="E389" t="s">
        <v>9</v>
      </c>
      <c r="I389" t="s">
        <v>6602</v>
      </c>
      <c r="J389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t="s">
        <v>4</v>
      </c>
      <c r="E390" t="s">
        <v>9</v>
      </c>
      <c r="I390" t="s">
        <v>6605</v>
      </c>
      <c r="J390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t="s">
        <v>4</v>
      </c>
      <c r="E391" t="s">
        <v>9</v>
      </c>
      <c r="I391" t="s">
        <v>6724</v>
      </c>
      <c r="J391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t="s">
        <v>4</v>
      </c>
      <c r="E392" t="s">
        <v>6869</v>
      </c>
      <c r="I392" t="s">
        <v>6727</v>
      </c>
      <c r="J392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t="s">
        <v>1091</v>
      </c>
      <c r="E393" t="s">
        <v>58</v>
      </c>
      <c r="I393" t="s">
        <v>6730</v>
      </c>
      <c r="J393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t="s">
        <v>4</v>
      </c>
      <c r="E394" t="s">
        <v>9</v>
      </c>
      <c r="H394" t="s">
        <v>2936</v>
      </c>
      <c r="I394" t="s">
        <v>6733</v>
      </c>
      <c r="J394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t="s">
        <v>1091</v>
      </c>
      <c r="E395" t="s">
        <v>58</v>
      </c>
      <c r="I395" t="s">
        <v>6736</v>
      </c>
      <c r="J395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t="s">
        <v>4</v>
      </c>
      <c r="E396" t="s">
        <v>9</v>
      </c>
      <c r="H396" t="s">
        <v>2936</v>
      </c>
      <c r="I396" t="s">
        <v>6739</v>
      </c>
      <c r="J396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t="s">
        <v>1091</v>
      </c>
      <c r="E397" t="s">
        <v>53</v>
      </c>
      <c r="I397" t="s">
        <v>6742</v>
      </c>
      <c r="J397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t="s">
        <v>1091</v>
      </c>
      <c r="E398" t="s">
        <v>58</v>
      </c>
      <c r="I398" t="s">
        <v>6745</v>
      </c>
      <c r="J39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t="s">
        <v>4</v>
      </c>
      <c r="E399" t="s">
        <v>9</v>
      </c>
      <c r="H399" t="s">
        <v>2936</v>
      </c>
      <c r="I399" t="s">
        <v>6748</v>
      </c>
      <c r="J399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t="s">
        <v>4</v>
      </c>
      <c r="E400" t="s">
        <v>9</v>
      </c>
      <c r="H400" t="s">
        <v>2936</v>
      </c>
      <c r="I400" t="s">
        <v>6751</v>
      </c>
      <c r="J400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t="s">
        <v>4</v>
      </c>
      <c r="E401" t="s">
        <v>9</v>
      </c>
      <c r="H401" t="s">
        <v>2936</v>
      </c>
      <c r="I401" t="s">
        <v>6754</v>
      </c>
      <c r="J401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t="s">
        <v>1091</v>
      </c>
      <c r="E402" t="s">
        <v>53</v>
      </c>
      <c r="I402" t="s">
        <v>6757</v>
      </c>
      <c r="J402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t="s">
        <v>4</v>
      </c>
      <c r="E403" t="s">
        <v>6870</v>
      </c>
      <c r="I403" t="s">
        <v>6760</v>
      </c>
      <c r="J403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t="s">
        <v>1091</v>
      </c>
      <c r="E404" t="s">
        <v>53</v>
      </c>
      <c r="I404" t="s">
        <v>6763</v>
      </c>
      <c r="J404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t="s">
        <v>4</v>
      </c>
      <c r="E405" t="s">
        <v>9</v>
      </c>
      <c r="I405" t="s">
        <v>6766</v>
      </c>
      <c r="J405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t="s">
        <v>1091</v>
      </c>
      <c r="E406" t="s">
        <v>58</v>
      </c>
      <c r="I406" t="s">
        <v>6769</v>
      </c>
      <c r="J406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t="s">
        <v>1091</v>
      </c>
      <c r="E407" t="s">
        <v>58</v>
      </c>
      <c r="I407" t="s">
        <v>6772</v>
      </c>
      <c r="J407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t="s">
        <v>1091</v>
      </c>
      <c r="E408" t="s">
        <v>58</v>
      </c>
      <c r="I408" t="s">
        <v>6775</v>
      </c>
      <c r="J40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t="s">
        <v>4</v>
      </c>
      <c r="E409" t="s">
        <v>9</v>
      </c>
      <c r="H409" t="s">
        <v>2936</v>
      </c>
      <c r="I409" t="s">
        <v>6778</v>
      </c>
      <c r="J409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t="s">
        <v>4</v>
      </c>
      <c r="E410" t="s">
        <v>9</v>
      </c>
      <c r="I410" t="s">
        <v>6947</v>
      </c>
      <c r="J410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t="s">
        <v>4</v>
      </c>
      <c r="E411" t="s">
        <v>9</v>
      </c>
      <c r="H411" t="s">
        <v>2936</v>
      </c>
      <c r="I411" t="s">
        <v>6950</v>
      </c>
      <c r="J411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t="s">
        <v>1091</v>
      </c>
      <c r="E412" t="s">
        <v>58</v>
      </c>
      <c r="I412" t="s">
        <v>6953</v>
      </c>
      <c r="J412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t="s">
        <v>1091</v>
      </c>
      <c r="E413" t="s">
        <v>58</v>
      </c>
      <c r="I413" t="s">
        <v>6956</v>
      </c>
      <c r="J413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t="s">
        <v>1091</v>
      </c>
      <c r="E414" t="s">
        <v>58</v>
      </c>
      <c r="I414" t="s">
        <v>6959</v>
      </c>
      <c r="J414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t="s">
        <v>1091</v>
      </c>
      <c r="E415" t="s">
        <v>58</v>
      </c>
      <c r="I415" t="s">
        <v>6962</v>
      </c>
      <c r="J415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t="s">
        <v>4</v>
      </c>
      <c r="E416" t="s">
        <v>9</v>
      </c>
      <c r="H416" t="s">
        <v>2936</v>
      </c>
      <c r="I416" t="s">
        <v>6965</v>
      </c>
      <c r="J416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t="s">
        <v>4</v>
      </c>
      <c r="E417" t="s">
        <v>9</v>
      </c>
      <c r="H417" t="s">
        <v>2936</v>
      </c>
      <c r="I417" t="s">
        <v>6968</v>
      </c>
      <c r="J417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t="s">
        <v>4</v>
      </c>
      <c r="E418" t="s">
        <v>9</v>
      </c>
      <c r="H418" t="s">
        <v>2936</v>
      </c>
      <c r="I418" t="s">
        <v>6971</v>
      </c>
      <c r="J41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t="s">
        <v>4221</v>
      </c>
      <c r="E419" t="s">
        <v>5480</v>
      </c>
      <c r="F419" t="s">
        <v>6188</v>
      </c>
      <c r="I419" t="s">
        <v>6974</v>
      </c>
      <c r="J419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t="s">
        <v>4221</v>
      </c>
      <c r="E420" t="s">
        <v>5480</v>
      </c>
      <c r="F420" t="s">
        <v>6188</v>
      </c>
      <c r="I420" t="s">
        <v>6977</v>
      </c>
      <c r="J420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t="s">
        <v>4221</v>
      </c>
      <c r="E421" t="s">
        <v>5480</v>
      </c>
      <c r="F421" t="s">
        <v>6188</v>
      </c>
      <c r="I421" t="s">
        <v>6980</v>
      </c>
      <c r="J421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t="s">
        <v>4</v>
      </c>
      <c r="E422" t="s">
        <v>9</v>
      </c>
      <c r="I422" t="s">
        <v>6983</v>
      </c>
      <c r="J422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t="s">
        <v>1091</v>
      </c>
      <c r="E423" t="s">
        <v>58</v>
      </c>
      <c r="I423" t="s">
        <v>6986</v>
      </c>
      <c r="J423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t="s">
        <v>4</v>
      </c>
      <c r="E424" t="s">
        <v>9</v>
      </c>
      <c r="I424" t="s">
        <v>6989</v>
      </c>
      <c r="J424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t="s">
        <v>4</v>
      </c>
      <c r="E425" t="s">
        <v>9</v>
      </c>
      <c r="H425" t="s">
        <v>2936</v>
      </c>
      <c r="I425" t="s">
        <v>6992</v>
      </c>
      <c r="J425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t="s">
        <v>4</v>
      </c>
      <c r="E426" t="s">
        <v>9</v>
      </c>
      <c r="H426" t="s">
        <v>2936</v>
      </c>
      <c r="I426" t="s">
        <v>6995</v>
      </c>
      <c r="J426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t="s">
        <v>4</v>
      </c>
      <c r="E427" t="s">
        <v>9</v>
      </c>
      <c r="H427" t="s">
        <v>2936</v>
      </c>
      <c r="I427" t="s">
        <v>6998</v>
      </c>
      <c r="J427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t="s">
        <v>4</v>
      </c>
      <c r="E428" t="s">
        <v>9</v>
      </c>
      <c r="H428" t="s">
        <v>2936</v>
      </c>
      <c r="I428" t="s">
        <v>7001</v>
      </c>
      <c r="J42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t="s">
        <v>4</v>
      </c>
      <c r="E429" t="s">
        <v>9</v>
      </c>
      <c r="H429" t="s">
        <v>2936</v>
      </c>
      <c r="I429" t="s">
        <v>7004</v>
      </c>
      <c r="J429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t="s">
        <v>4</v>
      </c>
      <c r="E430" t="s">
        <v>9</v>
      </c>
      <c r="H430" t="s">
        <v>2936</v>
      </c>
      <c r="I430" t="s">
        <v>7007</v>
      </c>
      <c r="J430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t="s">
        <v>4</v>
      </c>
      <c r="E431" t="s">
        <v>1607</v>
      </c>
      <c r="F431" t="s">
        <v>7168</v>
      </c>
      <c r="I431" t="s">
        <v>7010</v>
      </c>
      <c r="J431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t="s">
        <v>4</v>
      </c>
      <c r="E432" t="s">
        <v>1607</v>
      </c>
      <c r="F432" t="s">
        <v>3076</v>
      </c>
      <c r="I432" t="s">
        <v>7013</v>
      </c>
      <c r="J432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t="s">
        <v>4</v>
      </c>
      <c r="E433" t="s">
        <v>9</v>
      </c>
      <c r="I433" t="s">
        <v>7016</v>
      </c>
      <c r="J433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t="s">
        <v>2004</v>
      </c>
      <c r="E434" t="s">
        <v>9</v>
      </c>
      <c r="I434" t="s">
        <v>7019</v>
      </c>
      <c r="J434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t="s">
        <v>2004</v>
      </c>
      <c r="E435" t="s">
        <v>9</v>
      </c>
      <c r="I435" t="s">
        <v>7022</v>
      </c>
      <c r="J435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t="s">
        <v>4</v>
      </c>
      <c r="E436" t="s">
        <v>9</v>
      </c>
      <c r="I436" t="s">
        <v>7193</v>
      </c>
      <c r="J436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t="s">
        <v>4</v>
      </c>
      <c r="E437" t="s">
        <v>7217</v>
      </c>
      <c r="I437" t="s">
        <v>7196</v>
      </c>
      <c r="J437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t="s">
        <v>4</v>
      </c>
      <c r="E438" t="s">
        <v>7217</v>
      </c>
      <c r="H438" t="s">
        <v>2936</v>
      </c>
      <c r="I438" t="s">
        <v>7199</v>
      </c>
      <c r="J43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t="s">
        <v>4</v>
      </c>
      <c r="E439" t="s">
        <v>9</v>
      </c>
      <c r="I439" t="s">
        <v>7269</v>
      </c>
      <c r="J439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t="s">
        <v>4</v>
      </c>
      <c r="E440" t="s">
        <v>7217</v>
      </c>
      <c r="I440" t="s">
        <v>7272</v>
      </c>
      <c r="J440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t="s">
        <v>4</v>
      </c>
      <c r="E441" t="s">
        <v>9</v>
      </c>
      <c r="I441" t="s">
        <v>7275</v>
      </c>
      <c r="J441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t="s">
        <v>4</v>
      </c>
      <c r="E442" t="s">
        <v>9</v>
      </c>
      <c r="H442" t="s">
        <v>2936</v>
      </c>
      <c r="I442" t="s">
        <v>7278</v>
      </c>
      <c r="J442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t="s">
        <v>4</v>
      </c>
      <c r="E443" t="s">
        <v>9</v>
      </c>
      <c r="H443" t="s">
        <v>2936</v>
      </c>
      <c r="I443" t="s">
        <v>7281</v>
      </c>
      <c r="J443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t="s">
        <v>4</v>
      </c>
      <c r="E444" t="s">
        <v>7217</v>
      </c>
      <c r="I444" t="s">
        <v>7284</v>
      </c>
      <c r="J444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t="s">
        <v>4</v>
      </c>
      <c r="E445" t="s">
        <v>9</v>
      </c>
      <c r="H445" t="s">
        <v>2936</v>
      </c>
      <c r="I445" t="s">
        <v>7287</v>
      </c>
      <c r="J445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t="s">
        <v>4</v>
      </c>
      <c r="E446" t="s">
        <v>9</v>
      </c>
      <c r="H446" t="s">
        <v>2936</v>
      </c>
      <c r="I446" t="s">
        <v>7290</v>
      </c>
      <c r="J446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t="s">
        <v>4</v>
      </c>
      <c r="E447" t="s">
        <v>9</v>
      </c>
      <c r="H447" t="s">
        <v>2936</v>
      </c>
      <c r="I447" t="s">
        <v>7293</v>
      </c>
      <c r="J447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t="s">
        <v>4</v>
      </c>
      <c r="E448" t="s">
        <v>86</v>
      </c>
      <c r="H448" t="s">
        <v>7710</v>
      </c>
      <c r="I448" t="s">
        <v>7296</v>
      </c>
      <c r="J44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t="s">
        <v>4</v>
      </c>
      <c r="E449" t="s">
        <v>86</v>
      </c>
      <c r="H449" t="s">
        <v>7710</v>
      </c>
      <c r="I449" t="s">
        <v>7451</v>
      </c>
      <c r="J449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t="s">
        <v>4</v>
      </c>
      <c r="E450" t="s">
        <v>7709</v>
      </c>
      <c r="I450" t="s">
        <v>7454</v>
      </c>
      <c r="J450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t="s">
        <v>4</v>
      </c>
      <c r="E451" t="s">
        <v>86</v>
      </c>
      <c r="H451" t="s">
        <v>7710</v>
      </c>
      <c r="I451" t="s">
        <v>7457</v>
      </c>
      <c r="J451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t="s">
        <v>4</v>
      </c>
      <c r="E452" t="s">
        <v>86</v>
      </c>
      <c r="H452" t="s">
        <v>7710</v>
      </c>
      <c r="I452" t="s">
        <v>7460</v>
      </c>
      <c r="J452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t="s">
        <v>4</v>
      </c>
      <c r="E453" t="s">
        <v>7709</v>
      </c>
      <c r="I453" t="s">
        <v>7463</v>
      </c>
      <c r="J453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t="s">
        <v>4</v>
      </c>
      <c r="E454" t="s">
        <v>7709</v>
      </c>
      <c r="I454" t="s">
        <v>7466</v>
      </c>
      <c r="J454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t="s">
        <v>4</v>
      </c>
      <c r="E455" t="s">
        <v>86</v>
      </c>
      <c r="H455" t="s">
        <v>7710</v>
      </c>
      <c r="I455" t="s">
        <v>7469</v>
      </c>
      <c r="J455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t="s">
        <v>4</v>
      </c>
      <c r="E456" t="s">
        <v>7709</v>
      </c>
      <c r="I456" t="s">
        <v>7472</v>
      </c>
      <c r="J456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t="s">
        <v>4</v>
      </c>
      <c r="E457" t="s">
        <v>86</v>
      </c>
      <c r="H457" t="s">
        <v>7710</v>
      </c>
      <c r="I457" t="s">
        <v>7475</v>
      </c>
      <c r="J457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t="s">
        <v>4</v>
      </c>
      <c r="E458" t="s">
        <v>86</v>
      </c>
      <c r="H458" t="s">
        <v>7710</v>
      </c>
      <c r="I458" t="s">
        <v>7729</v>
      </c>
      <c r="J45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t="s">
        <v>4</v>
      </c>
      <c r="E459" t="s">
        <v>7709</v>
      </c>
      <c r="I459" t="s">
        <v>7732</v>
      </c>
      <c r="J459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t="s">
        <v>4</v>
      </c>
      <c r="E460" t="s">
        <v>86</v>
      </c>
      <c r="H460" t="s">
        <v>7710</v>
      </c>
      <c r="I460" t="s">
        <v>7735</v>
      </c>
      <c r="J460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t="s">
        <v>4</v>
      </c>
      <c r="E461" t="s">
        <v>7709</v>
      </c>
      <c r="I461" t="s">
        <v>7738</v>
      </c>
      <c r="J461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t="s">
        <v>4</v>
      </c>
      <c r="E462" t="s">
        <v>86</v>
      </c>
      <c r="H462" t="s">
        <v>7710</v>
      </c>
      <c r="I462" t="s">
        <v>7741</v>
      </c>
      <c r="J462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t="s">
        <v>2004</v>
      </c>
      <c r="E463" t="s">
        <v>86</v>
      </c>
      <c r="I463" t="s">
        <v>7956</v>
      </c>
      <c r="J463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t="s">
        <v>2004</v>
      </c>
      <c r="E464" t="s">
        <v>86</v>
      </c>
      <c r="I464" t="s">
        <v>7959</v>
      </c>
      <c r="J464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t="s">
        <v>4</v>
      </c>
      <c r="E465" t="s">
        <v>8335</v>
      </c>
      <c r="I465" t="s">
        <v>8120</v>
      </c>
      <c r="J465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t="s">
        <v>1091</v>
      </c>
      <c r="E466" t="s">
        <v>8335</v>
      </c>
      <c r="F466" t="s">
        <v>53</v>
      </c>
      <c r="G466">
        <v>2</v>
      </c>
      <c r="H466" t="s">
        <v>8362</v>
      </c>
      <c r="I466" t="s">
        <v>8123</v>
      </c>
      <c r="J466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t="s">
        <v>1091</v>
      </c>
      <c r="E467" t="s">
        <v>8335</v>
      </c>
      <c r="F467" t="s">
        <v>53</v>
      </c>
      <c r="G467">
        <v>1</v>
      </c>
      <c r="I467" t="s">
        <v>8126</v>
      </c>
      <c r="J467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t="s">
        <v>1091</v>
      </c>
      <c r="E468" t="s">
        <v>8335</v>
      </c>
      <c r="F468" t="s">
        <v>53</v>
      </c>
      <c r="G468">
        <v>2</v>
      </c>
      <c r="I468" t="s">
        <v>8129</v>
      </c>
      <c r="J46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t="s">
        <v>4</v>
      </c>
      <c r="E469" t="s">
        <v>1607</v>
      </c>
      <c r="I469" t="s">
        <v>8132</v>
      </c>
      <c r="J469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t="s">
        <v>2004</v>
      </c>
      <c r="E470" t="s">
        <v>86</v>
      </c>
      <c r="H470" t="s">
        <v>5479</v>
      </c>
      <c r="I470" t="s">
        <v>8135</v>
      </c>
      <c r="J470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t="s">
        <v>2004</v>
      </c>
      <c r="E471" t="s">
        <v>86</v>
      </c>
      <c r="H471" t="s">
        <v>5479</v>
      </c>
      <c r="I471" t="s">
        <v>8138</v>
      </c>
      <c r="J471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t="s">
        <v>2004</v>
      </c>
      <c r="E472" t="s">
        <v>86</v>
      </c>
      <c r="H472" t="s">
        <v>5479</v>
      </c>
      <c r="I472" t="s">
        <v>8141</v>
      </c>
      <c r="J472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t="s">
        <v>2004</v>
      </c>
      <c r="E473" t="s">
        <v>86</v>
      </c>
      <c r="H473" t="s">
        <v>5479</v>
      </c>
      <c r="I473" t="s">
        <v>8420</v>
      </c>
      <c r="J473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t="s">
        <v>2004</v>
      </c>
      <c r="E474" t="s">
        <v>86</v>
      </c>
      <c r="H474" t="s">
        <v>5479</v>
      </c>
      <c r="I474" t="s">
        <v>8423</v>
      </c>
      <c r="J474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t="s">
        <v>2004</v>
      </c>
      <c r="E475" t="s">
        <v>86</v>
      </c>
      <c r="H475" t="s">
        <v>5479</v>
      </c>
      <c r="I475" t="s">
        <v>8426</v>
      </c>
      <c r="J475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t="s">
        <v>2004</v>
      </c>
      <c r="E476" t="s">
        <v>86</v>
      </c>
      <c r="H476" t="s">
        <v>5479</v>
      </c>
      <c r="I476" t="s">
        <v>8682</v>
      </c>
      <c r="J476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t="s">
        <v>2004</v>
      </c>
      <c r="E477" t="s">
        <v>86</v>
      </c>
      <c r="H477" t="s">
        <v>5479</v>
      </c>
      <c r="I477" t="s">
        <v>8685</v>
      </c>
      <c r="J477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t="s">
        <v>2004</v>
      </c>
      <c r="E478" t="s">
        <v>8825</v>
      </c>
      <c r="H478" t="s">
        <v>5479</v>
      </c>
      <c r="I478" t="s">
        <v>8688</v>
      </c>
      <c r="J47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t="s">
        <v>2004</v>
      </c>
      <c r="E479" t="s">
        <v>86</v>
      </c>
      <c r="H479" t="s">
        <v>5479</v>
      </c>
      <c r="I479" t="s">
        <v>8691</v>
      </c>
      <c r="J479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t="s">
        <v>2004</v>
      </c>
      <c r="E480" t="s">
        <v>86</v>
      </c>
      <c r="H480" t="s">
        <v>5479</v>
      </c>
      <c r="I480" t="s">
        <v>8694</v>
      </c>
      <c r="J480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t="s">
        <v>2004</v>
      </c>
      <c r="E481" t="s">
        <v>86</v>
      </c>
      <c r="H481" t="s">
        <v>5479</v>
      </c>
      <c r="I481" t="s">
        <v>8697</v>
      </c>
      <c r="J481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t="s">
        <v>2004</v>
      </c>
      <c r="E482" t="s">
        <v>86</v>
      </c>
      <c r="H482" t="s">
        <v>5479</v>
      </c>
      <c r="I482" t="s">
        <v>8700</v>
      </c>
      <c r="J482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t="s">
        <v>2004</v>
      </c>
      <c r="E483" t="s">
        <v>86</v>
      </c>
      <c r="H483" t="s">
        <v>5479</v>
      </c>
      <c r="I483" t="s">
        <v>8897</v>
      </c>
      <c r="J483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t="s">
        <v>4</v>
      </c>
      <c r="E484" t="s">
        <v>9</v>
      </c>
      <c r="I484" t="s">
        <v>8900</v>
      </c>
      <c r="J484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t="s">
        <v>9200</v>
      </c>
      <c r="E485" t="s">
        <v>9201</v>
      </c>
      <c r="I485" t="s">
        <v>8903</v>
      </c>
      <c r="J485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t="s">
        <v>2024</v>
      </c>
      <c r="E486" t="s">
        <v>1304</v>
      </c>
      <c r="I486" t="s">
        <v>8906</v>
      </c>
      <c r="J486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t="s">
        <v>9200</v>
      </c>
      <c r="E487" t="s">
        <v>5137</v>
      </c>
      <c r="I487" t="s">
        <v>8909</v>
      </c>
      <c r="J487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t="s">
        <v>5476</v>
      </c>
      <c r="E488" t="s">
        <v>5480</v>
      </c>
      <c r="F488" t="s">
        <v>9202</v>
      </c>
      <c r="I488" t="s">
        <v>8912</v>
      </c>
      <c r="J48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t="s">
        <v>4</v>
      </c>
      <c r="E489" t="s">
        <v>9</v>
      </c>
      <c r="I489" t="s">
        <v>8915</v>
      </c>
      <c r="J489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t="s">
        <v>5476</v>
      </c>
      <c r="E490" t="s">
        <v>5480</v>
      </c>
      <c r="F490" t="s">
        <v>9203</v>
      </c>
      <c r="I490" t="s">
        <v>8918</v>
      </c>
      <c r="J490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t="s">
        <v>4</v>
      </c>
      <c r="E491" t="s">
        <v>9204</v>
      </c>
      <c r="I491" t="s">
        <v>8921</v>
      </c>
      <c r="J491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t="s">
        <v>5476</v>
      </c>
      <c r="E492" t="s">
        <v>5480</v>
      </c>
      <c r="F492" t="s">
        <v>9203</v>
      </c>
      <c r="I492" t="s">
        <v>8924</v>
      </c>
      <c r="J492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t="s">
        <v>5476</v>
      </c>
      <c r="E493" t="s">
        <v>5480</v>
      </c>
      <c r="F493" t="s">
        <v>9203</v>
      </c>
      <c r="I493" t="s">
        <v>8927</v>
      </c>
      <c r="J493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t="s">
        <v>4</v>
      </c>
      <c r="E494" t="s">
        <v>9</v>
      </c>
      <c r="I494" t="s">
        <v>8930</v>
      </c>
      <c r="J494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t="s">
        <v>5476</v>
      </c>
      <c r="E495" t="s">
        <v>5480</v>
      </c>
      <c r="F495" t="s">
        <v>9203</v>
      </c>
      <c r="I495" t="s">
        <v>8933</v>
      </c>
      <c r="J495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t="s">
        <v>5476</v>
      </c>
      <c r="E496" t="s">
        <v>5480</v>
      </c>
      <c r="F496" t="s">
        <v>9203</v>
      </c>
      <c r="I496" t="s">
        <v>8936</v>
      </c>
      <c r="J496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t="s">
        <v>4</v>
      </c>
      <c r="E497" t="s">
        <v>9</v>
      </c>
      <c r="I497" t="s">
        <v>8939</v>
      </c>
      <c r="J497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t="s">
        <v>4</v>
      </c>
      <c r="E498" t="s">
        <v>86</v>
      </c>
      <c r="H498" t="s">
        <v>5479</v>
      </c>
      <c r="I498" t="s">
        <v>8942</v>
      </c>
      <c r="J49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t="s">
        <v>9205</v>
      </c>
      <c r="E499" t="s">
        <v>1304</v>
      </c>
      <c r="I499" t="s">
        <v>8945</v>
      </c>
      <c r="J499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t="s">
        <v>2024</v>
      </c>
      <c r="E500" t="s">
        <v>1304</v>
      </c>
      <c r="I500" t="s">
        <v>8948</v>
      </c>
      <c r="J500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t="s">
        <v>2024</v>
      </c>
      <c r="E501" t="s">
        <v>1304</v>
      </c>
      <c r="I501" t="s">
        <v>8951</v>
      </c>
      <c r="J501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t="s">
        <v>4</v>
      </c>
      <c r="E502" t="s">
        <v>9</v>
      </c>
      <c r="I502" t="s">
        <v>8954</v>
      </c>
      <c r="J502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t="s">
        <v>9200</v>
      </c>
      <c r="E503" t="s">
        <v>5137</v>
      </c>
      <c r="I503" t="s">
        <v>8957</v>
      </c>
      <c r="J503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t="s">
        <v>5476</v>
      </c>
      <c r="E504" t="s">
        <v>5480</v>
      </c>
      <c r="F504" t="s">
        <v>528</v>
      </c>
      <c r="I504" t="s">
        <v>8960</v>
      </c>
      <c r="J504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t="s">
        <v>4</v>
      </c>
      <c r="E505" t="s">
        <v>7709</v>
      </c>
      <c r="I505" t="s">
        <v>8963</v>
      </c>
      <c r="J505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t="s">
        <v>9206</v>
      </c>
      <c r="E506" t="s">
        <v>1304</v>
      </c>
      <c r="I506" t="s">
        <v>8966</v>
      </c>
      <c r="J506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t="s">
        <v>9206</v>
      </c>
      <c r="E507" t="s">
        <v>1304</v>
      </c>
      <c r="I507" t="s">
        <v>8969</v>
      </c>
      <c r="J507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t="s">
        <v>4</v>
      </c>
      <c r="E508" t="s">
        <v>86</v>
      </c>
      <c r="H508" t="s">
        <v>5479</v>
      </c>
      <c r="I508" t="s">
        <v>8972</v>
      </c>
      <c r="J50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t="s">
        <v>9456</v>
      </c>
      <c r="E509" t="s">
        <v>1304</v>
      </c>
      <c r="I509" t="s">
        <v>9288</v>
      </c>
      <c r="J509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t="s">
        <v>9456</v>
      </c>
      <c r="E510" t="s">
        <v>1304</v>
      </c>
      <c r="I510" t="s">
        <v>9291</v>
      </c>
      <c r="J510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t="s">
        <v>9456</v>
      </c>
      <c r="E511" t="s">
        <v>9457</v>
      </c>
      <c r="I511" t="s">
        <v>9294</v>
      </c>
      <c r="J511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t="s">
        <v>4</v>
      </c>
      <c r="E512" t="s">
        <v>7709</v>
      </c>
      <c r="I512" t="s">
        <v>9297</v>
      </c>
      <c r="J512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t="s">
        <v>9456</v>
      </c>
      <c r="E513" t="s">
        <v>1304</v>
      </c>
      <c r="I513" t="s">
        <v>9458</v>
      </c>
      <c r="J513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t="s">
        <v>9456</v>
      </c>
      <c r="E514" t="s">
        <v>1304</v>
      </c>
      <c r="I514" t="s">
        <v>9461</v>
      </c>
      <c r="J514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t="s">
        <v>9456</v>
      </c>
      <c r="E515" t="s">
        <v>1304</v>
      </c>
      <c r="I515" t="s">
        <v>9464</v>
      </c>
      <c r="J515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t="s">
        <v>9456</v>
      </c>
      <c r="E516" t="s">
        <v>1304</v>
      </c>
      <c r="I516" t="s">
        <v>9467</v>
      </c>
      <c r="J516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t="s">
        <v>9456</v>
      </c>
      <c r="E517" t="s">
        <v>1304</v>
      </c>
      <c r="I517" t="s">
        <v>9470</v>
      </c>
      <c r="J517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t="s">
        <v>9456</v>
      </c>
      <c r="E518" t="s">
        <v>1304</v>
      </c>
      <c r="I518" t="s">
        <v>9473</v>
      </c>
      <c r="J51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t="s">
        <v>9485</v>
      </c>
      <c r="E519" t="s">
        <v>1304</v>
      </c>
      <c r="I519" t="s">
        <v>9476</v>
      </c>
      <c r="J519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t="s">
        <v>9455</v>
      </c>
      <c r="E520" t="s">
        <v>5137</v>
      </c>
      <c r="I520" t="s">
        <v>9479</v>
      </c>
      <c r="J520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t="s">
        <v>4</v>
      </c>
      <c r="E521" t="s">
        <v>86</v>
      </c>
      <c r="H521" t="s">
        <v>5479</v>
      </c>
      <c r="I521" t="s">
        <v>9482</v>
      </c>
      <c r="J521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t="s">
        <v>4</v>
      </c>
      <c r="E522" t="s">
        <v>86</v>
      </c>
      <c r="H522" t="s">
        <v>5479</v>
      </c>
      <c r="I522" t="s">
        <v>9648</v>
      </c>
      <c r="J522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t="s">
        <v>4</v>
      </c>
      <c r="E523" t="s">
        <v>9691</v>
      </c>
      <c r="I523" t="s">
        <v>9651</v>
      </c>
      <c r="J523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t="s">
        <v>9692</v>
      </c>
      <c r="E524" t="s">
        <v>9201</v>
      </c>
      <c r="I524" t="s">
        <v>9654</v>
      </c>
      <c r="J524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  <row r="525" spans="1:13" x14ac:dyDescent="0.25">
      <c r="A525" s="2" t="s">
        <v>13</v>
      </c>
      <c r="B525" s="4">
        <v>46041</v>
      </c>
      <c r="C525" s="5">
        <v>0.3956365740740741</v>
      </c>
      <c r="D525" t="s">
        <v>9456</v>
      </c>
      <c r="E525" t="s">
        <v>1304</v>
      </c>
      <c r="I525" t="s">
        <v>9795</v>
      </c>
      <c r="J525" t="s">
        <v>2993</v>
      </c>
      <c r="K525" t="s">
        <v>9796</v>
      </c>
      <c r="L525" t="s">
        <v>9797</v>
      </c>
      <c r="M525" s="3" t="str">
        <f>HYPERLINK(склад2въезд13192021222[[#This Row],[RelativePath]])</f>
        <v>9 Ангар пилорама\E33149364_1_20260119T092943Z.jpg</v>
      </c>
    </row>
    <row r="526" spans="1:13" x14ac:dyDescent="0.25">
      <c r="A526" s="2" t="s">
        <v>13</v>
      </c>
      <c r="B526" s="4">
        <v>46041</v>
      </c>
      <c r="C526" s="5">
        <v>0.64296296296296296</v>
      </c>
      <c r="D526" t="s">
        <v>9456</v>
      </c>
      <c r="E526" t="s">
        <v>1304</v>
      </c>
      <c r="I526" t="s">
        <v>9798</v>
      </c>
      <c r="J526" t="s">
        <v>2993</v>
      </c>
      <c r="K526" t="s">
        <v>9799</v>
      </c>
      <c r="L526" t="s">
        <v>9800</v>
      </c>
      <c r="M526" s="3" t="str">
        <f>HYPERLINK(склад2въезд13192021222[[#This Row],[RelativePath]])</f>
        <v>9 Ангар пилорама\E33149364_1_20260119T152552Z.jpg</v>
      </c>
    </row>
    <row r="527" spans="1:13" x14ac:dyDescent="0.25">
      <c r="A527" s="2" t="s">
        <v>14</v>
      </c>
      <c r="B527" s="4">
        <v>46042</v>
      </c>
      <c r="C527" s="5">
        <v>0.39396990740740739</v>
      </c>
      <c r="D527" t="s">
        <v>4</v>
      </c>
      <c r="E527" t="s">
        <v>9</v>
      </c>
      <c r="I527" t="s">
        <v>9801</v>
      </c>
      <c r="J527" t="s">
        <v>2993</v>
      </c>
      <c r="K527" t="s">
        <v>9802</v>
      </c>
      <c r="L527" t="s">
        <v>9803</v>
      </c>
      <c r="M527" s="3" t="str">
        <f>HYPERLINK(склад2въезд13192021222[[#This Row],[RelativePath]])</f>
        <v>9 Ангар пилорама\E33149364_1_20260120T092719Z.jpg</v>
      </c>
    </row>
    <row r="528" spans="1:13" x14ac:dyDescent="0.25">
      <c r="A528" s="2" t="s">
        <v>14</v>
      </c>
      <c r="B528" s="4">
        <v>46042</v>
      </c>
      <c r="C528" s="5">
        <v>0.42283564814814817</v>
      </c>
      <c r="D528" t="s">
        <v>4</v>
      </c>
      <c r="E528" t="s">
        <v>5477</v>
      </c>
      <c r="I528" t="s">
        <v>9804</v>
      </c>
      <c r="J528" t="s">
        <v>2993</v>
      </c>
      <c r="K528" t="s">
        <v>9805</v>
      </c>
      <c r="L528" t="s">
        <v>9806</v>
      </c>
      <c r="M528" s="3" t="str">
        <f>HYPERLINK(склад2въезд13192021222[[#This Row],[RelativePath]])</f>
        <v>9 Ангар пилорама\E33149364_1_20260120T100853Z.jpg</v>
      </c>
    </row>
    <row r="529" spans="1:13" x14ac:dyDescent="0.25">
      <c r="A529" s="2" t="s">
        <v>14</v>
      </c>
      <c r="B529" s="4">
        <v>46042</v>
      </c>
      <c r="C529" s="5">
        <v>0.42439814814814814</v>
      </c>
      <c r="D529" t="s">
        <v>5476</v>
      </c>
      <c r="E529" t="s">
        <v>5480</v>
      </c>
      <c r="F529" t="s">
        <v>9202</v>
      </c>
      <c r="G529">
        <v>1</v>
      </c>
      <c r="I529" t="s">
        <v>9807</v>
      </c>
      <c r="J529" t="s">
        <v>2993</v>
      </c>
      <c r="K529" t="s">
        <v>9808</v>
      </c>
      <c r="L529" t="s">
        <v>9809</v>
      </c>
      <c r="M529" s="3" t="str">
        <f>HYPERLINK(склад2въезд13192021222[[#This Row],[RelativePath]])</f>
        <v>9 Ангар пилорама\E33149364_1_20260120T101108Z.jpg</v>
      </c>
    </row>
    <row r="530" spans="1:13" x14ac:dyDescent="0.25">
      <c r="A530" s="2" t="s">
        <v>14</v>
      </c>
      <c r="B530" s="4">
        <v>46042</v>
      </c>
      <c r="C530" s="5">
        <v>0.43718750000000001</v>
      </c>
      <c r="D530" t="s">
        <v>5476</v>
      </c>
      <c r="E530" t="s">
        <v>5480</v>
      </c>
      <c r="F530" t="s">
        <v>9202</v>
      </c>
      <c r="G530">
        <v>2</v>
      </c>
      <c r="I530" t="s">
        <v>9810</v>
      </c>
      <c r="J530" t="s">
        <v>2993</v>
      </c>
      <c r="K530" t="s">
        <v>9811</v>
      </c>
      <c r="L530" t="s">
        <v>9812</v>
      </c>
      <c r="M530" s="3" t="str">
        <f>HYPERLINK(склад2въезд13192021222[[#This Row],[RelativePath]])</f>
        <v>9 Ангар пилорама\E33149364_1_20260120T102933Z.jpg</v>
      </c>
    </row>
    <row r="531" spans="1:13" x14ac:dyDescent="0.25">
      <c r="A531" s="2" t="s">
        <v>14</v>
      </c>
      <c r="B531" s="4">
        <v>46042</v>
      </c>
      <c r="C531" s="5">
        <v>0.44275462962962964</v>
      </c>
      <c r="D531" t="s">
        <v>5476</v>
      </c>
      <c r="E531" t="s">
        <v>5480</v>
      </c>
      <c r="F531" t="s">
        <v>9202</v>
      </c>
      <c r="G531">
        <v>1</v>
      </c>
      <c r="I531" t="s">
        <v>9813</v>
      </c>
      <c r="J531" t="s">
        <v>2993</v>
      </c>
      <c r="K531" t="s">
        <v>9814</v>
      </c>
      <c r="L531" t="s">
        <v>9815</v>
      </c>
      <c r="M531" s="3" t="str">
        <f>HYPERLINK(склад2въезд13192021222[[#This Row],[RelativePath]])</f>
        <v>9 Ангар пилорама\E33149364_1_20260120T103734Z.jpg</v>
      </c>
    </row>
    <row r="532" spans="1:13" x14ac:dyDescent="0.25">
      <c r="A532" s="2" t="s">
        <v>14</v>
      </c>
      <c r="B532" s="4">
        <v>46042</v>
      </c>
      <c r="C532" s="5">
        <v>0.46475694444444443</v>
      </c>
      <c r="D532" t="s">
        <v>4</v>
      </c>
      <c r="E532" t="s">
        <v>5477</v>
      </c>
      <c r="I532" t="s">
        <v>9816</v>
      </c>
      <c r="J532" t="s">
        <v>2993</v>
      </c>
      <c r="K532" t="s">
        <v>9817</v>
      </c>
      <c r="L532" t="s">
        <v>9818</v>
      </c>
      <c r="M532" s="3" t="str">
        <f>HYPERLINK(склад2въезд13192021222[[#This Row],[RelativePath]])</f>
        <v>9 Ангар пилорама\E33149364_1_20260120T110915Z.jpg</v>
      </c>
    </row>
    <row r="533" spans="1:13" x14ac:dyDescent="0.25">
      <c r="A533" s="2" t="s">
        <v>14</v>
      </c>
      <c r="B533" s="4">
        <v>46042</v>
      </c>
      <c r="C533" s="5">
        <v>0.53749999999999998</v>
      </c>
      <c r="D533" t="s">
        <v>4</v>
      </c>
      <c r="E533" t="s">
        <v>5477</v>
      </c>
      <c r="I533" t="s">
        <v>9819</v>
      </c>
      <c r="J533" t="s">
        <v>2993</v>
      </c>
      <c r="K533" t="s">
        <v>9820</v>
      </c>
      <c r="L533" t="s">
        <v>9821</v>
      </c>
      <c r="M533" s="3" t="str">
        <f>HYPERLINK(склад2въезд13192021222[[#This Row],[RelativePath]])</f>
        <v>9 Ангар пилорама\E33149364_1_20260120T125400Z.jpg</v>
      </c>
    </row>
    <row r="534" spans="1:13" x14ac:dyDescent="0.25">
      <c r="A534" s="2" t="s">
        <v>14</v>
      </c>
      <c r="B534" s="4">
        <v>46042</v>
      </c>
      <c r="C534" s="5">
        <v>0.88525462962962964</v>
      </c>
      <c r="D534" t="s">
        <v>4</v>
      </c>
      <c r="E534" t="s">
        <v>86</v>
      </c>
      <c r="H534" t="s">
        <v>5479</v>
      </c>
      <c r="I534" t="s">
        <v>9822</v>
      </c>
      <c r="J534" t="s">
        <v>2993</v>
      </c>
      <c r="K534" t="s">
        <v>9823</v>
      </c>
      <c r="L534" t="s">
        <v>9824</v>
      </c>
      <c r="M534" s="3" t="str">
        <f>HYPERLINK(склад2въезд13192021222[[#This Row],[RelativePath]])</f>
        <v>9 Ангар пилорама\E33149364_1_20260120T211446Z.jpg</v>
      </c>
    </row>
    <row r="535" spans="1:13" x14ac:dyDescent="0.25">
      <c r="A535" s="2" t="s">
        <v>15</v>
      </c>
      <c r="B535" s="4">
        <v>46043</v>
      </c>
      <c r="C535" s="5">
        <v>0.38946759259259262</v>
      </c>
      <c r="D535" t="s">
        <v>9200</v>
      </c>
      <c r="E535" t="s">
        <v>5137</v>
      </c>
      <c r="I535" t="s">
        <v>10017</v>
      </c>
      <c r="J535" t="s">
        <v>2993</v>
      </c>
      <c r="K535" t="s">
        <v>10018</v>
      </c>
      <c r="L535" t="s">
        <v>10019</v>
      </c>
      <c r="M535" s="3" t="str">
        <f>HYPERLINK(склад2въезд13192021222[[#This Row],[RelativePath]])</f>
        <v>9 Ангар пилорама\E33149364_1_20260121T092050Z.jpg</v>
      </c>
    </row>
    <row r="536" spans="1:13" x14ac:dyDescent="0.25">
      <c r="A536" s="2" t="s">
        <v>15</v>
      </c>
      <c r="B536" s="4">
        <v>46043</v>
      </c>
      <c r="C536" s="5">
        <v>0.88011574074074073</v>
      </c>
      <c r="D536" t="s">
        <v>4</v>
      </c>
      <c r="E536" t="s">
        <v>7709</v>
      </c>
      <c r="I536" t="s">
        <v>10020</v>
      </c>
      <c r="J536" t="s">
        <v>2993</v>
      </c>
      <c r="K536" t="s">
        <v>10021</v>
      </c>
      <c r="L536" t="s">
        <v>10022</v>
      </c>
      <c r="M536" s="3" t="str">
        <f>HYPERLINK(склад2въезд13192021222[[#This Row],[RelativePath]])</f>
        <v>9 Ангар пилорама\E33149364_1_20260121T210722Z.jpg</v>
      </c>
    </row>
    <row r="537" spans="1:13" x14ac:dyDescent="0.25">
      <c r="A537" s="2" t="s">
        <v>16</v>
      </c>
      <c r="B537" s="4">
        <v>46044</v>
      </c>
      <c r="C537" s="5">
        <v>0.48199074074074072</v>
      </c>
      <c r="D537" t="s">
        <v>5476</v>
      </c>
      <c r="E537" t="s">
        <v>5480</v>
      </c>
      <c r="F537" t="s">
        <v>9202</v>
      </c>
      <c r="G537">
        <v>1</v>
      </c>
      <c r="I537" t="s">
        <v>10023</v>
      </c>
      <c r="J537" t="s">
        <v>2993</v>
      </c>
      <c r="K537" t="s">
        <v>10024</v>
      </c>
      <c r="L537" t="s">
        <v>10025</v>
      </c>
      <c r="M537" s="3" t="str">
        <f>HYPERLINK(склад2въезд13192021222[[#This Row],[RelativePath]])</f>
        <v>9 Ангар пилорама\E33149364_1_20260122T113404Z.jpg</v>
      </c>
    </row>
    <row r="538" spans="1:13" x14ac:dyDescent="0.25">
      <c r="A538" s="2" t="s">
        <v>16</v>
      </c>
      <c r="B538" s="4">
        <v>46044</v>
      </c>
      <c r="C538" s="5">
        <v>0.49608796296296298</v>
      </c>
      <c r="D538" t="s">
        <v>5476</v>
      </c>
      <c r="E538" t="s">
        <v>5480</v>
      </c>
      <c r="F538" t="s">
        <v>9202</v>
      </c>
      <c r="G538">
        <v>1</v>
      </c>
      <c r="I538" t="s">
        <v>10026</v>
      </c>
      <c r="J538" t="s">
        <v>2993</v>
      </c>
      <c r="K538" t="s">
        <v>10027</v>
      </c>
      <c r="L538" t="s">
        <v>10028</v>
      </c>
      <c r="M538" s="3" t="str">
        <f>HYPERLINK(склад2въезд13192021222[[#This Row],[RelativePath]])</f>
        <v>9 Ангар пилорама\E33149364_1_20260122T115422Z.jpg</v>
      </c>
    </row>
    <row r="539" spans="1:13" x14ac:dyDescent="0.25">
      <c r="A539" s="2" t="s">
        <v>16</v>
      </c>
      <c r="B539" s="4">
        <v>46044</v>
      </c>
      <c r="C539" s="5">
        <v>0.49717592592592591</v>
      </c>
      <c r="D539" t="s">
        <v>9692</v>
      </c>
      <c r="E539" t="s">
        <v>5137</v>
      </c>
      <c r="I539" t="s">
        <v>10029</v>
      </c>
      <c r="J539" t="s">
        <v>2993</v>
      </c>
      <c r="K539" t="s">
        <v>10030</v>
      </c>
      <c r="L539" t="s">
        <v>10031</v>
      </c>
      <c r="M539" s="3" t="str">
        <f>HYPERLINK(склад2въезд13192021222[[#This Row],[RelativePath]])</f>
        <v>9 Ангар пилорама\E33149364_1_20260122T115556Z.jpg</v>
      </c>
    </row>
    <row r="540" spans="1:13" x14ac:dyDescent="0.25">
      <c r="A540" s="2" t="s">
        <v>16</v>
      </c>
      <c r="B540" s="4">
        <v>46044</v>
      </c>
      <c r="C540" s="5">
        <v>0.50127314814814816</v>
      </c>
      <c r="D540" t="s">
        <v>5476</v>
      </c>
      <c r="E540" t="s">
        <v>5480</v>
      </c>
      <c r="F540" t="s">
        <v>9202</v>
      </c>
      <c r="G540">
        <v>2</v>
      </c>
      <c r="I540" t="s">
        <v>10032</v>
      </c>
      <c r="J540" t="s">
        <v>2993</v>
      </c>
      <c r="K540" t="s">
        <v>10033</v>
      </c>
      <c r="L540" t="s">
        <v>10034</v>
      </c>
      <c r="M540" s="3" t="str">
        <f>HYPERLINK(склад2въезд13192021222[[#This Row],[RelativePath]])</f>
        <v>9 Ангар пилорама\E33149364_1_20260122T120150Z.jpg</v>
      </c>
    </row>
    <row r="541" spans="1:13" x14ac:dyDescent="0.25">
      <c r="A541" s="2" t="s">
        <v>16</v>
      </c>
      <c r="B541" s="4">
        <v>46044</v>
      </c>
      <c r="C541" s="5">
        <v>0.614375</v>
      </c>
      <c r="D541" t="s">
        <v>158</v>
      </c>
      <c r="E541" t="s">
        <v>5480</v>
      </c>
      <c r="F541" t="s">
        <v>528</v>
      </c>
      <c r="G541">
        <v>1</v>
      </c>
      <c r="I541" t="s">
        <v>10035</v>
      </c>
      <c r="J541" t="s">
        <v>2993</v>
      </c>
      <c r="K541" t="s">
        <v>10036</v>
      </c>
      <c r="L541" t="s">
        <v>10037</v>
      </c>
      <c r="M541" s="3" t="str">
        <f>HYPERLINK(склад2въезд13192021222[[#This Row],[RelativePath]])</f>
        <v>9 Ангар пилорама\E33149364_1_20260122T144442Z.jpg</v>
      </c>
    </row>
    <row r="542" spans="1:13" x14ac:dyDescent="0.25">
      <c r="A542" s="2" t="s">
        <v>16</v>
      </c>
      <c r="B542" s="4">
        <v>46044</v>
      </c>
      <c r="C542" s="5">
        <v>0.96657407407407403</v>
      </c>
      <c r="D542" t="s">
        <v>650</v>
      </c>
      <c r="E542" t="s">
        <v>5480</v>
      </c>
      <c r="I542" t="s">
        <v>10038</v>
      </c>
      <c r="J542" t="s">
        <v>2993</v>
      </c>
      <c r="K542" t="s">
        <v>10039</v>
      </c>
      <c r="L542" t="s">
        <v>10040</v>
      </c>
      <c r="M542" s="3" t="str">
        <f>HYPERLINK(склад2въезд13192021222[[#This Row],[RelativePath]])</f>
        <v>9 Ангар пилорама\E33149364_1_20260122T231152Z.jpg</v>
      </c>
    </row>
    <row r="543" spans="1:13" x14ac:dyDescent="0.25">
      <c r="A543" s="2" t="s">
        <v>16</v>
      </c>
      <c r="B543" s="4">
        <v>46044</v>
      </c>
      <c r="C543" s="5">
        <v>0.99260416666666662</v>
      </c>
      <c r="D543" t="s">
        <v>4</v>
      </c>
      <c r="E543" t="s">
        <v>8824</v>
      </c>
      <c r="I543" t="s">
        <v>10041</v>
      </c>
      <c r="J543" t="s">
        <v>2993</v>
      </c>
      <c r="K543" t="s">
        <v>10042</v>
      </c>
      <c r="L543" t="s">
        <v>10043</v>
      </c>
      <c r="M543" s="3" t="str">
        <f>HYPERLINK(склад2въезд13192021222[[#This Row],[RelativePath]])</f>
        <v>9 Ангар пилорама\E33149364_1_20260122T234921Z.jpg</v>
      </c>
    </row>
    <row r="544" spans="1:13" x14ac:dyDescent="0.25">
      <c r="A544" s="2" t="s">
        <v>17</v>
      </c>
      <c r="B544" s="4">
        <v>46045</v>
      </c>
      <c r="C544" s="5">
        <v>1.1261574074074075E-2</v>
      </c>
      <c r="D544" t="s">
        <v>4</v>
      </c>
      <c r="E544" t="s">
        <v>10393</v>
      </c>
      <c r="H544" t="s">
        <v>5479</v>
      </c>
      <c r="I544" t="s">
        <v>10371</v>
      </c>
      <c r="J544" t="s">
        <v>2993</v>
      </c>
      <c r="K544" t="s">
        <v>10372</v>
      </c>
      <c r="L544" t="s">
        <v>10373</v>
      </c>
      <c r="M544" s="3" t="str">
        <f>HYPERLINK(склад2въезд13192021222[[#This Row],[RelativePath]])</f>
        <v>9 Ангар пилорама\E33149364_1_20260123T001613Z.jpg</v>
      </c>
    </row>
    <row r="545" spans="1:13" x14ac:dyDescent="0.25">
      <c r="A545" s="2" t="s">
        <v>17</v>
      </c>
      <c r="B545" s="4">
        <v>46045</v>
      </c>
      <c r="C545" s="5">
        <v>0.40991898148148148</v>
      </c>
      <c r="D545" t="s">
        <v>4</v>
      </c>
      <c r="E545" t="s">
        <v>7709</v>
      </c>
      <c r="I545" t="s">
        <v>10374</v>
      </c>
      <c r="J545" t="s">
        <v>2993</v>
      </c>
      <c r="K545" t="s">
        <v>10375</v>
      </c>
      <c r="L545" t="s">
        <v>10376</v>
      </c>
      <c r="M545" s="3" t="str">
        <f>HYPERLINK(склад2въезд13192021222[[#This Row],[RelativePath]])</f>
        <v>9 Ангар пилорама\E33149364_1_20260123T095017Z.jpg</v>
      </c>
    </row>
    <row r="546" spans="1:13" x14ac:dyDescent="0.25">
      <c r="A546" s="2" t="s">
        <v>17</v>
      </c>
      <c r="B546" s="4">
        <v>46045</v>
      </c>
      <c r="C546" s="5">
        <v>0.450625</v>
      </c>
      <c r="D546" t="s">
        <v>289</v>
      </c>
      <c r="E546" t="s">
        <v>9520</v>
      </c>
      <c r="F546" t="s">
        <v>58</v>
      </c>
      <c r="H546" t="s">
        <v>10445</v>
      </c>
      <c r="I546" t="s">
        <v>10377</v>
      </c>
      <c r="J546" t="s">
        <v>2993</v>
      </c>
      <c r="K546" t="s">
        <v>10378</v>
      </c>
      <c r="L546" t="s">
        <v>10379</v>
      </c>
      <c r="M546" s="3" t="str">
        <f>HYPERLINK(склад2въезд13192021222[[#This Row],[RelativePath]])</f>
        <v>9 Ангар пилорама\E33149364_1_20260123T104854Z.jpg</v>
      </c>
    </row>
    <row r="547" spans="1:13" x14ac:dyDescent="0.25">
      <c r="A547" s="2" t="s">
        <v>17</v>
      </c>
      <c r="B547" s="4">
        <v>46045</v>
      </c>
      <c r="C547" s="5">
        <v>0.45423611111111112</v>
      </c>
      <c r="D547" t="s">
        <v>289</v>
      </c>
      <c r="E547" t="s">
        <v>9520</v>
      </c>
      <c r="F547" t="s">
        <v>58</v>
      </c>
      <c r="H547" t="s">
        <v>2936</v>
      </c>
      <c r="I547" t="s">
        <v>10380</v>
      </c>
      <c r="J547" t="s">
        <v>2993</v>
      </c>
      <c r="K547" t="s">
        <v>10381</v>
      </c>
      <c r="L547" t="s">
        <v>10382</v>
      </c>
      <c r="M547" s="3" t="str">
        <f>HYPERLINK(склад2въезд13192021222[[#This Row],[RelativePath]])</f>
        <v>9 Ангар пилорама\E33149364_1_20260123T105406Z.jpg</v>
      </c>
    </row>
    <row r="548" spans="1:13" x14ac:dyDescent="0.25">
      <c r="A548" s="2" t="s">
        <v>17</v>
      </c>
      <c r="B548" s="4">
        <v>46045</v>
      </c>
      <c r="C548" s="5">
        <v>0.69060185185185186</v>
      </c>
      <c r="D548" t="s">
        <v>4</v>
      </c>
      <c r="E548" t="s">
        <v>5480</v>
      </c>
      <c r="H548" t="s">
        <v>5479</v>
      </c>
      <c r="I548" t="s">
        <v>10383</v>
      </c>
      <c r="J548" t="s">
        <v>2993</v>
      </c>
      <c r="K548" t="s">
        <v>10384</v>
      </c>
      <c r="L548" t="s">
        <v>10385</v>
      </c>
      <c r="M548" s="3" t="str">
        <f>HYPERLINK(склад2въезд13192021222[[#This Row],[RelativePath]])</f>
        <v>9 Ангар пилорама\E33149364_1_20260123T163428Z.jpg</v>
      </c>
    </row>
    <row r="549" spans="1:13" x14ac:dyDescent="0.25">
      <c r="A549" s="2" t="s">
        <v>18</v>
      </c>
      <c r="B549" s="4">
        <v>46046</v>
      </c>
      <c r="C549" s="5">
        <v>0.4387847222222222</v>
      </c>
      <c r="D549" t="s">
        <v>4</v>
      </c>
      <c r="E549" t="s">
        <v>5480</v>
      </c>
      <c r="H549" t="s">
        <v>5479</v>
      </c>
      <c r="I549" t="s">
        <v>10467</v>
      </c>
      <c r="J549" t="s">
        <v>2993</v>
      </c>
      <c r="K549" t="s">
        <v>10468</v>
      </c>
      <c r="L549" t="s">
        <v>10469</v>
      </c>
      <c r="M549" s="3" t="str">
        <f>HYPERLINK(склад2въезд13192021222[[#This Row],[RelativePath]])</f>
        <v>9 Ангар пилорама\E33149364_1_20260124T103151Z.jpg</v>
      </c>
    </row>
    <row r="550" spans="1:13" x14ac:dyDescent="0.25">
      <c r="A550" s="2" t="s">
        <v>22</v>
      </c>
      <c r="B550" s="4">
        <v>46047</v>
      </c>
      <c r="C550" s="5">
        <v>0.68355324074074075</v>
      </c>
      <c r="D550" t="s">
        <v>4</v>
      </c>
      <c r="E550" t="s">
        <v>5137</v>
      </c>
      <c r="I550" t="s">
        <v>10518</v>
      </c>
      <c r="J550" t="s">
        <v>2993</v>
      </c>
      <c r="K550" t="s">
        <v>10519</v>
      </c>
      <c r="L550" t="s">
        <v>10520</v>
      </c>
      <c r="M550" s="3" t="str">
        <f>HYPERLINK(склад2въезд13192021222[[#This Row],[RelativePath]])</f>
        <v>9 Ангар пилорама\E33149364_1_20260125T162419Z.jpg</v>
      </c>
    </row>
    <row r="551" spans="1:13" x14ac:dyDescent="0.25">
      <c r="A551" s="2" t="s">
        <v>13</v>
      </c>
      <c r="B551" s="4">
        <v>46048</v>
      </c>
      <c r="C551" s="5">
        <v>0.52254629629629634</v>
      </c>
      <c r="D551" t="s">
        <v>9455</v>
      </c>
      <c r="E551" t="s">
        <v>531</v>
      </c>
      <c r="I551" t="s">
        <v>10585</v>
      </c>
      <c r="J551" t="s">
        <v>2993</v>
      </c>
      <c r="K551" t="s">
        <v>10586</v>
      </c>
      <c r="L551" t="s">
        <v>10587</v>
      </c>
      <c r="M551" s="3" t="str">
        <f>HYPERLINK(склад2въезд13192021222[[#This Row],[RelativePath]])</f>
        <v>9 Ангар пилорама\E33149364_1_20260126T123228Z.jpg</v>
      </c>
    </row>
    <row r="552" spans="1:13" x14ac:dyDescent="0.25">
      <c r="A552" s="2" t="s">
        <v>13</v>
      </c>
      <c r="B552" s="4">
        <v>46048</v>
      </c>
      <c r="C552" s="5">
        <v>0.68349537037037034</v>
      </c>
      <c r="D552" t="s">
        <v>10637</v>
      </c>
      <c r="E552" t="s">
        <v>531</v>
      </c>
      <c r="I552" t="s">
        <v>10588</v>
      </c>
      <c r="J552" t="s">
        <v>2993</v>
      </c>
      <c r="K552" t="s">
        <v>10589</v>
      </c>
      <c r="L552" t="s">
        <v>10590</v>
      </c>
      <c r="M552" s="3" t="str">
        <f>HYPERLINK(склад2въезд13192021222[[#This Row],[RelativePath]])</f>
        <v>9 Ангар пилорама\E33149364_1_20260126T162414Z.jpg</v>
      </c>
    </row>
    <row r="553" spans="1:13" x14ac:dyDescent="0.25">
      <c r="A553" s="2" t="s">
        <v>14</v>
      </c>
      <c r="B553" s="4">
        <v>46049</v>
      </c>
      <c r="C553" s="5">
        <v>0.52869212962962964</v>
      </c>
      <c r="D553" t="s">
        <v>9455</v>
      </c>
      <c r="E553" t="s">
        <v>531</v>
      </c>
      <c r="I553" t="s">
        <v>10591</v>
      </c>
      <c r="J553" t="s">
        <v>2993</v>
      </c>
      <c r="K553" t="s">
        <v>10592</v>
      </c>
      <c r="L553" t="s">
        <v>10593</v>
      </c>
      <c r="M553" s="3" t="str">
        <f>HYPERLINK(склад2въезд13192021222[[#This Row],[RelativePath]])</f>
        <v>9 Ангар пилорама\E33149364_1_20260127T124119Z.jpg</v>
      </c>
    </row>
    <row r="554" spans="1:13" x14ac:dyDescent="0.25">
      <c r="A554" s="2" t="s">
        <v>14</v>
      </c>
      <c r="B554" s="4">
        <v>46049</v>
      </c>
      <c r="C554" s="5">
        <v>0.60849537037037038</v>
      </c>
      <c r="D554" t="s">
        <v>10637</v>
      </c>
      <c r="E554" t="s">
        <v>531</v>
      </c>
      <c r="I554" t="s">
        <v>10594</v>
      </c>
      <c r="J554" t="s">
        <v>2993</v>
      </c>
      <c r="K554" t="s">
        <v>10595</v>
      </c>
      <c r="L554" t="s">
        <v>10596</v>
      </c>
      <c r="M554" s="3" t="str">
        <f>HYPERLINK(склад2въезд13192021222[[#This Row],[RelativePath]])</f>
        <v>9 Ангар пилорама\E33149364_1_20260127T143614Z.jpg</v>
      </c>
    </row>
    <row r="555" spans="1:13" x14ac:dyDescent="0.25">
      <c r="A555" s="2" t="s">
        <v>14</v>
      </c>
      <c r="B555" s="4">
        <v>46049</v>
      </c>
      <c r="C555" s="5">
        <v>0.70747685185185183</v>
      </c>
      <c r="D555" t="s">
        <v>4</v>
      </c>
      <c r="E555" t="s">
        <v>7709</v>
      </c>
      <c r="I555" t="s">
        <v>10597</v>
      </c>
      <c r="J555" t="s">
        <v>2993</v>
      </c>
      <c r="K555" t="s">
        <v>10598</v>
      </c>
      <c r="L555" t="s">
        <v>10599</v>
      </c>
      <c r="M555" s="3" t="str">
        <f>HYPERLINK(склад2въезд13192021222[[#This Row],[RelativePath]])</f>
        <v>9 Ангар пилорама\E33149364_1_20260127T165846Z.jpg</v>
      </c>
    </row>
    <row r="556" spans="1:13" x14ac:dyDescent="0.25">
      <c r="A556" s="2" t="s">
        <v>15</v>
      </c>
      <c r="B556" s="4">
        <v>46050</v>
      </c>
      <c r="C556" s="5">
        <v>0.38651620370370371</v>
      </c>
      <c r="D556" t="s">
        <v>9455</v>
      </c>
      <c r="E556" t="s">
        <v>531</v>
      </c>
      <c r="I556" t="s">
        <v>10788</v>
      </c>
      <c r="J556" t="s">
        <v>2993</v>
      </c>
      <c r="K556" t="s">
        <v>10789</v>
      </c>
      <c r="L556" t="s">
        <v>10790</v>
      </c>
      <c r="M556" s="3" t="str">
        <f>HYPERLINK(склад2въезд13192021222[[#This Row],[RelativePath]])</f>
        <v>9 Ангар пилорама\E33149364_1_20260128T091635Z.jpg</v>
      </c>
    </row>
    <row r="557" spans="1:13" x14ac:dyDescent="0.25">
      <c r="A557" s="2" t="s">
        <v>15</v>
      </c>
      <c r="B557" s="4">
        <v>46050</v>
      </c>
      <c r="C557" s="5">
        <v>0.41680555555555554</v>
      </c>
      <c r="D557" t="s">
        <v>4</v>
      </c>
      <c r="E557" t="s">
        <v>7709</v>
      </c>
      <c r="I557" t="s">
        <v>10791</v>
      </c>
      <c r="J557" t="s">
        <v>2993</v>
      </c>
      <c r="K557" t="s">
        <v>10792</v>
      </c>
      <c r="L557" t="s">
        <v>10793</v>
      </c>
      <c r="M557" s="3" t="str">
        <f>HYPERLINK(склад2въезд13192021222[[#This Row],[RelativePath]])</f>
        <v>9 Ангар пилорама\E33149364_1_20260128T100012Z.jpg</v>
      </c>
    </row>
    <row r="558" spans="1:13" x14ac:dyDescent="0.25">
      <c r="A558" s="2" t="s">
        <v>15</v>
      </c>
      <c r="B558" s="4">
        <v>46050</v>
      </c>
      <c r="C558" s="5">
        <v>0.42199074074074072</v>
      </c>
      <c r="D558" t="s">
        <v>5476</v>
      </c>
      <c r="E558" t="s">
        <v>5480</v>
      </c>
      <c r="F558" t="s">
        <v>9202</v>
      </c>
      <c r="I558" t="s">
        <v>10794</v>
      </c>
      <c r="J558" t="s">
        <v>2993</v>
      </c>
      <c r="K558" t="s">
        <v>10795</v>
      </c>
      <c r="L558" t="s">
        <v>10796</v>
      </c>
      <c r="M558" s="3" t="str">
        <f>HYPERLINK(склад2въезд13192021222[[#This Row],[RelativePath]])</f>
        <v>9 Ангар пилорама\E33149364_1_20260128T100740Z.jpg</v>
      </c>
    </row>
    <row r="559" spans="1:13" x14ac:dyDescent="0.25">
      <c r="A559" s="2" t="s">
        <v>15</v>
      </c>
      <c r="B559" s="4">
        <v>46050</v>
      </c>
      <c r="C559" s="5">
        <v>0.42229166666666668</v>
      </c>
      <c r="D559" t="s">
        <v>9692</v>
      </c>
      <c r="E559" t="s">
        <v>5137</v>
      </c>
      <c r="I559" t="s">
        <v>10797</v>
      </c>
      <c r="J559" t="s">
        <v>2993</v>
      </c>
      <c r="K559" t="s">
        <v>10798</v>
      </c>
      <c r="L559" t="s">
        <v>10799</v>
      </c>
      <c r="M559" s="3" t="str">
        <f>HYPERLINK(склад2въезд13192021222[[#This Row],[RelativePath]])</f>
        <v>9 Ангар пилорама\E33149364_1_20260128T100806Z.jpg</v>
      </c>
    </row>
    <row r="560" spans="1:13" x14ac:dyDescent="0.25">
      <c r="A560" s="2" t="s">
        <v>15</v>
      </c>
      <c r="B560" s="4">
        <v>46050</v>
      </c>
      <c r="C560" s="5">
        <v>0.65254629629629635</v>
      </c>
      <c r="D560" t="s">
        <v>5476</v>
      </c>
      <c r="E560" t="s">
        <v>5480</v>
      </c>
      <c r="F560" t="s">
        <v>9202</v>
      </c>
      <c r="I560" t="s">
        <v>10800</v>
      </c>
      <c r="J560" t="s">
        <v>2993</v>
      </c>
      <c r="K560" t="s">
        <v>10801</v>
      </c>
      <c r="L560" t="s">
        <v>10802</v>
      </c>
      <c r="M560" s="3" t="str">
        <f>HYPERLINK(склад2въезд13192021222[[#This Row],[RelativePath]])</f>
        <v>9 Ангар пилорама\E33149364_1_20260128T153940Z.jpg</v>
      </c>
    </row>
    <row r="561" spans="1:13" x14ac:dyDescent="0.25">
      <c r="A561" s="2" t="s">
        <v>15</v>
      </c>
      <c r="B561" s="4">
        <v>46050</v>
      </c>
      <c r="C561" s="5">
        <v>0.6539814814814815</v>
      </c>
      <c r="D561" t="s">
        <v>158</v>
      </c>
      <c r="E561" t="s">
        <v>9201</v>
      </c>
      <c r="F561" t="s">
        <v>2929</v>
      </c>
      <c r="I561" t="s">
        <v>10803</v>
      </c>
      <c r="J561" t="s">
        <v>2993</v>
      </c>
      <c r="K561" t="s">
        <v>10804</v>
      </c>
      <c r="L561" t="s">
        <v>10805</v>
      </c>
      <c r="M561" s="3" t="str">
        <f>HYPERLINK(склад2въезд13192021222[[#This Row],[RelativePath]])</f>
        <v>9 Ангар пилорама\E33149364_1_20260128T154144Z.jpg</v>
      </c>
    </row>
    <row r="562" spans="1:13" x14ac:dyDescent="0.25">
      <c r="A562" s="2" t="s">
        <v>15</v>
      </c>
      <c r="B562" s="4">
        <v>46050</v>
      </c>
      <c r="C562" s="5">
        <v>0.89396990740740745</v>
      </c>
      <c r="D562" t="s">
        <v>9200</v>
      </c>
      <c r="E562" t="s">
        <v>5137</v>
      </c>
      <c r="I562" t="s">
        <v>10806</v>
      </c>
      <c r="J562" t="s">
        <v>2993</v>
      </c>
      <c r="K562" t="s">
        <v>10807</v>
      </c>
      <c r="L562" t="s">
        <v>10808</v>
      </c>
      <c r="M562" s="3" t="str">
        <f>HYPERLINK(склад2въезд13192021222[[#This Row],[RelativePath]])</f>
        <v>9 Ангар пилорама\E33149364_1_20260128T212719Z.jpg</v>
      </c>
    </row>
    <row r="563" spans="1:13" x14ac:dyDescent="0.25">
      <c r="A563" s="2" t="s">
        <v>16</v>
      </c>
      <c r="B563" s="4">
        <v>46051</v>
      </c>
      <c r="C563" s="5">
        <v>0.44464120370370369</v>
      </c>
      <c r="D563" t="s">
        <v>9455</v>
      </c>
      <c r="E563" t="s">
        <v>531</v>
      </c>
      <c r="I563" t="s">
        <v>10809</v>
      </c>
      <c r="J563" t="s">
        <v>2993</v>
      </c>
      <c r="K563" t="s">
        <v>10810</v>
      </c>
      <c r="L563" t="s">
        <v>10811</v>
      </c>
      <c r="M563" s="3" t="str">
        <f>HYPERLINK(склад2въезд13192021222[[#This Row],[RelativePath]])</f>
        <v>9 Ангар пилорама\E33149364_1_20260129T104017Z.jpg</v>
      </c>
    </row>
    <row r="564" spans="1:13" x14ac:dyDescent="0.25">
      <c r="A564" s="2" t="s">
        <v>16</v>
      </c>
      <c r="B564" s="4">
        <v>46051</v>
      </c>
      <c r="C564" s="5">
        <v>0.49818287037037035</v>
      </c>
      <c r="D564" t="s">
        <v>9200</v>
      </c>
      <c r="E564" t="s">
        <v>5137</v>
      </c>
      <c r="I564" t="s">
        <v>10812</v>
      </c>
      <c r="J564" t="s">
        <v>2993</v>
      </c>
      <c r="K564" t="s">
        <v>10813</v>
      </c>
      <c r="L564" t="s">
        <v>10814</v>
      </c>
      <c r="M564" s="3" t="str">
        <f>HYPERLINK(склад2въезд13192021222[[#This Row],[RelativePath]])</f>
        <v>9 Ангар пилорама\E33149364_1_20260129T115723Z.jpg</v>
      </c>
    </row>
    <row r="565" spans="1:13" x14ac:dyDescent="0.25">
      <c r="A565" s="2" t="s">
        <v>16</v>
      </c>
      <c r="B565" s="4">
        <v>46051</v>
      </c>
      <c r="C565" s="5">
        <v>0.52173611111111107</v>
      </c>
      <c r="D565" t="s">
        <v>9200</v>
      </c>
      <c r="E565" t="s">
        <v>5137</v>
      </c>
      <c r="I565" t="s">
        <v>10815</v>
      </c>
      <c r="J565" t="s">
        <v>2993</v>
      </c>
      <c r="K565" t="s">
        <v>10816</v>
      </c>
      <c r="L565" t="s">
        <v>10817</v>
      </c>
      <c r="M565" s="3" t="str">
        <f>HYPERLINK(склад2въезд13192021222[[#This Row],[RelativePath]])</f>
        <v>9 Ангар пилорама\E33149364_1_20260129T123118Z.jpg</v>
      </c>
    </row>
    <row r="566" spans="1:13" x14ac:dyDescent="0.25">
      <c r="A566" s="2" t="s">
        <v>16</v>
      </c>
      <c r="B566" s="4">
        <v>46051</v>
      </c>
      <c r="C566" s="5">
        <v>0.5367939814814815</v>
      </c>
      <c r="D566" t="s">
        <v>2024</v>
      </c>
      <c r="E566" t="s">
        <v>1304</v>
      </c>
      <c r="H566" t="s">
        <v>10889</v>
      </c>
      <c r="I566" t="s">
        <v>10818</v>
      </c>
      <c r="J566" t="s">
        <v>2993</v>
      </c>
      <c r="K566" t="s">
        <v>10819</v>
      </c>
      <c r="L566" t="s">
        <v>10820</v>
      </c>
      <c r="M566" s="3" t="str">
        <f>HYPERLINK(склад2въезд13192021222[[#This Row],[RelativePath]])</f>
        <v>9 Ангар пилорама\E33149364_1_20260129T125259Z.jpg</v>
      </c>
    </row>
    <row r="567" spans="1:13" x14ac:dyDescent="0.25">
      <c r="A567" s="2" t="s">
        <v>16</v>
      </c>
      <c r="B567" s="4">
        <v>46051</v>
      </c>
      <c r="C567" s="5">
        <v>0.66745370370370372</v>
      </c>
      <c r="D567" t="s">
        <v>9200</v>
      </c>
      <c r="E567" t="s">
        <v>5137</v>
      </c>
      <c r="I567" t="s">
        <v>10821</v>
      </c>
      <c r="J567" t="s">
        <v>2993</v>
      </c>
      <c r="K567" t="s">
        <v>10822</v>
      </c>
      <c r="L567" t="s">
        <v>10823</v>
      </c>
      <c r="M567" s="3" t="str">
        <f>HYPERLINK(склад2въезд13192021222[[#This Row],[RelativePath]])</f>
        <v>9 Ангар пилорама\E33149364_1_20260129T160108Z.jpg</v>
      </c>
    </row>
    <row r="568" spans="1:13" x14ac:dyDescent="0.25">
      <c r="A568" s="2" t="s">
        <v>17</v>
      </c>
      <c r="B568" s="4">
        <v>46052</v>
      </c>
      <c r="C568" s="5">
        <v>0.39917824074074076</v>
      </c>
      <c r="D568" t="s">
        <v>9455</v>
      </c>
      <c r="E568" t="s">
        <v>531</v>
      </c>
      <c r="I568" t="s">
        <v>10947</v>
      </c>
      <c r="J568" t="s">
        <v>2993</v>
      </c>
      <c r="K568" t="s">
        <v>10948</v>
      </c>
      <c r="L568" t="s">
        <v>10949</v>
      </c>
      <c r="M568" s="3" t="str">
        <f>HYPERLINK(склад2въезд13192021222[[#This Row],[RelativePath]])</f>
        <v>9 Ангар пилорама\E33149364_1_20260130T093449Z.jpg</v>
      </c>
    </row>
    <row r="569" spans="1:13" x14ac:dyDescent="0.25">
      <c r="A569" s="2" t="s">
        <v>17</v>
      </c>
      <c r="B569" s="4">
        <v>46052</v>
      </c>
      <c r="C569" s="5">
        <v>0.41440972222222222</v>
      </c>
      <c r="D569" t="s">
        <v>4</v>
      </c>
      <c r="E569" t="s">
        <v>7709</v>
      </c>
      <c r="I569" t="s">
        <v>10950</v>
      </c>
      <c r="J569" t="s">
        <v>2993</v>
      </c>
      <c r="K569" t="s">
        <v>10951</v>
      </c>
      <c r="L569" t="s">
        <v>10952</v>
      </c>
      <c r="M569" s="3" t="str">
        <f>HYPERLINK(склад2въезд13192021222[[#This Row],[RelativePath]])</f>
        <v>9 Ангар пилорама\E33149364_1_20260130T095645Z.jpg</v>
      </c>
    </row>
    <row r="570" spans="1:13" x14ac:dyDescent="0.25">
      <c r="A570" s="2" t="s">
        <v>17</v>
      </c>
      <c r="B570" s="4">
        <v>46052</v>
      </c>
      <c r="C570" s="5">
        <v>0.72223379629629625</v>
      </c>
      <c r="D570" t="s">
        <v>4</v>
      </c>
      <c r="E570" t="s">
        <v>5480</v>
      </c>
      <c r="H570" t="s">
        <v>5479</v>
      </c>
      <c r="I570" t="s">
        <v>10953</v>
      </c>
      <c r="J570" t="s">
        <v>2993</v>
      </c>
      <c r="K570" t="s">
        <v>10954</v>
      </c>
      <c r="L570" t="s">
        <v>10955</v>
      </c>
      <c r="M570" s="3" t="str">
        <f>HYPERLINK(склад2въезд13192021222[[#This Row],[RelativePath]])</f>
        <v>9 Ангар пилорама\E33149364_1_20260130T172001Z.jpg</v>
      </c>
    </row>
    <row r="571" spans="1:13" x14ac:dyDescent="0.25">
      <c r="A571" s="2" t="s">
        <v>18</v>
      </c>
      <c r="B571" s="4">
        <v>46053</v>
      </c>
      <c r="C571" s="5">
        <v>0.50487268518518513</v>
      </c>
      <c r="D571" t="s">
        <v>11133</v>
      </c>
      <c r="E571" t="s">
        <v>11134</v>
      </c>
      <c r="I571" t="s">
        <v>11046</v>
      </c>
      <c r="J571" t="s">
        <v>2993</v>
      </c>
      <c r="K571" t="s">
        <v>11047</v>
      </c>
      <c r="L571" t="s">
        <v>11048</v>
      </c>
      <c r="M571" s="3" t="str">
        <f>HYPERLINK(склад2въезд13192021222[[#This Row],[RelativePath]])</f>
        <v>9 Ангар пилорама\E33149364_1_20260131T120701Z.jpg</v>
      </c>
    </row>
    <row r="572" spans="1:13" x14ac:dyDescent="0.25">
      <c r="A572" s="2" t="s">
        <v>22</v>
      </c>
      <c r="B572" s="4">
        <v>46054</v>
      </c>
      <c r="C572" s="5">
        <v>0.51655092592592589</v>
      </c>
      <c r="D572" t="s">
        <v>9692</v>
      </c>
      <c r="E572" t="s">
        <v>1607</v>
      </c>
      <c r="I572" t="s">
        <v>11049</v>
      </c>
      <c r="J572" t="s">
        <v>2993</v>
      </c>
      <c r="K572" t="s">
        <v>11050</v>
      </c>
      <c r="L572" t="s">
        <v>11051</v>
      </c>
      <c r="M572" s="3" t="str">
        <f>HYPERLINK(склад2въезд13192021222[[#This Row],[RelativePath]])</f>
        <v>9 Ангар пилорама\E33149364_1_20260201T122350Z.jpg</v>
      </c>
    </row>
  </sheetData>
  <conditionalFormatting sqref="D573:D583 E573:E586 G2:H572 D2:E572">
    <cfRule type="containsText" dxfId="633" priority="14" operator="containsText" text="Выезд с территории">
      <formula>NOT(ISERROR(SEARCH("Выезд с территории",D2)))</formula>
    </cfRule>
  </conditionalFormatting>
  <conditionalFormatting sqref="F2:F572">
    <cfRule type="notContainsText" dxfId="632" priority="13" operator="notContains" text="порожний">
      <formula>ISERROR(SEARCH("порожний",F2))</formula>
    </cfRule>
  </conditionalFormatting>
  <conditionalFormatting sqref="E2:E586">
    <cfRule type="containsText" dxfId="631" priority="11" operator="containsText" text="Газель базы">
      <formula>NOT(ISERROR(SEARCH("Газель базы",E2)))</formula>
    </cfRule>
    <cfRule type="containsText" dxfId="630" priority="12" operator="containsText" text="Погрузчик базы">
      <formula>NOT(ISERROR(SEARCH("Погрузчик базы",E2)))</formula>
    </cfRule>
  </conditionalFormatting>
  <conditionalFormatting sqref="E2:E586">
    <cfRule type="containsText" dxfId="629" priority="10" operator="containsText" text="Трактор базы">
      <formula>NOT(ISERROR(SEARCH("Трактор базы",E2)))</formula>
    </cfRule>
  </conditionalFormatting>
  <conditionalFormatting sqref="A2:C572">
    <cfRule type="expression" dxfId="628" priority="9">
      <formula>$A2="пн"</formula>
    </cfRule>
  </conditionalFormatting>
  <conditionalFormatting sqref="A2:C574">
    <cfRule type="expression" dxfId="627" priority="3">
      <formula>$A2="вс"</formula>
    </cfRule>
    <cfRule type="expression" dxfId="626" priority="4">
      <formula>$A2="сб"</formula>
    </cfRule>
    <cfRule type="expression" dxfId="625" priority="5">
      <formula>$A2="пт"</formula>
    </cfRule>
    <cfRule type="expression" dxfId="624" priority="6">
      <formula>$A2="чт"</formula>
    </cfRule>
    <cfRule type="expression" dxfId="623" priority="7">
      <formula>$A2="ср"</formula>
    </cfRule>
    <cfRule type="expression" dxfId="622" priority="8">
      <formula>$A2="вт"</formula>
    </cfRule>
  </conditionalFormatting>
  <conditionalFormatting sqref="D2:D583">
    <cfRule type="containsText" dxfId="62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83">
    <cfRule type="containsText" dxfId="62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602"/>
  <sheetViews>
    <sheetView zoomScale="90" zoomScaleNormal="90" workbookViewId="0">
      <pane ySplit="1" topLeftCell="A587" activePane="bottomLeft" state="frozen"/>
      <selection pane="bottomLeft" activeCell="I589" sqref="I589:I60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6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2956</v>
      </c>
      <c r="I109" t="s">
        <v>2658</v>
      </c>
      <c r="J109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2956</v>
      </c>
      <c r="I110" t="s">
        <v>2661</v>
      </c>
      <c r="J110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2956</v>
      </c>
      <c r="I111" t="s">
        <v>2664</v>
      </c>
      <c r="J111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2956</v>
      </c>
      <c r="I112" t="s">
        <v>2667</v>
      </c>
      <c r="J112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2956</v>
      </c>
      <c r="I113" t="s">
        <v>2670</v>
      </c>
      <c r="J113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2956</v>
      </c>
      <c r="I114" t="s">
        <v>2673</v>
      </c>
      <c r="J114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2956</v>
      </c>
      <c r="I115" t="s">
        <v>2676</v>
      </c>
      <c r="J115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2956</v>
      </c>
      <c r="I116" t="s">
        <v>2679</v>
      </c>
      <c r="J116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159</v>
      </c>
      <c r="E120" t="s">
        <v>2920</v>
      </c>
      <c r="I120" t="s">
        <v>2691</v>
      </c>
      <c r="J120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2955</v>
      </c>
      <c r="I121" t="s">
        <v>2694</v>
      </c>
      <c r="J121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2957</v>
      </c>
      <c r="I122" t="s">
        <v>2697</v>
      </c>
      <c r="J122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2957</v>
      </c>
      <c r="I123" t="s">
        <v>2699</v>
      </c>
      <c r="J123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2957</v>
      </c>
      <c r="I124" t="s">
        <v>2701</v>
      </c>
      <c r="J124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2958</v>
      </c>
      <c r="I125" t="s">
        <v>2704</v>
      </c>
      <c r="J125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2958</v>
      </c>
      <c r="I126" t="s">
        <v>2707</v>
      </c>
      <c r="J126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2958</v>
      </c>
      <c r="I127" t="s">
        <v>2710</v>
      </c>
      <c r="J127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2959</v>
      </c>
      <c r="J129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2962</v>
      </c>
      <c r="H131" t="s">
        <v>2954</v>
      </c>
      <c r="I131" t="s">
        <v>2719</v>
      </c>
      <c r="J131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2962</v>
      </c>
      <c r="H132" t="s">
        <v>2954</v>
      </c>
      <c r="I132" t="s">
        <v>2722</v>
      </c>
      <c r="J132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2962</v>
      </c>
      <c r="H133" t="s">
        <v>2954</v>
      </c>
      <c r="I133" t="s">
        <v>2725</v>
      </c>
      <c r="J133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2956</v>
      </c>
      <c r="I135" t="s">
        <v>2731</v>
      </c>
      <c r="J135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2956</v>
      </c>
      <c r="I136" t="s">
        <v>2734</v>
      </c>
      <c r="J136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2956</v>
      </c>
      <c r="I137" t="s">
        <v>2737</v>
      </c>
      <c r="J137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2956</v>
      </c>
      <c r="I138" t="s">
        <v>2740</v>
      </c>
      <c r="J13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2956</v>
      </c>
      <c r="I139" t="s">
        <v>2743</v>
      </c>
      <c r="J139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2956</v>
      </c>
      <c r="I140" t="s">
        <v>2746</v>
      </c>
      <c r="J140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2956</v>
      </c>
      <c r="I141" t="s">
        <v>2749</v>
      </c>
      <c r="J141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2956</v>
      </c>
      <c r="I142" t="s">
        <v>2752</v>
      </c>
      <c r="J142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2956</v>
      </c>
      <c r="I143" t="s">
        <v>2755</v>
      </c>
      <c r="J143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2956</v>
      </c>
      <c r="I144" t="s">
        <v>2758</v>
      </c>
      <c r="J144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2963</v>
      </c>
      <c r="I145" t="s">
        <v>2761</v>
      </c>
      <c r="J145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2962</v>
      </c>
      <c r="H146" t="s">
        <v>2956</v>
      </c>
      <c r="I146" t="s">
        <v>2764</v>
      </c>
      <c r="J146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2963</v>
      </c>
      <c r="I147" t="s">
        <v>2767</v>
      </c>
      <c r="J147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2963</v>
      </c>
      <c r="I148" t="s">
        <v>2770</v>
      </c>
      <c r="J14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2963</v>
      </c>
      <c r="I149" t="s">
        <v>2773</v>
      </c>
      <c r="J149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2957</v>
      </c>
      <c r="I150" t="s">
        <v>2776</v>
      </c>
      <c r="J150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2962</v>
      </c>
      <c r="H151" t="s">
        <v>2957</v>
      </c>
      <c r="I151" t="s">
        <v>2779</v>
      </c>
      <c r="J151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2962</v>
      </c>
      <c r="H152" t="s">
        <v>2957</v>
      </c>
      <c r="I152" t="s">
        <v>2782</v>
      </c>
      <c r="J152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2962</v>
      </c>
      <c r="H153" t="s">
        <v>2957</v>
      </c>
      <c r="I153" t="s">
        <v>2785</v>
      </c>
      <c r="J153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2962</v>
      </c>
      <c r="H154" t="s">
        <v>2957</v>
      </c>
      <c r="I154" t="s">
        <v>2788</v>
      </c>
      <c r="J154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2962</v>
      </c>
      <c r="H155" t="s">
        <v>2957</v>
      </c>
      <c r="I155" t="s">
        <v>2791</v>
      </c>
      <c r="J155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2958</v>
      </c>
      <c r="I163" t="s">
        <v>2815</v>
      </c>
      <c r="J163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2958</v>
      </c>
      <c r="I164" t="s">
        <v>2818</v>
      </c>
      <c r="J164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2958</v>
      </c>
      <c r="I165" t="s">
        <v>2821</v>
      </c>
      <c r="J165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2964</v>
      </c>
      <c r="H166" t="s">
        <v>2958</v>
      </c>
      <c r="I166" t="s">
        <v>2824</v>
      </c>
      <c r="J166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2965</v>
      </c>
      <c r="I169" t="s">
        <v>2833</v>
      </c>
      <c r="J169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2965</v>
      </c>
      <c r="I170" t="s">
        <v>2836</v>
      </c>
      <c r="J170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8" t="s">
        <v>2967</v>
      </c>
      <c r="I171" t="s">
        <v>2839</v>
      </c>
      <c r="J171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8" t="s">
        <v>2967</v>
      </c>
      <c r="I176" t="s">
        <v>2854</v>
      </c>
      <c r="J176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2958</v>
      </c>
      <c r="I177" t="s">
        <v>2857</v>
      </c>
      <c r="J177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2966</v>
      </c>
      <c r="E178" t="s">
        <v>1607</v>
      </c>
      <c r="F178" t="s">
        <v>58</v>
      </c>
      <c r="H178" t="s">
        <v>2958</v>
      </c>
      <c r="I178" t="s">
        <v>2860</v>
      </c>
      <c r="J17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2966</v>
      </c>
      <c r="E180" t="s">
        <v>1607</v>
      </c>
      <c r="F180" t="s">
        <v>58</v>
      </c>
      <c r="H180" t="s">
        <v>2954</v>
      </c>
      <c r="I180" t="s">
        <v>2866</v>
      </c>
      <c r="J180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2966</v>
      </c>
      <c r="E181" t="s">
        <v>1607</v>
      </c>
      <c r="F181" t="s">
        <v>58</v>
      </c>
      <c r="H181" t="s">
        <v>2954</v>
      </c>
      <c r="I181" t="s">
        <v>2869</v>
      </c>
      <c r="J181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2966</v>
      </c>
      <c r="E182" t="s">
        <v>1607</v>
      </c>
      <c r="F182" t="s">
        <v>58</v>
      </c>
      <c r="H182" t="s">
        <v>2954</v>
      </c>
      <c r="I182" t="s">
        <v>2872</v>
      </c>
      <c r="J182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4223</v>
      </c>
      <c r="E190" t="s">
        <v>86</v>
      </c>
      <c r="F190" t="s">
        <v>200</v>
      </c>
      <c r="H190" t="s">
        <v>4224</v>
      </c>
      <c r="I190" t="s">
        <v>3868</v>
      </c>
      <c r="J190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4225</v>
      </c>
      <c r="E191" t="s">
        <v>86</v>
      </c>
      <c r="I191" t="s">
        <v>3871</v>
      </c>
      <c r="J191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4223</v>
      </c>
      <c r="E192" t="s">
        <v>86</v>
      </c>
      <c r="F192" t="s">
        <v>200</v>
      </c>
      <c r="H192" t="s">
        <v>1605</v>
      </c>
      <c r="I192" t="s">
        <v>3874</v>
      </c>
      <c r="J192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3877</v>
      </c>
      <c r="J193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4226</v>
      </c>
      <c r="E194" t="s">
        <v>70</v>
      </c>
      <c r="F194" t="s">
        <v>58</v>
      </c>
      <c r="I194" t="s">
        <v>3880</v>
      </c>
      <c r="J194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3883</v>
      </c>
      <c r="J195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3886</v>
      </c>
      <c r="J196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4227</v>
      </c>
      <c r="E197" t="s">
        <v>4228</v>
      </c>
      <c r="F197" t="s">
        <v>58</v>
      </c>
      <c r="H197" t="s">
        <v>4229</v>
      </c>
      <c r="I197" t="s">
        <v>3889</v>
      </c>
      <c r="J197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3892</v>
      </c>
      <c r="J19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3895</v>
      </c>
      <c r="J199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3898</v>
      </c>
      <c r="J200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4223</v>
      </c>
      <c r="E201" t="s">
        <v>86</v>
      </c>
      <c r="F201" t="s">
        <v>528</v>
      </c>
      <c r="H201" t="s">
        <v>1605</v>
      </c>
      <c r="I201" t="s">
        <v>3901</v>
      </c>
      <c r="J201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3904</v>
      </c>
      <c r="J202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4230</v>
      </c>
      <c r="I203" t="s">
        <v>3907</v>
      </c>
      <c r="J203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3910</v>
      </c>
      <c r="J204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3913</v>
      </c>
      <c r="J205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4231</v>
      </c>
      <c r="H206" t="s">
        <v>1611</v>
      </c>
      <c r="I206" t="s">
        <v>3916</v>
      </c>
      <c r="J206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4231</v>
      </c>
      <c r="H207" t="s">
        <v>2936</v>
      </c>
      <c r="I207" t="s">
        <v>3919</v>
      </c>
      <c r="J207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4231</v>
      </c>
      <c r="H208" t="s">
        <v>1611</v>
      </c>
      <c r="I208" t="s">
        <v>3922</v>
      </c>
      <c r="J20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4231</v>
      </c>
      <c r="H209" t="s">
        <v>2954</v>
      </c>
      <c r="I209" t="s">
        <v>3925</v>
      </c>
      <c r="J209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3928</v>
      </c>
      <c r="J210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3931</v>
      </c>
      <c r="J211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3934</v>
      </c>
      <c r="J212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3937</v>
      </c>
      <c r="J213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3940</v>
      </c>
      <c r="J214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3943</v>
      </c>
      <c r="J215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3946</v>
      </c>
      <c r="J216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3949</v>
      </c>
      <c r="J217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4232</v>
      </c>
      <c r="E218" t="s">
        <v>70</v>
      </c>
      <c r="F218" t="s">
        <v>58</v>
      </c>
      <c r="I218" t="s">
        <v>3952</v>
      </c>
      <c r="J21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4233</v>
      </c>
      <c r="H219" t="s">
        <v>1618</v>
      </c>
      <c r="I219" t="s">
        <v>3955</v>
      </c>
      <c r="J219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4235</v>
      </c>
      <c r="E220" t="s">
        <v>70</v>
      </c>
      <c r="F220" t="s">
        <v>4233</v>
      </c>
      <c r="I220" t="s">
        <v>3958</v>
      </c>
      <c r="J220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4192</v>
      </c>
      <c r="I221" t="s">
        <v>3962</v>
      </c>
      <c r="J221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4192</v>
      </c>
      <c r="F222" t="s">
        <v>58</v>
      </c>
      <c r="H222" t="s">
        <v>1620</v>
      </c>
      <c r="I222" t="s">
        <v>3965</v>
      </c>
      <c r="J222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4192</v>
      </c>
      <c r="F223" t="s">
        <v>58</v>
      </c>
      <c r="H223" t="s">
        <v>2936</v>
      </c>
      <c r="I223" t="s">
        <v>3968</v>
      </c>
      <c r="J223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4192</v>
      </c>
      <c r="F224" t="s">
        <v>58</v>
      </c>
      <c r="H224" t="s">
        <v>2936</v>
      </c>
      <c r="I224" t="s">
        <v>3971</v>
      </c>
      <c r="J224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4192</v>
      </c>
      <c r="F225" t="s">
        <v>58</v>
      </c>
      <c r="H225" t="s">
        <v>2936</v>
      </c>
      <c r="I225" t="s">
        <v>3974</v>
      </c>
      <c r="J225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4192</v>
      </c>
      <c r="F226" t="s">
        <v>58</v>
      </c>
      <c r="H226" t="s">
        <v>2936</v>
      </c>
      <c r="I226" t="s">
        <v>3977</v>
      </c>
      <c r="J226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4192</v>
      </c>
      <c r="F227" t="s">
        <v>58</v>
      </c>
      <c r="H227" t="s">
        <v>2936</v>
      </c>
      <c r="I227" t="s">
        <v>3980</v>
      </c>
      <c r="J227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4192</v>
      </c>
      <c r="F228" t="s">
        <v>58</v>
      </c>
      <c r="H228" t="s">
        <v>2936</v>
      </c>
      <c r="I228" t="s">
        <v>3983</v>
      </c>
      <c r="J22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4192</v>
      </c>
      <c r="H229" t="s">
        <v>4236</v>
      </c>
      <c r="I229" t="s">
        <v>3986</v>
      </c>
      <c r="J229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4192</v>
      </c>
      <c r="F230" t="s">
        <v>58</v>
      </c>
      <c r="I230" t="s">
        <v>3989</v>
      </c>
      <c r="J230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4192</v>
      </c>
      <c r="F231" t="s">
        <v>58</v>
      </c>
      <c r="H231" t="s">
        <v>2936</v>
      </c>
      <c r="I231" t="s">
        <v>3992</v>
      </c>
      <c r="J231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4192</v>
      </c>
      <c r="F232" t="s">
        <v>58</v>
      </c>
      <c r="H232" t="s">
        <v>2936</v>
      </c>
      <c r="I232" t="s">
        <v>3995</v>
      </c>
      <c r="J232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4232</v>
      </c>
      <c r="E233" t="s">
        <v>4192</v>
      </c>
      <c r="F233" t="s">
        <v>58</v>
      </c>
      <c r="I233" t="s">
        <v>3998</v>
      </c>
      <c r="J233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4192</v>
      </c>
      <c r="H234" t="s">
        <v>4237</v>
      </c>
      <c r="I234" t="s">
        <v>4001</v>
      </c>
      <c r="J234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4192</v>
      </c>
      <c r="F235" t="s">
        <v>58</v>
      </c>
      <c r="I235" t="s">
        <v>4004</v>
      </c>
      <c r="J235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4192</v>
      </c>
      <c r="F236" t="s">
        <v>58</v>
      </c>
      <c r="H236" t="s">
        <v>2936</v>
      </c>
      <c r="I236" t="s">
        <v>4007</v>
      </c>
      <c r="J236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4192</v>
      </c>
      <c r="F237" t="s">
        <v>58</v>
      </c>
      <c r="H237" t="s">
        <v>2936</v>
      </c>
      <c r="I237" t="s">
        <v>4010</v>
      </c>
      <c r="J237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4192</v>
      </c>
      <c r="F238" t="s">
        <v>58</v>
      </c>
      <c r="H238" t="s">
        <v>2936</v>
      </c>
      <c r="I238" t="s">
        <v>4013</v>
      </c>
      <c r="J23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4235</v>
      </c>
      <c r="E239" t="s">
        <v>4192</v>
      </c>
      <c r="F239" t="s">
        <v>58</v>
      </c>
      <c r="I239" t="s">
        <v>4016</v>
      </c>
      <c r="J239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4238</v>
      </c>
      <c r="H240" t="s">
        <v>4239</v>
      </c>
      <c r="I240" t="s">
        <v>4019</v>
      </c>
      <c r="J240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4240</v>
      </c>
      <c r="I241" t="s">
        <v>4022</v>
      </c>
      <c r="J241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4241</v>
      </c>
      <c r="E242" t="s">
        <v>86</v>
      </c>
      <c r="F242" t="s">
        <v>4240</v>
      </c>
      <c r="H242" t="s">
        <v>4236</v>
      </c>
      <c r="I242" t="s">
        <v>4025</v>
      </c>
      <c r="J242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3073</v>
      </c>
      <c r="E243" t="s">
        <v>86</v>
      </c>
      <c r="F243" t="s">
        <v>58</v>
      </c>
      <c r="H243" t="s">
        <v>1620</v>
      </c>
      <c r="I243" t="s">
        <v>4028</v>
      </c>
      <c r="J243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4031</v>
      </c>
      <c r="J244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2958</v>
      </c>
      <c r="I245" t="s">
        <v>4034</v>
      </c>
      <c r="J245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2958</v>
      </c>
      <c r="I246" t="s">
        <v>4037</v>
      </c>
      <c r="J246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2958</v>
      </c>
      <c r="I247" t="s">
        <v>4040</v>
      </c>
      <c r="J247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2958</v>
      </c>
      <c r="I248" t="s">
        <v>4043</v>
      </c>
      <c r="J24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2958</v>
      </c>
      <c r="I249" t="s">
        <v>4046</v>
      </c>
      <c r="J249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2958</v>
      </c>
      <c r="I250" t="s">
        <v>4049</v>
      </c>
      <c r="J250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2958</v>
      </c>
      <c r="I251" t="s">
        <v>4052</v>
      </c>
      <c r="J251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2958</v>
      </c>
      <c r="I252" t="s">
        <v>4055</v>
      </c>
      <c r="J252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2958</v>
      </c>
      <c r="I253" t="s">
        <v>4058</v>
      </c>
      <c r="J253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2958</v>
      </c>
      <c r="I254" t="s">
        <v>4061</v>
      </c>
      <c r="J254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2958</v>
      </c>
      <c r="I255" t="s">
        <v>4064</v>
      </c>
      <c r="J255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4067</v>
      </c>
      <c r="J256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4285</v>
      </c>
      <c r="J257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4831</v>
      </c>
      <c r="J25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4834</v>
      </c>
      <c r="J259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4236</v>
      </c>
      <c r="I260" t="s">
        <v>4837</v>
      </c>
      <c r="J260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4840</v>
      </c>
      <c r="J261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4236</v>
      </c>
      <c r="I262" t="s">
        <v>4843</v>
      </c>
      <c r="J262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4240</v>
      </c>
      <c r="I263" t="s">
        <v>4846</v>
      </c>
      <c r="J263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4240</v>
      </c>
      <c r="H264" t="s">
        <v>2936</v>
      </c>
      <c r="I264" t="s">
        <v>4849</v>
      </c>
      <c r="J264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4240</v>
      </c>
      <c r="I265" t="s">
        <v>4852</v>
      </c>
      <c r="J265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4241</v>
      </c>
      <c r="E266" t="s">
        <v>86</v>
      </c>
      <c r="F266" t="s">
        <v>4240</v>
      </c>
      <c r="H266" t="s">
        <v>4236</v>
      </c>
      <c r="I266" t="s">
        <v>4855</v>
      </c>
      <c r="J266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4236</v>
      </c>
      <c r="I267" t="s">
        <v>4858</v>
      </c>
      <c r="J267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4236</v>
      </c>
      <c r="I268" t="s">
        <v>4861</v>
      </c>
      <c r="J26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4236</v>
      </c>
      <c r="I269" t="s">
        <v>4864</v>
      </c>
      <c r="J269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4240</v>
      </c>
      <c r="I270" t="s">
        <v>4867</v>
      </c>
      <c r="J270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4241</v>
      </c>
      <c r="E271" t="s">
        <v>86</v>
      </c>
      <c r="F271" t="s">
        <v>4240</v>
      </c>
      <c r="H271" t="s">
        <v>4236</v>
      </c>
      <c r="I271" t="s">
        <v>4870</v>
      </c>
      <c r="J271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4236</v>
      </c>
      <c r="I272" t="s">
        <v>4873</v>
      </c>
      <c r="J272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4236</v>
      </c>
      <c r="I273" t="s">
        <v>4876</v>
      </c>
      <c r="J273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4240</v>
      </c>
      <c r="I274" t="s">
        <v>4879</v>
      </c>
      <c r="J274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4241</v>
      </c>
      <c r="E275" t="s">
        <v>86</v>
      </c>
      <c r="F275" t="s">
        <v>4240</v>
      </c>
      <c r="H275" t="s">
        <v>4236</v>
      </c>
      <c r="I275" t="s">
        <v>4882</v>
      </c>
      <c r="J275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4236</v>
      </c>
      <c r="I276" t="s">
        <v>4885</v>
      </c>
      <c r="J276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4236</v>
      </c>
      <c r="I277" t="s">
        <v>4888</v>
      </c>
      <c r="J277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4227</v>
      </c>
      <c r="E278" t="s">
        <v>531</v>
      </c>
      <c r="F278" t="s">
        <v>4233</v>
      </c>
      <c r="H278" t="s">
        <v>2957</v>
      </c>
      <c r="I278" t="s">
        <v>4891</v>
      </c>
      <c r="J27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4894</v>
      </c>
      <c r="J279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4897</v>
      </c>
      <c r="J280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5181</v>
      </c>
      <c r="J281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5263</v>
      </c>
      <c r="F282" t="s">
        <v>51</v>
      </c>
      <c r="I282" t="s">
        <v>5184</v>
      </c>
      <c r="J282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5263</v>
      </c>
      <c r="F283" t="s">
        <v>4233</v>
      </c>
      <c r="I283" t="s">
        <v>5187</v>
      </c>
      <c r="J283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5263</v>
      </c>
      <c r="F284" t="s">
        <v>4233</v>
      </c>
      <c r="H284" t="s">
        <v>2936</v>
      </c>
      <c r="I284" t="s">
        <v>5190</v>
      </c>
      <c r="J284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4232</v>
      </c>
      <c r="E285" t="s">
        <v>5263</v>
      </c>
      <c r="F285" t="s">
        <v>4233</v>
      </c>
      <c r="I285" t="s">
        <v>5193</v>
      </c>
      <c r="J285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t="s">
        <v>289</v>
      </c>
      <c r="E286" t="s">
        <v>86</v>
      </c>
      <c r="F286" t="s">
        <v>4240</v>
      </c>
      <c r="I286" t="s">
        <v>5385</v>
      </c>
      <c r="J286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t="s">
        <v>4241</v>
      </c>
      <c r="E287" t="s">
        <v>86</v>
      </c>
      <c r="F287" t="s">
        <v>4240</v>
      </c>
      <c r="I287" t="s">
        <v>5388</v>
      </c>
      <c r="J287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t="s">
        <v>533</v>
      </c>
      <c r="E288" t="s">
        <v>531</v>
      </c>
      <c r="F288" t="s">
        <v>1099</v>
      </c>
      <c r="H288" t="s">
        <v>1620</v>
      </c>
      <c r="I288" t="s">
        <v>5391</v>
      </c>
      <c r="J28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t="s">
        <v>4</v>
      </c>
      <c r="E289" t="s">
        <v>8</v>
      </c>
      <c r="I289" t="s">
        <v>5394</v>
      </c>
      <c r="J289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t="s">
        <v>533</v>
      </c>
      <c r="E290" t="s">
        <v>531</v>
      </c>
      <c r="F290" t="s">
        <v>58</v>
      </c>
      <c r="H290" t="s">
        <v>4236</v>
      </c>
      <c r="I290" t="s">
        <v>5396</v>
      </c>
      <c r="J290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t="s">
        <v>533</v>
      </c>
      <c r="E291" t="s">
        <v>531</v>
      </c>
      <c r="F291" t="s">
        <v>58</v>
      </c>
      <c r="H291" t="s">
        <v>4236</v>
      </c>
      <c r="I291" t="s">
        <v>5399</v>
      </c>
      <c r="J291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t="s">
        <v>533</v>
      </c>
      <c r="E292" t="s">
        <v>531</v>
      </c>
      <c r="F292" t="s">
        <v>58</v>
      </c>
      <c r="H292" t="s">
        <v>4236</v>
      </c>
      <c r="I292" t="s">
        <v>5402</v>
      </c>
      <c r="J292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t="s">
        <v>533</v>
      </c>
      <c r="E293" t="s">
        <v>531</v>
      </c>
      <c r="F293" t="s">
        <v>58</v>
      </c>
      <c r="H293" t="s">
        <v>4236</v>
      </c>
      <c r="I293" t="s">
        <v>5405</v>
      </c>
      <c r="J293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t="s">
        <v>533</v>
      </c>
      <c r="E294" t="s">
        <v>531</v>
      </c>
      <c r="F294" t="s">
        <v>58</v>
      </c>
      <c r="H294" t="s">
        <v>4236</v>
      </c>
      <c r="I294" t="s">
        <v>5408</v>
      </c>
      <c r="J294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t="s">
        <v>4223</v>
      </c>
      <c r="E295" t="s">
        <v>86</v>
      </c>
      <c r="F295" t="s">
        <v>58</v>
      </c>
      <c r="I295" t="s">
        <v>5411</v>
      </c>
      <c r="J295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t="s">
        <v>4223</v>
      </c>
      <c r="E296" t="s">
        <v>86</v>
      </c>
      <c r="F296" t="s">
        <v>58</v>
      </c>
      <c r="H296" t="s">
        <v>2954</v>
      </c>
      <c r="I296" t="s">
        <v>5414</v>
      </c>
      <c r="J296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t="s">
        <v>4223</v>
      </c>
      <c r="E297" t="s">
        <v>86</v>
      </c>
      <c r="F297" t="s">
        <v>58</v>
      </c>
      <c r="I297" t="s">
        <v>5417</v>
      </c>
      <c r="J297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t="s">
        <v>4223</v>
      </c>
      <c r="E298" t="s">
        <v>86</v>
      </c>
      <c r="F298" t="s">
        <v>58</v>
      </c>
      <c r="H298" t="s">
        <v>2954</v>
      </c>
      <c r="I298" t="s">
        <v>5420</v>
      </c>
      <c r="J29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t="s">
        <v>4223</v>
      </c>
      <c r="E299" t="s">
        <v>86</v>
      </c>
      <c r="F299" t="s">
        <v>58</v>
      </c>
      <c r="I299" t="s">
        <v>5423</v>
      </c>
      <c r="J299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t="s">
        <v>4223</v>
      </c>
      <c r="E300" t="s">
        <v>86</v>
      </c>
      <c r="F300" t="s">
        <v>58</v>
      </c>
      <c r="H300" t="s">
        <v>2936</v>
      </c>
      <c r="I300" t="s">
        <v>5426</v>
      </c>
      <c r="J300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t="s">
        <v>4223</v>
      </c>
      <c r="E301" t="s">
        <v>86</v>
      </c>
      <c r="F301" t="s">
        <v>58</v>
      </c>
      <c r="H301" t="s">
        <v>4236</v>
      </c>
      <c r="I301" t="s">
        <v>5429</v>
      </c>
      <c r="J301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t="s">
        <v>4223</v>
      </c>
      <c r="E302" t="s">
        <v>86</v>
      </c>
      <c r="F302" t="s">
        <v>58</v>
      </c>
      <c r="I302" t="s">
        <v>5432</v>
      </c>
      <c r="J302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t="s">
        <v>4223</v>
      </c>
      <c r="E303" t="s">
        <v>86</v>
      </c>
      <c r="F303" t="s">
        <v>58</v>
      </c>
      <c r="H303" t="s">
        <v>2954</v>
      </c>
      <c r="I303" t="s">
        <v>5435</v>
      </c>
      <c r="J303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t="s">
        <v>533</v>
      </c>
      <c r="E304" t="s">
        <v>531</v>
      </c>
      <c r="F304" t="s">
        <v>58</v>
      </c>
      <c r="H304" t="s">
        <v>4236</v>
      </c>
      <c r="I304" t="s">
        <v>5438</v>
      </c>
      <c r="J304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t="s">
        <v>533</v>
      </c>
      <c r="E305" t="s">
        <v>531</v>
      </c>
      <c r="F305" t="s">
        <v>58</v>
      </c>
      <c r="H305" t="s">
        <v>4236</v>
      </c>
      <c r="I305" t="s">
        <v>5441</v>
      </c>
      <c r="J305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t="s">
        <v>4223</v>
      </c>
      <c r="E306" t="s">
        <v>86</v>
      </c>
      <c r="F306" t="s">
        <v>200</v>
      </c>
      <c r="H306" t="s">
        <v>1605</v>
      </c>
      <c r="I306" t="s">
        <v>5444</v>
      </c>
      <c r="J306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t="s">
        <v>4223</v>
      </c>
      <c r="E307" t="s">
        <v>86</v>
      </c>
      <c r="F307" t="s">
        <v>200</v>
      </c>
      <c r="H307" t="s">
        <v>1605</v>
      </c>
      <c r="I307" t="s">
        <v>5447</v>
      </c>
      <c r="J307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t="s">
        <v>4</v>
      </c>
      <c r="E308" t="s">
        <v>8</v>
      </c>
      <c r="I308" t="s">
        <v>5450</v>
      </c>
      <c r="J30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t="s">
        <v>4</v>
      </c>
      <c r="E309" t="s">
        <v>8</v>
      </c>
      <c r="I309" t="s">
        <v>5744</v>
      </c>
      <c r="J309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t="s">
        <v>4223</v>
      </c>
      <c r="E310" t="s">
        <v>86</v>
      </c>
      <c r="F310" t="s">
        <v>7169</v>
      </c>
      <c r="I310" t="s">
        <v>5747</v>
      </c>
      <c r="J310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t="s">
        <v>533</v>
      </c>
      <c r="E311" t="s">
        <v>531</v>
      </c>
      <c r="F311" t="s">
        <v>58</v>
      </c>
      <c r="H311" t="s">
        <v>4236</v>
      </c>
      <c r="I311" t="s">
        <v>5750</v>
      </c>
      <c r="J311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t="s">
        <v>158</v>
      </c>
      <c r="E312" t="s">
        <v>86</v>
      </c>
      <c r="F312" t="s">
        <v>528</v>
      </c>
      <c r="G312">
        <v>1</v>
      </c>
      <c r="H312" t="s">
        <v>1605</v>
      </c>
      <c r="I312" t="s">
        <v>5753</v>
      </c>
      <c r="J312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t="s">
        <v>158</v>
      </c>
      <c r="E313" t="s">
        <v>86</v>
      </c>
      <c r="F313" t="s">
        <v>528</v>
      </c>
      <c r="G313">
        <v>1</v>
      </c>
      <c r="H313" t="s">
        <v>1605</v>
      </c>
      <c r="I313" t="s">
        <v>5756</v>
      </c>
      <c r="J313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t="s">
        <v>158</v>
      </c>
      <c r="E314" t="s">
        <v>86</v>
      </c>
      <c r="F314" t="s">
        <v>528</v>
      </c>
      <c r="G314">
        <v>1</v>
      </c>
      <c r="H314" t="s">
        <v>1605</v>
      </c>
      <c r="I314" t="s">
        <v>5759</v>
      </c>
      <c r="J314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t="s">
        <v>533</v>
      </c>
      <c r="E315" t="s">
        <v>531</v>
      </c>
      <c r="F315" t="s">
        <v>2944</v>
      </c>
      <c r="H315" t="s">
        <v>1620</v>
      </c>
      <c r="I315" t="s">
        <v>5762</v>
      </c>
      <c r="J315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t="s">
        <v>4223</v>
      </c>
      <c r="E316" t="s">
        <v>86</v>
      </c>
      <c r="F316" t="s">
        <v>6183</v>
      </c>
      <c r="I316" t="s">
        <v>5765</v>
      </c>
      <c r="J316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t="s">
        <v>4223</v>
      </c>
      <c r="E317" t="s">
        <v>86</v>
      </c>
      <c r="F317" t="s">
        <v>6183</v>
      </c>
      <c r="H317" t="s">
        <v>2936</v>
      </c>
      <c r="I317" t="s">
        <v>5768</v>
      </c>
      <c r="J317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t="s">
        <v>533</v>
      </c>
      <c r="E318" t="s">
        <v>531</v>
      </c>
      <c r="F318" t="s">
        <v>2944</v>
      </c>
      <c r="H318" t="s">
        <v>1620</v>
      </c>
      <c r="I318" t="s">
        <v>5771</v>
      </c>
      <c r="J31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t="s">
        <v>4223</v>
      </c>
      <c r="E319" t="s">
        <v>86</v>
      </c>
      <c r="F319" t="s">
        <v>6183</v>
      </c>
      <c r="I319" t="s">
        <v>5774</v>
      </c>
      <c r="J319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t="s">
        <v>289</v>
      </c>
      <c r="E320" t="s">
        <v>86</v>
      </c>
      <c r="F320" t="s">
        <v>7169</v>
      </c>
      <c r="I320" t="s">
        <v>5777</v>
      </c>
      <c r="J320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t="s">
        <v>650</v>
      </c>
      <c r="E321" t="s">
        <v>86</v>
      </c>
      <c r="F321" t="s">
        <v>7169</v>
      </c>
      <c r="I321" t="s">
        <v>5780</v>
      </c>
      <c r="J321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t="s">
        <v>533</v>
      </c>
      <c r="E322" t="s">
        <v>531</v>
      </c>
      <c r="F322" t="s">
        <v>58</v>
      </c>
      <c r="H322" t="s">
        <v>4236</v>
      </c>
      <c r="I322" t="s">
        <v>5783</v>
      </c>
      <c r="J322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t="s">
        <v>158</v>
      </c>
      <c r="E323" t="s">
        <v>86</v>
      </c>
      <c r="F323" t="s">
        <v>528</v>
      </c>
      <c r="G323">
        <v>1</v>
      </c>
      <c r="H323" t="s">
        <v>1605</v>
      </c>
      <c r="I323" t="s">
        <v>5786</v>
      </c>
      <c r="J323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t="s">
        <v>158</v>
      </c>
      <c r="E324" t="s">
        <v>86</v>
      </c>
      <c r="F324" t="s">
        <v>528</v>
      </c>
      <c r="G324">
        <v>1</v>
      </c>
      <c r="H324" t="s">
        <v>1605</v>
      </c>
      <c r="I324" t="s">
        <v>5789</v>
      </c>
      <c r="J324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t="s">
        <v>4</v>
      </c>
      <c r="E325" t="s">
        <v>8</v>
      </c>
      <c r="I325" t="s">
        <v>5792</v>
      </c>
      <c r="J325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t="s">
        <v>4</v>
      </c>
      <c r="E326" t="s">
        <v>8</v>
      </c>
      <c r="I326" t="s">
        <v>5795</v>
      </c>
      <c r="J326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t="s">
        <v>4</v>
      </c>
      <c r="E327" t="s">
        <v>8</v>
      </c>
      <c r="I327" t="s">
        <v>5798</v>
      </c>
      <c r="J327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t="s">
        <v>4</v>
      </c>
      <c r="E328" t="s">
        <v>8</v>
      </c>
      <c r="I328" t="s">
        <v>5879</v>
      </c>
      <c r="J32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t="s">
        <v>4</v>
      </c>
      <c r="E329" t="s">
        <v>86</v>
      </c>
      <c r="F329" t="s">
        <v>4240</v>
      </c>
      <c r="H329" t="s">
        <v>1620</v>
      </c>
      <c r="I329" t="s">
        <v>5882</v>
      </c>
      <c r="J329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t="s">
        <v>4223</v>
      </c>
      <c r="E330" t="s">
        <v>86</v>
      </c>
      <c r="F330" t="s">
        <v>6172</v>
      </c>
      <c r="I330" t="s">
        <v>5885</v>
      </c>
      <c r="J330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t="s">
        <v>4221</v>
      </c>
      <c r="E331" t="s">
        <v>86</v>
      </c>
      <c r="F331" t="s">
        <v>58</v>
      </c>
      <c r="H331" t="s">
        <v>1620</v>
      </c>
      <c r="I331" t="s">
        <v>5888</v>
      </c>
      <c r="J331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t="s">
        <v>4221</v>
      </c>
      <c r="E332" t="s">
        <v>86</v>
      </c>
      <c r="F332" t="s">
        <v>58</v>
      </c>
      <c r="H332" t="s">
        <v>2936</v>
      </c>
      <c r="I332" t="s">
        <v>5891</v>
      </c>
      <c r="J332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t="s">
        <v>533</v>
      </c>
      <c r="E333" t="s">
        <v>531</v>
      </c>
      <c r="F333" t="s">
        <v>1099</v>
      </c>
      <c r="H333" t="s">
        <v>1620</v>
      </c>
      <c r="I333" t="s">
        <v>5894</v>
      </c>
      <c r="J333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t="s">
        <v>533</v>
      </c>
      <c r="E334" t="s">
        <v>531</v>
      </c>
      <c r="F334" t="s">
        <v>1099</v>
      </c>
      <c r="H334" t="s">
        <v>1620</v>
      </c>
      <c r="I334" t="s">
        <v>5897</v>
      </c>
      <c r="J334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t="s">
        <v>4223</v>
      </c>
      <c r="E335" t="s">
        <v>86</v>
      </c>
      <c r="F335" t="s">
        <v>200</v>
      </c>
      <c r="I335" t="s">
        <v>5900</v>
      </c>
      <c r="J335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t="s">
        <v>4223</v>
      </c>
      <c r="E336" t="s">
        <v>86</v>
      </c>
      <c r="F336" t="s">
        <v>200</v>
      </c>
      <c r="I336" t="s">
        <v>5903</v>
      </c>
      <c r="J336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t="s">
        <v>4223</v>
      </c>
      <c r="E337" t="s">
        <v>86</v>
      </c>
      <c r="F337" t="s">
        <v>200</v>
      </c>
      <c r="I337" t="s">
        <v>5906</v>
      </c>
      <c r="J337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t="s">
        <v>4223</v>
      </c>
      <c r="E338" t="s">
        <v>86</v>
      </c>
      <c r="F338" t="s">
        <v>200</v>
      </c>
      <c r="I338" t="s">
        <v>5909</v>
      </c>
      <c r="J33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t="s">
        <v>4223</v>
      </c>
      <c r="E339" t="s">
        <v>86</v>
      </c>
      <c r="F339" t="s">
        <v>200</v>
      </c>
      <c r="I339" t="s">
        <v>5912</v>
      </c>
      <c r="J339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t="s">
        <v>4223</v>
      </c>
      <c r="E340" t="s">
        <v>86</v>
      </c>
      <c r="F340" t="s">
        <v>200</v>
      </c>
      <c r="I340" t="s">
        <v>5915</v>
      </c>
      <c r="J340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t="s">
        <v>4223</v>
      </c>
      <c r="E341" t="s">
        <v>86</v>
      </c>
      <c r="F341" t="s">
        <v>200</v>
      </c>
      <c r="I341" t="s">
        <v>5918</v>
      </c>
      <c r="J341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t="s">
        <v>4</v>
      </c>
      <c r="E342" t="s">
        <v>8</v>
      </c>
      <c r="I342" t="s">
        <v>5921</v>
      </c>
      <c r="J342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t="s">
        <v>4</v>
      </c>
      <c r="E343" t="s">
        <v>6167</v>
      </c>
      <c r="I343" t="s">
        <v>6095</v>
      </c>
      <c r="J343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t="s">
        <v>4</v>
      </c>
      <c r="E344" t="s">
        <v>8</v>
      </c>
      <c r="I344" t="s">
        <v>6098</v>
      </c>
      <c r="J344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t="s">
        <v>4</v>
      </c>
      <c r="E345" t="s">
        <v>6167</v>
      </c>
      <c r="I345" t="s">
        <v>6101</v>
      </c>
      <c r="J345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t="s">
        <v>4</v>
      </c>
      <c r="E346" t="s">
        <v>8</v>
      </c>
      <c r="I346" t="s">
        <v>6104</v>
      </c>
      <c r="J346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t="s">
        <v>2004</v>
      </c>
      <c r="E347" t="s">
        <v>8</v>
      </c>
      <c r="I347" t="s">
        <v>6249</v>
      </c>
      <c r="J347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t="s">
        <v>4223</v>
      </c>
      <c r="E348" t="s">
        <v>86</v>
      </c>
      <c r="F348" t="s">
        <v>4240</v>
      </c>
      <c r="H348" t="s">
        <v>6524</v>
      </c>
      <c r="I348" t="s">
        <v>6391</v>
      </c>
      <c r="J34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t="s">
        <v>4223</v>
      </c>
      <c r="E349" t="s">
        <v>86</v>
      </c>
      <c r="F349" t="s">
        <v>6525</v>
      </c>
      <c r="I349" t="s">
        <v>6395</v>
      </c>
      <c r="J349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t="s">
        <v>4223</v>
      </c>
      <c r="E350" t="s">
        <v>86</v>
      </c>
      <c r="F350" t="s">
        <v>6525</v>
      </c>
      <c r="I350" t="s">
        <v>6398</v>
      </c>
      <c r="J350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t="s">
        <v>1606</v>
      </c>
      <c r="E351" t="s">
        <v>6329</v>
      </c>
      <c r="I351" t="s">
        <v>6401</v>
      </c>
      <c r="J351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t="s">
        <v>289</v>
      </c>
      <c r="E352" t="s">
        <v>6329</v>
      </c>
      <c r="F352" t="s">
        <v>58</v>
      </c>
      <c r="H352" t="s">
        <v>1620</v>
      </c>
      <c r="I352" t="s">
        <v>6404</v>
      </c>
      <c r="J352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t="s">
        <v>289</v>
      </c>
      <c r="E353" t="s">
        <v>6329</v>
      </c>
      <c r="F353" t="s">
        <v>58</v>
      </c>
      <c r="H353" t="s">
        <v>2936</v>
      </c>
      <c r="I353" t="s">
        <v>6407</v>
      </c>
      <c r="J353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t="s">
        <v>289</v>
      </c>
      <c r="E354" t="s">
        <v>6329</v>
      </c>
      <c r="F354" t="s">
        <v>58</v>
      </c>
      <c r="H354" t="s">
        <v>2936</v>
      </c>
      <c r="I354" t="s">
        <v>6410</v>
      </c>
      <c r="J354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t="s">
        <v>289</v>
      </c>
      <c r="E355" t="s">
        <v>6329</v>
      </c>
      <c r="F355" t="s">
        <v>58</v>
      </c>
      <c r="H355" t="s">
        <v>2936</v>
      </c>
      <c r="I355" t="s">
        <v>6413</v>
      </c>
      <c r="J355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t="s">
        <v>289</v>
      </c>
      <c r="E356" t="s">
        <v>6329</v>
      </c>
      <c r="F356" t="s">
        <v>58</v>
      </c>
      <c r="H356" t="s">
        <v>2936</v>
      </c>
      <c r="I356" t="s">
        <v>6416</v>
      </c>
      <c r="J356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t="s">
        <v>289</v>
      </c>
      <c r="E357" t="s">
        <v>6329</v>
      </c>
      <c r="F357" t="s">
        <v>58</v>
      </c>
      <c r="H357" t="s">
        <v>2936</v>
      </c>
      <c r="I357" t="s">
        <v>6419</v>
      </c>
      <c r="J357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t="s">
        <v>289</v>
      </c>
      <c r="E358" t="s">
        <v>6329</v>
      </c>
      <c r="F358" t="s">
        <v>58</v>
      </c>
      <c r="H358" t="s">
        <v>2936</v>
      </c>
      <c r="I358" t="s">
        <v>6422</v>
      </c>
      <c r="J35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t="s">
        <v>289</v>
      </c>
      <c r="E359" t="s">
        <v>6329</v>
      </c>
      <c r="F359" t="s">
        <v>58</v>
      </c>
      <c r="H359" t="s">
        <v>2936</v>
      </c>
      <c r="I359" t="s">
        <v>6425</v>
      </c>
      <c r="J359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t="s">
        <v>289</v>
      </c>
      <c r="E360" t="s">
        <v>6329</v>
      </c>
      <c r="F360" t="s">
        <v>58</v>
      </c>
      <c r="H360" t="s">
        <v>2936</v>
      </c>
      <c r="I360" t="s">
        <v>6428</v>
      </c>
      <c r="J360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t="s">
        <v>289</v>
      </c>
      <c r="E361" t="s">
        <v>6329</v>
      </c>
      <c r="F361" t="s">
        <v>58</v>
      </c>
      <c r="H361" t="s">
        <v>2936</v>
      </c>
      <c r="I361" t="s">
        <v>6431</v>
      </c>
      <c r="J361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t="s">
        <v>289</v>
      </c>
      <c r="E362" t="s">
        <v>6329</v>
      </c>
      <c r="F362" t="s">
        <v>58</v>
      </c>
      <c r="H362" t="s">
        <v>2936</v>
      </c>
      <c r="I362" t="s">
        <v>6434</v>
      </c>
      <c r="J362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t="s">
        <v>289</v>
      </c>
      <c r="E363" t="s">
        <v>6329</v>
      </c>
      <c r="F363" t="s">
        <v>58</v>
      </c>
      <c r="H363" t="s">
        <v>2936</v>
      </c>
      <c r="I363" t="s">
        <v>6437</v>
      </c>
      <c r="J363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t="s">
        <v>289</v>
      </c>
      <c r="E364" t="s">
        <v>6329</v>
      </c>
      <c r="F364" t="s">
        <v>58</v>
      </c>
      <c r="H364" t="s">
        <v>2936</v>
      </c>
      <c r="I364" t="s">
        <v>6440</v>
      </c>
      <c r="J364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t="s">
        <v>289</v>
      </c>
      <c r="E365" t="s">
        <v>6329</v>
      </c>
      <c r="F365" t="s">
        <v>58</v>
      </c>
      <c r="H365" t="s">
        <v>2936</v>
      </c>
      <c r="I365" t="s">
        <v>6443</v>
      </c>
      <c r="J365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t="s">
        <v>289</v>
      </c>
      <c r="E366" t="s">
        <v>6329</v>
      </c>
      <c r="F366" t="s">
        <v>58</v>
      </c>
      <c r="H366" t="s">
        <v>6526</v>
      </c>
      <c r="I366" t="s">
        <v>6446</v>
      </c>
      <c r="J366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t="s">
        <v>289</v>
      </c>
      <c r="E367" t="s">
        <v>6329</v>
      </c>
      <c r="F367" t="s">
        <v>58</v>
      </c>
      <c r="H367" t="s">
        <v>2936</v>
      </c>
      <c r="I367" t="s">
        <v>6449</v>
      </c>
      <c r="J367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t="s">
        <v>289</v>
      </c>
      <c r="E368" t="s">
        <v>6329</v>
      </c>
      <c r="F368" t="s">
        <v>58</v>
      </c>
      <c r="H368" t="s">
        <v>2936</v>
      </c>
      <c r="I368" t="s">
        <v>6452</v>
      </c>
      <c r="J36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t="s">
        <v>289</v>
      </c>
      <c r="E369" t="s">
        <v>6329</v>
      </c>
      <c r="F369" t="s">
        <v>58</v>
      </c>
      <c r="H369" t="s">
        <v>2936</v>
      </c>
      <c r="I369" t="s">
        <v>6455</v>
      </c>
      <c r="J369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t="s">
        <v>289</v>
      </c>
      <c r="E370" t="s">
        <v>6329</v>
      </c>
      <c r="F370" t="s">
        <v>58</v>
      </c>
      <c r="H370" t="s">
        <v>1620</v>
      </c>
      <c r="I370" t="s">
        <v>6458</v>
      </c>
      <c r="J370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t="s">
        <v>289</v>
      </c>
      <c r="E371" t="s">
        <v>6329</v>
      </c>
      <c r="F371" t="s">
        <v>58</v>
      </c>
      <c r="H371" t="s">
        <v>2936</v>
      </c>
      <c r="I371" t="s">
        <v>6461</v>
      </c>
      <c r="J371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t="s">
        <v>289</v>
      </c>
      <c r="E372" t="s">
        <v>6329</v>
      </c>
      <c r="F372" t="s">
        <v>58</v>
      </c>
      <c r="H372" t="s">
        <v>2936</v>
      </c>
      <c r="I372" t="s">
        <v>6464</v>
      </c>
      <c r="J372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t="s">
        <v>289</v>
      </c>
      <c r="E373" t="s">
        <v>6329</v>
      </c>
      <c r="F373" t="s">
        <v>58</v>
      </c>
      <c r="H373" t="s">
        <v>2936</v>
      </c>
      <c r="I373" t="s">
        <v>6467</v>
      </c>
      <c r="J373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t="s">
        <v>650</v>
      </c>
      <c r="E374" t="s">
        <v>6329</v>
      </c>
      <c r="F374" t="s">
        <v>58</v>
      </c>
      <c r="I374" t="s">
        <v>6470</v>
      </c>
      <c r="J374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t="s">
        <v>1606</v>
      </c>
      <c r="E375" t="s">
        <v>6527</v>
      </c>
      <c r="I375" t="s">
        <v>6473</v>
      </c>
      <c r="J375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t="s">
        <v>4</v>
      </c>
      <c r="E376" t="s">
        <v>6528</v>
      </c>
      <c r="I376" t="s">
        <v>6476</v>
      </c>
      <c r="J376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t="s">
        <v>289</v>
      </c>
      <c r="E377" t="s">
        <v>6527</v>
      </c>
      <c r="F377" t="s">
        <v>1099</v>
      </c>
      <c r="G377">
        <v>2</v>
      </c>
      <c r="I377" t="s">
        <v>6479</v>
      </c>
      <c r="J377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t="s">
        <v>650</v>
      </c>
      <c r="E378" t="s">
        <v>6527</v>
      </c>
      <c r="F378" t="s">
        <v>1099</v>
      </c>
      <c r="I378" t="s">
        <v>6482</v>
      </c>
      <c r="J37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t="s">
        <v>4223</v>
      </c>
      <c r="E379" t="s">
        <v>86</v>
      </c>
      <c r="F379" t="s">
        <v>528</v>
      </c>
      <c r="H379" t="s">
        <v>5104</v>
      </c>
      <c r="I379" t="s">
        <v>6485</v>
      </c>
      <c r="J379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t="s">
        <v>4223</v>
      </c>
      <c r="E380" t="s">
        <v>86</v>
      </c>
      <c r="F380" t="s">
        <v>528</v>
      </c>
      <c r="H380" t="s">
        <v>5104</v>
      </c>
      <c r="I380" t="s">
        <v>6488</v>
      </c>
      <c r="J380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t="s">
        <v>4223</v>
      </c>
      <c r="E381" t="s">
        <v>86</v>
      </c>
      <c r="F381" t="s">
        <v>1621</v>
      </c>
      <c r="H381" t="s">
        <v>5104</v>
      </c>
      <c r="I381" t="s">
        <v>6491</v>
      </c>
      <c r="J381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t="s">
        <v>4</v>
      </c>
      <c r="E382" t="s">
        <v>6529</v>
      </c>
      <c r="I382" t="s">
        <v>6494</v>
      </c>
      <c r="J382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t="s">
        <v>4</v>
      </c>
      <c r="E383" t="s">
        <v>6530</v>
      </c>
      <c r="H383" t="s">
        <v>6531</v>
      </c>
      <c r="I383" t="s">
        <v>6497</v>
      </c>
      <c r="J383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t="s">
        <v>533</v>
      </c>
      <c r="E384" t="s">
        <v>531</v>
      </c>
      <c r="F384" t="s">
        <v>58</v>
      </c>
      <c r="H384" t="s">
        <v>4236</v>
      </c>
      <c r="I384" t="s">
        <v>6608</v>
      </c>
      <c r="J384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t="s">
        <v>533</v>
      </c>
      <c r="E385" t="s">
        <v>531</v>
      </c>
      <c r="F385" t="s">
        <v>58</v>
      </c>
      <c r="H385" t="s">
        <v>4236</v>
      </c>
      <c r="I385" t="s">
        <v>6611</v>
      </c>
      <c r="J385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t="s">
        <v>4</v>
      </c>
      <c r="E386" t="s">
        <v>8</v>
      </c>
      <c r="I386" t="s">
        <v>6614</v>
      </c>
      <c r="J386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t="s">
        <v>4</v>
      </c>
      <c r="E387" t="s">
        <v>8</v>
      </c>
      <c r="I387" t="s">
        <v>6617</v>
      </c>
      <c r="J387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t="s">
        <v>4</v>
      </c>
      <c r="E388" t="s">
        <v>8</v>
      </c>
      <c r="I388" t="s">
        <v>6620</v>
      </c>
      <c r="J38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t="s">
        <v>4</v>
      </c>
      <c r="E389" t="s">
        <v>8</v>
      </c>
      <c r="I389" t="s">
        <v>6623</v>
      </c>
      <c r="J389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t="s">
        <v>4</v>
      </c>
      <c r="E390" t="s">
        <v>8</v>
      </c>
      <c r="I390" t="s">
        <v>6626</v>
      </c>
      <c r="J390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t="s">
        <v>533</v>
      </c>
      <c r="E391" t="s">
        <v>531</v>
      </c>
      <c r="F391" t="s">
        <v>1099</v>
      </c>
      <c r="I391" t="s">
        <v>6629</v>
      </c>
      <c r="J391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t="s">
        <v>4</v>
      </c>
      <c r="E392" t="s">
        <v>8</v>
      </c>
      <c r="I392" t="s">
        <v>6632</v>
      </c>
      <c r="J392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t="s">
        <v>4</v>
      </c>
      <c r="E393" t="s">
        <v>8</v>
      </c>
      <c r="I393" t="s">
        <v>6635</v>
      </c>
      <c r="J393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t="s">
        <v>533</v>
      </c>
      <c r="E394" t="s">
        <v>531</v>
      </c>
      <c r="F394" t="s">
        <v>58</v>
      </c>
      <c r="H394" t="s">
        <v>4236</v>
      </c>
      <c r="I394" t="s">
        <v>6781</v>
      </c>
      <c r="J394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t="s">
        <v>533</v>
      </c>
      <c r="E395" t="s">
        <v>531</v>
      </c>
      <c r="F395" t="s">
        <v>6871</v>
      </c>
      <c r="H395" t="s">
        <v>4236</v>
      </c>
      <c r="I395" t="s">
        <v>6784</v>
      </c>
      <c r="J395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t="s">
        <v>533</v>
      </c>
      <c r="E396" t="s">
        <v>531</v>
      </c>
      <c r="F396" t="s">
        <v>58</v>
      </c>
      <c r="H396" t="s">
        <v>4236</v>
      </c>
      <c r="I396" t="s">
        <v>6787</v>
      </c>
      <c r="J396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t="s">
        <v>533</v>
      </c>
      <c r="E397" t="s">
        <v>531</v>
      </c>
      <c r="F397" t="s">
        <v>1099</v>
      </c>
      <c r="H397" t="s">
        <v>4236</v>
      </c>
      <c r="I397" t="s">
        <v>6790</v>
      </c>
      <c r="J397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t="s">
        <v>533</v>
      </c>
      <c r="E398" t="s">
        <v>531</v>
      </c>
      <c r="F398" t="s">
        <v>58</v>
      </c>
      <c r="H398" t="s">
        <v>4236</v>
      </c>
      <c r="I398" t="s">
        <v>6793</v>
      </c>
      <c r="J39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t="s">
        <v>533</v>
      </c>
      <c r="E399" t="s">
        <v>531</v>
      </c>
      <c r="F399" t="s">
        <v>1099</v>
      </c>
      <c r="H399" t="s">
        <v>4236</v>
      </c>
      <c r="I399" t="s">
        <v>6796</v>
      </c>
      <c r="J399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t="s">
        <v>533</v>
      </c>
      <c r="E400" t="s">
        <v>531</v>
      </c>
      <c r="F400" t="s">
        <v>58</v>
      </c>
      <c r="H400" t="s">
        <v>4236</v>
      </c>
      <c r="I400" t="s">
        <v>6799</v>
      </c>
      <c r="J400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t="s">
        <v>533</v>
      </c>
      <c r="E401" t="s">
        <v>531</v>
      </c>
      <c r="F401" t="s">
        <v>58</v>
      </c>
      <c r="H401" t="s">
        <v>4236</v>
      </c>
      <c r="I401" t="s">
        <v>6802</v>
      </c>
      <c r="J401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t="s">
        <v>533</v>
      </c>
      <c r="E402" t="s">
        <v>531</v>
      </c>
      <c r="F402" t="s">
        <v>1099</v>
      </c>
      <c r="H402" t="s">
        <v>4236</v>
      </c>
      <c r="I402" t="s">
        <v>6805</v>
      </c>
      <c r="J402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t="s">
        <v>533</v>
      </c>
      <c r="E403" t="s">
        <v>531</v>
      </c>
      <c r="F403" t="s">
        <v>1099</v>
      </c>
      <c r="H403" t="s">
        <v>4236</v>
      </c>
      <c r="I403" t="s">
        <v>6808</v>
      </c>
      <c r="J403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t="s">
        <v>533</v>
      </c>
      <c r="E404" t="s">
        <v>531</v>
      </c>
      <c r="F404" t="s">
        <v>7169</v>
      </c>
      <c r="H404" t="s">
        <v>6339</v>
      </c>
      <c r="I404" t="s">
        <v>6811</v>
      </c>
      <c r="J404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t="s">
        <v>4</v>
      </c>
      <c r="E405" t="s">
        <v>8</v>
      </c>
      <c r="I405" t="s">
        <v>6814</v>
      </c>
      <c r="J405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t="s">
        <v>533</v>
      </c>
      <c r="E406" t="s">
        <v>531</v>
      </c>
      <c r="F406" t="s">
        <v>58</v>
      </c>
      <c r="H406" t="s">
        <v>4236</v>
      </c>
      <c r="I406" t="s">
        <v>6817</v>
      </c>
      <c r="J406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t="s">
        <v>4</v>
      </c>
      <c r="E407" t="s">
        <v>8</v>
      </c>
      <c r="I407" t="s">
        <v>7025</v>
      </c>
      <c r="J407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t="s">
        <v>533</v>
      </c>
      <c r="E408" t="s">
        <v>531</v>
      </c>
      <c r="F408" t="s">
        <v>58</v>
      </c>
      <c r="H408" t="s">
        <v>2949</v>
      </c>
      <c r="I408" t="s">
        <v>7028</v>
      </c>
      <c r="J40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t="s">
        <v>533</v>
      </c>
      <c r="E409" t="s">
        <v>531</v>
      </c>
      <c r="F409" t="s">
        <v>58</v>
      </c>
      <c r="H409" t="s">
        <v>2936</v>
      </c>
      <c r="I409" t="s">
        <v>7031</v>
      </c>
      <c r="J409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t="s">
        <v>533</v>
      </c>
      <c r="E410" t="s">
        <v>531</v>
      </c>
      <c r="F410" t="s">
        <v>58</v>
      </c>
      <c r="H410" t="s">
        <v>4236</v>
      </c>
      <c r="I410" t="s">
        <v>7034</v>
      </c>
      <c r="J410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t="s">
        <v>4223</v>
      </c>
      <c r="E411" t="s">
        <v>5480</v>
      </c>
      <c r="F411" t="s">
        <v>2944</v>
      </c>
      <c r="I411" t="s">
        <v>7037</v>
      </c>
      <c r="J411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t="s">
        <v>158</v>
      </c>
      <c r="E412" t="s">
        <v>86</v>
      </c>
      <c r="F412" t="s">
        <v>2944</v>
      </c>
      <c r="H412" t="s">
        <v>2954</v>
      </c>
      <c r="I412" t="s">
        <v>7040</v>
      </c>
      <c r="J412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t="s">
        <v>4223</v>
      </c>
      <c r="E413" t="s">
        <v>5480</v>
      </c>
      <c r="F413" t="s">
        <v>528</v>
      </c>
      <c r="I413" t="s">
        <v>7043</v>
      </c>
      <c r="J413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t="s">
        <v>533</v>
      </c>
      <c r="E414" t="s">
        <v>531</v>
      </c>
      <c r="F414" t="s">
        <v>58</v>
      </c>
      <c r="H414" t="s">
        <v>4236</v>
      </c>
      <c r="I414" t="s">
        <v>7046</v>
      </c>
      <c r="J414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t="s">
        <v>533</v>
      </c>
      <c r="E415" t="s">
        <v>531</v>
      </c>
      <c r="F415" t="s">
        <v>58</v>
      </c>
      <c r="H415" t="s">
        <v>4236</v>
      </c>
      <c r="I415" t="s">
        <v>7049</v>
      </c>
      <c r="J415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t="s">
        <v>533</v>
      </c>
      <c r="E416" t="s">
        <v>531</v>
      </c>
      <c r="F416" t="s">
        <v>6871</v>
      </c>
      <c r="H416" t="s">
        <v>4236</v>
      </c>
      <c r="I416" t="s">
        <v>7052</v>
      </c>
      <c r="J416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t="s">
        <v>158</v>
      </c>
      <c r="E417" t="s">
        <v>531</v>
      </c>
      <c r="F417" t="s">
        <v>6871</v>
      </c>
      <c r="H417" t="s">
        <v>4236</v>
      </c>
      <c r="I417" t="s">
        <v>7055</v>
      </c>
      <c r="J417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t="s">
        <v>533</v>
      </c>
      <c r="E418" t="s">
        <v>531</v>
      </c>
      <c r="F418" t="s">
        <v>2944</v>
      </c>
      <c r="H418" t="s">
        <v>4236</v>
      </c>
      <c r="I418" t="s">
        <v>7058</v>
      </c>
      <c r="J41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t="s">
        <v>533</v>
      </c>
      <c r="E419" t="s">
        <v>531</v>
      </c>
      <c r="F419" t="s">
        <v>7170</v>
      </c>
      <c r="I419" t="s">
        <v>7061</v>
      </c>
      <c r="J419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t="s">
        <v>533</v>
      </c>
      <c r="E420" t="s">
        <v>531</v>
      </c>
      <c r="F420" t="s">
        <v>7169</v>
      </c>
      <c r="H420" t="s">
        <v>6339</v>
      </c>
      <c r="I420" t="s">
        <v>7064</v>
      </c>
      <c r="J420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t="s">
        <v>4221</v>
      </c>
      <c r="E421" t="s">
        <v>86</v>
      </c>
      <c r="F421" t="s">
        <v>58</v>
      </c>
      <c r="H421" t="s">
        <v>1620</v>
      </c>
      <c r="I421" t="s">
        <v>7067</v>
      </c>
      <c r="J421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t="s">
        <v>158</v>
      </c>
      <c r="E422" t="s">
        <v>86</v>
      </c>
      <c r="F422" t="s">
        <v>58</v>
      </c>
      <c r="H422" t="s">
        <v>2954</v>
      </c>
      <c r="I422" t="s">
        <v>7070</v>
      </c>
      <c r="J422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t="s">
        <v>4221</v>
      </c>
      <c r="E423" t="s">
        <v>86</v>
      </c>
      <c r="F423" t="s">
        <v>2962</v>
      </c>
      <c r="H423" t="s">
        <v>1620</v>
      </c>
      <c r="I423" t="s">
        <v>7073</v>
      </c>
      <c r="J423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t="s">
        <v>4221</v>
      </c>
      <c r="E424" t="s">
        <v>86</v>
      </c>
      <c r="F424" t="s">
        <v>2962</v>
      </c>
      <c r="H424" t="s">
        <v>2936</v>
      </c>
      <c r="I424" t="s">
        <v>7076</v>
      </c>
      <c r="J424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t="s">
        <v>4221</v>
      </c>
      <c r="E425" t="s">
        <v>86</v>
      </c>
      <c r="F425" t="s">
        <v>2962</v>
      </c>
      <c r="H425" t="s">
        <v>2936</v>
      </c>
      <c r="I425" t="s">
        <v>7079</v>
      </c>
      <c r="J425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t="s">
        <v>533</v>
      </c>
      <c r="E426" t="s">
        <v>531</v>
      </c>
      <c r="F426" t="s">
        <v>7169</v>
      </c>
      <c r="H426" t="s">
        <v>6339</v>
      </c>
      <c r="I426" t="s">
        <v>7082</v>
      </c>
      <c r="J426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t="s">
        <v>533</v>
      </c>
      <c r="E427" t="s">
        <v>531</v>
      </c>
      <c r="F427" t="s">
        <v>58</v>
      </c>
      <c r="H427" t="s">
        <v>2954</v>
      </c>
      <c r="I427" t="s">
        <v>7085</v>
      </c>
      <c r="J427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t="s">
        <v>533</v>
      </c>
      <c r="E428" t="s">
        <v>531</v>
      </c>
      <c r="F428" t="s">
        <v>58</v>
      </c>
      <c r="H428" t="s">
        <v>2936</v>
      </c>
      <c r="I428" t="s">
        <v>7088</v>
      </c>
      <c r="J42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t="s">
        <v>533</v>
      </c>
      <c r="E429" t="s">
        <v>531</v>
      </c>
      <c r="F429" t="s">
        <v>58</v>
      </c>
      <c r="H429" t="s">
        <v>2954</v>
      </c>
      <c r="I429" t="s">
        <v>7091</v>
      </c>
      <c r="J429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t="s">
        <v>533</v>
      </c>
      <c r="E430" t="s">
        <v>531</v>
      </c>
      <c r="F430" t="s">
        <v>7168</v>
      </c>
      <c r="H430" t="s">
        <v>4236</v>
      </c>
      <c r="I430" t="s">
        <v>7094</v>
      </c>
      <c r="J430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t="s">
        <v>533</v>
      </c>
      <c r="E431" t="s">
        <v>531</v>
      </c>
      <c r="F431" t="s">
        <v>3076</v>
      </c>
      <c r="H431" t="s">
        <v>4236</v>
      </c>
      <c r="I431" t="s">
        <v>7097</v>
      </c>
      <c r="J431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t="s">
        <v>4</v>
      </c>
      <c r="E432" t="s">
        <v>8</v>
      </c>
      <c r="I432" t="s">
        <v>7100</v>
      </c>
      <c r="J432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t="s">
        <v>2004</v>
      </c>
      <c r="E433" t="s">
        <v>8</v>
      </c>
      <c r="I433" t="s">
        <v>7103</v>
      </c>
      <c r="J433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t="s">
        <v>2004</v>
      </c>
      <c r="E434" t="s">
        <v>8</v>
      </c>
      <c r="I434" t="s">
        <v>7202</v>
      </c>
      <c r="J434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t="s">
        <v>2004</v>
      </c>
      <c r="E435" t="s">
        <v>8</v>
      </c>
      <c r="I435" t="s">
        <v>7299</v>
      </c>
      <c r="J435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t="s">
        <v>2004</v>
      </c>
      <c r="E436" t="s">
        <v>8</v>
      </c>
      <c r="I436" t="s">
        <v>7302</v>
      </c>
      <c r="J436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t="s">
        <v>2004</v>
      </c>
      <c r="E437" t="s">
        <v>8</v>
      </c>
      <c r="I437" t="s">
        <v>7490</v>
      </c>
      <c r="J437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t="s">
        <v>7711</v>
      </c>
      <c r="E438" t="s">
        <v>1607</v>
      </c>
      <c r="I438" t="s">
        <v>7493</v>
      </c>
      <c r="J43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t="s">
        <v>7711</v>
      </c>
      <c r="E439" t="s">
        <v>1607</v>
      </c>
      <c r="I439" t="s">
        <v>7496</v>
      </c>
      <c r="J439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t="s">
        <v>2004</v>
      </c>
      <c r="E440" t="s">
        <v>8</v>
      </c>
      <c r="I440" t="s">
        <v>7499</v>
      </c>
      <c r="J440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t="s">
        <v>289</v>
      </c>
      <c r="E441" t="s">
        <v>70</v>
      </c>
      <c r="F441" t="s">
        <v>58</v>
      </c>
      <c r="H441" t="s">
        <v>1618</v>
      </c>
      <c r="I441" t="s">
        <v>7502</v>
      </c>
      <c r="J441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t="s">
        <v>289</v>
      </c>
      <c r="E442" t="s">
        <v>70</v>
      </c>
      <c r="F442" t="s">
        <v>58</v>
      </c>
      <c r="H442" t="s">
        <v>2936</v>
      </c>
      <c r="I442" t="s">
        <v>7505</v>
      </c>
      <c r="J442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t="s">
        <v>289</v>
      </c>
      <c r="E443" t="s">
        <v>70</v>
      </c>
      <c r="F443" t="s">
        <v>58</v>
      </c>
      <c r="H443" t="s">
        <v>2936</v>
      </c>
      <c r="I443" t="s">
        <v>7508</v>
      </c>
      <c r="J443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t="s">
        <v>289</v>
      </c>
      <c r="E444" t="s">
        <v>70</v>
      </c>
      <c r="F444" t="s">
        <v>58</v>
      </c>
      <c r="H444" t="s">
        <v>2936</v>
      </c>
      <c r="I444" t="s">
        <v>7511</v>
      </c>
      <c r="J444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t="s">
        <v>289</v>
      </c>
      <c r="E445" t="s">
        <v>70</v>
      </c>
      <c r="F445" t="s">
        <v>58</v>
      </c>
      <c r="H445" t="s">
        <v>2936</v>
      </c>
      <c r="I445" t="s">
        <v>7514</v>
      </c>
      <c r="J445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t="s">
        <v>650</v>
      </c>
      <c r="E446" t="s">
        <v>70</v>
      </c>
      <c r="F446" t="s">
        <v>58</v>
      </c>
      <c r="I446" t="s">
        <v>7517</v>
      </c>
      <c r="J446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t="s">
        <v>7712</v>
      </c>
      <c r="E447" t="s">
        <v>531</v>
      </c>
      <c r="I447" t="s">
        <v>7520</v>
      </c>
      <c r="J447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t="s">
        <v>4223</v>
      </c>
      <c r="E448" t="s">
        <v>86</v>
      </c>
      <c r="F448" t="s">
        <v>7713</v>
      </c>
      <c r="I448" t="s">
        <v>7523</v>
      </c>
      <c r="J44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t="s">
        <v>4223</v>
      </c>
      <c r="E449" t="s">
        <v>86</v>
      </c>
      <c r="F449" t="s">
        <v>7713</v>
      </c>
      <c r="H449" t="s">
        <v>2936</v>
      </c>
      <c r="I449" t="s">
        <v>7526</v>
      </c>
      <c r="J449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t="s">
        <v>4223</v>
      </c>
      <c r="E450" t="s">
        <v>86</v>
      </c>
      <c r="F450" t="s">
        <v>7713</v>
      </c>
      <c r="I450" t="s">
        <v>7529</v>
      </c>
      <c r="J450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t="s">
        <v>2004</v>
      </c>
      <c r="E451" t="s">
        <v>8</v>
      </c>
      <c r="I451" t="s">
        <v>7532</v>
      </c>
      <c r="J451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t="s">
        <v>2004</v>
      </c>
      <c r="E452" t="s">
        <v>8</v>
      </c>
      <c r="I452" t="s">
        <v>7535</v>
      </c>
      <c r="J452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t="s">
        <v>2004</v>
      </c>
      <c r="E453" t="s">
        <v>8</v>
      </c>
      <c r="I453" t="s">
        <v>7744</v>
      </c>
      <c r="J453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t="s">
        <v>1606</v>
      </c>
      <c r="E454" t="s">
        <v>6656</v>
      </c>
      <c r="F454" t="s">
        <v>5076</v>
      </c>
      <c r="I454" t="s">
        <v>8028</v>
      </c>
      <c r="J454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t="s">
        <v>8042</v>
      </c>
      <c r="E455" t="s">
        <v>6656</v>
      </c>
      <c r="F455" t="s">
        <v>5076</v>
      </c>
      <c r="H455" t="s">
        <v>8052</v>
      </c>
      <c r="I455" t="s">
        <v>8031</v>
      </c>
      <c r="J455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t="s">
        <v>650</v>
      </c>
      <c r="E456" t="s">
        <v>6656</v>
      </c>
      <c r="F456" t="s">
        <v>5076</v>
      </c>
      <c r="I456" t="s">
        <v>8034</v>
      </c>
      <c r="J456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t="s">
        <v>4</v>
      </c>
      <c r="E457" t="s">
        <v>1607</v>
      </c>
      <c r="F457" t="s">
        <v>8053</v>
      </c>
      <c r="I457" t="s">
        <v>8037</v>
      </c>
      <c r="J457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t="s">
        <v>1606</v>
      </c>
      <c r="E458" t="s">
        <v>70</v>
      </c>
      <c r="I458" t="s">
        <v>8198</v>
      </c>
      <c r="J45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t="s">
        <v>290</v>
      </c>
      <c r="E459" t="s">
        <v>70</v>
      </c>
      <c r="F459" t="s">
        <v>5093</v>
      </c>
      <c r="H459" t="s">
        <v>2949</v>
      </c>
      <c r="I459" t="s">
        <v>8201</v>
      </c>
      <c r="J459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t="s">
        <v>290</v>
      </c>
      <c r="E460" t="s">
        <v>70</v>
      </c>
      <c r="F460" t="s">
        <v>5093</v>
      </c>
      <c r="H460" t="s">
        <v>2949</v>
      </c>
      <c r="I460" t="s">
        <v>8204</v>
      </c>
      <c r="J460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t="s">
        <v>290</v>
      </c>
      <c r="E461" t="s">
        <v>70</v>
      </c>
      <c r="F461" t="s">
        <v>5093</v>
      </c>
      <c r="H461" t="s">
        <v>2949</v>
      </c>
      <c r="I461" t="s">
        <v>8207</v>
      </c>
      <c r="J461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t="s">
        <v>650</v>
      </c>
      <c r="E462" t="s">
        <v>70</v>
      </c>
      <c r="I462" t="s">
        <v>8210</v>
      </c>
      <c r="J462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t="s">
        <v>533</v>
      </c>
      <c r="E463" t="s">
        <v>531</v>
      </c>
      <c r="F463" t="s">
        <v>8350</v>
      </c>
      <c r="I463" t="s">
        <v>8213</v>
      </c>
      <c r="J463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t="s">
        <v>4</v>
      </c>
      <c r="E464" t="s">
        <v>531</v>
      </c>
      <c r="I464" t="s">
        <v>8216</v>
      </c>
      <c r="J464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t="s">
        <v>4</v>
      </c>
      <c r="E465" t="s">
        <v>8351</v>
      </c>
      <c r="I465" t="s">
        <v>8219</v>
      </c>
      <c r="J465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t="s">
        <v>4</v>
      </c>
      <c r="E466" t="s">
        <v>8351</v>
      </c>
      <c r="I466" t="s">
        <v>8222</v>
      </c>
      <c r="J466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t="s">
        <v>4</v>
      </c>
      <c r="E467" t="s">
        <v>8353</v>
      </c>
      <c r="I467" t="s">
        <v>8225</v>
      </c>
      <c r="J467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t="s">
        <v>289</v>
      </c>
      <c r="E468" t="s">
        <v>8352</v>
      </c>
      <c r="F468" t="s">
        <v>1621</v>
      </c>
      <c r="I468" t="s">
        <v>8228</v>
      </c>
      <c r="J46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t="s">
        <v>4</v>
      </c>
      <c r="E469" t="s">
        <v>8</v>
      </c>
      <c r="I469" t="s">
        <v>8231</v>
      </c>
      <c r="J469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t="s">
        <v>4</v>
      </c>
      <c r="E470" t="s">
        <v>8</v>
      </c>
      <c r="I470" t="s">
        <v>8234</v>
      </c>
      <c r="J470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t="s">
        <v>4</v>
      </c>
      <c r="E471" t="s">
        <v>8</v>
      </c>
      <c r="I471" t="s">
        <v>8237</v>
      </c>
      <c r="J471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t="s">
        <v>1606</v>
      </c>
      <c r="E472" t="s">
        <v>70</v>
      </c>
      <c r="I472" t="s">
        <v>8240</v>
      </c>
      <c r="J472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t="s">
        <v>290</v>
      </c>
      <c r="E473" t="s">
        <v>70</v>
      </c>
      <c r="F473" t="s">
        <v>5093</v>
      </c>
      <c r="I473" t="s">
        <v>8243</v>
      </c>
      <c r="J473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t="s">
        <v>290</v>
      </c>
      <c r="E474" t="s">
        <v>70</v>
      </c>
      <c r="F474" t="s">
        <v>5093</v>
      </c>
      <c r="I474" t="s">
        <v>8246</v>
      </c>
      <c r="J474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t="s">
        <v>290</v>
      </c>
      <c r="E475" t="s">
        <v>70</v>
      </c>
      <c r="F475" t="s">
        <v>5093</v>
      </c>
      <c r="I475" t="s">
        <v>8249</v>
      </c>
      <c r="J475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t="s">
        <v>650</v>
      </c>
      <c r="E476" t="s">
        <v>70</v>
      </c>
      <c r="I476" t="s">
        <v>8252</v>
      </c>
      <c r="J476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t="s">
        <v>1606</v>
      </c>
      <c r="E477" t="s">
        <v>8354</v>
      </c>
      <c r="H477" t="s">
        <v>8355</v>
      </c>
      <c r="I477" t="s">
        <v>8255</v>
      </c>
      <c r="J477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t="s">
        <v>6171</v>
      </c>
      <c r="E478" t="s">
        <v>8354</v>
      </c>
      <c r="H478" t="s">
        <v>8356</v>
      </c>
      <c r="I478" t="s">
        <v>8258</v>
      </c>
      <c r="J47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t="s">
        <v>650</v>
      </c>
      <c r="E479" t="s">
        <v>8354</v>
      </c>
      <c r="I479" t="s">
        <v>8261</v>
      </c>
      <c r="J479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t="s">
        <v>8357</v>
      </c>
      <c r="E480" t="s">
        <v>5093</v>
      </c>
      <c r="H480" t="s">
        <v>8358</v>
      </c>
      <c r="I480" t="s">
        <v>8264</v>
      </c>
      <c r="J480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t="s">
        <v>2004</v>
      </c>
      <c r="E481" t="s">
        <v>8</v>
      </c>
      <c r="I481" t="s">
        <v>8267</v>
      </c>
      <c r="J481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t="s">
        <v>2004</v>
      </c>
      <c r="E482" t="s">
        <v>8</v>
      </c>
      <c r="I482" t="s">
        <v>8270</v>
      </c>
      <c r="J482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t="s">
        <v>2004</v>
      </c>
      <c r="E483" t="s">
        <v>8</v>
      </c>
      <c r="I483" t="s">
        <v>8438</v>
      </c>
      <c r="J483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t="s">
        <v>2004</v>
      </c>
      <c r="E484" t="s">
        <v>8</v>
      </c>
      <c r="I484" t="s">
        <v>8441</v>
      </c>
      <c r="J484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t="s">
        <v>2004</v>
      </c>
      <c r="E485" t="s">
        <v>8</v>
      </c>
      <c r="I485" t="s">
        <v>8444</v>
      </c>
      <c r="J485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t="s">
        <v>2004</v>
      </c>
      <c r="E486" t="s">
        <v>8</v>
      </c>
      <c r="I486" t="s">
        <v>8703</v>
      </c>
      <c r="J486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t="s">
        <v>2004</v>
      </c>
      <c r="E487" t="s">
        <v>8826</v>
      </c>
      <c r="I487" t="s">
        <v>8706</v>
      </c>
      <c r="J487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t="s">
        <v>2004</v>
      </c>
      <c r="E488" t="s">
        <v>8826</v>
      </c>
      <c r="I488" t="s">
        <v>8709</v>
      </c>
      <c r="J48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t="s">
        <v>2004</v>
      </c>
      <c r="E489" t="s">
        <v>8</v>
      </c>
      <c r="I489" t="s">
        <v>8712</v>
      </c>
      <c r="J489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t="s">
        <v>2004</v>
      </c>
      <c r="E490" t="s">
        <v>8826</v>
      </c>
      <c r="I490" t="s">
        <v>8715</v>
      </c>
      <c r="J490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t="s">
        <v>2004</v>
      </c>
      <c r="E491" t="s">
        <v>8826</v>
      </c>
      <c r="I491" t="s">
        <v>8718</v>
      </c>
      <c r="J491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t="s">
        <v>4</v>
      </c>
      <c r="E492" t="s">
        <v>8805</v>
      </c>
      <c r="I492" t="s">
        <v>8721</v>
      </c>
      <c r="J492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t="s">
        <v>4</v>
      </c>
      <c r="E493" t="s">
        <v>8</v>
      </c>
      <c r="I493" t="s">
        <v>9027</v>
      </c>
      <c r="J493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t="s">
        <v>289</v>
      </c>
      <c r="E494" t="s">
        <v>86</v>
      </c>
      <c r="F494" t="s">
        <v>9190</v>
      </c>
      <c r="I494" t="s">
        <v>9030</v>
      </c>
      <c r="J494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t="s">
        <v>4221</v>
      </c>
      <c r="E495" t="s">
        <v>86</v>
      </c>
      <c r="F495" t="s">
        <v>9190</v>
      </c>
      <c r="I495" t="s">
        <v>9033</v>
      </c>
      <c r="J495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t="s">
        <v>4221</v>
      </c>
      <c r="E496" t="s">
        <v>9207</v>
      </c>
      <c r="F496" t="s">
        <v>9190</v>
      </c>
      <c r="I496" t="s">
        <v>9036</v>
      </c>
      <c r="J496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t="s">
        <v>4223</v>
      </c>
      <c r="E497" t="s">
        <v>86</v>
      </c>
      <c r="F497" t="s">
        <v>60</v>
      </c>
      <c r="H497" t="s">
        <v>1605</v>
      </c>
      <c r="I497" t="s">
        <v>9039</v>
      </c>
      <c r="J497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t="s">
        <v>4223</v>
      </c>
      <c r="E498" t="s">
        <v>86</v>
      </c>
      <c r="F498" t="s">
        <v>9202</v>
      </c>
      <c r="I498" t="s">
        <v>9042</v>
      </c>
      <c r="J49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t="s">
        <v>4223</v>
      </c>
      <c r="E499" t="s">
        <v>86</v>
      </c>
      <c r="F499" t="s">
        <v>9202</v>
      </c>
      <c r="H499" t="s">
        <v>2936</v>
      </c>
      <c r="I499" t="s">
        <v>9045</v>
      </c>
      <c r="J499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t="s">
        <v>4223</v>
      </c>
      <c r="E500" t="s">
        <v>86</v>
      </c>
      <c r="F500" t="s">
        <v>9203</v>
      </c>
      <c r="I500" t="s">
        <v>9048</v>
      </c>
      <c r="J500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t="s">
        <v>4223</v>
      </c>
      <c r="E501" t="s">
        <v>86</v>
      </c>
      <c r="F501" t="s">
        <v>9203</v>
      </c>
      <c r="I501" t="s">
        <v>9051</v>
      </c>
      <c r="J501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t="s">
        <v>4223</v>
      </c>
      <c r="E502" t="s">
        <v>86</v>
      </c>
      <c r="F502" t="s">
        <v>9203</v>
      </c>
      <c r="I502" t="s">
        <v>9054</v>
      </c>
      <c r="J502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t="s">
        <v>4223</v>
      </c>
      <c r="E503" t="s">
        <v>86</v>
      </c>
      <c r="F503" t="s">
        <v>9203</v>
      </c>
      <c r="I503" t="s">
        <v>9057</v>
      </c>
      <c r="J503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t="s">
        <v>4223</v>
      </c>
      <c r="E504" t="s">
        <v>86</v>
      </c>
      <c r="F504" t="s">
        <v>9203</v>
      </c>
      <c r="I504" t="s">
        <v>9060</v>
      </c>
      <c r="J504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t="s">
        <v>4223</v>
      </c>
      <c r="E505" t="s">
        <v>86</v>
      </c>
      <c r="F505" t="s">
        <v>60</v>
      </c>
      <c r="H505" t="s">
        <v>1605</v>
      </c>
      <c r="I505" t="s">
        <v>9063</v>
      </c>
      <c r="J505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t="s">
        <v>4223</v>
      </c>
      <c r="E506" t="s">
        <v>86</v>
      </c>
      <c r="F506" t="s">
        <v>60</v>
      </c>
      <c r="H506" t="s">
        <v>1605</v>
      </c>
      <c r="I506" t="s">
        <v>9066</v>
      </c>
      <c r="J506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t="s">
        <v>4223</v>
      </c>
      <c r="E507" t="s">
        <v>86</v>
      </c>
      <c r="F507" t="s">
        <v>9203</v>
      </c>
      <c r="I507" t="s">
        <v>9069</v>
      </c>
      <c r="J507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t="s">
        <v>533</v>
      </c>
      <c r="E508" t="s">
        <v>531</v>
      </c>
      <c r="F508" t="s">
        <v>58</v>
      </c>
      <c r="I508" t="s">
        <v>9072</v>
      </c>
      <c r="J50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t="s">
        <v>533</v>
      </c>
      <c r="E509" t="s">
        <v>531</v>
      </c>
      <c r="F509" t="s">
        <v>58</v>
      </c>
      <c r="I509" t="s">
        <v>9075</v>
      </c>
      <c r="J509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t="s">
        <v>533</v>
      </c>
      <c r="E510" t="s">
        <v>531</v>
      </c>
      <c r="F510" t="s">
        <v>58</v>
      </c>
      <c r="I510" t="s">
        <v>9078</v>
      </c>
      <c r="J510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t="s">
        <v>533</v>
      </c>
      <c r="E511" t="s">
        <v>531</v>
      </c>
      <c r="F511" t="s">
        <v>58</v>
      </c>
      <c r="I511" t="s">
        <v>9081</v>
      </c>
      <c r="J511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t="s">
        <v>533</v>
      </c>
      <c r="E512" t="s">
        <v>531</v>
      </c>
      <c r="F512" t="s">
        <v>58</v>
      </c>
      <c r="I512" t="s">
        <v>9084</v>
      </c>
      <c r="J512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t="s">
        <v>533</v>
      </c>
      <c r="E513" t="s">
        <v>531</v>
      </c>
      <c r="F513" t="s">
        <v>9208</v>
      </c>
      <c r="I513" t="s">
        <v>9087</v>
      </c>
      <c r="J513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t="s">
        <v>533</v>
      </c>
      <c r="E514" t="s">
        <v>531</v>
      </c>
      <c r="F514" t="s">
        <v>58</v>
      </c>
      <c r="I514" t="s">
        <v>9090</v>
      </c>
      <c r="J514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t="s">
        <v>533</v>
      </c>
      <c r="E515" t="s">
        <v>531</v>
      </c>
      <c r="F515" t="s">
        <v>9202</v>
      </c>
      <c r="I515" t="s">
        <v>9093</v>
      </c>
      <c r="J515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t="s">
        <v>4223</v>
      </c>
      <c r="E516" t="s">
        <v>86</v>
      </c>
      <c r="F516" t="s">
        <v>528</v>
      </c>
      <c r="I516" t="s">
        <v>9096</v>
      </c>
      <c r="J516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t="s">
        <v>4223</v>
      </c>
      <c r="E517" t="s">
        <v>86</v>
      </c>
      <c r="F517" t="s">
        <v>528</v>
      </c>
      <c r="H517" t="s">
        <v>2936</v>
      </c>
      <c r="I517" t="s">
        <v>9099</v>
      </c>
      <c r="J517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t="s">
        <v>533</v>
      </c>
      <c r="E518" t="s">
        <v>531</v>
      </c>
      <c r="F518" t="s">
        <v>58</v>
      </c>
      <c r="I518" t="s">
        <v>9102</v>
      </c>
      <c r="J51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t="s">
        <v>533</v>
      </c>
      <c r="E519" t="s">
        <v>531</v>
      </c>
      <c r="F519" t="s">
        <v>58</v>
      </c>
      <c r="I519" t="s">
        <v>9105</v>
      </c>
      <c r="J519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t="s">
        <v>533</v>
      </c>
      <c r="E520" t="s">
        <v>531</v>
      </c>
      <c r="F520" t="s">
        <v>9209</v>
      </c>
      <c r="I520" t="s">
        <v>9108</v>
      </c>
      <c r="J520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t="s">
        <v>533</v>
      </c>
      <c r="E521" t="s">
        <v>531</v>
      </c>
      <c r="F521" t="s">
        <v>9210</v>
      </c>
      <c r="I521" t="s">
        <v>9111</v>
      </c>
      <c r="J521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t="s">
        <v>8042</v>
      </c>
      <c r="E522" t="s">
        <v>4193</v>
      </c>
      <c r="I522" t="s">
        <v>9300</v>
      </c>
      <c r="J522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t="s">
        <v>533</v>
      </c>
      <c r="E523" t="s">
        <v>1607</v>
      </c>
      <c r="F523" t="s">
        <v>58</v>
      </c>
      <c r="I523" t="s">
        <v>9303</v>
      </c>
      <c r="J523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t="s">
        <v>8042</v>
      </c>
      <c r="E524" t="s">
        <v>4193</v>
      </c>
      <c r="I524" t="s">
        <v>9306</v>
      </c>
      <c r="J524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t="s">
        <v>4</v>
      </c>
      <c r="E525" t="s">
        <v>8</v>
      </c>
      <c r="I525" t="s">
        <v>9309</v>
      </c>
      <c r="J525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t="s">
        <v>533</v>
      </c>
      <c r="E526" t="s">
        <v>1607</v>
      </c>
      <c r="F526" t="s">
        <v>58</v>
      </c>
      <c r="H526" t="s">
        <v>9519</v>
      </c>
      <c r="I526" t="s">
        <v>9486</v>
      </c>
      <c r="J526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t="s">
        <v>533</v>
      </c>
      <c r="E527" t="s">
        <v>1607</v>
      </c>
      <c r="F527" t="s">
        <v>58</v>
      </c>
      <c r="H527" t="s">
        <v>9519</v>
      </c>
      <c r="I527" t="s">
        <v>9489</v>
      </c>
      <c r="J527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t="s">
        <v>533</v>
      </c>
      <c r="E528" t="s">
        <v>1607</v>
      </c>
      <c r="F528" t="s">
        <v>58</v>
      </c>
      <c r="H528" t="s">
        <v>2949</v>
      </c>
      <c r="I528" t="s">
        <v>9492</v>
      </c>
      <c r="J52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t="s">
        <v>1606</v>
      </c>
      <c r="E529" t="s">
        <v>9520</v>
      </c>
      <c r="I529" t="s">
        <v>9495</v>
      </c>
      <c r="J529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t="s">
        <v>650</v>
      </c>
      <c r="E530" t="s">
        <v>9520</v>
      </c>
      <c r="I530" t="s">
        <v>9498</v>
      </c>
      <c r="J530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t="s">
        <v>533</v>
      </c>
      <c r="E531" t="s">
        <v>1607</v>
      </c>
      <c r="F531" t="s">
        <v>58</v>
      </c>
      <c r="H531" t="s">
        <v>9519</v>
      </c>
      <c r="I531" t="s">
        <v>9501</v>
      </c>
      <c r="J531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t="s">
        <v>1606</v>
      </c>
      <c r="E532" t="s">
        <v>9521</v>
      </c>
      <c r="I532" t="s">
        <v>9504</v>
      </c>
      <c r="J532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t="s">
        <v>289</v>
      </c>
      <c r="E533" t="s">
        <v>9521</v>
      </c>
      <c r="F533" t="s">
        <v>2944</v>
      </c>
      <c r="I533" t="s">
        <v>9507</v>
      </c>
      <c r="J533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t="s">
        <v>650</v>
      </c>
      <c r="E534" t="s">
        <v>9521</v>
      </c>
      <c r="F534" t="s">
        <v>2944</v>
      </c>
      <c r="I534" t="s">
        <v>9510</v>
      </c>
      <c r="J534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t="s">
        <v>533</v>
      </c>
      <c r="E535" t="s">
        <v>1607</v>
      </c>
      <c r="F535" t="s">
        <v>58</v>
      </c>
      <c r="H535" t="s">
        <v>9519</v>
      </c>
      <c r="I535" t="s">
        <v>9513</v>
      </c>
      <c r="J535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t="s">
        <v>4</v>
      </c>
      <c r="E536" t="s">
        <v>8</v>
      </c>
      <c r="I536" t="s">
        <v>9516</v>
      </c>
      <c r="J536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t="s">
        <v>4</v>
      </c>
      <c r="E537" t="s">
        <v>6656</v>
      </c>
      <c r="F537" t="s">
        <v>9339</v>
      </c>
      <c r="I537" t="s">
        <v>9657</v>
      </c>
      <c r="J537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t="s">
        <v>4</v>
      </c>
      <c r="E538" t="s">
        <v>6656</v>
      </c>
      <c r="F538" t="s">
        <v>9339</v>
      </c>
      <c r="I538" t="s">
        <v>9660</v>
      </c>
      <c r="J53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t="s">
        <v>533</v>
      </c>
      <c r="E539" t="s">
        <v>1607</v>
      </c>
      <c r="F539" t="s">
        <v>58</v>
      </c>
      <c r="I539" t="s">
        <v>9663</v>
      </c>
      <c r="J539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  <row r="540" spans="1:13" x14ac:dyDescent="0.25">
      <c r="A540" s="2" t="s">
        <v>13</v>
      </c>
      <c r="B540" s="4">
        <v>46041</v>
      </c>
      <c r="C540" s="5">
        <v>0.68579861111111107</v>
      </c>
      <c r="D540" t="s">
        <v>2004</v>
      </c>
      <c r="E540" t="s">
        <v>8</v>
      </c>
      <c r="I540" t="s">
        <v>9825</v>
      </c>
      <c r="J540" t="s">
        <v>2985</v>
      </c>
      <c r="K540" t="s">
        <v>9826</v>
      </c>
      <c r="L540" t="s">
        <v>9827</v>
      </c>
      <c r="M540" s="3" t="str">
        <f>HYPERLINK(склад2въезд131920212223[[#This Row],[RelativePath]])</f>
        <v>10 Сушилка навес\E33149364_3_20260119T162733Z.jpg</v>
      </c>
    </row>
    <row r="541" spans="1:13" x14ac:dyDescent="0.25">
      <c r="A541" s="2" t="s">
        <v>14</v>
      </c>
      <c r="B541" s="4">
        <v>46042</v>
      </c>
      <c r="C541" s="5">
        <v>0.39603009259259259</v>
      </c>
      <c r="D541" t="s">
        <v>533</v>
      </c>
      <c r="E541" t="s">
        <v>1607</v>
      </c>
      <c r="F541" t="s">
        <v>58</v>
      </c>
      <c r="I541" t="s">
        <v>9828</v>
      </c>
      <c r="J541" t="s">
        <v>2985</v>
      </c>
      <c r="K541" t="s">
        <v>9829</v>
      </c>
      <c r="L541" t="s">
        <v>9830</v>
      </c>
      <c r="M541" s="3" t="str">
        <f>HYPERLINK(склад2въезд131920212223[[#This Row],[RelativePath]])</f>
        <v>10 Сушилка навес\E33149364_3_20260120T093017Z.jpg</v>
      </c>
    </row>
    <row r="542" spans="1:13" x14ac:dyDescent="0.25">
      <c r="A542" s="2" t="s">
        <v>14</v>
      </c>
      <c r="B542" s="4">
        <v>46042</v>
      </c>
      <c r="C542" s="5">
        <v>0.42540509259259257</v>
      </c>
      <c r="D542" t="s">
        <v>4223</v>
      </c>
      <c r="E542" t="s">
        <v>86</v>
      </c>
      <c r="F542" t="s">
        <v>9202</v>
      </c>
      <c r="I542" t="s">
        <v>9831</v>
      </c>
      <c r="J542" t="s">
        <v>2985</v>
      </c>
      <c r="K542" t="s">
        <v>9832</v>
      </c>
      <c r="L542" t="s">
        <v>9833</v>
      </c>
      <c r="M542" s="3" t="str">
        <f>HYPERLINK(склад2въезд131920212223[[#This Row],[RelativePath]])</f>
        <v>10 Сушилка навес\E33149364_3_20260120T101235Z.jpg</v>
      </c>
    </row>
    <row r="543" spans="1:13" x14ac:dyDescent="0.25">
      <c r="A543" s="2" t="s">
        <v>14</v>
      </c>
      <c r="B543" s="4">
        <v>46042</v>
      </c>
      <c r="C543" s="5">
        <v>0.43747685185185187</v>
      </c>
      <c r="D543" t="s">
        <v>4223</v>
      </c>
      <c r="E543" t="s">
        <v>86</v>
      </c>
      <c r="F543" t="s">
        <v>9202</v>
      </c>
      <c r="I543" t="s">
        <v>9834</v>
      </c>
      <c r="J543" t="s">
        <v>2985</v>
      </c>
      <c r="K543" t="s">
        <v>9835</v>
      </c>
      <c r="L543" t="s">
        <v>9836</v>
      </c>
      <c r="M543" s="3" t="str">
        <f>HYPERLINK(склад2въезд131920212223[[#This Row],[RelativePath]])</f>
        <v>10 Сушилка навес\E33149364_3_20260120T102958Z.jpg</v>
      </c>
    </row>
    <row r="544" spans="1:13" x14ac:dyDescent="0.25">
      <c r="A544" s="2" t="s">
        <v>14</v>
      </c>
      <c r="B544" s="4">
        <v>46042</v>
      </c>
      <c r="C544" s="5">
        <v>0.44299768518518517</v>
      </c>
      <c r="D544" t="s">
        <v>4223</v>
      </c>
      <c r="E544" t="s">
        <v>86</v>
      </c>
      <c r="F544" t="s">
        <v>9202</v>
      </c>
      <c r="I544" t="s">
        <v>9837</v>
      </c>
      <c r="J544" t="s">
        <v>2985</v>
      </c>
      <c r="K544" t="s">
        <v>9838</v>
      </c>
      <c r="L544" t="s">
        <v>9839</v>
      </c>
      <c r="M544" s="3" t="str">
        <f>HYPERLINK(склад2въезд131920212223[[#This Row],[RelativePath]])</f>
        <v>10 Сушилка навес\E33149364_3_20260120T103755Z.jpg</v>
      </c>
    </row>
    <row r="545" spans="1:13" x14ac:dyDescent="0.25">
      <c r="A545" s="2" t="s">
        <v>15</v>
      </c>
      <c r="B545" s="4">
        <v>46043</v>
      </c>
      <c r="C545" s="5">
        <v>0.4676851851851852</v>
      </c>
      <c r="D545" t="s">
        <v>1606</v>
      </c>
      <c r="E545" t="s">
        <v>10140</v>
      </c>
      <c r="I545" t="s">
        <v>10044</v>
      </c>
      <c r="J545" t="s">
        <v>2985</v>
      </c>
      <c r="K545" t="s">
        <v>10045</v>
      </c>
      <c r="L545" t="s">
        <v>10046</v>
      </c>
      <c r="M545" s="3" t="str">
        <f>HYPERLINK(склад2въезд131920212223[[#This Row],[RelativePath]])</f>
        <v>10 Сушилка навес\E33149364_3_20260121T111328Z.jpg</v>
      </c>
    </row>
    <row r="546" spans="1:13" x14ac:dyDescent="0.25">
      <c r="A546" s="2" t="s">
        <v>15</v>
      </c>
      <c r="B546" s="4">
        <v>46043</v>
      </c>
      <c r="C546" s="5">
        <v>0.49844907407407407</v>
      </c>
      <c r="D546" t="s">
        <v>650</v>
      </c>
      <c r="E546" t="s">
        <v>10140</v>
      </c>
      <c r="I546" t="s">
        <v>10047</v>
      </c>
      <c r="J546" t="s">
        <v>2985</v>
      </c>
      <c r="K546" t="s">
        <v>10048</v>
      </c>
      <c r="L546" t="s">
        <v>10049</v>
      </c>
      <c r="M546" s="3" t="str">
        <f>HYPERLINK(склад2въезд131920212223[[#This Row],[RelativePath]])</f>
        <v>10 Сушилка навес\E33149364_3_20260121T115746Z.jpg</v>
      </c>
    </row>
    <row r="547" spans="1:13" x14ac:dyDescent="0.25">
      <c r="A547" s="2" t="s">
        <v>15</v>
      </c>
      <c r="B547" s="4">
        <v>46043</v>
      </c>
      <c r="C547" s="5">
        <v>0.56027777777777776</v>
      </c>
      <c r="D547" t="s">
        <v>159</v>
      </c>
      <c r="E547" t="s">
        <v>10140</v>
      </c>
      <c r="I547" t="s">
        <v>10050</v>
      </c>
      <c r="J547" t="s">
        <v>2985</v>
      </c>
      <c r="K547" t="s">
        <v>10051</v>
      </c>
      <c r="L547" t="s">
        <v>10052</v>
      </c>
      <c r="M547" s="3" t="str">
        <f>HYPERLINK(склад2въезд131920212223[[#This Row],[RelativePath]])</f>
        <v>10 Сушилка навес\E33149364_3_20260121T132648Z.jpg</v>
      </c>
    </row>
    <row r="548" spans="1:13" x14ac:dyDescent="0.25">
      <c r="A548" s="2" t="s">
        <v>15</v>
      </c>
      <c r="B548" s="4">
        <v>46043</v>
      </c>
      <c r="C548" s="5">
        <v>0.59810185185185183</v>
      </c>
      <c r="D548" t="s">
        <v>533</v>
      </c>
      <c r="E548" t="s">
        <v>1607</v>
      </c>
      <c r="F548" t="s">
        <v>58</v>
      </c>
      <c r="I548" t="s">
        <v>10053</v>
      </c>
      <c r="J548" t="s">
        <v>2985</v>
      </c>
      <c r="K548" t="s">
        <v>10054</v>
      </c>
      <c r="L548" t="s">
        <v>10055</v>
      </c>
      <c r="M548" s="3" t="str">
        <f>HYPERLINK(склад2въезд131920212223[[#This Row],[RelativePath]])</f>
        <v>10 Сушилка навес\E33149364_3_20260121T142116Z.jpg</v>
      </c>
    </row>
    <row r="549" spans="1:13" x14ac:dyDescent="0.25">
      <c r="A549" s="2" t="s">
        <v>15</v>
      </c>
      <c r="B549" s="4">
        <v>46043</v>
      </c>
      <c r="C549" s="5">
        <v>0.82384259259259263</v>
      </c>
      <c r="D549" t="s">
        <v>10141</v>
      </c>
      <c r="E549" t="s">
        <v>10140</v>
      </c>
      <c r="I549" t="s">
        <v>10056</v>
      </c>
      <c r="J549" t="s">
        <v>2985</v>
      </c>
      <c r="K549" t="s">
        <v>10057</v>
      </c>
      <c r="L549" t="s">
        <v>10058</v>
      </c>
      <c r="M549" s="3" t="str">
        <f>HYPERLINK(склад2въезд131920212223[[#This Row],[RelativePath]])</f>
        <v>10 Сушилка навес\E33149364_3_20260121T194620Z.jpg</v>
      </c>
    </row>
    <row r="550" spans="1:13" x14ac:dyDescent="0.25">
      <c r="A550" s="2" t="s">
        <v>16</v>
      </c>
      <c r="B550" s="4">
        <v>46044</v>
      </c>
      <c r="C550" s="5">
        <v>0.49981481481481482</v>
      </c>
      <c r="D550" t="s">
        <v>533</v>
      </c>
      <c r="E550" t="s">
        <v>1607</v>
      </c>
      <c r="F550" t="s">
        <v>58</v>
      </c>
      <c r="I550" t="s">
        <v>10059</v>
      </c>
      <c r="J550" t="s">
        <v>2985</v>
      </c>
      <c r="K550" t="s">
        <v>10060</v>
      </c>
      <c r="L550" t="s">
        <v>10061</v>
      </c>
      <c r="M550" s="3" t="str">
        <f>HYPERLINK(склад2въезд131920212223[[#This Row],[RelativePath]])</f>
        <v>10 Сушилка навес\E33149364_3_20260122T115944Z.jpg</v>
      </c>
    </row>
    <row r="551" spans="1:13" x14ac:dyDescent="0.25">
      <c r="A551" s="2" t="s">
        <v>16</v>
      </c>
      <c r="B551" s="4">
        <v>46044</v>
      </c>
      <c r="C551" s="5">
        <v>0.50148148148148153</v>
      </c>
      <c r="D551" t="s">
        <v>4223</v>
      </c>
      <c r="E551" t="s">
        <v>86</v>
      </c>
      <c r="F551" t="s">
        <v>9202</v>
      </c>
      <c r="I551" t="s">
        <v>10062</v>
      </c>
      <c r="J551" t="s">
        <v>2985</v>
      </c>
      <c r="K551" t="s">
        <v>10063</v>
      </c>
      <c r="L551" t="s">
        <v>10064</v>
      </c>
      <c r="M551" s="3" t="str">
        <f>HYPERLINK(склад2въезд131920212223[[#This Row],[RelativePath]])</f>
        <v>10 Сушилка навес\E33149364_3_20260122T120208Z.jpg</v>
      </c>
    </row>
    <row r="552" spans="1:13" x14ac:dyDescent="0.25">
      <c r="A552" s="2" t="s">
        <v>16</v>
      </c>
      <c r="B552" s="4">
        <v>46044</v>
      </c>
      <c r="C552" s="5">
        <v>0.50605324074074076</v>
      </c>
      <c r="D552" t="s">
        <v>159</v>
      </c>
      <c r="E552" t="s">
        <v>4193</v>
      </c>
      <c r="I552" t="s">
        <v>10065</v>
      </c>
      <c r="J552" t="s">
        <v>2985</v>
      </c>
      <c r="K552" t="s">
        <v>10066</v>
      </c>
      <c r="L552" t="s">
        <v>10067</v>
      </c>
      <c r="M552" s="3" t="str">
        <f>HYPERLINK(склад2въезд131920212223[[#This Row],[RelativePath]])</f>
        <v>10 Сушилка навес\E33149364_3_20260122T120843Z.jpg</v>
      </c>
    </row>
    <row r="553" spans="1:13" x14ac:dyDescent="0.25">
      <c r="A553" s="2" t="s">
        <v>16</v>
      </c>
      <c r="B553" s="4">
        <v>46044</v>
      </c>
      <c r="C553" s="5">
        <v>0.51615740740740745</v>
      </c>
      <c r="D553" t="s">
        <v>533</v>
      </c>
      <c r="E553" t="s">
        <v>1607</v>
      </c>
      <c r="F553" t="s">
        <v>58</v>
      </c>
      <c r="I553" t="s">
        <v>10068</v>
      </c>
      <c r="J553" t="s">
        <v>2985</v>
      </c>
      <c r="K553" t="s">
        <v>10069</v>
      </c>
      <c r="L553" t="s">
        <v>10070</v>
      </c>
      <c r="M553" s="3" t="str">
        <f>HYPERLINK(склад2въезд131920212223[[#This Row],[RelativePath]])</f>
        <v>10 Сушилка навес\E33149364_3_20260122T122316Z.jpg</v>
      </c>
    </row>
    <row r="554" spans="1:13" x14ac:dyDescent="0.25">
      <c r="A554" s="2" t="s">
        <v>16</v>
      </c>
      <c r="B554" s="4">
        <v>46044</v>
      </c>
      <c r="C554" s="5">
        <v>0.52630787037037041</v>
      </c>
      <c r="D554" t="s">
        <v>10142</v>
      </c>
      <c r="E554" t="s">
        <v>4193</v>
      </c>
      <c r="I554" t="s">
        <v>10071</v>
      </c>
      <c r="J554" t="s">
        <v>2985</v>
      </c>
      <c r="K554" t="s">
        <v>10072</v>
      </c>
      <c r="L554" t="s">
        <v>10073</v>
      </c>
      <c r="M554" s="3" t="str">
        <f>HYPERLINK(склад2въезд131920212223[[#This Row],[RelativePath]])</f>
        <v>10 Сушилка навес\E33149364_3_20260122T123753Z.jpg</v>
      </c>
    </row>
    <row r="555" spans="1:13" x14ac:dyDescent="0.25">
      <c r="A555" s="2" t="s">
        <v>16</v>
      </c>
      <c r="B555" s="4">
        <v>46044</v>
      </c>
      <c r="C555" s="5">
        <v>0.52642361111111113</v>
      </c>
      <c r="D555" t="s">
        <v>533</v>
      </c>
      <c r="E555" t="s">
        <v>1607</v>
      </c>
      <c r="F555" t="s">
        <v>58</v>
      </c>
      <c r="I555" t="s">
        <v>10074</v>
      </c>
      <c r="J555" t="s">
        <v>2985</v>
      </c>
      <c r="K555" t="s">
        <v>10075</v>
      </c>
      <c r="L555" t="s">
        <v>10076</v>
      </c>
      <c r="M555" s="3" t="str">
        <f>HYPERLINK(склад2въезд131920212223[[#This Row],[RelativePath]])</f>
        <v>10 Сушилка навес\E33149364_3_20260122T123803Z.jpg</v>
      </c>
    </row>
    <row r="556" spans="1:13" x14ac:dyDescent="0.25">
      <c r="A556" s="2" t="s">
        <v>16</v>
      </c>
      <c r="B556" s="4">
        <v>46044</v>
      </c>
      <c r="C556" s="5">
        <v>0.60675925925925922</v>
      </c>
      <c r="D556" t="s">
        <v>4223</v>
      </c>
      <c r="E556" t="s">
        <v>86</v>
      </c>
      <c r="F556" t="s">
        <v>9202</v>
      </c>
      <c r="H556" t="s">
        <v>4236</v>
      </c>
      <c r="I556" t="s">
        <v>10077</v>
      </c>
      <c r="J556" t="s">
        <v>2985</v>
      </c>
      <c r="K556" t="s">
        <v>10078</v>
      </c>
      <c r="L556" t="s">
        <v>10079</v>
      </c>
      <c r="M556" s="3" t="str">
        <f>HYPERLINK(склад2въезд131920212223[[#This Row],[RelativePath]])</f>
        <v>10 Сушилка навес\E33149364_3_20260122T143344Z.jpg</v>
      </c>
    </row>
    <row r="557" spans="1:13" x14ac:dyDescent="0.25">
      <c r="A557" s="2" t="s">
        <v>16</v>
      </c>
      <c r="B557" s="4">
        <v>46044</v>
      </c>
      <c r="C557" s="5">
        <v>0.6099768518518518</v>
      </c>
      <c r="D557" t="s">
        <v>4223</v>
      </c>
      <c r="E557" t="s">
        <v>86</v>
      </c>
      <c r="F557" t="s">
        <v>9202</v>
      </c>
      <c r="H557" t="s">
        <v>4236</v>
      </c>
      <c r="I557" t="s">
        <v>10080</v>
      </c>
      <c r="J557" t="s">
        <v>2985</v>
      </c>
      <c r="K557" t="s">
        <v>10081</v>
      </c>
      <c r="L557" t="s">
        <v>10082</v>
      </c>
      <c r="M557" s="3" t="str">
        <f>HYPERLINK(склад2въезд131920212223[[#This Row],[RelativePath]])</f>
        <v>10 Сушилка навес\E33149364_3_20260122T143822Z.jpg</v>
      </c>
    </row>
    <row r="558" spans="1:13" x14ac:dyDescent="0.25">
      <c r="A558" s="2" t="s">
        <v>16</v>
      </c>
      <c r="B558" s="4">
        <v>46044</v>
      </c>
      <c r="C558" s="5">
        <v>0.65746527777777775</v>
      </c>
      <c r="D558" t="s">
        <v>533</v>
      </c>
      <c r="E558" t="s">
        <v>1607</v>
      </c>
      <c r="F558" t="s">
        <v>53</v>
      </c>
      <c r="I558" t="s">
        <v>10083</v>
      </c>
      <c r="J558" t="s">
        <v>2985</v>
      </c>
      <c r="K558" t="s">
        <v>10084</v>
      </c>
      <c r="L558" t="s">
        <v>10085</v>
      </c>
      <c r="M558" s="3" t="str">
        <f>HYPERLINK(склад2въезд131920212223[[#This Row],[RelativePath]])</f>
        <v>10 Сушилка навес\E33149364_3_20260122T154645Z.jpg</v>
      </c>
    </row>
    <row r="559" spans="1:13" x14ac:dyDescent="0.25">
      <c r="A559" s="2" t="s">
        <v>17</v>
      </c>
      <c r="B559" s="4">
        <v>46045</v>
      </c>
      <c r="C559" s="5">
        <v>0.39099537037037035</v>
      </c>
      <c r="D559" t="s">
        <v>10442</v>
      </c>
      <c r="E559" t="s">
        <v>1607</v>
      </c>
      <c r="I559" t="s">
        <v>10386</v>
      </c>
      <c r="J559" t="s">
        <v>2985</v>
      </c>
      <c r="K559" t="s">
        <v>10387</v>
      </c>
      <c r="L559" t="s">
        <v>10388</v>
      </c>
      <c r="M559" s="3" t="str">
        <f>HYPERLINK(склад2въезд131920212223[[#This Row],[RelativePath]])</f>
        <v>10 Сушилка навес\E33149364_3_20260123T092302Z.jpg</v>
      </c>
    </row>
    <row r="560" spans="1:13" x14ac:dyDescent="0.25">
      <c r="A560" s="2" t="s">
        <v>17</v>
      </c>
      <c r="B560" s="4">
        <v>46045</v>
      </c>
      <c r="C560" s="5">
        <v>0.59203703703703703</v>
      </c>
      <c r="D560" t="s">
        <v>289</v>
      </c>
      <c r="E560" t="s">
        <v>9521</v>
      </c>
      <c r="F560" t="s">
        <v>58</v>
      </c>
      <c r="H560" t="s">
        <v>10443</v>
      </c>
      <c r="I560" t="s">
        <v>10394</v>
      </c>
      <c r="J560" t="s">
        <v>2985</v>
      </c>
      <c r="K560" t="s">
        <v>10395</v>
      </c>
      <c r="L560" t="s">
        <v>10396</v>
      </c>
      <c r="M560" s="3" t="str">
        <f>HYPERLINK(склад2въезд131920212223[[#This Row],[RelativePath]])</f>
        <v>10 Сушилка навес\E33149364_3_20260123T141232Z.jpg</v>
      </c>
    </row>
    <row r="561" spans="1:13" x14ac:dyDescent="0.25">
      <c r="A561" s="2" t="s">
        <v>17</v>
      </c>
      <c r="B561" s="4">
        <v>46045</v>
      </c>
      <c r="C561" s="5">
        <v>0.59375</v>
      </c>
      <c r="D561" t="s">
        <v>650</v>
      </c>
      <c r="E561" t="s">
        <v>9521</v>
      </c>
      <c r="F561" t="s">
        <v>58</v>
      </c>
      <c r="H561" t="s">
        <v>10444</v>
      </c>
      <c r="I561" t="s">
        <v>10397</v>
      </c>
      <c r="J561" t="s">
        <v>2985</v>
      </c>
      <c r="K561" t="s">
        <v>10398</v>
      </c>
      <c r="L561" t="s">
        <v>10399</v>
      </c>
      <c r="M561" s="3" t="str">
        <f>HYPERLINK(склад2въезд131920212223[[#This Row],[RelativePath]])</f>
        <v>10 Сушилка навес\E33149364_3_20260123T141500Z.jpg</v>
      </c>
    </row>
    <row r="562" spans="1:13" x14ac:dyDescent="0.25">
      <c r="A562" s="2" t="s">
        <v>18</v>
      </c>
      <c r="B562" s="4">
        <v>46046</v>
      </c>
      <c r="C562" s="5">
        <v>0.46934027777777776</v>
      </c>
      <c r="D562" t="s">
        <v>4</v>
      </c>
      <c r="E562" t="s">
        <v>10524</v>
      </c>
      <c r="I562" t="s">
        <v>10521</v>
      </c>
      <c r="J562" t="s">
        <v>2985</v>
      </c>
      <c r="K562" t="s">
        <v>10522</v>
      </c>
      <c r="L562" t="s">
        <v>10523</v>
      </c>
      <c r="M562" s="3" t="str">
        <f>HYPERLINK(склад2въезд131920212223[[#This Row],[RelativePath]])</f>
        <v>10 Сушилка навес\E33149364_3_20260124T111551Z.jpg</v>
      </c>
    </row>
    <row r="563" spans="1:13" x14ac:dyDescent="0.25">
      <c r="A563" s="2" t="s">
        <v>22</v>
      </c>
      <c r="B563" s="4">
        <v>46047</v>
      </c>
      <c r="C563" s="5">
        <v>0.70607638888888891</v>
      </c>
      <c r="D563" t="s">
        <v>4</v>
      </c>
      <c r="E563" t="s">
        <v>462</v>
      </c>
      <c r="I563" t="s">
        <v>10470</v>
      </c>
      <c r="J563" t="s">
        <v>2985</v>
      </c>
      <c r="K563" t="s">
        <v>10471</v>
      </c>
      <c r="L563" t="s">
        <v>10472</v>
      </c>
      <c r="M563" s="3" t="str">
        <f>HYPERLINK(склад2въезд131920212223[[#This Row],[RelativePath]])</f>
        <v>10 Сушилка навес\E33149364_3_20260125T165645Z.jpg</v>
      </c>
    </row>
    <row r="564" spans="1:13" x14ac:dyDescent="0.25">
      <c r="A564" s="2" t="s">
        <v>13</v>
      </c>
      <c r="B564" s="4">
        <v>46048</v>
      </c>
      <c r="C564" s="5">
        <v>0.52285879629629628</v>
      </c>
      <c r="D564" t="s">
        <v>4</v>
      </c>
      <c r="E564" t="s">
        <v>10638</v>
      </c>
      <c r="I564" t="s">
        <v>10600</v>
      </c>
      <c r="J564" t="s">
        <v>2985</v>
      </c>
      <c r="K564" t="s">
        <v>10601</v>
      </c>
      <c r="L564" t="s">
        <v>10602</v>
      </c>
      <c r="M564" s="3" t="str">
        <f>HYPERLINK(склад2въезд131920212223[[#This Row],[RelativePath]])</f>
        <v>10 Сушилка навес\E33149364_3_20260126T123255Z.jpg</v>
      </c>
    </row>
    <row r="565" spans="1:13" x14ac:dyDescent="0.25">
      <c r="A565" s="2" t="s">
        <v>14</v>
      </c>
      <c r="B565" s="4">
        <v>46049</v>
      </c>
      <c r="C565" s="5">
        <v>0.54361111111111116</v>
      </c>
      <c r="D565" t="s">
        <v>4</v>
      </c>
      <c r="E565" t="s">
        <v>10638</v>
      </c>
      <c r="I565" t="s">
        <v>10603</v>
      </c>
      <c r="J565" t="s">
        <v>2985</v>
      </c>
      <c r="K565" t="s">
        <v>10604</v>
      </c>
      <c r="L565" t="s">
        <v>10605</v>
      </c>
      <c r="M565" s="3" t="str">
        <f>HYPERLINK(склад2въезд131920212223[[#This Row],[RelativePath]])</f>
        <v>10 Сушилка навес\E33149364_3_20260127T130248Z.jpg</v>
      </c>
    </row>
    <row r="566" spans="1:13" x14ac:dyDescent="0.25">
      <c r="A566" s="2" t="s">
        <v>14</v>
      </c>
      <c r="B566" s="4">
        <v>46049</v>
      </c>
      <c r="C566" s="5">
        <v>0.67454861111111108</v>
      </c>
      <c r="D566" t="s">
        <v>4</v>
      </c>
      <c r="E566" t="s">
        <v>10638</v>
      </c>
      <c r="I566" t="s">
        <v>10606</v>
      </c>
      <c r="J566" t="s">
        <v>2985</v>
      </c>
      <c r="K566" t="s">
        <v>10607</v>
      </c>
      <c r="L566" t="s">
        <v>10608</v>
      </c>
      <c r="M566" s="3" t="str">
        <f>HYPERLINK(склад2въезд131920212223[[#This Row],[RelativePath]])</f>
        <v>10 Сушилка навес\E33149364_3_20260127T161121Z.jpg</v>
      </c>
    </row>
    <row r="567" spans="1:13" x14ac:dyDescent="0.25">
      <c r="A567" s="2" t="s">
        <v>14</v>
      </c>
      <c r="B567" s="4">
        <v>46049</v>
      </c>
      <c r="C567" s="5">
        <v>0.69666666666666666</v>
      </c>
      <c r="D567" t="s">
        <v>4</v>
      </c>
      <c r="E567" t="s">
        <v>10524</v>
      </c>
      <c r="I567" t="s">
        <v>10609</v>
      </c>
      <c r="J567" t="s">
        <v>2985</v>
      </c>
      <c r="K567" t="s">
        <v>10610</v>
      </c>
      <c r="L567" t="s">
        <v>10611</v>
      </c>
      <c r="M567" s="3" t="str">
        <f>HYPERLINK(склад2въезд131920212223[[#This Row],[RelativePath]])</f>
        <v>10 Сушилка навес\E33149364_3_20260127T164312Z.jpg</v>
      </c>
    </row>
    <row r="568" spans="1:13" x14ac:dyDescent="0.25">
      <c r="A568" s="2" t="s">
        <v>15</v>
      </c>
      <c r="B568" s="4">
        <v>46050</v>
      </c>
      <c r="C568" s="5">
        <v>0.4223263888888889</v>
      </c>
      <c r="D568" t="s">
        <v>4223</v>
      </c>
      <c r="E568" t="s">
        <v>86</v>
      </c>
      <c r="F568" t="s">
        <v>9202</v>
      </c>
      <c r="I568" t="s">
        <v>10824</v>
      </c>
      <c r="J568" t="s">
        <v>2985</v>
      </c>
      <c r="K568" t="s">
        <v>10825</v>
      </c>
      <c r="L568" t="s">
        <v>10826</v>
      </c>
      <c r="M568" s="3" t="str">
        <f>HYPERLINK(склад2въезд131920212223[[#This Row],[RelativePath]])</f>
        <v>10 Сушилка навес\E33149364_3_20260128T100809Z.jpg</v>
      </c>
    </row>
    <row r="569" spans="1:13" x14ac:dyDescent="0.25">
      <c r="A569" s="2" t="s">
        <v>15</v>
      </c>
      <c r="B569" s="4">
        <v>46050</v>
      </c>
      <c r="C569" s="5">
        <v>0.61810185185185185</v>
      </c>
      <c r="D569" t="s">
        <v>533</v>
      </c>
      <c r="E569" t="s">
        <v>1607</v>
      </c>
      <c r="F569" t="s">
        <v>2929</v>
      </c>
      <c r="I569" t="s">
        <v>10827</v>
      </c>
      <c r="J569" t="s">
        <v>2985</v>
      </c>
      <c r="K569" t="s">
        <v>10828</v>
      </c>
      <c r="L569" t="s">
        <v>10829</v>
      </c>
      <c r="M569" s="3" t="str">
        <f>HYPERLINK(склад2въезд131920212223[[#This Row],[RelativePath]])</f>
        <v>10 Сушилка навес\E33149364_3_20260128T145004Z.jpg</v>
      </c>
    </row>
    <row r="570" spans="1:13" x14ac:dyDescent="0.25">
      <c r="A570" s="2" t="s">
        <v>15</v>
      </c>
      <c r="B570" s="4">
        <v>46050</v>
      </c>
      <c r="C570" s="5">
        <v>0.65270833333333333</v>
      </c>
      <c r="D570" t="s">
        <v>4223</v>
      </c>
      <c r="E570" t="s">
        <v>86</v>
      </c>
      <c r="F570" t="s">
        <v>9202</v>
      </c>
      <c r="I570" t="s">
        <v>10830</v>
      </c>
      <c r="J570" t="s">
        <v>2985</v>
      </c>
      <c r="K570" t="s">
        <v>10831</v>
      </c>
      <c r="L570" t="s">
        <v>10832</v>
      </c>
      <c r="M570" s="3" t="str">
        <f>HYPERLINK(склад2въезд131920212223[[#This Row],[RelativePath]])</f>
        <v>10 Сушилка навес\E33149364_3_20260128T153954Z.jpg</v>
      </c>
    </row>
    <row r="571" spans="1:13" x14ac:dyDescent="0.25">
      <c r="A571" s="2" t="s">
        <v>16</v>
      </c>
      <c r="B571" s="4">
        <v>46051</v>
      </c>
      <c r="C571" s="5">
        <v>0.53275462962962961</v>
      </c>
      <c r="D571" t="s">
        <v>533</v>
      </c>
      <c r="E571" t="s">
        <v>1607</v>
      </c>
      <c r="F571" t="s">
        <v>2929</v>
      </c>
      <c r="H571" t="s">
        <v>6339</v>
      </c>
      <c r="I571" t="s">
        <v>10833</v>
      </c>
      <c r="J571" t="s">
        <v>2985</v>
      </c>
      <c r="K571" t="s">
        <v>10834</v>
      </c>
      <c r="L571" t="s">
        <v>10835</v>
      </c>
      <c r="M571" s="3" t="str">
        <f>HYPERLINK(склад2въезд131920212223[[#This Row],[RelativePath]])</f>
        <v>10 Сушилка навес\E33149364_3_20260129T124710Z.jpg</v>
      </c>
    </row>
    <row r="572" spans="1:13" x14ac:dyDescent="0.25">
      <c r="A572" s="2" t="s">
        <v>16</v>
      </c>
      <c r="B572" s="4">
        <v>46051</v>
      </c>
      <c r="C572" s="5">
        <v>0.58608796296296295</v>
      </c>
      <c r="D572" t="s">
        <v>533</v>
      </c>
      <c r="E572" t="s">
        <v>1607</v>
      </c>
      <c r="F572" t="s">
        <v>2929</v>
      </c>
      <c r="I572" t="s">
        <v>10836</v>
      </c>
      <c r="J572" t="s">
        <v>2985</v>
      </c>
      <c r="K572" t="s">
        <v>10837</v>
      </c>
      <c r="L572" t="s">
        <v>10838</v>
      </c>
      <c r="M572" s="3" t="str">
        <f>HYPERLINK(склад2въезд131920212223[[#This Row],[RelativePath]])</f>
        <v>10 Сушилка навес\E33149364_3_20260129T140358Z.jpg</v>
      </c>
    </row>
    <row r="573" spans="1:13" x14ac:dyDescent="0.25">
      <c r="A573" s="2" t="s">
        <v>16</v>
      </c>
      <c r="B573" s="4">
        <v>46051</v>
      </c>
      <c r="C573" s="5">
        <v>0.58915509259259258</v>
      </c>
      <c r="D573" t="s">
        <v>533</v>
      </c>
      <c r="E573" t="s">
        <v>1607</v>
      </c>
      <c r="F573" t="s">
        <v>2929</v>
      </c>
      <c r="I573" t="s">
        <v>10839</v>
      </c>
      <c r="J573" t="s">
        <v>2985</v>
      </c>
      <c r="K573" t="s">
        <v>10840</v>
      </c>
      <c r="L573" t="s">
        <v>10841</v>
      </c>
      <c r="M573" s="3" t="str">
        <f>HYPERLINK(склад2въезд131920212223[[#This Row],[RelativePath]])</f>
        <v>10 Сушилка навес\E33149364_3_20260129T140823Z.jpg</v>
      </c>
    </row>
    <row r="574" spans="1:13" x14ac:dyDescent="0.25">
      <c r="A574" s="2" t="s">
        <v>16</v>
      </c>
      <c r="B574" s="4">
        <v>46051</v>
      </c>
      <c r="C574" s="5">
        <v>0.62744212962962964</v>
      </c>
      <c r="D574" t="s">
        <v>533</v>
      </c>
      <c r="E574" t="s">
        <v>1607</v>
      </c>
      <c r="F574" t="s">
        <v>2929</v>
      </c>
      <c r="I574" t="s">
        <v>10842</v>
      </c>
      <c r="J574" t="s">
        <v>2985</v>
      </c>
      <c r="K574" t="s">
        <v>10843</v>
      </c>
      <c r="L574" t="s">
        <v>10844</v>
      </c>
      <c r="M574" s="3" t="str">
        <f>HYPERLINK(склад2въезд131920212223[[#This Row],[RelativePath]])</f>
        <v>10 Сушилка навес\E33149364_3_20260129T150331Z.jpg</v>
      </c>
    </row>
    <row r="575" spans="1:13" x14ac:dyDescent="0.25">
      <c r="A575" s="2" t="s">
        <v>16</v>
      </c>
      <c r="B575" s="4">
        <v>46051</v>
      </c>
      <c r="C575" s="5">
        <v>0.63372685185185185</v>
      </c>
      <c r="D575" t="s">
        <v>533</v>
      </c>
      <c r="E575" t="s">
        <v>1607</v>
      </c>
      <c r="F575" t="s">
        <v>2929</v>
      </c>
      <c r="I575" t="s">
        <v>10845</v>
      </c>
      <c r="J575" t="s">
        <v>2985</v>
      </c>
      <c r="K575" t="s">
        <v>10846</v>
      </c>
      <c r="L575" t="s">
        <v>10847</v>
      </c>
      <c r="M575" s="3" t="str">
        <f>HYPERLINK(склад2въезд131920212223[[#This Row],[RelativePath]])</f>
        <v>10 Сушилка навес\E33149364_3_20260129T151234Z.jpg</v>
      </c>
    </row>
    <row r="576" spans="1:13" x14ac:dyDescent="0.25">
      <c r="A576" s="2" t="s">
        <v>16</v>
      </c>
      <c r="B576" s="4">
        <v>46051</v>
      </c>
      <c r="C576" s="5">
        <v>0.69541666666666668</v>
      </c>
      <c r="D576" t="s">
        <v>533</v>
      </c>
      <c r="E576" t="s">
        <v>1607</v>
      </c>
      <c r="F576" t="s">
        <v>2929</v>
      </c>
      <c r="I576" t="s">
        <v>10848</v>
      </c>
      <c r="J576" t="s">
        <v>2985</v>
      </c>
      <c r="K576" t="s">
        <v>10849</v>
      </c>
      <c r="L576" t="s">
        <v>10850</v>
      </c>
      <c r="M576" s="3" t="str">
        <f>HYPERLINK(склад2въезд131920212223[[#This Row],[RelativePath]])</f>
        <v>10 Сушилка навес\E33149364_3_20260129T164124Z.jpg</v>
      </c>
    </row>
    <row r="577" spans="1:13" x14ac:dyDescent="0.25">
      <c r="A577" s="2" t="s">
        <v>16</v>
      </c>
      <c r="B577" s="4">
        <v>46051</v>
      </c>
      <c r="C577" s="5">
        <v>0.7123842592592593</v>
      </c>
      <c r="D577" t="s">
        <v>533</v>
      </c>
      <c r="E577" t="s">
        <v>1607</v>
      </c>
      <c r="F577" t="s">
        <v>2929</v>
      </c>
      <c r="I577" t="s">
        <v>10851</v>
      </c>
      <c r="J577" t="s">
        <v>2985</v>
      </c>
      <c r="K577" t="s">
        <v>10852</v>
      </c>
      <c r="L577" t="s">
        <v>10853</v>
      </c>
      <c r="M577" s="3" t="str">
        <f>HYPERLINK(склад2въезд131920212223[[#This Row],[RelativePath]])</f>
        <v>10 Сушилка навес\E33149364_3_20260129T170550Z.jpg</v>
      </c>
    </row>
    <row r="578" spans="1:13" x14ac:dyDescent="0.25">
      <c r="A578" s="2" t="s">
        <v>17</v>
      </c>
      <c r="B578" s="4">
        <v>46052</v>
      </c>
      <c r="C578" s="5">
        <v>0.37525462962962963</v>
      </c>
      <c r="D578" t="s">
        <v>1606</v>
      </c>
      <c r="E578" t="s">
        <v>70</v>
      </c>
      <c r="I578" t="s">
        <v>10956</v>
      </c>
      <c r="J578" t="s">
        <v>2985</v>
      </c>
      <c r="K578" t="s">
        <v>10957</v>
      </c>
      <c r="L578" t="s">
        <v>10958</v>
      </c>
      <c r="M578" s="3" t="str">
        <f>HYPERLINK(склад2въезд131920212223[[#This Row],[RelativePath]])</f>
        <v>10 Сушилка навес\E33149364_3_20260130T090022Z.jpg</v>
      </c>
    </row>
    <row r="579" spans="1:13" x14ac:dyDescent="0.25">
      <c r="A579" s="2" t="s">
        <v>17</v>
      </c>
      <c r="B579" s="4">
        <v>46052</v>
      </c>
      <c r="C579" s="5">
        <v>0.38319444444444445</v>
      </c>
      <c r="D579" t="s">
        <v>289</v>
      </c>
      <c r="E579" t="s">
        <v>70</v>
      </c>
      <c r="F579" t="s">
        <v>11007</v>
      </c>
      <c r="I579" t="s">
        <v>10959</v>
      </c>
      <c r="J579" t="s">
        <v>2985</v>
      </c>
      <c r="K579" t="s">
        <v>10960</v>
      </c>
      <c r="L579" t="s">
        <v>10961</v>
      </c>
      <c r="M579" s="3" t="str">
        <f>HYPERLINK(склад2въезд131920212223[[#This Row],[RelativePath]])</f>
        <v>10 Сушилка навес\E33149364_3_20260130T091148Z.jpg</v>
      </c>
    </row>
    <row r="580" spans="1:13" x14ac:dyDescent="0.25">
      <c r="A580" s="2" t="s">
        <v>17</v>
      </c>
      <c r="B580" s="4">
        <v>46052</v>
      </c>
      <c r="C580" s="5">
        <v>0.3832638888888889</v>
      </c>
      <c r="D580" t="s">
        <v>289</v>
      </c>
      <c r="E580" t="s">
        <v>70</v>
      </c>
      <c r="F580" t="s">
        <v>11007</v>
      </c>
      <c r="H580" t="s">
        <v>2936</v>
      </c>
      <c r="I580" t="s">
        <v>10962</v>
      </c>
      <c r="J580" t="s">
        <v>2985</v>
      </c>
      <c r="K580" t="s">
        <v>10963</v>
      </c>
      <c r="L580" t="s">
        <v>10964</v>
      </c>
      <c r="M580" s="3" t="str">
        <f>HYPERLINK(склад2въезд131920212223[[#This Row],[RelativePath]])</f>
        <v>10 Сушилка навес\E33149364_3_20260130T091154Z.jpg</v>
      </c>
    </row>
    <row r="581" spans="1:13" x14ac:dyDescent="0.25">
      <c r="A581" s="2" t="s">
        <v>17</v>
      </c>
      <c r="B581" s="4">
        <v>46052</v>
      </c>
      <c r="C581" s="5">
        <v>0.38341435185185185</v>
      </c>
      <c r="D581" t="s">
        <v>289</v>
      </c>
      <c r="E581" t="s">
        <v>70</v>
      </c>
      <c r="F581" t="s">
        <v>11007</v>
      </c>
      <c r="H581" t="s">
        <v>2936</v>
      </c>
      <c r="I581" t="s">
        <v>10965</v>
      </c>
      <c r="J581" t="s">
        <v>2985</v>
      </c>
      <c r="K581" t="s">
        <v>10966</v>
      </c>
      <c r="L581" t="s">
        <v>10967</v>
      </c>
      <c r="M581" s="3" t="str">
        <f>HYPERLINK(склад2въезд131920212223[[#This Row],[RelativePath]])</f>
        <v>10 Сушилка навес\E33149364_3_20260130T091207Z.jpg</v>
      </c>
    </row>
    <row r="582" spans="1:13" x14ac:dyDescent="0.25">
      <c r="A582" s="2" t="s">
        <v>17</v>
      </c>
      <c r="B582" s="4">
        <v>46052</v>
      </c>
      <c r="C582" s="5">
        <v>0.38377314814814817</v>
      </c>
      <c r="D582" t="s">
        <v>289</v>
      </c>
      <c r="E582" t="s">
        <v>70</v>
      </c>
      <c r="F582" t="s">
        <v>11007</v>
      </c>
      <c r="H582" t="s">
        <v>2936</v>
      </c>
      <c r="I582" t="s">
        <v>10968</v>
      </c>
      <c r="J582" t="s">
        <v>2985</v>
      </c>
      <c r="K582" t="s">
        <v>10969</v>
      </c>
      <c r="L582" t="s">
        <v>10970</v>
      </c>
      <c r="M582" s="3" t="str">
        <f>HYPERLINK(склад2въезд131920212223[[#This Row],[RelativePath]])</f>
        <v>10 Сушилка навес\E33149364_3_20260130T091238Z.jpg</v>
      </c>
    </row>
    <row r="583" spans="1:13" x14ac:dyDescent="0.25">
      <c r="A583" s="2" t="s">
        <v>17</v>
      </c>
      <c r="B583" s="4">
        <v>46052</v>
      </c>
      <c r="C583" s="5">
        <v>0.38449074074074074</v>
      </c>
      <c r="D583" t="s">
        <v>650</v>
      </c>
      <c r="E583" t="s">
        <v>70</v>
      </c>
      <c r="I583" t="s">
        <v>10971</v>
      </c>
      <c r="J583" t="s">
        <v>2985</v>
      </c>
      <c r="K583" t="s">
        <v>10972</v>
      </c>
      <c r="L583" t="s">
        <v>10973</v>
      </c>
      <c r="M583" s="3" t="str">
        <f>HYPERLINK(склад2въезд131920212223[[#This Row],[RelativePath]])</f>
        <v>10 Сушилка навес\E33149364_3_20260130T091340Z.jpg</v>
      </c>
    </row>
    <row r="584" spans="1:13" x14ac:dyDescent="0.25">
      <c r="A584" s="2" t="s">
        <v>17</v>
      </c>
      <c r="B584" s="4">
        <v>46052</v>
      </c>
      <c r="C584" s="5">
        <v>0.4107986111111111</v>
      </c>
      <c r="D584" t="s">
        <v>4223</v>
      </c>
      <c r="E584" t="s">
        <v>86</v>
      </c>
      <c r="F584" t="s">
        <v>9202</v>
      </c>
      <c r="I584" t="s">
        <v>10974</v>
      </c>
      <c r="J584" t="s">
        <v>2985</v>
      </c>
      <c r="K584" t="s">
        <v>10975</v>
      </c>
      <c r="L584" t="s">
        <v>10976</v>
      </c>
      <c r="M584" s="3" t="str">
        <f>HYPERLINK(склад2въезд131920212223[[#This Row],[RelativePath]])</f>
        <v>10 Сушилка навес\E33149364_3_20260130T095133Z.jpg</v>
      </c>
    </row>
    <row r="585" spans="1:13" x14ac:dyDescent="0.25">
      <c r="A585" s="2" t="s">
        <v>17</v>
      </c>
      <c r="B585" s="4">
        <v>46052</v>
      </c>
      <c r="C585" s="5">
        <v>0.57089120370370372</v>
      </c>
      <c r="D585" t="s">
        <v>159</v>
      </c>
      <c r="E585" t="s">
        <v>10140</v>
      </c>
      <c r="I585" t="s">
        <v>10977</v>
      </c>
      <c r="J585" t="s">
        <v>2985</v>
      </c>
      <c r="K585" t="s">
        <v>10978</v>
      </c>
      <c r="L585" t="s">
        <v>10979</v>
      </c>
      <c r="M585" s="3" t="str">
        <f>HYPERLINK(склад2въезд131920212223[[#This Row],[RelativePath]])</f>
        <v>10 Сушилка навес\E33149364_3_20260130T134205Z.jpg</v>
      </c>
    </row>
    <row r="586" spans="1:13" x14ac:dyDescent="0.25">
      <c r="A586" s="2" t="s">
        <v>17</v>
      </c>
      <c r="B586" s="4">
        <v>46052</v>
      </c>
      <c r="C586" s="5">
        <v>0.57483796296296297</v>
      </c>
      <c r="D586" t="s">
        <v>1606</v>
      </c>
      <c r="E586" t="s">
        <v>10140</v>
      </c>
      <c r="I586" t="s">
        <v>10980</v>
      </c>
      <c r="J586" t="s">
        <v>2985</v>
      </c>
      <c r="K586" t="s">
        <v>10981</v>
      </c>
      <c r="L586" t="s">
        <v>10982</v>
      </c>
      <c r="M586" s="3" t="str">
        <f>HYPERLINK(склад2въезд131920212223[[#This Row],[RelativePath]])</f>
        <v>10 Сушилка навес\E33149364_3_20260130T134746Z.jpg</v>
      </c>
    </row>
    <row r="587" spans="1:13" x14ac:dyDescent="0.25">
      <c r="A587" s="2" t="s">
        <v>17</v>
      </c>
      <c r="B587" s="4">
        <v>46052</v>
      </c>
      <c r="C587" s="5">
        <v>0.60657407407407404</v>
      </c>
      <c r="D587" t="s">
        <v>4</v>
      </c>
      <c r="E587" t="s">
        <v>11008</v>
      </c>
      <c r="I587" t="s">
        <v>10983</v>
      </c>
      <c r="J587" t="s">
        <v>2985</v>
      </c>
      <c r="K587" t="s">
        <v>10984</v>
      </c>
      <c r="L587" t="s">
        <v>10985</v>
      </c>
      <c r="M587" s="3" t="str">
        <f>HYPERLINK(склад2въезд131920212223[[#This Row],[RelativePath]])</f>
        <v>10 Сушилка навес\E33149364_3_20260130T143328Z.jpg</v>
      </c>
    </row>
    <row r="588" spans="1:13" x14ac:dyDescent="0.25">
      <c r="A588" s="2" t="s">
        <v>17</v>
      </c>
      <c r="B588" s="4">
        <v>46052</v>
      </c>
      <c r="C588" s="5">
        <v>0.89500000000000002</v>
      </c>
      <c r="D588" t="s">
        <v>650</v>
      </c>
      <c r="E588" t="s">
        <v>10140</v>
      </c>
      <c r="I588" t="s">
        <v>10986</v>
      </c>
      <c r="J588" t="s">
        <v>2985</v>
      </c>
      <c r="K588" t="s">
        <v>10987</v>
      </c>
      <c r="L588" t="s">
        <v>10988</v>
      </c>
      <c r="M588" s="3" t="str">
        <f>HYPERLINK(склад2въезд131920212223[[#This Row],[RelativePath]])</f>
        <v>10 Сушилка навес\E33149364_3_20260130T212848Z.jpg</v>
      </c>
    </row>
    <row r="589" spans="1:13" x14ac:dyDescent="0.25">
      <c r="A589" s="2" t="s">
        <v>18</v>
      </c>
      <c r="B589" s="4">
        <v>46053</v>
      </c>
      <c r="C589" s="5">
        <v>0.49326388888888889</v>
      </c>
      <c r="D589" t="s">
        <v>289</v>
      </c>
      <c r="E589" t="s">
        <v>11124</v>
      </c>
      <c r="F589" t="s">
        <v>7167</v>
      </c>
      <c r="G589">
        <v>1</v>
      </c>
      <c r="I589" t="s">
        <v>11076</v>
      </c>
      <c r="J589" t="s">
        <v>2985</v>
      </c>
      <c r="K589" t="s">
        <v>11077</v>
      </c>
      <c r="L589" t="s">
        <v>11078</v>
      </c>
      <c r="M589" s="3" t="str">
        <f>HYPERLINK(склад2въезд131920212223[[#This Row],[RelativePath]])</f>
        <v>10 Сушилка навес\E33149364_3_20260131T115018Z.jpg</v>
      </c>
    </row>
    <row r="590" spans="1:13" x14ac:dyDescent="0.25">
      <c r="A590" s="2" t="s">
        <v>18</v>
      </c>
      <c r="B590" s="4">
        <v>46053</v>
      </c>
      <c r="C590" s="5">
        <v>0.49449074074074073</v>
      </c>
      <c r="D590" t="s">
        <v>289</v>
      </c>
      <c r="E590" t="s">
        <v>11124</v>
      </c>
      <c r="F590" t="s">
        <v>7167</v>
      </c>
      <c r="G590">
        <v>1</v>
      </c>
      <c r="I590" t="s">
        <v>11079</v>
      </c>
      <c r="J590" t="s">
        <v>2985</v>
      </c>
      <c r="K590" t="s">
        <v>11080</v>
      </c>
      <c r="L590" t="s">
        <v>11081</v>
      </c>
      <c r="M590" s="3" t="str">
        <f>HYPERLINK(склад2въезд131920212223[[#This Row],[RelativePath]])</f>
        <v>10 Сушилка навес\E33149364_3_20260131T115204Z.jpg</v>
      </c>
    </row>
    <row r="591" spans="1:13" x14ac:dyDescent="0.25">
      <c r="A591" s="2" t="s">
        <v>18</v>
      </c>
      <c r="B591" s="4">
        <v>46053</v>
      </c>
      <c r="C591" s="5">
        <v>0.49556712962962962</v>
      </c>
      <c r="D591" t="s">
        <v>289</v>
      </c>
      <c r="E591" t="s">
        <v>11124</v>
      </c>
      <c r="F591" t="s">
        <v>7167</v>
      </c>
      <c r="G591">
        <v>1</v>
      </c>
      <c r="I591" t="s">
        <v>11082</v>
      </c>
      <c r="J591" t="s">
        <v>2985</v>
      </c>
      <c r="K591" t="s">
        <v>11083</v>
      </c>
      <c r="L591" t="s">
        <v>11084</v>
      </c>
      <c r="M591" s="3" t="str">
        <f>HYPERLINK(склад2въезд131920212223[[#This Row],[RelativePath]])</f>
        <v>10 Сушилка навес\E33149364_3_20260131T115337Z.jpg</v>
      </c>
    </row>
    <row r="592" spans="1:13" x14ac:dyDescent="0.25">
      <c r="A592" s="2" t="s">
        <v>18</v>
      </c>
      <c r="B592" s="4">
        <v>46053</v>
      </c>
      <c r="C592" s="5">
        <v>0.49659722222222225</v>
      </c>
      <c r="D592" t="s">
        <v>289</v>
      </c>
      <c r="E592" t="s">
        <v>11124</v>
      </c>
      <c r="F592" t="s">
        <v>7167</v>
      </c>
      <c r="G592">
        <v>1</v>
      </c>
      <c r="I592" t="s">
        <v>11085</v>
      </c>
      <c r="J592" t="s">
        <v>2985</v>
      </c>
      <c r="K592" t="s">
        <v>11086</v>
      </c>
      <c r="L592" t="s">
        <v>11087</v>
      </c>
      <c r="M592" s="3" t="str">
        <f>HYPERLINK(склад2въезд131920212223[[#This Row],[RelativePath]])</f>
        <v>10 Сушилка навес\E33149364_3_20260131T115506Z.jpg</v>
      </c>
    </row>
    <row r="593" spans="1:13" x14ac:dyDescent="0.25">
      <c r="A593" s="2" t="s">
        <v>18</v>
      </c>
      <c r="B593" s="4">
        <v>46053</v>
      </c>
      <c r="C593" s="5">
        <v>0.49760416666666668</v>
      </c>
      <c r="D593" t="s">
        <v>289</v>
      </c>
      <c r="E593" t="s">
        <v>11124</v>
      </c>
      <c r="F593" t="s">
        <v>7167</v>
      </c>
      <c r="G593">
        <v>1</v>
      </c>
      <c r="I593" t="s">
        <v>11088</v>
      </c>
      <c r="J593" t="s">
        <v>2985</v>
      </c>
      <c r="K593" t="s">
        <v>11089</v>
      </c>
      <c r="L593" t="s">
        <v>11090</v>
      </c>
      <c r="M593" s="3" t="str">
        <f>HYPERLINK(склад2въезд131920212223[[#This Row],[RelativePath]])</f>
        <v>10 Сушилка навес\E33149364_3_20260131T115633Z.jpg</v>
      </c>
    </row>
    <row r="594" spans="1:13" x14ac:dyDescent="0.25">
      <c r="A594" s="2" t="s">
        <v>18</v>
      </c>
      <c r="B594" s="4">
        <v>46053</v>
      </c>
      <c r="C594" s="5">
        <v>0.49864583333333334</v>
      </c>
      <c r="D594" t="s">
        <v>289</v>
      </c>
      <c r="E594" t="s">
        <v>11124</v>
      </c>
      <c r="F594" t="s">
        <v>7167</v>
      </c>
      <c r="G594">
        <v>1</v>
      </c>
      <c r="I594" t="s">
        <v>11091</v>
      </c>
      <c r="J594" t="s">
        <v>2985</v>
      </c>
      <c r="K594" t="s">
        <v>11092</v>
      </c>
      <c r="L594" t="s">
        <v>11093</v>
      </c>
      <c r="M594" s="3" t="str">
        <f>HYPERLINK(склад2въезд131920212223[[#This Row],[RelativePath]])</f>
        <v>10 Сушилка навес\E33149364_3_20260131T115803Z.jpg</v>
      </c>
    </row>
    <row r="595" spans="1:13" x14ac:dyDescent="0.25">
      <c r="A595" s="2" t="s">
        <v>18</v>
      </c>
      <c r="B595" s="4">
        <v>46053</v>
      </c>
      <c r="C595" s="5">
        <v>0.49983796296296296</v>
      </c>
      <c r="D595" t="s">
        <v>289</v>
      </c>
      <c r="E595" t="s">
        <v>11124</v>
      </c>
      <c r="F595" t="s">
        <v>7167</v>
      </c>
      <c r="G595">
        <v>1</v>
      </c>
      <c r="I595" t="s">
        <v>11094</v>
      </c>
      <c r="J595" t="s">
        <v>2985</v>
      </c>
      <c r="K595" t="s">
        <v>11095</v>
      </c>
      <c r="L595" t="s">
        <v>11096</v>
      </c>
      <c r="M595" s="3" t="str">
        <f>HYPERLINK(склад2въезд131920212223[[#This Row],[RelativePath]])</f>
        <v>10 Сушилка навес\E33149364_3_20260131T115946Z.jpg</v>
      </c>
    </row>
    <row r="596" spans="1:13" x14ac:dyDescent="0.25">
      <c r="A596" s="2" t="s">
        <v>18</v>
      </c>
      <c r="B596" s="4">
        <v>46053</v>
      </c>
      <c r="C596" s="5">
        <v>0.50087962962962962</v>
      </c>
      <c r="D596" t="s">
        <v>289</v>
      </c>
      <c r="E596" t="s">
        <v>11124</v>
      </c>
      <c r="F596" t="s">
        <v>7167</v>
      </c>
      <c r="G596">
        <v>1</v>
      </c>
      <c r="I596" t="s">
        <v>11097</v>
      </c>
      <c r="J596" t="s">
        <v>2985</v>
      </c>
      <c r="K596" t="s">
        <v>11098</v>
      </c>
      <c r="L596" t="s">
        <v>11099</v>
      </c>
      <c r="M596" s="3" t="str">
        <f>HYPERLINK(склад2въезд131920212223[[#This Row],[RelativePath]])</f>
        <v>10 Сушилка навес\E33149364_3_20260131T120116Z.jpg</v>
      </c>
    </row>
    <row r="597" spans="1:13" x14ac:dyDescent="0.25">
      <c r="A597" s="2" t="s">
        <v>18</v>
      </c>
      <c r="B597" s="4">
        <v>46053</v>
      </c>
      <c r="C597" s="5">
        <v>0.50236111111111115</v>
      </c>
      <c r="D597" t="s">
        <v>289</v>
      </c>
      <c r="E597" t="s">
        <v>11124</v>
      </c>
      <c r="F597" t="s">
        <v>7167</v>
      </c>
      <c r="G597">
        <v>1</v>
      </c>
      <c r="I597" t="s">
        <v>11100</v>
      </c>
      <c r="J597" t="s">
        <v>2985</v>
      </c>
      <c r="K597" t="s">
        <v>11101</v>
      </c>
      <c r="L597" t="s">
        <v>11102</v>
      </c>
      <c r="M597" s="3" t="str">
        <f>HYPERLINK(склад2въезд131920212223[[#This Row],[RelativePath]])</f>
        <v>10 Сушилка навес\E33149364_3_20260131T120324Z.jpg</v>
      </c>
    </row>
    <row r="598" spans="1:13" x14ac:dyDescent="0.25">
      <c r="A598" s="2" t="s">
        <v>18</v>
      </c>
      <c r="B598" s="4">
        <v>46053</v>
      </c>
      <c r="C598" s="5">
        <v>0.50332175925925926</v>
      </c>
      <c r="D598" t="s">
        <v>289</v>
      </c>
      <c r="E598" t="s">
        <v>11124</v>
      </c>
      <c r="F598" t="s">
        <v>7167</v>
      </c>
      <c r="G598">
        <v>1</v>
      </c>
      <c r="I598" t="s">
        <v>11103</v>
      </c>
      <c r="J598" t="s">
        <v>2985</v>
      </c>
      <c r="K598" t="s">
        <v>11104</v>
      </c>
      <c r="L598" t="s">
        <v>11105</v>
      </c>
      <c r="M598" s="3" t="str">
        <f>HYPERLINK(склад2въезд131920212223[[#This Row],[RelativePath]])</f>
        <v>10 Сушилка навес\E33149364_3_20260131T120447Z.jpg</v>
      </c>
    </row>
    <row r="599" spans="1:13" x14ac:dyDescent="0.25">
      <c r="A599" s="2" t="s">
        <v>18</v>
      </c>
      <c r="B599" s="4">
        <v>46053</v>
      </c>
      <c r="C599" s="5">
        <v>0.50494212962962959</v>
      </c>
      <c r="D599" t="s">
        <v>289</v>
      </c>
      <c r="E599" t="s">
        <v>11124</v>
      </c>
      <c r="F599" t="s">
        <v>7167</v>
      </c>
      <c r="G599">
        <v>1</v>
      </c>
      <c r="I599" t="s">
        <v>11106</v>
      </c>
      <c r="J599" t="s">
        <v>2985</v>
      </c>
      <c r="K599" t="s">
        <v>11107</v>
      </c>
      <c r="L599" t="s">
        <v>11108</v>
      </c>
      <c r="M599" s="3" t="str">
        <f>HYPERLINK(склад2въезд131920212223[[#This Row],[RelativePath]])</f>
        <v>10 Сушилка навес\E33149364_3_20260131T120707Z.jpg</v>
      </c>
    </row>
    <row r="600" spans="1:13" x14ac:dyDescent="0.25">
      <c r="A600" s="2" t="s">
        <v>18</v>
      </c>
      <c r="B600" s="4">
        <v>46053</v>
      </c>
      <c r="C600" s="5">
        <v>0.50526620370370368</v>
      </c>
      <c r="D600" t="s">
        <v>650</v>
      </c>
      <c r="E600" t="s">
        <v>11124</v>
      </c>
      <c r="I600" t="s">
        <v>11109</v>
      </c>
      <c r="J600" t="s">
        <v>2985</v>
      </c>
      <c r="K600" t="s">
        <v>11110</v>
      </c>
      <c r="L600" t="s">
        <v>11111</v>
      </c>
      <c r="M600" s="3" t="str">
        <f>HYPERLINK(склад2въезд131920212223[[#This Row],[RelativePath]])</f>
        <v>10 Сушилка навес\E33149364_3_20260131T120735Z.jpg</v>
      </c>
    </row>
    <row r="601" spans="1:13" x14ac:dyDescent="0.25">
      <c r="A601" s="2" t="s">
        <v>22</v>
      </c>
      <c r="B601" s="4">
        <v>46054</v>
      </c>
      <c r="C601" s="5">
        <v>0.52239583333333328</v>
      </c>
      <c r="D601" t="s">
        <v>533</v>
      </c>
      <c r="E601" t="s">
        <v>1607</v>
      </c>
      <c r="F601" t="s">
        <v>2929</v>
      </c>
      <c r="I601" t="s">
        <v>11112</v>
      </c>
      <c r="J601" t="s">
        <v>2985</v>
      </c>
      <c r="K601" t="s">
        <v>11113</v>
      </c>
      <c r="L601" t="s">
        <v>11114</v>
      </c>
      <c r="M601" s="3" t="str">
        <f>HYPERLINK(склад2въезд131920212223[[#This Row],[RelativePath]])</f>
        <v>10 Сушилка навес\E33149364_3_20260201T123215Z.jpg</v>
      </c>
    </row>
    <row r="602" spans="1:13" x14ac:dyDescent="0.25">
      <c r="A602" s="2" t="s">
        <v>22</v>
      </c>
      <c r="B602" s="4">
        <v>46054</v>
      </c>
      <c r="C602" s="5">
        <v>0.53148148148148144</v>
      </c>
      <c r="D602" t="s">
        <v>533</v>
      </c>
      <c r="E602" t="s">
        <v>1607</v>
      </c>
      <c r="F602" t="s">
        <v>2929</v>
      </c>
      <c r="I602" t="s">
        <v>11115</v>
      </c>
      <c r="J602" t="s">
        <v>2985</v>
      </c>
      <c r="K602" t="s">
        <v>11116</v>
      </c>
      <c r="L602" t="s">
        <v>11117</v>
      </c>
      <c r="M602" s="3" t="str">
        <f>HYPERLINK(склад2въезд131920212223[[#This Row],[RelativePath]])</f>
        <v>10 Сушилка навес\E33149364_3_20260201T124520Z.jpg</v>
      </c>
    </row>
  </sheetData>
  <conditionalFormatting sqref="D603:D613 E603:E616 G2:H602 D2:E602">
    <cfRule type="containsText" dxfId="619" priority="14" operator="containsText" text="Выезд с территории">
      <formula>NOT(ISERROR(SEARCH("Выезд с территории",D2)))</formula>
    </cfRule>
  </conditionalFormatting>
  <conditionalFormatting sqref="F2:F602">
    <cfRule type="notContainsText" dxfId="618" priority="13" operator="notContains" text="порожний">
      <formula>ISERROR(SEARCH("порожний",F2))</formula>
    </cfRule>
  </conditionalFormatting>
  <conditionalFormatting sqref="E2:E616">
    <cfRule type="containsText" dxfId="617" priority="11" operator="containsText" text="Газель базы">
      <formula>NOT(ISERROR(SEARCH("Газель базы",E2)))</formula>
    </cfRule>
    <cfRule type="containsText" dxfId="616" priority="12" operator="containsText" text="Погрузчик базы">
      <formula>NOT(ISERROR(SEARCH("Погрузчик базы",E2)))</formula>
    </cfRule>
  </conditionalFormatting>
  <conditionalFormatting sqref="E2:E616">
    <cfRule type="containsText" dxfId="615" priority="10" operator="containsText" text="Трактор базы">
      <formula>NOT(ISERROR(SEARCH("Трактор базы",E2)))</formula>
    </cfRule>
  </conditionalFormatting>
  <conditionalFormatting sqref="A2:C602">
    <cfRule type="expression" dxfId="614" priority="9">
      <formula>$A2="пн"</formula>
    </cfRule>
  </conditionalFormatting>
  <conditionalFormatting sqref="A2:C604">
    <cfRule type="expression" dxfId="613" priority="3">
      <formula>$A2="вс"</formula>
    </cfRule>
    <cfRule type="expression" dxfId="612" priority="4">
      <formula>$A2="сб"</formula>
    </cfRule>
    <cfRule type="expression" dxfId="611" priority="5">
      <formula>$A2="пт"</formula>
    </cfRule>
    <cfRule type="expression" dxfId="610" priority="6">
      <formula>$A2="чт"</formula>
    </cfRule>
    <cfRule type="expression" dxfId="609" priority="7">
      <formula>$A2="ср"</formula>
    </cfRule>
    <cfRule type="expression" dxfId="608" priority="8">
      <formula>$A2="вт"</formula>
    </cfRule>
  </conditionalFormatting>
  <conditionalFormatting sqref="D2:D613">
    <cfRule type="containsText" dxfId="6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13">
    <cfRule type="containsText" dxfId="6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266"/>
  <sheetViews>
    <sheetView zoomScale="90" zoomScaleNormal="90" workbookViewId="0">
      <pane ySplit="1" topLeftCell="A249" activePane="bottomLeft" state="frozen"/>
      <selection pane="bottomLeft" activeCell="I265" sqref="I265:I26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2962</v>
      </c>
      <c r="H65" t="s">
        <v>2958</v>
      </c>
      <c r="I65" t="s">
        <v>2526</v>
      </c>
      <c r="J65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2968</v>
      </c>
      <c r="I66" t="s">
        <v>2529</v>
      </c>
      <c r="J66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2980</v>
      </c>
      <c r="E67" t="s">
        <v>2920</v>
      </c>
      <c r="F67" t="s">
        <v>58</v>
      </c>
      <c r="H67" t="s">
        <v>2957</v>
      </c>
      <c r="I67" t="s">
        <v>2532</v>
      </c>
      <c r="J67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2957</v>
      </c>
      <c r="I68" t="s">
        <v>2535</v>
      </c>
      <c r="J6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2957</v>
      </c>
      <c r="I69" t="s">
        <v>2538</v>
      </c>
      <c r="J69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2957</v>
      </c>
      <c r="I70" t="s">
        <v>2541</v>
      </c>
      <c r="J70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2957</v>
      </c>
      <c r="I71" t="s">
        <v>2544</v>
      </c>
      <c r="J71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2957</v>
      </c>
      <c r="I72" t="s">
        <v>2547</v>
      </c>
      <c r="J72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2957</v>
      </c>
      <c r="I73" t="s">
        <v>2550</v>
      </c>
      <c r="J73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2958</v>
      </c>
      <c r="I75" t="s">
        <v>2556</v>
      </c>
      <c r="J75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2958</v>
      </c>
      <c r="I76" t="s">
        <v>2559</v>
      </c>
      <c r="J76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2958</v>
      </c>
      <c r="I77" t="s">
        <v>2562</v>
      </c>
      <c r="J77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2958</v>
      </c>
      <c r="I79" t="s">
        <v>2568</v>
      </c>
      <c r="J79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2969</v>
      </c>
      <c r="J82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2975</v>
      </c>
      <c r="I83" t="s">
        <v>2972</v>
      </c>
      <c r="J83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2975</v>
      </c>
      <c r="I84" t="s">
        <v>2577</v>
      </c>
      <c r="J84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4070</v>
      </c>
      <c r="J8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4242</v>
      </c>
      <c r="G89">
        <v>2</v>
      </c>
      <c r="H89" t="s">
        <v>4243</v>
      </c>
      <c r="I89" t="s">
        <v>4073</v>
      </c>
      <c r="J89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4242</v>
      </c>
      <c r="G90">
        <v>2</v>
      </c>
      <c r="H90" t="s">
        <v>4243</v>
      </c>
      <c r="I90" t="s">
        <v>4076</v>
      </c>
      <c r="J90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4216</v>
      </c>
      <c r="E91" t="s">
        <v>531</v>
      </c>
      <c r="F91" t="s">
        <v>58</v>
      </c>
      <c r="H91" t="s">
        <v>4244</v>
      </c>
      <c r="I91" t="s">
        <v>4079</v>
      </c>
      <c r="J91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4216</v>
      </c>
      <c r="E92" t="s">
        <v>531</v>
      </c>
      <c r="F92" t="s">
        <v>58</v>
      </c>
      <c r="H92" t="s">
        <v>2936</v>
      </c>
      <c r="I92" t="s">
        <v>4082</v>
      </c>
      <c r="J92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4216</v>
      </c>
      <c r="E93" t="s">
        <v>531</v>
      </c>
      <c r="F93" t="s">
        <v>58</v>
      </c>
      <c r="H93" t="s">
        <v>2936</v>
      </c>
      <c r="I93" t="s">
        <v>4085</v>
      </c>
      <c r="J93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4216</v>
      </c>
      <c r="E94" t="s">
        <v>531</v>
      </c>
      <c r="F94" t="s">
        <v>58</v>
      </c>
      <c r="H94" t="s">
        <v>2936</v>
      </c>
      <c r="I94" t="s">
        <v>4088</v>
      </c>
      <c r="J94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4216</v>
      </c>
      <c r="E95" t="s">
        <v>531</v>
      </c>
      <c r="F95" t="s">
        <v>58</v>
      </c>
      <c r="H95" t="s">
        <v>2936</v>
      </c>
      <c r="I95" t="s">
        <v>4091</v>
      </c>
      <c r="J95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4192</v>
      </c>
      <c r="F96" t="s">
        <v>58</v>
      </c>
      <c r="I96" t="s">
        <v>4094</v>
      </c>
      <c r="J96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4192</v>
      </c>
      <c r="F97" t="s">
        <v>58</v>
      </c>
      <c r="H97" t="s">
        <v>2936</v>
      </c>
      <c r="I97" t="s">
        <v>4097</v>
      </c>
      <c r="J97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4192</v>
      </c>
      <c r="F98" t="s">
        <v>58</v>
      </c>
      <c r="H98" t="s">
        <v>2936</v>
      </c>
      <c r="I98" t="s">
        <v>4100</v>
      </c>
      <c r="J9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4192</v>
      </c>
      <c r="F99" t="s">
        <v>58</v>
      </c>
      <c r="H99" t="s">
        <v>2936</v>
      </c>
      <c r="I99" t="s">
        <v>4103</v>
      </c>
      <c r="J99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4106</v>
      </c>
      <c r="J100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4109</v>
      </c>
      <c r="J101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4245</v>
      </c>
      <c r="I102" t="s">
        <v>4112</v>
      </c>
      <c r="J102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4245</v>
      </c>
      <c r="I103" t="s">
        <v>4115</v>
      </c>
      <c r="J103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4118</v>
      </c>
      <c r="J104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4121</v>
      </c>
      <c r="J105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4124</v>
      </c>
      <c r="J106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4288</v>
      </c>
      <c r="J107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4900</v>
      </c>
      <c r="J10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4903</v>
      </c>
      <c r="J109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5103</v>
      </c>
      <c r="I110" t="s">
        <v>4906</v>
      </c>
      <c r="J110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3073</v>
      </c>
      <c r="E111" t="s">
        <v>86</v>
      </c>
      <c r="F111" t="s">
        <v>5103</v>
      </c>
      <c r="I111" t="s">
        <v>4909</v>
      </c>
      <c r="J111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4912</v>
      </c>
      <c r="J112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5139</v>
      </c>
      <c r="H113" t="s">
        <v>5140</v>
      </c>
      <c r="I113" t="s">
        <v>4915</v>
      </c>
      <c r="J113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4918</v>
      </c>
      <c r="J114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5265</v>
      </c>
      <c r="E115" t="s">
        <v>5263</v>
      </c>
      <c r="F115" t="s">
        <v>4233</v>
      </c>
      <c r="I115" t="s">
        <v>5199</v>
      </c>
      <c r="J115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5265</v>
      </c>
      <c r="E116" t="s">
        <v>5263</v>
      </c>
      <c r="F116" t="s">
        <v>4233</v>
      </c>
      <c r="H116" t="s">
        <v>2936</v>
      </c>
      <c r="I116" t="s">
        <v>5202</v>
      </c>
      <c r="J116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5265</v>
      </c>
      <c r="E117" t="s">
        <v>5263</v>
      </c>
      <c r="F117" t="s">
        <v>4233</v>
      </c>
      <c r="H117" t="s">
        <v>2936</v>
      </c>
      <c r="I117" t="s">
        <v>5205</v>
      </c>
      <c r="J117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5265</v>
      </c>
      <c r="E118" t="s">
        <v>5263</v>
      </c>
      <c r="F118" t="s">
        <v>4233</v>
      </c>
      <c r="H118" t="s">
        <v>2936</v>
      </c>
      <c r="I118" t="s">
        <v>5208</v>
      </c>
      <c r="J11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5265</v>
      </c>
      <c r="E119" t="s">
        <v>5263</v>
      </c>
      <c r="F119" t="s">
        <v>4233</v>
      </c>
      <c r="H119" t="s">
        <v>2936</v>
      </c>
      <c r="I119" t="s">
        <v>5211</v>
      </c>
      <c r="J119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4235</v>
      </c>
      <c r="E120" t="s">
        <v>5263</v>
      </c>
      <c r="F120" t="s">
        <v>4233</v>
      </c>
      <c r="I120" t="s">
        <v>5214</v>
      </c>
      <c r="J120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t="s">
        <v>1094</v>
      </c>
      <c r="E121" t="s">
        <v>86</v>
      </c>
      <c r="F121" t="s">
        <v>58</v>
      </c>
      <c r="H121" t="s">
        <v>1620</v>
      </c>
      <c r="I121" t="s">
        <v>5453</v>
      </c>
      <c r="J121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t="s">
        <v>1094</v>
      </c>
      <c r="E122" t="s">
        <v>86</v>
      </c>
      <c r="F122" t="s">
        <v>58</v>
      </c>
      <c r="H122" t="s">
        <v>1620</v>
      </c>
      <c r="I122" t="s">
        <v>5456</v>
      </c>
      <c r="J122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t="s">
        <v>4</v>
      </c>
      <c r="E123" t="s">
        <v>86</v>
      </c>
      <c r="F123" t="s">
        <v>528</v>
      </c>
      <c r="H123" t="s">
        <v>5104</v>
      </c>
      <c r="I123" t="s">
        <v>5632</v>
      </c>
      <c r="J123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t="s">
        <v>4</v>
      </c>
      <c r="E124" t="s">
        <v>86</v>
      </c>
      <c r="F124" t="s">
        <v>528</v>
      </c>
      <c r="H124" t="s">
        <v>5104</v>
      </c>
      <c r="I124" t="s">
        <v>5636</v>
      </c>
      <c r="J124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t="s">
        <v>4</v>
      </c>
      <c r="E125" t="s">
        <v>86</v>
      </c>
      <c r="F125" t="s">
        <v>528</v>
      </c>
      <c r="H125" t="s">
        <v>5104</v>
      </c>
      <c r="I125" t="s">
        <v>5639</v>
      </c>
      <c r="J125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t="s">
        <v>4</v>
      </c>
      <c r="E126" t="s">
        <v>86</v>
      </c>
      <c r="F126" t="s">
        <v>528</v>
      </c>
      <c r="H126" t="s">
        <v>5104</v>
      </c>
      <c r="I126" t="s">
        <v>5642</v>
      </c>
      <c r="J126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t="s">
        <v>6184</v>
      </c>
      <c r="E127" t="s">
        <v>58</v>
      </c>
      <c r="H127" t="s">
        <v>6185</v>
      </c>
      <c r="I127" t="s">
        <v>5645</v>
      </c>
      <c r="J127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t="s">
        <v>6184</v>
      </c>
      <c r="E128" t="s">
        <v>58</v>
      </c>
      <c r="H128" t="s">
        <v>2936</v>
      </c>
      <c r="I128" t="s">
        <v>5648</v>
      </c>
      <c r="J12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t="s">
        <v>6184</v>
      </c>
      <c r="E129" t="s">
        <v>58</v>
      </c>
      <c r="H129" t="s">
        <v>2936</v>
      </c>
      <c r="I129" t="s">
        <v>5651</v>
      </c>
      <c r="J129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t="s">
        <v>6184</v>
      </c>
      <c r="E130" t="s">
        <v>58</v>
      </c>
      <c r="H130" t="s">
        <v>2936</v>
      </c>
      <c r="I130" t="s">
        <v>5654</v>
      </c>
      <c r="J130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t="s">
        <v>1094</v>
      </c>
      <c r="E131" t="s">
        <v>86</v>
      </c>
      <c r="F131" t="s">
        <v>58</v>
      </c>
      <c r="H131" t="s">
        <v>1620</v>
      </c>
      <c r="I131" t="s">
        <v>5924</v>
      </c>
      <c r="J131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t="s">
        <v>4</v>
      </c>
      <c r="E132" t="s">
        <v>8</v>
      </c>
      <c r="I132" t="s">
        <v>5927</v>
      </c>
      <c r="J132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t="s">
        <v>4</v>
      </c>
      <c r="E133" t="s">
        <v>8</v>
      </c>
      <c r="I133" t="s">
        <v>5930</v>
      </c>
      <c r="J133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t="s">
        <v>1606</v>
      </c>
      <c r="E134" t="s">
        <v>6167</v>
      </c>
      <c r="F134" t="s">
        <v>6186</v>
      </c>
      <c r="H134" t="s">
        <v>6164</v>
      </c>
      <c r="I134" t="s">
        <v>6107</v>
      </c>
      <c r="J134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t="s">
        <v>6187</v>
      </c>
      <c r="E135" t="s">
        <v>6167</v>
      </c>
      <c r="I135" t="s">
        <v>6110</v>
      </c>
      <c r="J135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t="s">
        <v>289</v>
      </c>
      <c r="E136" t="s">
        <v>6167</v>
      </c>
      <c r="F136" t="s">
        <v>6188</v>
      </c>
      <c r="H136" t="s">
        <v>2936</v>
      </c>
      <c r="I136" t="s">
        <v>6113</v>
      </c>
      <c r="J136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t="s">
        <v>289</v>
      </c>
      <c r="E137" t="s">
        <v>6167</v>
      </c>
      <c r="F137" t="s">
        <v>6188</v>
      </c>
      <c r="H137" t="s">
        <v>2936</v>
      </c>
      <c r="I137" t="s">
        <v>6116</v>
      </c>
      <c r="J137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t="s">
        <v>289</v>
      </c>
      <c r="E138" t="s">
        <v>6167</v>
      </c>
      <c r="F138" t="s">
        <v>6188</v>
      </c>
      <c r="H138" t="s">
        <v>2936</v>
      </c>
      <c r="I138" t="s">
        <v>6119</v>
      </c>
      <c r="J13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t="s">
        <v>289</v>
      </c>
      <c r="E139" t="s">
        <v>6167</v>
      </c>
      <c r="F139" t="s">
        <v>6188</v>
      </c>
      <c r="H139" t="s">
        <v>2936</v>
      </c>
      <c r="I139" t="s">
        <v>6122</v>
      </c>
      <c r="J139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t="s">
        <v>289</v>
      </c>
      <c r="E140" t="s">
        <v>6167</v>
      </c>
      <c r="F140" t="s">
        <v>6188</v>
      </c>
      <c r="H140" t="s">
        <v>2936</v>
      </c>
      <c r="I140" t="s">
        <v>6125</v>
      </c>
      <c r="J140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t="s">
        <v>289</v>
      </c>
      <c r="E141" t="s">
        <v>6167</v>
      </c>
      <c r="F141" t="s">
        <v>6188</v>
      </c>
      <c r="H141" t="s">
        <v>2936</v>
      </c>
      <c r="I141" t="s">
        <v>6128</v>
      </c>
      <c r="J141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t="s">
        <v>289</v>
      </c>
      <c r="E142" t="s">
        <v>6167</v>
      </c>
      <c r="F142" t="s">
        <v>6188</v>
      </c>
      <c r="H142" t="s">
        <v>2936</v>
      </c>
      <c r="I142" t="s">
        <v>6131</v>
      </c>
      <c r="J142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t="s">
        <v>289</v>
      </c>
      <c r="E143" t="s">
        <v>6167</v>
      </c>
      <c r="F143" t="s">
        <v>6188</v>
      </c>
      <c r="H143" t="s">
        <v>2936</v>
      </c>
      <c r="I143" t="s">
        <v>6134</v>
      </c>
      <c r="J143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t="s">
        <v>650</v>
      </c>
      <c r="E144" t="s">
        <v>6167</v>
      </c>
      <c r="F144" t="s">
        <v>6188</v>
      </c>
      <c r="I144" t="s">
        <v>6137</v>
      </c>
      <c r="J144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t="s">
        <v>1606</v>
      </c>
      <c r="E145" t="s">
        <v>6167</v>
      </c>
      <c r="F145" t="s">
        <v>1609</v>
      </c>
      <c r="I145" t="s">
        <v>6140</v>
      </c>
      <c r="J145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t="s">
        <v>290</v>
      </c>
      <c r="E146" t="s">
        <v>6167</v>
      </c>
      <c r="F146" t="s">
        <v>58</v>
      </c>
      <c r="I146" t="s">
        <v>6143</v>
      </c>
      <c r="J146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t="s">
        <v>290</v>
      </c>
      <c r="E147" t="s">
        <v>6167</v>
      </c>
      <c r="F147" t="s">
        <v>58</v>
      </c>
      <c r="H147" t="s">
        <v>2936</v>
      </c>
      <c r="I147" t="s">
        <v>6146</v>
      </c>
      <c r="J147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t="s">
        <v>290</v>
      </c>
      <c r="E148" t="s">
        <v>6167</v>
      </c>
      <c r="F148" t="s">
        <v>58</v>
      </c>
      <c r="H148" t="s">
        <v>2936</v>
      </c>
      <c r="I148" t="s">
        <v>6149</v>
      </c>
      <c r="J14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t="s">
        <v>290</v>
      </c>
      <c r="E149" t="s">
        <v>6167</v>
      </c>
      <c r="F149" t="s">
        <v>58</v>
      </c>
      <c r="H149" t="s">
        <v>2936</v>
      </c>
      <c r="I149" t="s">
        <v>6152</v>
      </c>
      <c r="J149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t="s">
        <v>650</v>
      </c>
      <c r="E150" t="s">
        <v>6167</v>
      </c>
      <c r="F150" t="s">
        <v>6189</v>
      </c>
      <c r="I150" t="s">
        <v>6155</v>
      </c>
      <c r="J150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t="s">
        <v>4</v>
      </c>
      <c r="E151" t="s">
        <v>8</v>
      </c>
      <c r="I151" t="s">
        <v>6158</v>
      </c>
      <c r="J151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t="s">
        <v>2004</v>
      </c>
      <c r="E152" t="s">
        <v>8</v>
      </c>
      <c r="I152" t="s">
        <v>6258</v>
      </c>
      <c r="J152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t="s">
        <v>159</v>
      </c>
      <c r="E153" t="s">
        <v>6329</v>
      </c>
      <c r="F153" t="s">
        <v>51</v>
      </c>
      <c r="I153" t="s">
        <v>6506</v>
      </c>
      <c r="J153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t="s">
        <v>159</v>
      </c>
      <c r="E154" t="s">
        <v>86</v>
      </c>
      <c r="F154" t="s">
        <v>58</v>
      </c>
      <c r="H154" t="s">
        <v>6532</v>
      </c>
      <c r="I154" t="s">
        <v>6509</v>
      </c>
      <c r="J154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t="s">
        <v>4</v>
      </c>
      <c r="E155" t="s">
        <v>8</v>
      </c>
      <c r="I155" t="s">
        <v>6512</v>
      </c>
      <c r="J155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t="s">
        <v>2004</v>
      </c>
      <c r="E156" t="s">
        <v>8</v>
      </c>
      <c r="I156" t="s">
        <v>6638</v>
      </c>
      <c r="J156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t="s">
        <v>2004</v>
      </c>
      <c r="E157" t="s">
        <v>8</v>
      </c>
      <c r="I157" t="s">
        <v>6820</v>
      </c>
      <c r="J157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t="s">
        <v>158</v>
      </c>
      <c r="E158" t="s">
        <v>5480</v>
      </c>
      <c r="F158" t="s">
        <v>2944</v>
      </c>
      <c r="H158" t="s">
        <v>2954</v>
      </c>
      <c r="I158" t="s">
        <v>7106</v>
      </c>
      <c r="J15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t="s">
        <v>158</v>
      </c>
      <c r="E159" t="s">
        <v>5480</v>
      </c>
      <c r="F159" t="s">
        <v>2944</v>
      </c>
      <c r="H159" t="s">
        <v>2936</v>
      </c>
      <c r="I159" t="s">
        <v>7109</v>
      </c>
      <c r="J159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t="s">
        <v>7171</v>
      </c>
      <c r="E160" t="s">
        <v>5480</v>
      </c>
      <c r="F160" t="s">
        <v>6872</v>
      </c>
      <c r="I160" t="s">
        <v>7112</v>
      </c>
      <c r="J160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t="s">
        <v>158</v>
      </c>
      <c r="E161" t="s">
        <v>5480</v>
      </c>
      <c r="F161" t="s">
        <v>2962</v>
      </c>
      <c r="H161" t="s">
        <v>2954</v>
      </c>
      <c r="I161" t="s">
        <v>7115</v>
      </c>
      <c r="J161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t="s">
        <v>158</v>
      </c>
      <c r="E162" t="s">
        <v>5480</v>
      </c>
      <c r="F162" t="s">
        <v>2962</v>
      </c>
      <c r="H162" t="s">
        <v>2936</v>
      </c>
      <c r="I162" t="s">
        <v>7118</v>
      </c>
      <c r="J162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t="s">
        <v>4</v>
      </c>
      <c r="E163" t="s">
        <v>8</v>
      </c>
      <c r="I163" t="s">
        <v>7121</v>
      </c>
      <c r="J163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t="s">
        <v>2004</v>
      </c>
      <c r="E164" t="s">
        <v>8</v>
      </c>
      <c r="I164" t="s">
        <v>7124</v>
      </c>
      <c r="J164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t="s">
        <v>2004</v>
      </c>
      <c r="E165" t="s">
        <v>8</v>
      </c>
      <c r="I165" t="s">
        <v>7205</v>
      </c>
      <c r="J165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t="s">
        <v>2004</v>
      </c>
      <c r="E166" t="s">
        <v>8</v>
      </c>
      <c r="I166" t="s">
        <v>7305</v>
      </c>
      <c r="J166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t="s">
        <v>2004</v>
      </c>
      <c r="E167" t="s">
        <v>8</v>
      </c>
      <c r="I167" t="s">
        <v>7308</v>
      </c>
      <c r="J167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t="s">
        <v>290</v>
      </c>
      <c r="E168" t="s">
        <v>86</v>
      </c>
      <c r="F168" t="s">
        <v>60</v>
      </c>
      <c r="H168" t="s">
        <v>5104</v>
      </c>
      <c r="I168" t="s">
        <v>7538</v>
      </c>
      <c r="J16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t="s">
        <v>290</v>
      </c>
      <c r="E169" t="s">
        <v>86</v>
      </c>
      <c r="F169" t="s">
        <v>60</v>
      </c>
      <c r="H169" t="s">
        <v>5104</v>
      </c>
      <c r="I169" t="s">
        <v>7541</v>
      </c>
      <c r="J169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t="s">
        <v>290</v>
      </c>
      <c r="E170" t="s">
        <v>86</v>
      </c>
      <c r="F170" t="s">
        <v>60</v>
      </c>
      <c r="H170" t="s">
        <v>5104</v>
      </c>
      <c r="I170" t="s">
        <v>7544</v>
      </c>
      <c r="J170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t="s">
        <v>4</v>
      </c>
      <c r="E171" t="s">
        <v>8</v>
      </c>
      <c r="I171" t="s">
        <v>7547</v>
      </c>
      <c r="J171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t="s">
        <v>4</v>
      </c>
      <c r="E172" t="s">
        <v>86</v>
      </c>
      <c r="F172" t="s">
        <v>7713</v>
      </c>
      <c r="I172" t="s">
        <v>7550</v>
      </c>
      <c r="J172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t="s">
        <v>4</v>
      </c>
      <c r="E173" t="s">
        <v>86</v>
      </c>
      <c r="F173" t="s">
        <v>7713</v>
      </c>
      <c r="H173" t="s">
        <v>2936</v>
      </c>
      <c r="I173" t="s">
        <v>7553</v>
      </c>
      <c r="J173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t="s">
        <v>4</v>
      </c>
      <c r="E174" t="s">
        <v>86</v>
      </c>
      <c r="F174" t="s">
        <v>7713</v>
      </c>
      <c r="I174" t="s">
        <v>7556</v>
      </c>
      <c r="J174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t="s">
        <v>4</v>
      </c>
      <c r="E175" t="s">
        <v>86</v>
      </c>
      <c r="F175" t="s">
        <v>7714</v>
      </c>
      <c r="I175" t="s">
        <v>7559</v>
      </c>
      <c r="J175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t="s">
        <v>4</v>
      </c>
      <c r="E176" t="s">
        <v>4193</v>
      </c>
      <c r="F176" t="s">
        <v>4240</v>
      </c>
      <c r="I176" t="s">
        <v>7562</v>
      </c>
      <c r="J176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t="s">
        <v>650</v>
      </c>
      <c r="E177" t="s">
        <v>4193</v>
      </c>
      <c r="F177" t="s">
        <v>4240</v>
      </c>
      <c r="I177" t="s">
        <v>7565</v>
      </c>
      <c r="J177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t="s">
        <v>289</v>
      </c>
      <c r="E178" t="s">
        <v>86</v>
      </c>
      <c r="F178" t="s">
        <v>7719</v>
      </c>
      <c r="I178" t="s">
        <v>7747</v>
      </c>
      <c r="J17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t="s">
        <v>158</v>
      </c>
      <c r="E179" t="s">
        <v>86</v>
      </c>
      <c r="F179" t="s">
        <v>7714</v>
      </c>
      <c r="I179" t="s">
        <v>7750</v>
      </c>
      <c r="J179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t="s">
        <v>1606</v>
      </c>
      <c r="E180" t="s">
        <v>4193</v>
      </c>
      <c r="F180" t="s">
        <v>5076</v>
      </c>
      <c r="I180" t="s">
        <v>7753</v>
      </c>
      <c r="J180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t="s">
        <v>1606</v>
      </c>
      <c r="E181" t="s">
        <v>4193</v>
      </c>
      <c r="F181" t="s">
        <v>5076</v>
      </c>
      <c r="H181" t="s">
        <v>2936</v>
      </c>
      <c r="I181" t="s">
        <v>7756</v>
      </c>
      <c r="J181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t="s">
        <v>4223</v>
      </c>
      <c r="E182" t="s">
        <v>86</v>
      </c>
      <c r="F182" t="s">
        <v>528</v>
      </c>
      <c r="I182" t="s">
        <v>7759</v>
      </c>
      <c r="J182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t="s">
        <v>4223</v>
      </c>
      <c r="E183" t="s">
        <v>86</v>
      </c>
      <c r="F183" t="s">
        <v>528</v>
      </c>
      <c r="H183" t="s">
        <v>2936</v>
      </c>
      <c r="I183" t="s">
        <v>7762</v>
      </c>
      <c r="J183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t="s">
        <v>7871</v>
      </c>
      <c r="E184" t="s">
        <v>531</v>
      </c>
      <c r="I184" t="s">
        <v>7765</v>
      </c>
      <c r="J184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t="s">
        <v>650</v>
      </c>
      <c r="E185" t="s">
        <v>4193</v>
      </c>
      <c r="F185" t="s">
        <v>5076</v>
      </c>
      <c r="I185" t="s">
        <v>7768</v>
      </c>
      <c r="J185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t="s">
        <v>4223</v>
      </c>
      <c r="E186" t="s">
        <v>86</v>
      </c>
      <c r="F186" t="s">
        <v>528</v>
      </c>
      <c r="I186" t="s">
        <v>7771</v>
      </c>
      <c r="J186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t="s">
        <v>4</v>
      </c>
      <c r="E187" t="s">
        <v>8</v>
      </c>
      <c r="I187" t="s">
        <v>7774</v>
      </c>
      <c r="J187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t="s">
        <v>8042</v>
      </c>
      <c r="E188" t="s">
        <v>6656</v>
      </c>
      <c r="F188" t="s">
        <v>5076</v>
      </c>
      <c r="I188" t="s">
        <v>7962</v>
      </c>
      <c r="J18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t="s">
        <v>4</v>
      </c>
      <c r="E189" t="s">
        <v>8045</v>
      </c>
      <c r="I189" t="s">
        <v>7965</v>
      </c>
      <c r="J189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t="s">
        <v>4</v>
      </c>
      <c r="E190" t="s">
        <v>8</v>
      </c>
      <c r="I190" t="s">
        <v>7968</v>
      </c>
      <c r="J190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t="s">
        <v>290</v>
      </c>
      <c r="E191" t="s">
        <v>70</v>
      </c>
      <c r="F191" t="s">
        <v>58</v>
      </c>
      <c r="H191" t="s">
        <v>8359</v>
      </c>
      <c r="I191" t="s">
        <v>8159</v>
      </c>
      <c r="J191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t="s">
        <v>290</v>
      </c>
      <c r="E192" t="s">
        <v>70</v>
      </c>
      <c r="F192" t="s">
        <v>58</v>
      </c>
      <c r="H192" t="s">
        <v>2936</v>
      </c>
      <c r="I192" t="s">
        <v>8162</v>
      </c>
      <c r="J192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t="s">
        <v>290</v>
      </c>
      <c r="E193" t="s">
        <v>70</v>
      </c>
      <c r="F193" t="s">
        <v>58</v>
      </c>
      <c r="H193" t="s">
        <v>2936</v>
      </c>
      <c r="I193" t="s">
        <v>8165</v>
      </c>
      <c r="J193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t="s">
        <v>290</v>
      </c>
      <c r="E194" t="s">
        <v>70</v>
      </c>
      <c r="F194" t="s">
        <v>58</v>
      </c>
      <c r="H194" t="s">
        <v>2936</v>
      </c>
      <c r="I194" t="s">
        <v>8168</v>
      </c>
      <c r="J194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t="s">
        <v>290</v>
      </c>
      <c r="E195" t="s">
        <v>70</v>
      </c>
      <c r="F195" t="s">
        <v>58</v>
      </c>
      <c r="H195" t="s">
        <v>2936</v>
      </c>
      <c r="I195" t="s">
        <v>8171</v>
      </c>
      <c r="J195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t="s">
        <v>290</v>
      </c>
      <c r="E196" t="s">
        <v>70</v>
      </c>
      <c r="F196" t="s">
        <v>58</v>
      </c>
      <c r="H196" t="s">
        <v>2936</v>
      </c>
      <c r="I196" t="s">
        <v>8174</v>
      </c>
      <c r="J196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t="s">
        <v>650</v>
      </c>
      <c r="E197" t="s">
        <v>70</v>
      </c>
      <c r="F197" t="s">
        <v>51</v>
      </c>
      <c r="I197" t="s">
        <v>8177</v>
      </c>
      <c r="J197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t="s">
        <v>650</v>
      </c>
      <c r="E198" t="s">
        <v>8360</v>
      </c>
      <c r="F198" t="s">
        <v>1621</v>
      </c>
      <c r="I198" t="s">
        <v>8180</v>
      </c>
      <c r="J19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t="s">
        <v>4</v>
      </c>
      <c r="E199" t="s">
        <v>8045</v>
      </c>
      <c r="I199" t="s">
        <v>8183</v>
      </c>
      <c r="J199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t="s">
        <v>4</v>
      </c>
      <c r="E200" t="s">
        <v>8045</v>
      </c>
      <c r="I200" t="s">
        <v>8186</v>
      </c>
      <c r="J200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t="s">
        <v>2004</v>
      </c>
      <c r="E201" t="s">
        <v>8</v>
      </c>
      <c r="I201" t="s">
        <v>8189</v>
      </c>
      <c r="J201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t="s">
        <v>4</v>
      </c>
      <c r="E202" t="s">
        <v>8045</v>
      </c>
      <c r="I202" t="s">
        <v>8192</v>
      </c>
      <c r="J202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t="s">
        <v>4</v>
      </c>
      <c r="E203" t="s">
        <v>8045</v>
      </c>
      <c r="I203" t="s">
        <v>8195</v>
      </c>
      <c r="J203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t="s">
        <v>2004</v>
      </c>
      <c r="E204" t="s">
        <v>8</v>
      </c>
      <c r="I204" t="s">
        <v>8447</v>
      </c>
      <c r="J204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t="s">
        <v>2004</v>
      </c>
      <c r="E205" t="s">
        <v>8</v>
      </c>
      <c r="I205" t="s">
        <v>8450</v>
      </c>
      <c r="J205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t="s">
        <v>2004</v>
      </c>
      <c r="E206" t="s">
        <v>8</v>
      </c>
      <c r="I206" t="s">
        <v>8453</v>
      </c>
      <c r="J206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t="s">
        <v>4</v>
      </c>
      <c r="E207" t="s">
        <v>8045</v>
      </c>
      <c r="I207" t="s">
        <v>8724</v>
      </c>
      <c r="J207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t="s">
        <v>4</v>
      </c>
      <c r="E208" t="s">
        <v>8045</v>
      </c>
      <c r="I208" t="s">
        <v>8727</v>
      </c>
      <c r="J20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t="s">
        <v>4</v>
      </c>
      <c r="E209" t="s">
        <v>8045</v>
      </c>
      <c r="I209" t="s">
        <v>8730</v>
      </c>
      <c r="J209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t="s">
        <v>4</v>
      </c>
      <c r="E210" t="s">
        <v>8045</v>
      </c>
      <c r="I210" t="s">
        <v>8733</v>
      </c>
      <c r="J210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t="s">
        <v>4</v>
      </c>
      <c r="E211" t="s">
        <v>8045</v>
      </c>
      <c r="I211" t="s">
        <v>8736</v>
      </c>
      <c r="J211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t="s">
        <v>4</v>
      </c>
      <c r="E212" t="s">
        <v>8045</v>
      </c>
      <c r="I212" t="s">
        <v>8739</v>
      </c>
      <c r="J212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t="s">
        <v>4</v>
      </c>
      <c r="E213" t="s">
        <v>8045</v>
      </c>
      <c r="I213" t="s">
        <v>8742</v>
      </c>
      <c r="J213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t="s">
        <v>2004</v>
      </c>
      <c r="E214" t="s">
        <v>8</v>
      </c>
      <c r="I214" t="s">
        <v>8745</v>
      </c>
      <c r="J214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t="s">
        <v>4</v>
      </c>
      <c r="E215" t="s">
        <v>8045</v>
      </c>
      <c r="I215" t="s">
        <v>8748</v>
      </c>
      <c r="J215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t="s">
        <v>4</v>
      </c>
      <c r="E216" t="s">
        <v>8827</v>
      </c>
      <c r="I216" t="s">
        <v>8751</v>
      </c>
      <c r="J216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t="s">
        <v>2004</v>
      </c>
      <c r="E217" t="s">
        <v>8</v>
      </c>
      <c r="I217" t="s">
        <v>8754</v>
      </c>
      <c r="J217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t="s">
        <v>7171</v>
      </c>
      <c r="E218" t="s">
        <v>5480</v>
      </c>
      <c r="F218" t="s">
        <v>9190</v>
      </c>
      <c r="I218" t="s">
        <v>9114</v>
      </c>
      <c r="J21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t="s">
        <v>651</v>
      </c>
      <c r="E219" t="s">
        <v>5480</v>
      </c>
      <c r="I219" t="s">
        <v>9117</v>
      </c>
      <c r="J219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t="s">
        <v>651</v>
      </c>
      <c r="E220" t="s">
        <v>5480</v>
      </c>
      <c r="I220" t="s">
        <v>9120</v>
      </c>
      <c r="J220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t="s">
        <v>651</v>
      </c>
      <c r="E221" t="s">
        <v>5480</v>
      </c>
      <c r="I221" t="s">
        <v>9123</v>
      </c>
      <c r="J221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t="s">
        <v>7171</v>
      </c>
      <c r="E222" t="s">
        <v>5480</v>
      </c>
      <c r="F222" t="s">
        <v>9202</v>
      </c>
      <c r="I222" t="s">
        <v>9126</v>
      </c>
      <c r="J222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t="s">
        <v>4</v>
      </c>
      <c r="E223" t="s">
        <v>8</v>
      </c>
      <c r="I223" t="s">
        <v>9129</v>
      </c>
      <c r="J223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t="s">
        <v>651</v>
      </c>
      <c r="E224" t="s">
        <v>5480</v>
      </c>
      <c r="I224" t="s">
        <v>9132</v>
      </c>
      <c r="J224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t="s">
        <v>651</v>
      </c>
      <c r="E225" t="s">
        <v>5480</v>
      </c>
      <c r="I225" t="s">
        <v>9135</v>
      </c>
      <c r="J225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t="s">
        <v>651</v>
      </c>
      <c r="E226" t="s">
        <v>5480</v>
      </c>
      <c r="I226" t="s">
        <v>9138</v>
      </c>
      <c r="J226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t="s">
        <v>651</v>
      </c>
      <c r="E227" t="s">
        <v>5480</v>
      </c>
      <c r="I227" t="s">
        <v>9141</v>
      </c>
      <c r="J227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t="s">
        <v>4</v>
      </c>
      <c r="E228" t="s">
        <v>8</v>
      </c>
      <c r="I228" t="s">
        <v>9144</v>
      </c>
      <c r="J22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t="s">
        <v>2004</v>
      </c>
      <c r="E229" t="s">
        <v>8</v>
      </c>
      <c r="I229" t="s">
        <v>9312</v>
      </c>
      <c r="J229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t="s">
        <v>4</v>
      </c>
      <c r="E230" t="s">
        <v>8</v>
      </c>
      <c r="I230" t="s">
        <v>9522</v>
      </c>
      <c r="J230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t="s">
        <v>651</v>
      </c>
      <c r="E231" t="s">
        <v>5480</v>
      </c>
      <c r="I231" t="s">
        <v>9525</v>
      </c>
      <c r="J231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t="s">
        <v>651</v>
      </c>
      <c r="E232" t="s">
        <v>5480</v>
      </c>
      <c r="I232" t="s">
        <v>9528</v>
      </c>
      <c r="J232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t="s">
        <v>651</v>
      </c>
      <c r="E233" t="s">
        <v>5480</v>
      </c>
      <c r="I233" t="s">
        <v>9531</v>
      </c>
      <c r="J233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t="s">
        <v>651</v>
      </c>
      <c r="E234" t="s">
        <v>5480</v>
      </c>
      <c r="I234" t="s">
        <v>9534</v>
      </c>
      <c r="J234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t="s">
        <v>651</v>
      </c>
      <c r="E235" t="s">
        <v>5480</v>
      </c>
      <c r="I235" t="s">
        <v>9537</v>
      </c>
      <c r="J235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t="s">
        <v>4</v>
      </c>
      <c r="E236" t="s">
        <v>8</v>
      </c>
      <c r="I236" t="s">
        <v>9540</v>
      </c>
      <c r="J236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t="s">
        <v>2004</v>
      </c>
      <c r="E237" t="s">
        <v>8</v>
      </c>
      <c r="I237" t="s">
        <v>9666</v>
      </c>
      <c r="J237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t="s">
        <v>2004</v>
      </c>
      <c r="E238" t="s">
        <v>8</v>
      </c>
      <c r="I238" t="s">
        <v>9668</v>
      </c>
      <c r="J23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  <row r="239" spans="1:13" x14ac:dyDescent="0.25">
      <c r="A239" s="2" t="s">
        <v>13</v>
      </c>
      <c r="B239" s="4">
        <v>46041</v>
      </c>
      <c r="C239" s="5">
        <v>0.70084490740740746</v>
      </c>
      <c r="D239" t="s">
        <v>2004</v>
      </c>
      <c r="E239" t="s">
        <v>8</v>
      </c>
      <c r="I239" t="s">
        <v>9840</v>
      </c>
      <c r="J239" t="s">
        <v>2986</v>
      </c>
      <c r="K239" t="s">
        <v>9841</v>
      </c>
      <c r="L239" t="s">
        <v>9842</v>
      </c>
      <c r="M239" s="3" t="str">
        <f>HYPERLINK(склад2въезд1319202122237[[#This Row],[RelativePath]])</f>
        <v>11 С ангара на базу\E33149364_4_20260119T164913Z.jpg</v>
      </c>
    </row>
    <row r="240" spans="1:13" x14ac:dyDescent="0.25">
      <c r="A240" s="2" t="s">
        <v>14</v>
      </c>
      <c r="B240" s="4">
        <v>46042</v>
      </c>
      <c r="C240" s="5">
        <v>0.39550925925925928</v>
      </c>
      <c r="D240" t="s">
        <v>7171</v>
      </c>
      <c r="E240" t="s">
        <v>5480</v>
      </c>
      <c r="I240" t="s">
        <v>9843</v>
      </c>
      <c r="J240" t="s">
        <v>2986</v>
      </c>
      <c r="K240" t="s">
        <v>9844</v>
      </c>
      <c r="L240" t="s">
        <v>9845</v>
      </c>
      <c r="M240" s="3" t="str">
        <f>HYPERLINK(склад2въезд1319202122237[[#This Row],[RelativePath]])</f>
        <v>11 С ангара на базу\E33149364_4_20260120T092932Z.jpg</v>
      </c>
    </row>
    <row r="241" spans="1:13" x14ac:dyDescent="0.25">
      <c r="A241" s="2" t="s">
        <v>14</v>
      </c>
      <c r="B241" s="4">
        <v>46042</v>
      </c>
      <c r="C241" s="5">
        <v>0.3959259259259259</v>
      </c>
      <c r="D241" t="s">
        <v>7171</v>
      </c>
      <c r="E241" t="s">
        <v>5480</v>
      </c>
      <c r="H241" t="s">
        <v>2936</v>
      </c>
      <c r="I241" t="s">
        <v>9846</v>
      </c>
      <c r="J241" t="s">
        <v>2986</v>
      </c>
      <c r="K241" t="s">
        <v>9847</v>
      </c>
      <c r="L241" t="s">
        <v>9848</v>
      </c>
      <c r="M241" s="3" t="str">
        <f>HYPERLINK(склад2въезд1319202122237[[#This Row],[RelativePath]])</f>
        <v>11 С ангара на базу\E33149364_4_20260120T093008Z.jpg</v>
      </c>
    </row>
    <row r="242" spans="1:13" x14ac:dyDescent="0.25">
      <c r="A242" s="2" t="s">
        <v>14</v>
      </c>
      <c r="B242" s="4">
        <v>46042</v>
      </c>
      <c r="C242" s="5">
        <v>0.42596064814814816</v>
      </c>
      <c r="D242" t="s">
        <v>7171</v>
      </c>
      <c r="E242" t="s">
        <v>5480</v>
      </c>
      <c r="F242" t="s">
        <v>9202</v>
      </c>
      <c r="I242" t="s">
        <v>9849</v>
      </c>
      <c r="J242" t="s">
        <v>2986</v>
      </c>
      <c r="K242" t="s">
        <v>9850</v>
      </c>
      <c r="L242" t="s">
        <v>9851</v>
      </c>
      <c r="M242" s="3" t="str">
        <f>HYPERLINK(склад2въезд1319202122237[[#This Row],[RelativePath]])</f>
        <v>11 С ангара на базу\E33149364_4_20260120T101323Z.jpg</v>
      </c>
    </row>
    <row r="243" spans="1:13" x14ac:dyDescent="0.25">
      <c r="A243" s="2" t="s">
        <v>15</v>
      </c>
      <c r="B243" s="4">
        <v>46043</v>
      </c>
      <c r="C243" s="5">
        <v>0.69701388888888893</v>
      </c>
      <c r="D243" t="s">
        <v>4</v>
      </c>
      <c r="E243" t="s">
        <v>8</v>
      </c>
      <c r="I243" t="s">
        <v>10086</v>
      </c>
      <c r="J243" t="s">
        <v>2986</v>
      </c>
      <c r="K243" t="s">
        <v>10087</v>
      </c>
      <c r="L243" t="s">
        <v>10088</v>
      </c>
      <c r="M243" s="3" t="str">
        <f>HYPERLINK(склад2въезд1319202122237[[#This Row],[RelativePath]])</f>
        <v>11 С ангара на базу\E33149364_4_20260121T164342Z.jpg</v>
      </c>
    </row>
    <row r="244" spans="1:13" x14ac:dyDescent="0.25">
      <c r="A244" s="2" t="s">
        <v>16</v>
      </c>
      <c r="B244" s="4">
        <v>46044</v>
      </c>
      <c r="C244" s="5">
        <v>0.48275462962962962</v>
      </c>
      <c r="D244" t="s">
        <v>7171</v>
      </c>
      <c r="E244" t="s">
        <v>5480</v>
      </c>
      <c r="F244" t="s">
        <v>9202</v>
      </c>
      <c r="I244" t="s">
        <v>10089</v>
      </c>
      <c r="J244" t="s">
        <v>2986</v>
      </c>
      <c r="K244" t="s">
        <v>10090</v>
      </c>
      <c r="L244" t="s">
        <v>10091</v>
      </c>
      <c r="M244" s="3" t="str">
        <f>HYPERLINK(склад2въезд1319202122237[[#This Row],[RelativePath]])</f>
        <v>11 С ангара на базу\E33149364_4_20260122T113510Z.jpg</v>
      </c>
    </row>
    <row r="245" spans="1:13" x14ac:dyDescent="0.25">
      <c r="A245" s="2" t="s">
        <v>16</v>
      </c>
      <c r="B245" s="4">
        <v>46044</v>
      </c>
      <c r="C245" s="5">
        <v>0.48798611111111112</v>
      </c>
      <c r="D245" t="s">
        <v>651</v>
      </c>
      <c r="E245" t="s">
        <v>5480</v>
      </c>
      <c r="I245" t="s">
        <v>10092</v>
      </c>
      <c r="J245" t="s">
        <v>2986</v>
      </c>
      <c r="K245" t="s">
        <v>10093</v>
      </c>
      <c r="L245" t="s">
        <v>10094</v>
      </c>
      <c r="M245" s="3" t="str">
        <f>HYPERLINK(склад2въезд1319202122237[[#This Row],[RelativePath]])</f>
        <v>11 С ангара на базу\E33149364_4_20260122T114242Z.jpg</v>
      </c>
    </row>
    <row r="246" spans="1:13" x14ac:dyDescent="0.25">
      <c r="A246" s="2" t="s">
        <v>16</v>
      </c>
      <c r="B246" s="4">
        <v>46044</v>
      </c>
      <c r="C246" s="5">
        <v>0.48834490740740738</v>
      </c>
      <c r="D246" t="s">
        <v>651</v>
      </c>
      <c r="E246" t="s">
        <v>5480</v>
      </c>
      <c r="I246" t="s">
        <v>10095</v>
      </c>
      <c r="J246" t="s">
        <v>2986</v>
      </c>
      <c r="K246" t="s">
        <v>10096</v>
      </c>
      <c r="L246" t="s">
        <v>10097</v>
      </c>
      <c r="M246" s="3" t="str">
        <f>HYPERLINK(склад2въезд1319202122237[[#This Row],[RelativePath]])</f>
        <v>11 С ангара на базу\E33149364_4_20260122T114313Z.jpg</v>
      </c>
    </row>
    <row r="247" spans="1:13" x14ac:dyDescent="0.25">
      <c r="A247" s="2" t="s">
        <v>16</v>
      </c>
      <c r="B247" s="4">
        <v>46044</v>
      </c>
      <c r="C247" s="5">
        <v>0.49125000000000002</v>
      </c>
      <c r="D247" t="s">
        <v>651</v>
      </c>
      <c r="E247" t="s">
        <v>5480</v>
      </c>
      <c r="I247" t="s">
        <v>10098</v>
      </c>
      <c r="J247" t="s">
        <v>2986</v>
      </c>
      <c r="K247" t="s">
        <v>10099</v>
      </c>
      <c r="L247" t="s">
        <v>10100</v>
      </c>
      <c r="M247" s="3" t="str">
        <f>HYPERLINK(склад2въезд1319202122237[[#This Row],[RelativePath]])</f>
        <v>11 С ангара на базу\E33149364_4_20260122T114724Z.jpg</v>
      </c>
    </row>
    <row r="248" spans="1:13" x14ac:dyDescent="0.25">
      <c r="A248" s="2" t="s">
        <v>16</v>
      </c>
      <c r="B248" s="4">
        <v>46044</v>
      </c>
      <c r="C248" s="5">
        <v>0.6136342592592593</v>
      </c>
      <c r="D248" t="s">
        <v>651</v>
      </c>
      <c r="E248" t="s">
        <v>5480</v>
      </c>
      <c r="I248" t="s">
        <v>10101</v>
      </c>
      <c r="J248" t="s">
        <v>2986</v>
      </c>
      <c r="K248" t="s">
        <v>10102</v>
      </c>
      <c r="L248" t="s">
        <v>10103</v>
      </c>
      <c r="M248" s="3" t="str">
        <f>HYPERLINK(склад2въезд1319202122237[[#This Row],[RelativePath]])</f>
        <v>11 С ангара на базу\E33149364_4_20260122T144338Z.jpg</v>
      </c>
    </row>
    <row r="249" spans="1:13" x14ac:dyDescent="0.25">
      <c r="A249" s="2" t="s">
        <v>17</v>
      </c>
      <c r="B249" s="4">
        <v>46045</v>
      </c>
      <c r="C249" s="5">
        <v>0.3956365740740741</v>
      </c>
      <c r="D249" t="s">
        <v>651</v>
      </c>
      <c r="E249" t="s">
        <v>5480</v>
      </c>
      <c r="I249" t="s">
        <v>10400</v>
      </c>
      <c r="J249" t="s">
        <v>2986</v>
      </c>
      <c r="K249" t="s">
        <v>10401</v>
      </c>
      <c r="L249" t="s">
        <v>10402</v>
      </c>
      <c r="M249" s="3" t="str">
        <f>HYPERLINK(склад2въезд1319202122237[[#This Row],[RelativePath]])</f>
        <v>11 С ангара на базу\E33149364_4_20260123T092943Z.jpg</v>
      </c>
    </row>
    <row r="250" spans="1:13" x14ac:dyDescent="0.25">
      <c r="A250" s="2" t="s">
        <v>17</v>
      </c>
      <c r="B250" s="4">
        <v>46045</v>
      </c>
      <c r="C250" s="5">
        <v>0.3958564814814815</v>
      </c>
      <c r="D250" t="s">
        <v>651</v>
      </c>
      <c r="E250" t="s">
        <v>5480</v>
      </c>
      <c r="I250" t="s">
        <v>10403</v>
      </c>
      <c r="J250" t="s">
        <v>2986</v>
      </c>
      <c r="K250" t="s">
        <v>10404</v>
      </c>
      <c r="L250" t="s">
        <v>10405</v>
      </c>
      <c r="M250" s="3" t="str">
        <f>HYPERLINK(склад2въезд1319202122237[[#This Row],[RelativePath]])</f>
        <v>11 С ангара на базу\E33149364_4_20260123T093002Z.jpg</v>
      </c>
    </row>
    <row r="251" spans="1:13" x14ac:dyDescent="0.25">
      <c r="A251" s="2" t="s">
        <v>17</v>
      </c>
      <c r="B251" s="4">
        <v>46045</v>
      </c>
      <c r="C251" s="5">
        <v>0.41076388888888887</v>
      </c>
      <c r="D251" t="s">
        <v>651</v>
      </c>
      <c r="E251" t="s">
        <v>5480</v>
      </c>
      <c r="I251" t="s">
        <v>10406</v>
      </c>
      <c r="J251" t="s">
        <v>2986</v>
      </c>
      <c r="K251" t="s">
        <v>10407</v>
      </c>
      <c r="L251" t="s">
        <v>10408</v>
      </c>
      <c r="M251" s="3" t="str">
        <f>HYPERLINK(склад2въезд1319202122237[[#This Row],[RelativePath]])</f>
        <v>11 С ангара на базу\E33149364_4_20260123T095130Z.jpg</v>
      </c>
    </row>
    <row r="252" spans="1:13" x14ac:dyDescent="0.25">
      <c r="A252" s="2" t="s">
        <v>17</v>
      </c>
      <c r="B252" s="4">
        <v>46045</v>
      </c>
      <c r="C252" s="5">
        <v>0.44011574074074072</v>
      </c>
      <c r="D252" t="s">
        <v>651</v>
      </c>
      <c r="E252" t="s">
        <v>5480</v>
      </c>
      <c r="I252" t="s">
        <v>10409</v>
      </c>
      <c r="J252" t="s">
        <v>2986</v>
      </c>
      <c r="K252" t="s">
        <v>10410</v>
      </c>
      <c r="L252" t="s">
        <v>10411</v>
      </c>
      <c r="M252" s="3" t="str">
        <f>HYPERLINK(склад2въезд1319202122237[[#This Row],[RelativePath]])</f>
        <v>11 С ангара на базу\E33149364_4_20260123T103346Z.jpg</v>
      </c>
    </row>
    <row r="253" spans="1:13" x14ac:dyDescent="0.25">
      <c r="A253" s="2" t="s">
        <v>17</v>
      </c>
      <c r="B253" s="4">
        <v>46045</v>
      </c>
      <c r="C253" s="5">
        <v>0.45118055555555553</v>
      </c>
      <c r="D253" t="s">
        <v>651</v>
      </c>
      <c r="E253" t="s">
        <v>5480</v>
      </c>
      <c r="I253" t="s">
        <v>10412</v>
      </c>
      <c r="J253" t="s">
        <v>2986</v>
      </c>
      <c r="K253" t="s">
        <v>10413</v>
      </c>
      <c r="L253" t="s">
        <v>10414</v>
      </c>
      <c r="M253" s="3" t="str">
        <f>HYPERLINK(склад2въезд1319202122237[[#This Row],[RelativePath]])</f>
        <v>11 С ангара на базу\E33149364_4_20260123T104942Z.jpg</v>
      </c>
    </row>
    <row r="254" spans="1:13" x14ac:dyDescent="0.25">
      <c r="A254" s="2" t="s">
        <v>17</v>
      </c>
      <c r="B254" s="4">
        <v>46045</v>
      </c>
      <c r="C254" s="5">
        <v>0.50037037037037035</v>
      </c>
      <c r="D254" t="s">
        <v>651</v>
      </c>
      <c r="E254" t="s">
        <v>5480</v>
      </c>
      <c r="I254" t="s">
        <v>10415</v>
      </c>
      <c r="J254" t="s">
        <v>2986</v>
      </c>
      <c r="K254" t="s">
        <v>10416</v>
      </c>
      <c r="L254" t="s">
        <v>10417</v>
      </c>
      <c r="M254" s="3" t="str">
        <f>HYPERLINK(склад2въезд1319202122237[[#This Row],[RelativePath]])</f>
        <v>11 С ангара на базу\E33149364_4_20260123T120032Z.jpg</v>
      </c>
    </row>
    <row r="255" spans="1:13" x14ac:dyDescent="0.25">
      <c r="A255" s="2" t="s">
        <v>17</v>
      </c>
      <c r="B255" s="4">
        <v>46045</v>
      </c>
      <c r="C255" s="5">
        <v>0.5022106481481482</v>
      </c>
      <c r="D255" t="s">
        <v>651</v>
      </c>
      <c r="E255" t="s">
        <v>5480</v>
      </c>
      <c r="I255" t="s">
        <v>10418</v>
      </c>
      <c r="J255" t="s">
        <v>2986</v>
      </c>
      <c r="K255" t="s">
        <v>10419</v>
      </c>
      <c r="L255" t="s">
        <v>10420</v>
      </c>
      <c r="M255" s="3" t="str">
        <f>HYPERLINK(склад2въезд1319202122237[[#This Row],[RelativePath]])</f>
        <v>11 С ангара на базу\E33149364_4_20260123T120311Z.jpg</v>
      </c>
    </row>
    <row r="256" spans="1:13" x14ac:dyDescent="0.25">
      <c r="A256" s="2" t="s">
        <v>17</v>
      </c>
      <c r="B256" s="4">
        <v>46045</v>
      </c>
      <c r="C256" s="5">
        <v>0.54934027777777783</v>
      </c>
      <c r="D256" t="s">
        <v>651</v>
      </c>
      <c r="E256" t="s">
        <v>5480</v>
      </c>
      <c r="I256" t="s">
        <v>10421</v>
      </c>
      <c r="J256" t="s">
        <v>2986</v>
      </c>
      <c r="K256" t="s">
        <v>10422</v>
      </c>
      <c r="L256" t="s">
        <v>10423</v>
      </c>
      <c r="M256" s="3" t="str">
        <f>HYPERLINK(склад2въезд1319202122237[[#This Row],[RelativePath]])</f>
        <v>11 С ангара на базу\E33149364_4_20260123T131103Z.jpg</v>
      </c>
    </row>
    <row r="257" spans="1:13" x14ac:dyDescent="0.25">
      <c r="A257" s="2" t="s">
        <v>18</v>
      </c>
      <c r="B257" s="4">
        <v>46046</v>
      </c>
      <c r="C257" s="5">
        <v>0.70934027777777775</v>
      </c>
      <c r="D257" t="s">
        <v>2004</v>
      </c>
      <c r="E257" t="s">
        <v>8</v>
      </c>
      <c r="I257" t="s">
        <v>10473</v>
      </c>
      <c r="J257" t="s">
        <v>2986</v>
      </c>
      <c r="K257" t="s">
        <v>10474</v>
      </c>
      <c r="L257" t="s">
        <v>10475</v>
      </c>
      <c r="M257" s="3" t="str">
        <f>HYPERLINK(склад2въезд1319202122237[[#This Row],[RelativePath]])</f>
        <v>11 С ангара на базу\E33149364_4_20260124T170127Z.jpg</v>
      </c>
    </row>
    <row r="258" spans="1:13" x14ac:dyDescent="0.25">
      <c r="A258" s="2" t="s">
        <v>22</v>
      </c>
      <c r="B258" s="4">
        <v>46047</v>
      </c>
      <c r="C258" s="5">
        <v>0.70616898148148144</v>
      </c>
      <c r="D258" t="s">
        <v>2004</v>
      </c>
      <c r="E258" t="s">
        <v>8</v>
      </c>
      <c r="I258" t="s">
        <v>10476</v>
      </c>
      <c r="J258" t="s">
        <v>2986</v>
      </c>
      <c r="K258" t="s">
        <v>10477</v>
      </c>
      <c r="L258" t="s">
        <v>10478</v>
      </c>
      <c r="M258" s="3" t="str">
        <f>HYPERLINK(склад2въезд1319202122237[[#This Row],[RelativePath]])</f>
        <v>11 С ангара на базу\E33149364_4_20260125T165653Z.jpg</v>
      </c>
    </row>
    <row r="259" spans="1:13" x14ac:dyDescent="0.25">
      <c r="A259" s="2" t="s">
        <v>13</v>
      </c>
      <c r="B259" s="4">
        <v>46048</v>
      </c>
      <c r="C259" s="5">
        <v>0.60037037037037033</v>
      </c>
      <c r="D259" t="s">
        <v>10639</v>
      </c>
      <c r="E259" t="s">
        <v>531</v>
      </c>
      <c r="I259" t="s">
        <v>10612</v>
      </c>
      <c r="J259" t="s">
        <v>2986</v>
      </c>
      <c r="K259" t="s">
        <v>10613</v>
      </c>
      <c r="L259" t="s">
        <v>10614</v>
      </c>
      <c r="M259" s="3" t="str">
        <f>HYPERLINK(склад2въезд1319202122237[[#This Row],[RelativePath]])</f>
        <v>11 С ангара на базу\E33149364_4_20260126T142432Z.jpg</v>
      </c>
    </row>
    <row r="260" spans="1:13" x14ac:dyDescent="0.25">
      <c r="A260" s="2" t="s">
        <v>14</v>
      </c>
      <c r="B260" s="4">
        <v>46049</v>
      </c>
      <c r="C260" s="5">
        <v>0.62215277777777778</v>
      </c>
      <c r="D260" t="s">
        <v>10640</v>
      </c>
      <c r="E260" t="s">
        <v>531</v>
      </c>
      <c r="I260" t="s">
        <v>10615</v>
      </c>
      <c r="J260" t="s">
        <v>2986</v>
      </c>
      <c r="K260" t="s">
        <v>10616</v>
      </c>
      <c r="L260" t="s">
        <v>10617</v>
      </c>
      <c r="M260" s="3" t="str">
        <f>HYPERLINK(склад2въезд1319202122237[[#This Row],[RelativePath]])</f>
        <v>11 С ангара на базу\E33149364_4_20260127T145554Z.jpg</v>
      </c>
    </row>
    <row r="261" spans="1:13" x14ac:dyDescent="0.25">
      <c r="A261" s="2" t="s">
        <v>15</v>
      </c>
      <c r="B261" s="4">
        <v>46050</v>
      </c>
      <c r="C261" s="5">
        <v>0.6525347222222222</v>
      </c>
      <c r="D261" t="s">
        <v>2004</v>
      </c>
      <c r="E261" t="s">
        <v>8</v>
      </c>
      <c r="I261" t="s">
        <v>10854</v>
      </c>
      <c r="J261" t="s">
        <v>2986</v>
      </c>
      <c r="K261" t="s">
        <v>10855</v>
      </c>
      <c r="L261" t="s">
        <v>10856</v>
      </c>
      <c r="M261" s="3" t="str">
        <f>HYPERLINK(склад2въезд1319202122237[[#This Row],[RelativePath]])</f>
        <v>11 С ангара на базу\E33149364_4_20260128T153939Z.jpg</v>
      </c>
    </row>
    <row r="262" spans="1:13" x14ac:dyDescent="0.25">
      <c r="A262" s="2" t="s">
        <v>16</v>
      </c>
      <c r="B262" s="4">
        <v>46051</v>
      </c>
      <c r="C262" s="5">
        <v>0.67479166666666668</v>
      </c>
      <c r="D262" t="s">
        <v>2004</v>
      </c>
      <c r="E262" t="s">
        <v>8</v>
      </c>
      <c r="I262" t="s">
        <v>10857</v>
      </c>
      <c r="J262" t="s">
        <v>2986</v>
      </c>
      <c r="K262" t="s">
        <v>10858</v>
      </c>
      <c r="L262" t="s">
        <v>10859</v>
      </c>
      <c r="M262" s="3" t="str">
        <f>HYPERLINK(склад2въезд1319202122237[[#This Row],[RelativePath]])</f>
        <v>11 С ангара на базу\E33149364_4_20260129T161142Z.jpg</v>
      </c>
    </row>
    <row r="263" spans="1:13" x14ac:dyDescent="0.25">
      <c r="A263" s="2" t="s">
        <v>17</v>
      </c>
      <c r="B263" s="4">
        <v>46052</v>
      </c>
      <c r="C263" s="5">
        <v>0.71368055555555554</v>
      </c>
      <c r="D263" t="s">
        <v>2004</v>
      </c>
      <c r="E263" t="s">
        <v>8</v>
      </c>
      <c r="I263" t="s">
        <v>10989</v>
      </c>
      <c r="J263" t="s">
        <v>2986</v>
      </c>
      <c r="K263" t="s">
        <v>10990</v>
      </c>
      <c r="L263" t="s">
        <v>10991</v>
      </c>
      <c r="M263" s="3" t="str">
        <f>HYPERLINK(склад2въезд1319202122237[[#This Row],[RelativePath]])</f>
        <v>11 С ангара на базу\E33149364_4_20260130T170742Z.jpg</v>
      </c>
    </row>
    <row r="264" spans="1:13" x14ac:dyDescent="0.25">
      <c r="A264" s="2" t="s">
        <v>17</v>
      </c>
      <c r="B264" s="4">
        <v>46052</v>
      </c>
      <c r="C264" s="5">
        <v>0.7257986111111111</v>
      </c>
      <c r="D264" t="s">
        <v>2004</v>
      </c>
      <c r="E264" t="s">
        <v>8</v>
      </c>
      <c r="I264" t="s">
        <v>10992</v>
      </c>
      <c r="J264" t="s">
        <v>2986</v>
      </c>
      <c r="K264" t="s">
        <v>10993</v>
      </c>
      <c r="L264" t="s">
        <v>10994</v>
      </c>
      <c r="M264" s="3" t="str">
        <f>HYPERLINK(склад2въезд1319202122237[[#This Row],[RelativePath]])</f>
        <v>11 С ангара на базу\E33149364_4_20260130T172509Z.jpg</v>
      </c>
    </row>
    <row r="265" spans="1:13" x14ac:dyDescent="0.25">
      <c r="A265" s="2" t="s">
        <v>18</v>
      </c>
      <c r="B265" s="4">
        <v>46053</v>
      </c>
      <c r="C265" s="5">
        <v>0.77195601851851847</v>
      </c>
      <c r="D265" t="s">
        <v>2004</v>
      </c>
      <c r="E265" t="s">
        <v>8</v>
      </c>
      <c r="I265" t="s">
        <v>11052</v>
      </c>
      <c r="J265" t="s">
        <v>2986</v>
      </c>
      <c r="K265" t="s">
        <v>11053</v>
      </c>
      <c r="L265" t="s">
        <v>11054</v>
      </c>
      <c r="M265" s="3" t="str">
        <f>HYPERLINK(склад2въезд1319202122237[[#This Row],[RelativePath]])</f>
        <v>11 С ангара на базу\E33149364_4_20260131T183137Z.jpg</v>
      </c>
    </row>
    <row r="266" spans="1:13" x14ac:dyDescent="0.25">
      <c r="A266" s="2" t="s">
        <v>22</v>
      </c>
      <c r="B266" s="4">
        <v>46054</v>
      </c>
      <c r="C266" s="5">
        <v>0.77195601851851847</v>
      </c>
      <c r="D266" t="s">
        <v>11138</v>
      </c>
      <c r="I266" t="s">
        <v>11135</v>
      </c>
      <c r="J266" t="s">
        <v>2986</v>
      </c>
      <c r="K266" t="s">
        <v>11136</v>
      </c>
      <c r="L266" t="s">
        <v>11137</v>
      </c>
      <c r="M266" s="3" t="str">
        <f>HYPERLINK(склад2въезд1319202122237[[#This Row],[RelativePath]])</f>
        <v>11 С ангара на базу\E33149364_4_20260201T183137Z.jpg</v>
      </c>
    </row>
  </sheetData>
  <conditionalFormatting sqref="D267:D277 E267:E280 G2:H266 D2:E266">
    <cfRule type="containsText" dxfId="605" priority="14" operator="containsText" text="Выезд с территории">
      <formula>NOT(ISERROR(SEARCH("Выезд с территории",D2)))</formula>
    </cfRule>
  </conditionalFormatting>
  <conditionalFormatting sqref="F2:F266">
    <cfRule type="notContainsText" dxfId="604" priority="13" operator="notContains" text="порожний">
      <formula>ISERROR(SEARCH("порожний",F2))</formula>
    </cfRule>
  </conditionalFormatting>
  <conditionalFormatting sqref="E2:E280">
    <cfRule type="containsText" dxfId="603" priority="11" operator="containsText" text="Газель базы">
      <formula>NOT(ISERROR(SEARCH("Газель базы",E2)))</formula>
    </cfRule>
    <cfRule type="containsText" dxfId="602" priority="12" operator="containsText" text="Погрузчик базы">
      <formula>NOT(ISERROR(SEARCH("Погрузчик базы",E2)))</formula>
    </cfRule>
  </conditionalFormatting>
  <conditionalFormatting sqref="E2:E280">
    <cfRule type="containsText" dxfId="601" priority="10" operator="containsText" text="Трактор базы">
      <formula>NOT(ISERROR(SEARCH("Трактор базы",E2)))</formula>
    </cfRule>
  </conditionalFormatting>
  <conditionalFormatting sqref="A2:C266">
    <cfRule type="expression" dxfId="600" priority="9">
      <formula>$A2="пн"</formula>
    </cfRule>
  </conditionalFormatting>
  <conditionalFormatting sqref="A2:C268">
    <cfRule type="expression" dxfId="599" priority="3">
      <formula>$A2="вс"</formula>
    </cfRule>
    <cfRule type="expression" dxfId="598" priority="4">
      <formula>$A2="сб"</formula>
    </cfRule>
    <cfRule type="expression" dxfId="597" priority="5">
      <formula>$A2="пт"</formula>
    </cfRule>
    <cfRule type="expression" dxfId="596" priority="6">
      <formula>$A2="чт"</formula>
    </cfRule>
    <cfRule type="expression" dxfId="595" priority="7">
      <formula>$A2="ср"</formula>
    </cfRule>
    <cfRule type="expression" dxfId="594" priority="8">
      <formula>$A2="вт"</formula>
    </cfRule>
  </conditionalFormatting>
  <conditionalFormatting sqref="D2:D277">
    <cfRule type="containsText" dxfId="5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7">
    <cfRule type="containsText" dxfId="5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77"/>
  <sheetViews>
    <sheetView zoomScale="90" zoomScaleNormal="90" workbookViewId="0">
      <pane ySplit="1" topLeftCell="A164" activePane="bottomLeft" state="frozen"/>
      <selection pane="bottomLeft" activeCell="I176" sqref="I176:I17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7109375" bestFit="1" customWidth="1"/>
    <col min="5" max="5" width="25.285156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t="s">
        <v>4</v>
      </c>
      <c r="E2" t="s">
        <v>8</v>
      </c>
      <c r="H2" t="s">
        <v>5</v>
      </c>
      <c r="I2" t="s">
        <v>1826</v>
      </c>
      <c r="J2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t="s">
        <v>4</v>
      </c>
      <c r="E3" t="s">
        <v>8</v>
      </c>
      <c r="I3" t="s">
        <v>1829</v>
      </c>
      <c r="J3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t="s">
        <v>4</v>
      </c>
      <c r="E4" t="s">
        <v>8</v>
      </c>
      <c r="I4" t="s">
        <v>1832</v>
      </c>
      <c r="J4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t="s">
        <v>4</v>
      </c>
      <c r="E5" t="s">
        <v>1935</v>
      </c>
      <c r="I5" t="s">
        <v>1835</v>
      </c>
      <c r="J5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t="s">
        <v>4</v>
      </c>
      <c r="E6" t="s">
        <v>8</v>
      </c>
      <c r="I6" t="s">
        <v>1838</v>
      </c>
      <c r="J6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t="s">
        <v>4</v>
      </c>
      <c r="E7" t="s">
        <v>8</v>
      </c>
      <c r="I7" t="s">
        <v>1841</v>
      </c>
      <c r="J7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t="s">
        <v>4</v>
      </c>
      <c r="E8" t="s">
        <v>21</v>
      </c>
      <c r="I8" t="s">
        <v>1844</v>
      </c>
      <c r="J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t="s">
        <v>4</v>
      </c>
      <c r="E9" t="s">
        <v>8</v>
      </c>
      <c r="I9" t="s">
        <v>1847</v>
      </c>
      <c r="J9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t="s">
        <v>4</v>
      </c>
      <c r="E10" t="s">
        <v>8</v>
      </c>
      <c r="I10" t="s">
        <v>1850</v>
      </c>
      <c r="J10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t="s">
        <v>4</v>
      </c>
      <c r="E11" t="s">
        <v>8</v>
      </c>
      <c r="H11" t="s">
        <v>1625</v>
      </c>
      <c r="I11" t="s">
        <v>1853</v>
      </c>
      <c r="J11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t="s">
        <v>4</v>
      </c>
      <c r="E12" t="s">
        <v>1936</v>
      </c>
      <c r="I12" t="s">
        <v>1856</v>
      </c>
      <c r="J12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t="s">
        <v>4</v>
      </c>
      <c r="E13" t="s">
        <v>1936</v>
      </c>
      <c r="I13" t="s">
        <v>1859</v>
      </c>
      <c r="J13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t="s">
        <v>4</v>
      </c>
      <c r="E14" t="s">
        <v>8</v>
      </c>
      <c r="H14" t="s">
        <v>5</v>
      </c>
      <c r="I14" t="s">
        <v>1862</v>
      </c>
      <c r="J14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t="s">
        <v>4</v>
      </c>
      <c r="E15" t="s">
        <v>8</v>
      </c>
      <c r="I15" t="s">
        <v>1865</v>
      </c>
      <c r="J15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t="s">
        <v>4</v>
      </c>
      <c r="E16" t="s">
        <v>8</v>
      </c>
      <c r="I16" t="s">
        <v>1868</v>
      </c>
      <c r="J16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t="s">
        <v>4</v>
      </c>
      <c r="E17" t="s">
        <v>8</v>
      </c>
      <c r="I17" t="s">
        <v>1871</v>
      </c>
      <c r="J17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t="s">
        <v>4</v>
      </c>
      <c r="E18" t="s">
        <v>8</v>
      </c>
      <c r="H18" t="s">
        <v>1625</v>
      </c>
      <c r="I18" t="s">
        <v>1874</v>
      </c>
      <c r="J1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t="s">
        <v>4</v>
      </c>
      <c r="E19" t="s">
        <v>8</v>
      </c>
      <c r="I19" t="s">
        <v>1877</v>
      </c>
      <c r="J19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t="s">
        <v>4</v>
      </c>
      <c r="E20" t="s">
        <v>8</v>
      </c>
      <c r="I20" t="s">
        <v>1880</v>
      </c>
      <c r="J20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t="s">
        <v>4</v>
      </c>
      <c r="E21" t="s">
        <v>21</v>
      </c>
      <c r="I21" t="s">
        <v>1883</v>
      </c>
      <c r="J21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t="s">
        <v>4</v>
      </c>
      <c r="E22" t="s">
        <v>8</v>
      </c>
      <c r="I22" t="s">
        <v>1886</v>
      </c>
      <c r="J22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t="s">
        <v>4</v>
      </c>
      <c r="E23" t="s">
        <v>21</v>
      </c>
      <c r="I23" t="s">
        <v>1889</v>
      </c>
      <c r="J23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t="s">
        <v>4</v>
      </c>
      <c r="E24" t="s">
        <v>8</v>
      </c>
      <c r="I24" t="s">
        <v>1892</v>
      </c>
      <c r="J24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t="s">
        <v>4</v>
      </c>
      <c r="E25" t="s">
        <v>21</v>
      </c>
      <c r="I25" t="s">
        <v>1895</v>
      </c>
      <c r="J25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t="s">
        <v>4</v>
      </c>
      <c r="E26" t="s">
        <v>8</v>
      </c>
      <c r="H26" t="s">
        <v>1625</v>
      </c>
      <c r="I26" t="s">
        <v>1898</v>
      </c>
      <c r="J26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t="s">
        <v>4</v>
      </c>
      <c r="E27" t="s">
        <v>8</v>
      </c>
      <c r="I27" t="s">
        <v>1901</v>
      </c>
      <c r="J27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t="s">
        <v>289</v>
      </c>
      <c r="E28" t="s">
        <v>86</v>
      </c>
      <c r="F28" t="s">
        <v>200</v>
      </c>
      <c r="I28" t="s">
        <v>1904</v>
      </c>
      <c r="J2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t="s">
        <v>289</v>
      </c>
      <c r="E29" t="s">
        <v>86</v>
      </c>
      <c r="F29" t="s">
        <v>200</v>
      </c>
      <c r="I29" t="s">
        <v>1907</v>
      </c>
      <c r="J29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t="s">
        <v>289</v>
      </c>
      <c r="E30" t="s">
        <v>86</v>
      </c>
      <c r="F30" t="s">
        <v>200</v>
      </c>
      <c r="I30" t="s">
        <v>1910</v>
      </c>
      <c r="J30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t="s">
        <v>289</v>
      </c>
      <c r="E31" t="s">
        <v>86</v>
      </c>
      <c r="F31" t="s">
        <v>200</v>
      </c>
      <c r="I31" t="s">
        <v>1913</v>
      </c>
      <c r="J31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t="s">
        <v>4</v>
      </c>
      <c r="E32" t="s">
        <v>8</v>
      </c>
      <c r="H32" t="s">
        <v>1625</v>
      </c>
      <c r="I32" t="s">
        <v>1916</v>
      </c>
      <c r="J32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t="s">
        <v>4</v>
      </c>
      <c r="E33" t="s">
        <v>8</v>
      </c>
      <c r="H33" t="s">
        <v>5</v>
      </c>
      <c r="I33" t="s">
        <v>1919</v>
      </c>
      <c r="J33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t="s">
        <v>4</v>
      </c>
      <c r="E34" t="s">
        <v>8</v>
      </c>
      <c r="H34" t="s">
        <v>1625</v>
      </c>
      <c r="I34" t="s">
        <v>1922</v>
      </c>
      <c r="J34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t="s">
        <v>4</v>
      </c>
      <c r="E35" t="s">
        <v>8</v>
      </c>
      <c r="H35" t="s">
        <v>5</v>
      </c>
      <c r="I35" t="s">
        <v>1925</v>
      </c>
      <c r="J35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t="s">
        <v>4</v>
      </c>
      <c r="E36" t="s">
        <v>8</v>
      </c>
      <c r="I36" t="s">
        <v>1928</v>
      </c>
      <c r="J36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t="s">
        <v>4</v>
      </c>
      <c r="E37" t="s">
        <v>8</v>
      </c>
      <c r="I37" t="s">
        <v>1931</v>
      </c>
      <c r="J37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t="s">
        <v>4</v>
      </c>
      <c r="E38" t="s">
        <v>8</v>
      </c>
      <c r="I38" t="s">
        <v>2589</v>
      </c>
      <c r="J3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t="s">
        <v>7</v>
      </c>
      <c r="I39" t="s">
        <v>2592</v>
      </c>
      <c r="J39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t="s">
        <v>4</v>
      </c>
      <c r="E40" t="s">
        <v>8</v>
      </c>
      <c r="I40" t="s">
        <v>2595</v>
      </c>
      <c r="J40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t="s">
        <v>11</v>
      </c>
      <c r="I41" t="s">
        <v>2598</v>
      </c>
      <c r="J41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t="s">
        <v>4</v>
      </c>
      <c r="E42" t="s">
        <v>8</v>
      </c>
      <c r="I42" t="s">
        <v>2601</v>
      </c>
      <c r="J42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t="s">
        <v>2004</v>
      </c>
      <c r="I43" t="s">
        <v>2604</v>
      </c>
      <c r="J43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t="s">
        <v>4</v>
      </c>
      <c r="E44" t="s">
        <v>8</v>
      </c>
      <c r="I44" t="s">
        <v>2607</v>
      </c>
      <c r="J44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t="s">
        <v>2004</v>
      </c>
      <c r="I45" t="s">
        <v>2610</v>
      </c>
      <c r="J45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t="s">
        <v>4</v>
      </c>
      <c r="E46" t="s">
        <v>8</v>
      </c>
      <c r="I46" t="s">
        <v>2613</v>
      </c>
      <c r="J46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t="s">
        <v>2004</v>
      </c>
      <c r="I47" t="s">
        <v>2616</v>
      </c>
      <c r="J47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t="s">
        <v>4</v>
      </c>
      <c r="E48" t="s">
        <v>8</v>
      </c>
      <c r="I48" t="s">
        <v>2619</v>
      </c>
      <c r="J4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t="s">
        <v>2004</v>
      </c>
      <c r="I49" t="s">
        <v>2622</v>
      </c>
      <c r="J49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t="s">
        <v>4</v>
      </c>
      <c r="E50" t="s">
        <v>8</v>
      </c>
      <c r="I50" t="s">
        <v>2625</v>
      </c>
      <c r="J50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t="s">
        <v>2004</v>
      </c>
      <c r="I51" t="s">
        <v>2628</v>
      </c>
      <c r="J51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t="s">
        <v>7</v>
      </c>
      <c r="I52" t="s">
        <v>4127</v>
      </c>
      <c r="J52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t="s">
        <v>4246</v>
      </c>
      <c r="E53" t="s">
        <v>4247</v>
      </c>
      <c r="I53" t="s">
        <v>4130</v>
      </c>
      <c r="J53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t="s">
        <v>4246</v>
      </c>
      <c r="E54" t="s">
        <v>4247</v>
      </c>
      <c r="I54" t="s">
        <v>4133</v>
      </c>
      <c r="J54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t="s">
        <v>4246</v>
      </c>
      <c r="E55" t="s">
        <v>4247</v>
      </c>
      <c r="I55" t="s">
        <v>4136</v>
      </c>
      <c r="J55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t="s">
        <v>4246</v>
      </c>
      <c r="E56" t="s">
        <v>4247</v>
      </c>
      <c r="I56" t="s">
        <v>4139</v>
      </c>
      <c r="J56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t="s">
        <v>4246</v>
      </c>
      <c r="E57" t="s">
        <v>4247</v>
      </c>
      <c r="I57" t="s">
        <v>4142</v>
      </c>
      <c r="J57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t="s">
        <v>7</v>
      </c>
      <c r="E58" t="s">
        <v>4248</v>
      </c>
      <c r="I58" t="s">
        <v>4145</v>
      </c>
      <c r="J5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t="s">
        <v>7</v>
      </c>
      <c r="E59" t="s">
        <v>4248</v>
      </c>
      <c r="I59" t="s">
        <v>4148</v>
      </c>
      <c r="J59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t="s">
        <v>7</v>
      </c>
      <c r="E60" t="s">
        <v>4248</v>
      </c>
      <c r="I60" t="s">
        <v>4151</v>
      </c>
      <c r="J60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t="s">
        <v>7</v>
      </c>
      <c r="E61" t="s">
        <v>4248</v>
      </c>
      <c r="I61" t="s">
        <v>4154</v>
      </c>
      <c r="J61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t="s">
        <v>7</v>
      </c>
      <c r="E62" t="s">
        <v>4248</v>
      </c>
      <c r="I62" t="s">
        <v>4157</v>
      </c>
      <c r="J62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t="s">
        <v>7</v>
      </c>
      <c r="E63" t="s">
        <v>4248</v>
      </c>
      <c r="I63" t="s">
        <v>4160</v>
      </c>
      <c r="J63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t="s">
        <v>4</v>
      </c>
      <c r="E64" t="s">
        <v>8</v>
      </c>
      <c r="I64" t="s">
        <v>4163</v>
      </c>
      <c r="J64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t="s">
        <v>2004</v>
      </c>
      <c r="I65" t="s">
        <v>4291</v>
      </c>
      <c r="J65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t="s">
        <v>4</v>
      </c>
      <c r="E66" t="s">
        <v>8</v>
      </c>
      <c r="I66" t="s">
        <v>4921</v>
      </c>
      <c r="J66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t="s">
        <v>4</v>
      </c>
      <c r="E67" t="s">
        <v>8</v>
      </c>
      <c r="H67" t="s">
        <v>2936</v>
      </c>
      <c r="I67" t="s">
        <v>4924</v>
      </c>
      <c r="J67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t="s">
        <v>4</v>
      </c>
      <c r="E68" t="s">
        <v>8</v>
      </c>
      <c r="H68" t="s">
        <v>2936</v>
      </c>
      <c r="I68" t="s">
        <v>4927</v>
      </c>
      <c r="J6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t="s">
        <v>4</v>
      </c>
      <c r="E69" t="s">
        <v>8</v>
      </c>
      <c r="H69" t="s">
        <v>2936</v>
      </c>
      <c r="I69" t="s">
        <v>4930</v>
      </c>
      <c r="J69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t="s">
        <v>4</v>
      </c>
      <c r="E70" t="s">
        <v>8</v>
      </c>
      <c r="H70" t="s">
        <v>2936</v>
      </c>
      <c r="I70" t="s">
        <v>4933</v>
      </c>
      <c r="J70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t="s">
        <v>4</v>
      </c>
      <c r="E71" t="s">
        <v>8</v>
      </c>
      <c r="H71" t="s">
        <v>2936</v>
      </c>
      <c r="I71" t="s">
        <v>4936</v>
      </c>
      <c r="J71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t="s">
        <v>4</v>
      </c>
      <c r="E72" t="s">
        <v>8</v>
      </c>
      <c r="H72" t="s">
        <v>2936</v>
      </c>
      <c r="I72" t="s">
        <v>4939</v>
      </c>
      <c r="J72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t="s">
        <v>4</v>
      </c>
      <c r="E73" t="s">
        <v>8</v>
      </c>
      <c r="H73" t="s">
        <v>2936</v>
      </c>
      <c r="I73" t="s">
        <v>4942</v>
      </c>
      <c r="J73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t="s">
        <v>4</v>
      </c>
      <c r="E74" t="s">
        <v>8</v>
      </c>
      <c r="H74" t="s">
        <v>2936</v>
      </c>
      <c r="I74" t="s">
        <v>4945</v>
      </c>
      <c r="J74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t="s">
        <v>4</v>
      </c>
      <c r="E75" t="s">
        <v>8</v>
      </c>
      <c r="H75" t="s">
        <v>2936</v>
      </c>
      <c r="I75" t="s">
        <v>4948</v>
      </c>
      <c r="J75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t="s">
        <v>4</v>
      </c>
      <c r="E76" t="s">
        <v>8</v>
      </c>
      <c r="H76" t="s">
        <v>2936</v>
      </c>
      <c r="I76" t="s">
        <v>4951</v>
      </c>
      <c r="J76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t="s">
        <v>4</v>
      </c>
      <c r="E77" t="s">
        <v>8</v>
      </c>
      <c r="H77" t="s">
        <v>2936</v>
      </c>
      <c r="I77" t="s">
        <v>4954</v>
      </c>
      <c r="J77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t="s">
        <v>4</v>
      </c>
      <c r="E78" t="s">
        <v>8</v>
      </c>
      <c r="H78" t="s">
        <v>2936</v>
      </c>
      <c r="I78" t="s">
        <v>4957</v>
      </c>
      <c r="J7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t="s">
        <v>4</v>
      </c>
      <c r="E79" t="s">
        <v>8</v>
      </c>
      <c r="H79" t="s">
        <v>2936</v>
      </c>
      <c r="I79" t="s">
        <v>4960</v>
      </c>
      <c r="J79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t="s">
        <v>4</v>
      </c>
      <c r="E80" t="s">
        <v>8</v>
      </c>
      <c r="H80" t="s">
        <v>2936</v>
      </c>
      <c r="I80" t="s">
        <v>4963</v>
      </c>
      <c r="J80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t="s">
        <v>4</v>
      </c>
      <c r="E81" t="s">
        <v>8</v>
      </c>
      <c r="H81" t="s">
        <v>2936</v>
      </c>
      <c r="I81" t="s">
        <v>4966</v>
      </c>
      <c r="J81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t="s">
        <v>4</v>
      </c>
      <c r="E82" t="s">
        <v>8</v>
      </c>
      <c r="H82" t="s">
        <v>2936</v>
      </c>
      <c r="I82" t="s">
        <v>4969</v>
      </c>
      <c r="J82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t="s">
        <v>4</v>
      </c>
      <c r="E83" t="s">
        <v>8</v>
      </c>
      <c r="H83" t="s">
        <v>2936</v>
      </c>
      <c r="I83" t="s">
        <v>4972</v>
      </c>
      <c r="J83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t="s">
        <v>4</v>
      </c>
      <c r="E84" t="s">
        <v>8</v>
      </c>
      <c r="H84" t="s">
        <v>2936</v>
      </c>
      <c r="I84" t="s">
        <v>4975</v>
      </c>
      <c r="J84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t="s">
        <v>2004</v>
      </c>
      <c r="E85" t="s">
        <v>8</v>
      </c>
      <c r="I85" t="s">
        <v>4978</v>
      </c>
      <c r="J85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t="s">
        <v>2004</v>
      </c>
      <c r="E86" t="s">
        <v>8</v>
      </c>
      <c r="I86" t="s">
        <v>5217</v>
      </c>
      <c r="J86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t="s">
        <v>4</v>
      </c>
      <c r="E87" t="s">
        <v>5478</v>
      </c>
      <c r="I87" t="s">
        <v>5459</v>
      </c>
      <c r="J87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t="s">
        <v>4</v>
      </c>
      <c r="E88" t="s">
        <v>8</v>
      </c>
      <c r="I88" t="s">
        <v>5462</v>
      </c>
      <c r="J8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t="s">
        <v>4</v>
      </c>
      <c r="E89" t="s">
        <v>5478</v>
      </c>
      <c r="H89" t="s">
        <v>5479</v>
      </c>
      <c r="I89" t="s">
        <v>5465</v>
      </c>
      <c r="J89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t="s">
        <v>2004</v>
      </c>
      <c r="E90" t="s">
        <v>8</v>
      </c>
      <c r="I90" t="s">
        <v>5657</v>
      </c>
      <c r="J90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t="s">
        <v>2004</v>
      </c>
      <c r="E91" t="s">
        <v>8</v>
      </c>
      <c r="I91" t="s">
        <v>5660</v>
      </c>
      <c r="J91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t="s">
        <v>2004</v>
      </c>
      <c r="E92" t="s">
        <v>8</v>
      </c>
      <c r="I92" t="s">
        <v>5663</v>
      </c>
      <c r="J92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t="s">
        <v>4</v>
      </c>
      <c r="E93" t="s">
        <v>8</v>
      </c>
      <c r="I93" t="s">
        <v>6005</v>
      </c>
      <c r="J93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t="s">
        <v>650</v>
      </c>
      <c r="E94" t="s">
        <v>6190</v>
      </c>
      <c r="I94" t="s">
        <v>6008</v>
      </c>
      <c r="J94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t="s">
        <v>650</v>
      </c>
      <c r="E95" t="s">
        <v>6190</v>
      </c>
      <c r="H95" t="s">
        <v>2936</v>
      </c>
      <c r="I95" t="s">
        <v>6011</v>
      </c>
      <c r="J95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t="s">
        <v>4</v>
      </c>
      <c r="E96" t="s">
        <v>8</v>
      </c>
      <c r="I96" t="s">
        <v>6014</v>
      </c>
      <c r="J96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t="s">
        <v>2004</v>
      </c>
      <c r="E97" t="s">
        <v>8</v>
      </c>
      <c r="I97" t="s">
        <v>6017</v>
      </c>
      <c r="J97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t="s">
        <v>2004</v>
      </c>
      <c r="E98" t="s">
        <v>8</v>
      </c>
      <c r="I98" t="s">
        <v>6252</v>
      </c>
      <c r="J9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t="s">
        <v>4</v>
      </c>
      <c r="E99" t="s">
        <v>8</v>
      </c>
      <c r="I99" t="s">
        <v>6500</v>
      </c>
      <c r="J99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t="s">
        <v>4</v>
      </c>
      <c r="E100" t="s">
        <v>8</v>
      </c>
      <c r="I100" t="s">
        <v>6503</v>
      </c>
      <c r="J100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t="s">
        <v>2004</v>
      </c>
      <c r="E101" t="s">
        <v>8</v>
      </c>
      <c r="I101" t="s">
        <v>6641</v>
      </c>
      <c r="J101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t="s">
        <v>4</v>
      </c>
      <c r="E102" t="s">
        <v>8</v>
      </c>
      <c r="I102" t="s">
        <v>6823</v>
      </c>
      <c r="J102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t="s">
        <v>4</v>
      </c>
      <c r="E103" t="s">
        <v>8</v>
      </c>
      <c r="H103" t="s">
        <v>2936</v>
      </c>
      <c r="I103" t="s">
        <v>6826</v>
      </c>
      <c r="J103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t="s">
        <v>4</v>
      </c>
      <c r="E104" t="s">
        <v>8</v>
      </c>
      <c r="I104" t="s">
        <v>7127</v>
      </c>
      <c r="J104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t="s">
        <v>4</v>
      </c>
      <c r="E105" t="s">
        <v>8</v>
      </c>
      <c r="H105" t="s">
        <v>2936</v>
      </c>
      <c r="I105" t="s">
        <v>7130</v>
      </c>
      <c r="J105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t="s">
        <v>2004</v>
      </c>
      <c r="E106" t="s">
        <v>8</v>
      </c>
      <c r="I106" t="s">
        <v>7133</v>
      </c>
      <c r="J106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t="s">
        <v>2004</v>
      </c>
      <c r="E107" t="s">
        <v>8</v>
      </c>
      <c r="H107" t="s">
        <v>2014</v>
      </c>
      <c r="I107" t="s">
        <v>7136</v>
      </c>
      <c r="J107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t="s">
        <v>2004</v>
      </c>
      <c r="E108" t="s">
        <v>8</v>
      </c>
      <c r="I108" t="s">
        <v>7208</v>
      </c>
      <c r="J10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t="s">
        <v>2004</v>
      </c>
      <c r="E109" t="s">
        <v>8</v>
      </c>
      <c r="I109" t="s">
        <v>7401</v>
      </c>
      <c r="J109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t="s">
        <v>2004</v>
      </c>
      <c r="E110" t="s">
        <v>8</v>
      </c>
      <c r="I110" t="s">
        <v>7404</v>
      </c>
      <c r="J110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t="s">
        <v>4</v>
      </c>
      <c r="E111" t="s">
        <v>7417</v>
      </c>
      <c r="I111" t="s">
        <v>7407</v>
      </c>
      <c r="J111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t="s">
        <v>4</v>
      </c>
      <c r="E112" t="s">
        <v>7715</v>
      </c>
      <c r="I112" t="s">
        <v>7583</v>
      </c>
      <c r="J112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t="s">
        <v>4</v>
      </c>
      <c r="E113" t="s">
        <v>7716</v>
      </c>
      <c r="H113" t="s">
        <v>2936</v>
      </c>
      <c r="I113" t="s">
        <v>7586</v>
      </c>
      <c r="J113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t="s">
        <v>4</v>
      </c>
      <c r="E114" t="s">
        <v>8</v>
      </c>
      <c r="H114" t="s">
        <v>7717</v>
      </c>
      <c r="I114" t="s">
        <v>7589</v>
      </c>
      <c r="J114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t="s">
        <v>4</v>
      </c>
      <c r="E115" t="s">
        <v>8</v>
      </c>
      <c r="H115" t="s">
        <v>3078</v>
      </c>
      <c r="I115" t="s">
        <v>7592</v>
      </c>
      <c r="J115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t="s">
        <v>4</v>
      </c>
      <c r="E116" t="s">
        <v>8</v>
      </c>
      <c r="I116" t="s">
        <v>7777</v>
      </c>
      <c r="J116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t="s">
        <v>4</v>
      </c>
      <c r="E117" t="s">
        <v>8</v>
      </c>
      <c r="H117" t="s">
        <v>2936</v>
      </c>
      <c r="I117" t="s">
        <v>7780</v>
      </c>
      <c r="J117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t="s">
        <v>4</v>
      </c>
      <c r="E118" t="s">
        <v>8</v>
      </c>
      <c r="H118" t="s">
        <v>2936</v>
      </c>
      <c r="I118" t="s">
        <v>7783</v>
      </c>
      <c r="J118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t="s">
        <v>4</v>
      </c>
      <c r="E119" t="s">
        <v>8</v>
      </c>
      <c r="H119" t="s">
        <v>2936</v>
      </c>
      <c r="I119" t="s">
        <v>7786</v>
      </c>
      <c r="J119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t="s">
        <v>4</v>
      </c>
      <c r="E120" t="s">
        <v>8</v>
      </c>
      <c r="H120" t="s">
        <v>2936</v>
      </c>
      <c r="I120" t="s">
        <v>7789</v>
      </c>
      <c r="J120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t="s">
        <v>4</v>
      </c>
      <c r="E121" t="s">
        <v>8</v>
      </c>
      <c r="I121" t="s">
        <v>7971</v>
      </c>
      <c r="J121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t="s">
        <v>4</v>
      </c>
      <c r="E122" t="s">
        <v>12</v>
      </c>
      <c r="I122" t="s">
        <v>7974</v>
      </c>
      <c r="J122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t="s">
        <v>4</v>
      </c>
      <c r="E123" t="s">
        <v>8</v>
      </c>
      <c r="I123" t="s">
        <v>7977</v>
      </c>
      <c r="J123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t="s">
        <v>4</v>
      </c>
      <c r="E124" t="s">
        <v>12</v>
      </c>
      <c r="I124" t="s">
        <v>7980</v>
      </c>
      <c r="J124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t="s">
        <v>2004</v>
      </c>
      <c r="E125" t="s">
        <v>8</v>
      </c>
      <c r="I125" t="s">
        <v>8315</v>
      </c>
      <c r="J125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t="s">
        <v>2004</v>
      </c>
      <c r="E126" t="s">
        <v>8</v>
      </c>
      <c r="I126" t="s">
        <v>8318</v>
      </c>
      <c r="J126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t="s">
        <v>2004</v>
      </c>
      <c r="E127" t="s">
        <v>8</v>
      </c>
      <c r="I127" t="s">
        <v>8321</v>
      </c>
      <c r="J127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t="s">
        <v>2004</v>
      </c>
      <c r="E128" t="s">
        <v>8</v>
      </c>
      <c r="I128" t="s">
        <v>8324</v>
      </c>
      <c r="J128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t="s">
        <v>2004</v>
      </c>
      <c r="E129" t="s">
        <v>8</v>
      </c>
      <c r="I129" t="s">
        <v>8327</v>
      </c>
      <c r="J129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t="s">
        <v>2004</v>
      </c>
      <c r="E130" t="s">
        <v>8</v>
      </c>
      <c r="I130" t="s">
        <v>8456</v>
      </c>
      <c r="J130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t="s">
        <v>2004</v>
      </c>
      <c r="E131" t="s">
        <v>8</v>
      </c>
      <c r="I131" t="s">
        <v>8459</v>
      </c>
      <c r="J131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t="s">
        <v>2004</v>
      </c>
      <c r="E132" t="s">
        <v>8</v>
      </c>
      <c r="I132" t="s">
        <v>8462</v>
      </c>
      <c r="J132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t="s">
        <v>2004</v>
      </c>
      <c r="E133" t="s">
        <v>8</v>
      </c>
      <c r="I133" t="s">
        <v>8757</v>
      </c>
      <c r="J133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t="s">
        <v>2004</v>
      </c>
      <c r="E134" t="s">
        <v>8</v>
      </c>
      <c r="I134" t="s">
        <v>8760</v>
      </c>
      <c r="J134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t="s">
        <v>2004</v>
      </c>
      <c r="E135" t="s">
        <v>8</v>
      </c>
      <c r="I135" t="s">
        <v>8763</v>
      </c>
      <c r="J135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t="s">
        <v>2004</v>
      </c>
      <c r="E136" t="s">
        <v>8</v>
      </c>
      <c r="I136" t="s">
        <v>8766</v>
      </c>
      <c r="J136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t="s">
        <v>2004</v>
      </c>
      <c r="E137" t="s">
        <v>8</v>
      </c>
      <c r="I137" t="s">
        <v>8769</v>
      </c>
      <c r="J137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t="s">
        <v>2004</v>
      </c>
      <c r="E138" t="s">
        <v>8</v>
      </c>
      <c r="I138" t="s">
        <v>8772</v>
      </c>
      <c r="J138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t="s">
        <v>2004</v>
      </c>
      <c r="E139" t="s">
        <v>8</v>
      </c>
      <c r="I139" t="s">
        <v>8775</v>
      </c>
      <c r="J139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t="s">
        <v>4</v>
      </c>
      <c r="E140" t="s">
        <v>5480</v>
      </c>
      <c r="F140" t="s">
        <v>9190</v>
      </c>
      <c r="I140" t="s">
        <v>9147</v>
      </c>
      <c r="J140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t="s">
        <v>4</v>
      </c>
      <c r="E141" t="s">
        <v>8</v>
      </c>
      <c r="I141" t="s">
        <v>9150</v>
      </c>
      <c r="J141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t="s">
        <v>4</v>
      </c>
      <c r="E142" t="s">
        <v>12</v>
      </c>
      <c r="I142" t="s">
        <v>9153</v>
      </c>
      <c r="J142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t="s">
        <v>4</v>
      </c>
      <c r="E143" t="s">
        <v>9211</v>
      </c>
      <c r="I143" t="s">
        <v>9156</v>
      </c>
      <c r="J143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t="s">
        <v>4</v>
      </c>
      <c r="E144" t="s">
        <v>8</v>
      </c>
      <c r="I144" t="s">
        <v>9159</v>
      </c>
      <c r="J144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t="s">
        <v>4</v>
      </c>
      <c r="E145" t="s">
        <v>12</v>
      </c>
      <c r="I145" t="s">
        <v>9162</v>
      </c>
      <c r="J145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t="s">
        <v>4</v>
      </c>
      <c r="E146" t="s">
        <v>12</v>
      </c>
      <c r="I146" t="s">
        <v>9165</v>
      </c>
      <c r="J146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t="s">
        <v>4</v>
      </c>
      <c r="E147" t="s">
        <v>8</v>
      </c>
      <c r="I147" t="s">
        <v>9315</v>
      </c>
      <c r="J147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t="s">
        <v>4</v>
      </c>
      <c r="E148" t="s">
        <v>12</v>
      </c>
      <c r="I148" t="s">
        <v>9318</v>
      </c>
      <c r="J148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t="s">
        <v>4</v>
      </c>
      <c r="E149" t="s">
        <v>8</v>
      </c>
      <c r="I149" t="s">
        <v>9321</v>
      </c>
      <c r="J149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t="s">
        <v>4</v>
      </c>
      <c r="E150" t="s">
        <v>12</v>
      </c>
      <c r="I150" t="s">
        <v>9543</v>
      </c>
      <c r="J150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t="s">
        <v>4</v>
      </c>
      <c r="E151" t="s">
        <v>12</v>
      </c>
      <c r="I151" t="s">
        <v>9546</v>
      </c>
      <c r="J151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t="s">
        <v>2004</v>
      </c>
      <c r="E152" t="s">
        <v>8</v>
      </c>
      <c r="I152" t="s">
        <v>9671</v>
      </c>
      <c r="J152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t="s">
        <v>2004</v>
      </c>
      <c r="E153" t="s">
        <v>8</v>
      </c>
      <c r="I153" t="s">
        <v>9674</v>
      </c>
      <c r="J153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  <row r="154" spans="1:13" x14ac:dyDescent="0.25">
      <c r="A154" s="2" t="s">
        <v>13</v>
      </c>
      <c r="B154" s="4">
        <v>46041</v>
      </c>
      <c r="C154" s="5">
        <v>0.43837962962962962</v>
      </c>
      <c r="D154" t="s">
        <v>9876</v>
      </c>
      <c r="E154" t="s">
        <v>9201</v>
      </c>
      <c r="I154" t="s">
        <v>9852</v>
      </c>
      <c r="J154" t="s">
        <v>2987</v>
      </c>
      <c r="K154" t="s">
        <v>9853</v>
      </c>
      <c r="L154" t="s">
        <v>9854</v>
      </c>
      <c r="M154" s="3" t="str">
        <f>HYPERLINK(склад2въезд13192021222378[[#This Row],[RelativePath]])</f>
        <v>12 Площадка 3 кран\K07156189_20_20260119T103116Z.jpg</v>
      </c>
    </row>
    <row r="155" spans="1:13" x14ac:dyDescent="0.25">
      <c r="A155" s="2" t="s">
        <v>13</v>
      </c>
      <c r="B155" s="4">
        <v>46041</v>
      </c>
      <c r="C155" s="5">
        <v>0.51071759259259264</v>
      </c>
      <c r="D155" t="s">
        <v>9876</v>
      </c>
      <c r="E155" t="s">
        <v>9201</v>
      </c>
      <c r="H155" t="s">
        <v>2936</v>
      </c>
      <c r="I155" t="s">
        <v>9855</v>
      </c>
      <c r="J155" t="s">
        <v>2987</v>
      </c>
      <c r="K155" t="s">
        <v>9856</v>
      </c>
      <c r="L155" t="s">
        <v>9857</v>
      </c>
      <c r="M155" s="3" t="str">
        <f>HYPERLINK(склад2въезд13192021222378[[#This Row],[RelativePath]])</f>
        <v>12 Площадка 3 кран\K07156189_20_20260119T121526Z.jpg</v>
      </c>
    </row>
    <row r="156" spans="1:13" x14ac:dyDescent="0.25">
      <c r="A156" s="2" t="s">
        <v>13</v>
      </c>
      <c r="B156" s="4">
        <v>46041</v>
      </c>
      <c r="C156" s="5">
        <v>0.70841435185185186</v>
      </c>
      <c r="D156" t="s">
        <v>9876</v>
      </c>
      <c r="E156" t="s">
        <v>9201</v>
      </c>
      <c r="H156" t="s">
        <v>2936</v>
      </c>
      <c r="I156" t="s">
        <v>9858</v>
      </c>
      <c r="J156" t="s">
        <v>2987</v>
      </c>
      <c r="K156" t="s">
        <v>9859</v>
      </c>
      <c r="L156" t="s">
        <v>9860</v>
      </c>
      <c r="M156" s="3" t="str">
        <f>HYPERLINK(склад2въезд13192021222378[[#This Row],[RelativePath]])</f>
        <v>12 Площадка 3 кран\K07156189_20_20260119T170007Z.jpg</v>
      </c>
    </row>
    <row r="157" spans="1:13" x14ac:dyDescent="0.25">
      <c r="A157" s="2" t="s">
        <v>14</v>
      </c>
      <c r="B157" s="4">
        <v>46042</v>
      </c>
      <c r="C157" s="5">
        <v>0.43672453703703706</v>
      </c>
      <c r="D157" t="s">
        <v>9914</v>
      </c>
      <c r="E157" t="s">
        <v>4247</v>
      </c>
      <c r="H157" t="s">
        <v>2936</v>
      </c>
      <c r="I157" t="s">
        <v>9861</v>
      </c>
      <c r="J157" t="s">
        <v>2987</v>
      </c>
      <c r="K157" t="s">
        <v>9862</v>
      </c>
      <c r="L157" t="s">
        <v>9863</v>
      </c>
      <c r="M157" s="3" t="str">
        <f>HYPERLINK(склад2въезд13192021222378[[#This Row],[RelativePath]])</f>
        <v>12 Площадка 3 кран\K07156189_20_20260120T102853Z.jpg</v>
      </c>
    </row>
    <row r="158" spans="1:13" x14ac:dyDescent="0.25">
      <c r="A158" s="2" t="s">
        <v>14</v>
      </c>
      <c r="B158" s="4">
        <v>46042</v>
      </c>
      <c r="C158" s="5">
        <v>0.60986111111111108</v>
      </c>
      <c r="D158" t="s">
        <v>9876</v>
      </c>
      <c r="E158" t="s">
        <v>9201</v>
      </c>
      <c r="H158" t="s">
        <v>2936</v>
      </c>
      <c r="I158" t="s">
        <v>9864</v>
      </c>
      <c r="J158" t="s">
        <v>2987</v>
      </c>
      <c r="K158" t="s">
        <v>9865</v>
      </c>
      <c r="L158" t="s">
        <v>9866</v>
      </c>
      <c r="M158" s="3" t="str">
        <f>HYPERLINK(склад2въезд13192021222378[[#This Row],[RelativePath]])</f>
        <v>12 Площадка 3 кран\K07156189_20_20260120T143812Z.jpg</v>
      </c>
    </row>
    <row r="159" spans="1:13" x14ac:dyDescent="0.25">
      <c r="A159" s="2" t="s">
        <v>14</v>
      </c>
      <c r="B159" s="4">
        <v>46042</v>
      </c>
      <c r="C159" s="5">
        <v>0.71561342592592592</v>
      </c>
      <c r="D159" t="s">
        <v>4</v>
      </c>
      <c r="E159" t="s">
        <v>8</v>
      </c>
      <c r="I159" t="s">
        <v>9867</v>
      </c>
      <c r="J159" t="s">
        <v>2987</v>
      </c>
      <c r="K159" t="s">
        <v>9868</v>
      </c>
      <c r="L159" t="s">
        <v>9869</v>
      </c>
      <c r="M159" s="3" t="str">
        <f>HYPERLINK(склад2въезд13192021222378[[#This Row],[RelativePath]])</f>
        <v>12 Площадка 3 кран\K07156189_20_20260120T171029Z.jpg</v>
      </c>
    </row>
    <row r="160" spans="1:13" x14ac:dyDescent="0.25">
      <c r="A160" s="2" t="s">
        <v>15</v>
      </c>
      <c r="B160" s="4">
        <v>46043</v>
      </c>
      <c r="C160" s="5">
        <v>0.47843750000000002</v>
      </c>
      <c r="D160" t="s">
        <v>4</v>
      </c>
      <c r="E160" t="s">
        <v>8</v>
      </c>
      <c r="I160" t="s">
        <v>10104</v>
      </c>
      <c r="J160" t="s">
        <v>2987</v>
      </c>
      <c r="K160" t="s">
        <v>10105</v>
      </c>
      <c r="L160" t="s">
        <v>10106</v>
      </c>
      <c r="M160" s="3" t="str">
        <f>HYPERLINK(склад2въезд13192021222378[[#This Row],[RelativePath]])</f>
        <v>12 Площадка 3 кран\K07156189_20_20260121T112857Z.jpg</v>
      </c>
    </row>
    <row r="161" spans="1:13" x14ac:dyDescent="0.25">
      <c r="A161" s="2" t="s">
        <v>15</v>
      </c>
      <c r="B161" s="4">
        <v>46043</v>
      </c>
      <c r="C161" s="5">
        <v>0.66670138888888886</v>
      </c>
      <c r="D161" t="s">
        <v>9876</v>
      </c>
      <c r="E161" t="s">
        <v>9201</v>
      </c>
      <c r="I161" t="s">
        <v>10107</v>
      </c>
      <c r="J161" t="s">
        <v>2987</v>
      </c>
      <c r="K161" t="s">
        <v>10108</v>
      </c>
      <c r="L161" t="s">
        <v>10109</v>
      </c>
      <c r="M161" s="3" t="str">
        <f>HYPERLINK(склад2въезд13192021222378[[#This Row],[RelativePath]])</f>
        <v>12 Площадка 3 кран\K07156189_20_20260121T160003Z.jpg</v>
      </c>
    </row>
    <row r="162" spans="1:13" x14ac:dyDescent="0.25">
      <c r="A162" s="2" t="s">
        <v>16</v>
      </c>
      <c r="B162" s="4">
        <v>46044</v>
      </c>
      <c r="C162" s="5">
        <v>0.4568402777777778</v>
      </c>
      <c r="D162" t="s">
        <v>9876</v>
      </c>
      <c r="E162" t="s">
        <v>9201</v>
      </c>
      <c r="I162" t="s">
        <v>10110</v>
      </c>
      <c r="J162" t="s">
        <v>2987</v>
      </c>
      <c r="K162" t="s">
        <v>10111</v>
      </c>
      <c r="L162" t="s">
        <v>10112</v>
      </c>
      <c r="M162" s="3" t="str">
        <f>HYPERLINK(склад2въезд13192021222378[[#This Row],[RelativePath]])</f>
        <v>12 Площадка 3 кран\K07156189_20_20260122T105751Z.jpg</v>
      </c>
    </row>
    <row r="163" spans="1:13" x14ac:dyDescent="0.25">
      <c r="A163" s="2" t="s">
        <v>17</v>
      </c>
      <c r="B163" s="4">
        <v>46045</v>
      </c>
      <c r="C163" s="5">
        <v>0.39613425925925927</v>
      </c>
      <c r="D163" t="s">
        <v>4</v>
      </c>
      <c r="E163" t="s">
        <v>8</v>
      </c>
      <c r="I163" t="s">
        <v>10424</v>
      </c>
      <c r="J163" t="s">
        <v>2987</v>
      </c>
      <c r="K163" t="s">
        <v>10425</v>
      </c>
      <c r="L163" t="s">
        <v>10426</v>
      </c>
      <c r="M163" s="3" t="str">
        <f>HYPERLINK(склад2въезд13192021222378[[#This Row],[RelativePath]])</f>
        <v>12 Площадка 3 кран\K07156189_20_20260123T093026Z.jpg</v>
      </c>
    </row>
    <row r="164" spans="1:13" x14ac:dyDescent="0.25">
      <c r="A164" s="2" t="s">
        <v>17</v>
      </c>
      <c r="B164" s="4">
        <v>46045</v>
      </c>
      <c r="C164" s="5">
        <v>0.49734953703703705</v>
      </c>
      <c r="D164" t="s">
        <v>4</v>
      </c>
      <c r="E164" t="s">
        <v>8</v>
      </c>
      <c r="H164" t="s">
        <v>2936</v>
      </c>
      <c r="I164" t="s">
        <v>10427</v>
      </c>
      <c r="J164" t="s">
        <v>2987</v>
      </c>
      <c r="K164" t="s">
        <v>10428</v>
      </c>
      <c r="L164" t="s">
        <v>10429</v>
      </c>
      <c r="M164" s="3" t="str">
        <f>HYPERLINK(склад2въезд13192021222378[[#This Row],[RelativePath]])</f>
        <v>12 Площадка 3 кран\K07156189_20_20260123T115611Z.jpg</v>
      </c>
    </row>
    <row r="165" spans="1:13" x14ac:dyDescent="0.25">
      <c r="A165" s="2" t="s">
        <v>17</v>
      </c>
      <c r="B165" s="4">
        <v>46045</v>
      </c>
      <c r="C165" s="5">
        <v>0.58601851851851849</v>
      </c>
      <c r="D165" t="s">
        <v>4</v>
      </c>
      <c r="E165" t="s">
        <v>8</v>
      </c>
      <c r="H165" t="s">
        <v>2936</v>
      </c>
      <c r="I165" t="s">
        <v>10430</v>
      </c>
      <c r="J165" t="s">
        <v>2987</v>
      </c>
      <c r="K165" t="s">
        <v>10431</v>
      </c>
      <c r="L165" t="s">
        <v>10432</v>
      </c>
      <c r="M165" s="3" t="str">
        <f>HYPERLINK(склад2въезд13192021222378[[#This Row],[RelativePath]])</f>
        <v>12 Площадка 3 кран\K07156189_20_20260123T140352Z.jpg</v>
      </c>
    </row>
    <row r="166" spans="1:13" x14ac:dyDescent="0.25">
      <c r="A166" s="2" t="s">
        <v>18</v>
      </c>
      <c r="B166" s="4">
        <v>46046</v>
      </c>
      <c r="C166" s="5">
        <v>0.76857638888888891</v>
      </c>
      <c r="D166" t="s">
        <v>2004</v>
      </c>
      <c r="E166" t="s">
        <v>8</v>
      </c>
      <c r="I166" t="s">
        <v>10479</v>
      </c>
      <c r="J166" t="s">
        <v>2987</v>
      </c>
      <c r="K166" t="s">
        <v>10480</v>
      </c>
      <c r="L166" t="s">
        <v>10481</v>
      </c>
      <c r="M166" s="3" t="str">
        <f>HYPERLINK(склад2въезд13192021222378[[#This Row],[RelativePath]])</f>
        <v>12 Площадка 3 кран\K07156189_20_20260124T182645Z.jpg</v>
      </c>
    </row>
    <row r="167" spans="1:13" x14ac:dyDescent="0.25">
      <c r="A167" s="2" t="s">
        <v>22</v>
      </c>
      <c r="B167" s="4">
        <v>46047</v>
      </c>
      <c r="C167" s="5">
        <v>0.77228009259259256</v>
      </c>
      <c r="D167" t="s">
        <v>2004</v>
      </c>
      <c r="E167" t="s">
        <v>8</v>
      </c>
      <c r="I167" t="s">
        <v>10482</v>
      </c>
      <c r="J167" t="s">
        <v>2987</v>
      </c>
      <c r="K167" t="s">
        <v>10483</v>
      </c>
      <c r="L167" t="s">
        <v>10484</v>
      </c>
      <c r="M167" s="3" t="str">
        <f>HYPERLINK(склад2въезд13192021222378[[#This Row],[RelativePath]])</f>
        <v>12 Площадка 3 кран\K07156189_20_20260125T183205Z.jpg</v>
      </c>
    </row>
    <row r="168" spans="1:13" x14ac:dyDescent="0.25">
      <c r="A168" s="2" t="s">
        <v>13</v>
      </c>
      <c r="B168" s="4">
        <v>46048</v>
      </c>
      <c r="C168" s="5">
        <v>0.3555902777777778</v>
      </c>
      <c r="D168" t="s">
        <v>2004</v>
      </c>
      <c r="E168" t="s">
        <v>8</v>
      </c>
      <c r="I168" t="s">
        <v>10618</v>
      </c>
      <c r="J168" t="s">
        <v>2987</v>
      </c>
      <c r="K168" t="s">
        <v>10619</v>
      </c>
      <c r="L168" t="s">
        <v>10620</v>
      </c>
      <c r="M168" s="3" t="str">
        <f>HYPERLINK(склад2въезд13192021222378[[#This Row],[RelativePath]])</f>
        <v>12 Площадка 3 кран\K07156189_20_20260126T083203Z.jpg</v>
      </c>
    </row>
    <row r="169" spans="1:13" x14ac:dyDescent="0.25">
      <c r="A169" s="2" t="s">
        <v>14</v>
      </c>
      <c r="B169" s="4">
        <v>46049</v>
      </c>
      <c r="C169" s="5">
        <v>0.5244212962962963</v>
      </c>
      <c r="D169" t="s">
        <v>9914</v>
      </c>
      <c r="E169" t="s">
        <v>4247</v>
      </c>
      <c r="I169" t="s">
        <v>10621</v>
      </c>
      <c r="J169" t="s">
        <v>2987</v>
      </c>
      <c r="K169" t="s">
        <v>10622</v>
      </c>
      <c r="L169" t="s">
        <v>10623</v>
      </c>
      <c r="M169" s="3" t="str">
        <f>HYPERLINK(склад2въезд13192021222378[[#This Row],[RelativePath]])</f>
        <v>12 Площадка 3 кран\K07156189_20_20260127T123510Z.jpg</v>
      </c>
    </row>
    <row r="170" spans="1:13" x14ac:dyDescent="0.25">
      <c r="A170" s="2" t="s">
        <v>15</v>
      </c>
      <c r="B170" s="4">
        <v>46050</v>
      </c>
      <c r="C170" s="5">
        <v>0.4213425925925926</v>
      </c>
      <c r="D170" t="s">
        <v>9876</v>
      </c>
      <c r="E170" t="s">
        <v>9201</v>
      </c>
      <c r="I170" t="s">
        <v>10860</v>
      </c>
      <c r="J170" t="s">
        <v>2987</v>
      </c>
      <c r="K170" t="s">
        <v>10861</v>
      </c>
      <c r="L170" t="s">
        <v>10862</v>
      </c>
      <c r="M170" s="3" t="str">
        <f>HYPERLINK(склад2въезд13192021222378[[#This Row],[RelativePath]])</f>
        <v>12 Площадка 3 кран\K07156189_20_20260128T100644Z.jpg</v>
      </c>
    </row>
    <row r="171" spans="1:13" x14ac:dyDescent="0.25">
      <c r="A171" s="2" t="s">
        <v>15</v>
      </c>
      <c r="B171" s="4">
        <v>46050</v>
      </c>
      <c r="C171" s="5">
        <v>0.75557870370370372</v>
      </c>
      <c r="D171" t="s">
        <v>9876</v>
      </c>
      <c r="E171" t="s">
        <v>9201</v>
      </c>
      <c r="H171" t="s">
        <v>2936</v>
      </c>
      <c r="I171" t="s">
        <v>10863</v>
      </c>
      <c r="J171" t="s">
        <v>2987</v>
      </c>
      <c r="K171" t="s">
        <v>10864</v>
      </c>
      <c r="L171" t="s">
        <v>10865</v>
      </c>
      <c r="M171" s="3" t="str">
        <f>HYPERLINK(склад2въезд13192021222378[[#This Row],[RelativePath]])</f>
        <v>12 Площадка 3 кран\K07156189_20_20260128T180802Z.jpg</v>
      </c>
    </row>
    <row r="172" spans="1:13" x14ac:dyDescent="0.25">
      <c r="A172" s="2" t="s">
        <v>16</v>
      </c>
      <c r="B172" s="4">
        <v>46051</v>
      </c>
      <c r="C172" s="5">
        <v>0.43981481481481483</v>
      </c>
      <c r="D172" t="s">
        <v>9876</v>
      </c>
      <c r="E172" t="s">
        <v>9201</v>
      </c>
      <c r="H172" t="s">
        <v>2936</v>
      </c>
      <c r="I172" t="s">
        <v>10866</v>
      </c>
      <c r="J172" t="s">
        <v>2987</v>
      </c>
      <c r="K172" t="s">
        <v>10867</v>
      </c>
      <c r="L172" t="s">
        <v>10868</v>
      </c>
      <c r="M172" s="3" t="str">
        <f>HYPERLINK(склад2въезд13192021222378[[#This Row],[RelativePath]])</f>
        <v>12 Площадка 3 кран\K07156189_20_20260129T103320Z.jpg</v>
      </c>
    </row>
    <row r="173" spans="1:13" x14ac:dyDescent="0.25">
      <c r="A173" s="2" t="s">
        <v>16</v>
      </c>
      <c r="B173" s="4">
        <v>46051</v>
      </c>
      <c r="C173" s="5">
        <v>0.53135416666666668</v>
      </c>
      <c r="D173" t="s">
        <v>9876</v>
      </c>
      <c r="E173" t="s">
        <v>9201</v>
      </c>
      <c r="H173" t="s">
        <v>2936</v>
      </c>
      <c r="I173" t="s">
        <v>10869</v>
      </c>
      <c r="J173" t="s">
        <v>2987</v>
      </c>
      <c r="K173" t="s">
        <v>10870</v>
      </c>
      <c r="L173" t="s">
        <v>10871</v>
      </c>
      <c r="M173" s="3" t="str">
        <f>HYPERLINK(склад2въезд13192021222378[[#This Row],[RelativePath]])</f>
        <v>12 Площадка 3 кран\K07156189_20_20260129T124509Z.jpg</v>
      </c>
    </row>
    <row r="174" spans="1:13" x14ac:dyDescent="0.25">
      <c r="A174" s="2" t="s">
        <v>17</v>
      </c>
      <c r="B174" s="4">
        <v>46052</v>
      </c>
      <c r="C174" s="5">
        <v>0.48168981481481482</v>
      </c>
      <c r="D174" t="s">
        <v>11009</v>
      </c>
      <c r="E174" t="s">
        <v>9201</v>
      </c>
      <c r="I174" t="s">
        <v>10995</v>
      </c>
      <c r="J174" t="s">
        <v>2987</v>
      </c>
      <c r="K174" t="s">
        <v>10996</v>
      </c>
      <c r="L174" t="s">
        <v>10997</v>
      </c>
      <c r="M174" s="3" t="str">
        <f>HYPERLINK(склад2въезд13192021222378[[#This Row],[RelativePath]])</f>
        <v>12 Площадка 3 кран\K07156189_20_20260130T113338Z.jpg</v>
      </c>
    </row>
    <row r="175" spans="1:13" x14ac:dyDescent="0.25">
      <c r="A175" s="2" t="s">
        <v>17</v>
      </c>
      <c r="B175" s="4">
        <v>46052</v>
      </c>
      <c r="C175" s="5">
        <v>0.56170138888888888</v>
      </c>
      <c r="D175" t="s">
        <v>4</v>
      </c>
      <c r="E175" t="s">
        <v>8</v>
      </c>
      <c r="I175" t="s">
        <v>10998</v>
      </c>
      <c r="J175" t="s">
        <v>2987</v>
      </c>
      <c r="K175" t="s">
        <v>10999</v>
      </c>
      <c r="L175" t="s">
        <v>11000</v>
      </c>
      <c r="M175" s="3" t="str">
        <f>HYPERLINK(склад2въезд13192021222378[[#This Row],[RelativePath]])</f>
        <v>12 Площадка 3 кран\K07156189_20_20260130T132851Z.jpg</v>
      </c>
    </row>
    <row r="176" spans="1:13" x14ac:dyDescent="0.25">
      <c r="A176" s="2" t="s">
        <v>18</v>
      </c>
      <c r="B176" s="4">
        <v>46053</v>
      </c>
      <c r="C176" s="5">
        <v>0.77572916666666669</v>
      </c>
      <c r="D176" t="s">
        <v>2004</v>
      </c>
      <c r="E176" t="s">
        <v>8</v>
      </c>
      <c r="H176" t="s">
        <v>2014</v>
      </c>
      <c r="I176" t="s">
        <v>11118</v>
      </c>
      <c r="J176" t="s">
        <v>2987</v>
      </c>
      <c r="K176" t="s">
        <v>11119</v>
      </c>
      <c r="L176" t="s">
        <v>11120</v>
      </c>
      <c r="M176" s="3" t="str">
        <f>HYPERLINK(склад2въезд13192021222378[[#This Row],[RelativePath]])</f>
        <v>12 Площадка 3 кран\K07156189_20_20260131T183703Z.jpg</v>
      </c>
    </row>
    <row r="177" spans="1:13" x14ac:dyDescent="0.25">
      <c r="A177" s="2" t="s">
        <v>22</v>
      </c>
      <c r="B177" s="4">
        <v>46054</v>
      </c>
      <c r="C177" s="5">
        <v>0.33914351851851854</v>
      </c>
      <c r="D177" t="s">
        <v>2004</v>
      </c>
      <c r="E177" t="s">
        <v>8</v>
      </c>
      <c r="H177" t="s">
        <v>2014</v>
      </c>
      <c r="I177" t="s">
        <v>11121</v>
      </c>
      <c r="J177" t="s">
        <v>2987</v>
      </c>
      <c r="K177" t="s">
        <v>11122</v>
      </c>
      <c r="L177" t="s">
        <v>11123</v>
      </c>
      <c r="M177" s="3" t="str">
        <f>HYPERLINK(склад2въезд13192021222378[[#This Row],[RelativePath]])</f>
        <v>12 Площадка 3 кран\K07156189_20_20260201T080822Z.jpg</v>
      </c>
    </row>
  </sheetData>
  <conditionalFormatting sqref="D178:D188 E178:E191 G2:H177 D2:E177">
    <cfRule type="containsText" dxfId="103" priority="14" operator="containsText" text="Выезд с территории">
      <formula>NOT(ISERROR(SEARCH("Выезд с территории",D2)))</formula>
    </cfRule>
  </conditionalFormatting>
  <conditionalFormatting sqref="F2:F177">
    <cfRule type="notContainsText" dxfId="102" priority="13" operator="notContains" text="порожний">
      <formula>ISERROR(SEARCH("порожний",F2))</formula>
    </cfRule>
  </conditionalFormatting>
  <conditionalFormatting sqref="E2:E191">
    <cfRule type="containsText" dxfId="101" priority="11" operator="containsText" text="Газель базы">
      <formula>NOT(ISERROR(SEARCH("Газель базы",E2)))</formula>
    </cfRule>
    <cfRule type="containsText" dxfId="100" priority="12" operator="containsText" text="Погрузчик базы">
      <formula>NOT(ISERROR(SEARCH("Погрузчик базы",E2)))</formula>
    </cfRule>
  </conditionalFormatting>
  <conditionalFormatting sqref="E2:E191">
    <cfRule type="containsText" dxfId="99" priority="10" operator="containsText" text="Трактор базы">
      <formula>NOT(ISERROR(SEARCH("Трактор базы",E2)))</formula>
    </cfRule>
  </conditionalFormatting>
  <conditionalFormatting sqref="A2:C177">
    <cfRule type="expression" dxfId="98" priority="9">
      <formula>$A2="пн"</formula>
    </cfRule>
  </conditionalFormatting>
  <conditionalFormatting sqref="A2:C179">
    <cfRule type="expression" dxfId="97" priority="3">
      <formula>$A2="вс"</formula>
    </cfRule>
    <cfRule type="expression" dxfId="96" priority="4">
      <formula>$A2="сб"</formula>
    </cfRule>
    <cfRule type="expression" dxfId="95" priority="5">
      <formula>$A2="пт"</formula>
    </cfRule>
    <cfRule type="expression" dxfId="94" priority="6">
      <formula>$A2="чт"</formula>
    </cfRule>
    <cfRule type="expression" dxfId="93" priority="7">
      <formula>$A2="ср"</formula>
    </cfRule>
    <cfRule type="expression" dxfId="92" priority="8">
      <formula>$A2="вт"</formula>
    </cfRule>
  </conditionalFormatting>
  <conditionalFormatting sqref="D2:D188">
    <cfRule type="containsText" dxfId="9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8">
    <cfRule type="containsText" dxfId="9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52"/>
  <sheetViews>
    <sheetView zoomScale="90" zoomScaleNormal="90" workbookViewId="0">
      <pane ySplit="1" topLeftCell="A140" activePane="bottomLeft" state="frozen"/>
      <selection pane="bottomLeft" activeCell="I151" sqref="I151:I15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t="s">
        <v>4</v>
      </c>
      <c r="E2" t="s">
        <v>8</v>
      </c>
      <c r="I2" t="s">
        <v>1937</v>
      </c>
      <c r="J2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t="s">
        <v>4</v>
      </c>
      <c r="E3" t="s">
        <v>8</v>
      </c>
      <c r="I3" t="s">
        <v>1940</v>
      </c>
      <c r="J3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t="s">
        <v>4</v>
      </c>
      <c r="E4" t="s">
        <v>8</v>
      </c>
      <c r="I4" t="s">
        <v>1943</v>
      </c>
      <c r="J4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t="s">
        <v>4</v>
      </c>
      <c r="E5" t="s">
        <v>8</v>
      </c>
      <c r="I5" t="s">
        <v>1946</v>
      </c>
      <c r="J5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t="s">
        <v>4</v>
      </c>
      <c r="E6" t="s">
        <v>8</v>
      </c>
      <c r="I6" t="s">
        <v>1949</v>
      </c>
      <c r="J6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t="s">
        <v>289</v>
      </c>
      <c r="E7" t="s">
        <v>86</v>
      </c>
      <c r="F7" t="s">
        <v>1998</v>
      </c>
      <c r="I7" t="s">
        <v>1952</v>
      </c>
      <c r="J7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t="s">
        <v>1999</v>
      </c>
      <c r="E8" t="s">
        <v>86</v>
      </c>
      <c r="F8" t="s">
        <v>1998</v>
      </c>
      <c r="I8" t="s">
        <v>1955</v>
      </c>
      <c r="J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t="s">
        <v>1999</v>
      </c>
      <c r="E9" t="s">
        <v>86</v>
      </c>
      <c r="F9" t="s">
        <v>1998</v>
      </c>
      <c r="I9" t="s">
        <v>1958</v>
      </c>
      <c r="J9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t="s">
        <v>4</v>
      </c>
      <c r="E10" t="s">
        <v>8</v>
      </c>
      <c r="I10" t="s">
        <v>1961</v>
      </c>
      <c r="J10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t="s">
        <v>4</v>
      </c>
      <c r="E11" t="s">
        <v>8</v>
      </c>
      <c r="I11" t="s">
        <v>1964</v>
      </c>
      <c r="J11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t="s">
        <v>4</v>
      </c>
      <c r="E12" t="s">
        <v>8</v>
      </c>
      <c r="I12" t="s">
        <v>1967</v>
      </c>
      <c r="J12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t="s">
        <v>4</v>
      </c>
      <c r="E13" t="s">
        <v>8</v>
      </c>
      <c r="I13" t="s">
        <v>1970</v>
      </c>
      <c r="J13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t="s">
        <v>4</v>
      </c>
      <c r="E14" t="s">
        <v>8</v>
      </c>
      <c r="I14" t="s">
        <v>1973</v>
      </c>
      <c r="J14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t="s">
        <v>4</v>
      </c>
      <c r="E15" t="s">
        <v>8</v>
      </c>
      <c r="I15" t="s">
        <v>1976</v>
      </c>
      <c r="J15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t="s">
        <v>4</v>
      </c>
      <c r="E16" t="s">
        <v>8</v>
      </c>
      <c r="I16" t="s">
        <v>1979</v>
      </c>
      <c r="J16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t="s">
        <v>4</v>
      </c>
      <c r="E17" t="s">
        <v>8</v>
      </c>
      <c r="I17" t="s">
        <v>1982</v>
      </c>
      <c r="J17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t="s">
        <v>4</v>
      </c>
      <c r="E18" t="s">
        <v>8</v>
      </c>
      <c r="I18" t="s">
        <v>1985</v>
      </c>
      <c r="J1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t="s">
        <v>4</v>
      </c>
      <c r="E19" t="s">
        <v>8</v>
      </c>
      <c r="I19" t="s">
        <v>1988</v>
      </c>
      <c r="J19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t="s">
        <v>4</v>
      </c>
      <c r="E20" t="s">
        <v>8</v>
      </c>
      <c r="I20" t="s">
        <v>1991</v>
      </c>
      <c r="J20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t="s">
        <v>4</v>
      </c>
      <c r="E21" t="s">
        <v>8</v>
      </c>
      <c r="I21" t="s">
        <v>1994</v>
      </c>
      <c r="J21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t="s">
        <v>4</v>
      </c>
      <c r="E22" t="s">
        <v>8</v>
      </c>
      <c r="I22" t="s">
        <v>2976</v>
      </c>
      <c r="J22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t="s">
        <v>533</v>
      </c>
      <c r="E23" t="s">
        <v>531</v>
      </c>
      <c r="F23" t="s">
        <v>58</v>
      </c>
      <c r="H23" t="s">
        <v>2979</v>
      </c>
      <c r="I23" t="s">
        <v>2896</v>
      </c>
      <c r="J23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t="s">
        <v>533</v>
      </c>
      <c r="E24" t="s">
        <v>531</v>
      </c>
      <c r="F24" t="s">
        <v>58</v>
      </c>
      <c r="H24" t="s">
        <v>2979</v>
      </c>
      <c r="I24" t="s">
        <v>2899</v>
      </c>
      <c r="J24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t="s">
        <v>533</v>
      </c>
      <c r="E25" t="s">
        <v>531</v>
      </c>
      <c r="F25" t="s">
        <v>58</v>
      </c>
      <c r="H25" t="s">
        <v>2979</v>
      </c>
      <c r="I25" t="s">
        <v>2902</v>
      </c>
      <c r="J25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t="s">
        <v>2004</v>
      </c>
      <c r="I26" t="s">
        <v>2905</v>
      </c>
      <c r="J26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t="s">
        <v>2004</v>
      </c>
      <c r="I27" t="s">
        <v>2908</v>
      </c>
      <c r="J27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t="s">
        <v>2014</v>
      </c>
      <c r="I28" t="s">
        <v>2911</v>
      </c>
      <c r="J2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t="s">
        <v>2004</v>
      </c>
      <c r="I29" t="s">
        <v>2914</v>
      </c>
      <c r="J29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t="s">
        <v>2004</v>
      </c>
      <c r="I30" t="s">
        <v>2917</v>
      </c>
      <c r="J30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t="s">
        <v>2014</v>
      </c>
      <c r="I31" t="s">
        <v>4166</v>
      </c>
      <c r="J31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t="s">
        <v>4</v>
      </c>
      <c r="E32" t="s">
        <v>4249</v>
      </c>
      <c r="I32" t="s">
        <v>4169</v>
      </c>
      <c r="J32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t="s">
        <v>4</v>
      </c>
      <c r="E33" t="s">
        <v>4250</v>
      </c>
      <c r="I33" t="s">
        <v>4172</v>
      </c>
      <c r="J33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t="s">
        <v>4</v>
      </c>
      <c r="E34" t="s">
        <v>4251</v>
      </c>
      <c r="I34" t="s">
        <v>4175</v>
      </c>
      <c r="J34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t="s">
        <v>4</v>
      </c>
      <c r="E35" t="s">
        <v>8</v>
      </c>
      <c r="I35" t="s">
        <v>4178</v>
      </c>
      <c r="J35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t="s">
        <v>4</v>
      </c>
      <c r="E36" t="s">
        <v>8</v>
      </c>
      <c r="I36" t="s">
        <v>4181</v>
      </c>
      <c r="J36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t="s">
        <v>4212</v>
      </c>
      <c r="I37" t="s">
        <v>4187</v>
      </c>
      <c r="J37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t="s">
        <v>2004</v>
      </c>
      <c r="I38" t="s">
        <v>4184</v>
      </c>
      <c r="J3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t="s">
        <v>4298</v>
      </c>
      <c r="I39" t="s">
        <v>4294</v>
      </c>
      <c r="J39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t="s">
        <v>2014</v>
      </c>
      <c r="I40" t="s">
        <v>4981</v>
      </c>
      <c r="J40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t="s">
        <v>2014</v>
      </c>
      <c r="I41" t="s">
        <v>4984</v>
      </c>
      <c r="J41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t="s">
        <v>2014</v>
      </c>
      <c r="I42" t="s">
        <v>4987</v>
      </c>
      <c r="J42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t="s">
        <v>2014</v>
      </c>
      <c r="I43" t="s">
        <v>4990</v>
      </c>
      <c r="J43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t="s">
        <v>2014</v>
      </c>
      <c r="I44" t="s">
        <v>4993</v>
      </c>
      <c r="J44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t="s">
        <v>2014</v>
      </c>
      <c r="I45" t="s">
        <v>4996</v>
      </c>
      <c r="J45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t="s">
        <v>4</v>
      </c>
      <c r="E46" t="s">
        <v>5266</v>
      </c>
      <c r="I46" t="s">
        <v>5220</v>
      </c>
      <c r="J46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t="s">
        <v>4</v>
      </c>
      <c r="E47" t="s">
        <v>5267</v>
      </c>
      <c r="I47" t="s">
        <v>5223</v>
      </c>
      <c r="J47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t="s">
        <v>159</v>
      </c>
      <c r="E48" t="s">
        <v>5480</v>
      </c>
      <c r="F48" t="s">
        <v>4240</v>
      </c>
      <c r="I48" t="s">
        <v>5468</v>
      </c>
      <c r="J4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t="s">
        <v>4</v>
      </c>
      <c r="E49" t="s">
        <v>8</v>
      </c>
      <c r="I49" t="s">
        <v>5471</v>
      </c>
      <c r="J49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t="s">
        <v>6191</v>
      </c>
      <c r="E50" t="s">
        <v>5480</v>
      </c>
      <c r="F50" t="s">
        <v>6182</v>
      </c>
      <c r="I50" t="s">
        <v>5666</v>
      </c>
      <c r="J50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t="s">
        <v>6191</v>
      </c>
      <c r="E51" t="s">
        <v>5480</v>
      </c>
      <c r="F51" t="s">
        <v>6182</v>
      </c>
      <c r="H51" t="s">
        <v>2936</v>
      </c>
      <c r="I51" t="s">
        <v>5669</v>
      </c>
      <c r="J51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t="s">
        <v>4</v>
      </c>
      <c r="E52" t="s">
        <v>8</v>
      </c>
      <c r="I52" t="s">
        <v>5672</v>
      </c>
      <c r="J52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t="s">
        <v>4</v>
      </c>
      <c r="E53" t="s">
        <v>8</v>
      </c>
      <c r="I53" t="s">
        <v>5675</v>
      </c>
      <c r="J53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t="s">
        <v>4</v>
      </c>
      <c r="E54" t="s">
        <v>8</v>
      </c>
      <c r="I54" t="s">
        <v>5678</v>
      </c>
      <c r="J54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t="s">
        <v>2014</v>
      </c>
      <c r="I55" t="s">
        <v>5681</v>
      </c>
      <c r="J55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t="s">
        <v>6191</v>
      </c>
      <c r="E56" t="s">
        <v>5480</v>
      </c>
      <c r="F56" t="s">
        <v>6172</v>
      </c>
      <c r="I56" t="s">
        <v>5990</v>
      </c>
      <c r="J56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t="s">
        <v>4</v>
      </c>
      <c r="E57" t="s">
        <v>8</v>
      </c>
      <c r="I57" t="s">
        <v>5993</v>
      </c>
      <c r="J57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t="s">
        <v>4</v>
      </c>
      <c r="E58" t="s">
        <v>8</v>
      </c>
      <c r="I58" t="s">
        <v>5996</v>
      </c>
      <c r="J5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t="s">
        <v>4</v>
      </c>
      <c r="E59" t="s">
        <v>6167</v>
      </c>
      <c r="I59" t="s">
        <v>5999</v>
      </c>
      <c r="J59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t="s">
        <v>4</v>
      </c>
      <c r="E60" t="s">
        <v>8</v>
      </c>
      <c r="I60" t="s">
        <v>6002</v>
      </c>
      <c r="J60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t="s">
        <v>2004</v>
      </c>
      <c r="E61" t="s">
        <v>8</v>
      </c>
      <c r="I61" t="s">
        <v>6255</v>
      </c>
      <c r="J61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t="s">
        <v>289</v>
      </c>
      <c r="E62" t="s">
        <v>5480</v>
      </c>
      <c r="F62" t="s">
        <v>528</v>
      </c>
      <c r="I62" t="s">
        <v>6515</v>
      </c>
      <c r="J62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t="s">
        <v>289</v>
      </c>
      <c r="E63" t="s">
        <v>5480</v>
      </c>
      <c r="F63" t="s">
        <v>528</v>
      </c>
      <c r="I63" t="s">
        <v>6518</v>
      </c>
      <c r="J63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t="s">
        <v>289</v>
      </c>
      <c r="E64" t="s">
        <v>5480</v>
      </c>
      <c r="F64" t="s">
        <v>1621</v>
      </c>
      <c r="I64" t="s">
        <v>6521</v>
      </c>
      <c r="J64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t="s">
        <v>533</v>
      </c>
      <c r="E65" t="s">
        <v>531</v>
      </c>
      <c r="F65" t="s">
        <v>58</v>
      </c>
      <c r="I65" t="s">
        <v>6644</v>
      </c>
      <c r="J65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t="s">
        <v>533</v>
      </c>
      <c r="E66" t="s">
        <v>531</v>
      </c>
      <c r="F66" t="s">
        <v>58</v>
      </c>
      <c r="I66" t="s">
        <v>6647</v>
      </c>
      <c r="J66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t="s">
        <v>533</v>
      </c>
      <c r="E67" t="s">
        <v>531</v>
      </c>
      <c r="F67" t="s">
        <v>58</v>
      </c>
      <c r="I67" t="s">
        <v>6650</v>
      </c>
      <c r="J67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t="s">
        <v>4</v>
      </c>
      <c r="E68" t="s">
        <v>8</v>
      </c>
      <c r="I68" t="s">
        <v>6653</v>
      </c>
      <c r="J6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t="s">
        <v>289</v>
      </c>
      <c r="E69" t="s">
        <v>5480</v>
      </c>
      <c r="F69" t="s">
        <v>528</v>
      </c>
      <c r="I69" t="s">
        <v>6829</v>
      </c>
      <c r="J69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t="s">
        <v>289</v>
      </c>
      <c r="E70" t="s">
        <v>5480</v>
      </c>
      <c r="F70" t="s">
        <v>528</v>
      </c>
      <c r="H70" t="s">
        <v>2936</v>
      </c>
      <c r="I70" t="s">
        <v>6832</v>
      </c>
      <c r="J70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t="s">
        <v>158</v>
      </c>
      <c r="E71" t="s">
        <v>5480</v>
      </c>
      <c r="F71" t="s">
        <v>528</v>
      </c>
      <c r="H71" t="s">
        <v>5102</v>
      </c>
      <c r="I71" t="s">
        <v>6835</v>
      </c>
      <c r="J71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t="s">
        <v>289</v>
      </c>
      <c r="E72" t="s">
        <v>5480</v>
      </c>
      <c r="F72" t="s">
        <v>528</v>
      </c>
      <c r="I72" t="s">
        <v>6838</v>
      </c>
      <c r="J72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t="s">
        <v>158</v>
      </c>
      <c r="E73" t="s">
        <v>5480</v>
      </c>
      <c r="F73" t="s">
        <v>528</v>
      </c>
      <c r="H73" t="s">
        <v>5102</v>
      </c>
      <c r="I73" t="s">
        <v>6841</v>
      </c>
      <c r="J73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t="s">
        <v>4223</v>
      </c>
      <c r="E74" t="s">
        <v>5480</v>
      </c>
      <c r="F74" t="s">
        <v>6872</v>
      </c>
      <c r="H74" t="s">
        <v>6531</v>
      </c>
      <c r="I74" t="s">
        <v>6844</v>
      </c>
      <c r="J74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t="s">
        <v>4223</v>
      </c>
      <c r="E75" t="s">
        <v>5480</v>
      </c>
      <c r="F75" t="s">
        <v>6872</v>
      </c>
      <c r="H75" t="s">
        <v>2936</v>
      </c>
      <c r="I75" t="s">
        <v>6847</v>
      </c>
      <c r="J75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t="s">
        <v>158</v>
      </c>
      <c r="E76" t="s">
        <v>5480</v>
      </c>
      <c r="F76" t="s">
        <v>6872</v>
      </c>
      <c r="H76" t="s">
        <v>5102</v>
      </c>
      <c r="I76" t="s">
        <v>6850</v>
      </c>
      <c r="J76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t="s">
        <v>4</v>
      </c>
      <c r="E77" t="s">
        <v>6873</v>
      </c>
      <c r="H77" t="s">
        <v>6531</v>
      </c>
      <c r="I77" t="s">
        <v>6853</v>
      </c>
      <c r="J77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t="s">
        <v>4</v>
      </c>
      <c r="E78" t="s">
        <v>2932</v>
      </c>
      <c r="I78" t="s">
        <v>6856</v>
      </c>
      <c r="J7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t="s">
        <v>4</v>
      </c>
      <c r="E79" t="s">
        <v>6874</v>
      </c>
      <c r="I79" t="s">
        <v>6859</v>
      </c>
      <c r="J79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t="s">
        <v>4</v>
      </c>
      <c r="E80" t="s">
        <v>8</v>
      </c>
      <c r="I80" t="s">
        <v>6862</v>
      </c>
      <c r="J80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t="s">
        <v>2004</v>
      </c>
      <c r="E81" t="s">
        <v>8</v>
      </c>
      <c r="I81" t="s">
        <v>7163</v>
      </c>
      <c r="J81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t="s">
        <v>2004</v>
      </c>
      <c r="E82" t="s">
        <v>8</v>
      </c>
      <c r="I82" t="s">
        <v>7157</v>
      </c>
      <c r="J82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t="s">
        <v>2004</v>
      </c>
      <c r="E83" t="s">
        <v>8</v>
      </c>
      <c r="I83" t="s">
        <v>7211</v>
      </c>
      <c r="J83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t="s">
        <v>2004</v>
      </c>
      <c r="E84" t="s">
        <v>8</v>
      </c>
      <c r="I84" t="s">
        <v>7311</v>
      </c>
      <c r="J84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t="s">
        <v>2004</v>
      </c>
      <c r="E85" t="s">
        <v>8</v>
      </c>
      <c r="I85" t="s">
        <v>7314</v>
      </c>
      <c r="J85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t="s">
        <v>4223</v>
      </c>
      <c r="E86" t="s">
        <v>5480</v>
      </c>
      <c r="F86" t="s">
        <v>60</v>
      </c>
      <c r="I86" t="s">
        <v>7679</v>
      </c>
      <c r="J86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t="s">
        <v>2004</v>
      </c>
      <c r="E87" t="s">
        <v>8</v>
      </c>
      <c r="I87" t="s">
        <v>7682</v>
      </c>
      <c r="J87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t="s">
        <v>4</v>
      </c>
      <c r="E88" t="s">
        <v>4193</v>
      </c>
      <c r="H88" t="s">
        <v>7718</v>
      </c>
      <c r="I88" t="s">
        <v>7685</v>
      </c>
      <c r="J88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t="s">
        <v>4223</v>
      </c>
      <c r="E89" t="s">
        <v>5480</v>
      </c>
      <c r="F89" t="s">
        <v>7713</v>
      </c>
      <c r="I89" t="s">
        <v>7688</v>
      </c>
      <c r="J89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t="s">
        <v>4223</v>
      </c>
      <c r="E90" t="s">
        <v>5480</v>
      </c>
      <c r="F90" t="s">
        <v>7719</v>
      </c>
      <c r="I90" t="s">
        <v>7691</v>
      </c>
      <c r="J90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t="s">
        <v>4223</v>
      </c>
      <c r="E91" t="s">
        <v>5480</v>
      </c>
      <c r="F91" t="s">
        <v>60</v>
      </c>
      <c r="I91" t="s">
        <v>7792</v>
      </c>
      <c r="J91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t="s">
        <v>4223</v>
      </c>
      <c r="E92" t="s">
        <v>5480</v>
      </c>
      <c r="F92" t="s">
        <v>60</v>
      </c>
      <c r="I92" t="s">
        <v>7795</v>
      </c>
      <c r="J92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t="s">
        <v>4223</v>
      </c>
      <c r="E93" t="s">
        <v>5480</v>
      </c>
      <c r="F93" t="s">
        <v>7719</v>
      </c>
      <c r="I93" t="s">
        <v>7798</v>
      </c>
      <c r="J93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t="s">
        <v>4</v>
      </c>
      <c r="E94" t="s">
        <v>4193</v>
      </c>
      <c r="H94" t="s">
        <v>7718</v>
      </c>
      <c r="I94" t="s">
        <v>7801</v>
      </c>
      <c r="J94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t="s">
        <v>4</v>
      </c>
      <c r="E95" t="s">
        <v>8</v>
      </c>
      <c r="H95" t="s">
        <v>2936</v>
      </c>
      <c r="I95" t="s">
        <v>7804</v>
      </c>
      <c r="J95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t="s">
        <v>4</v>
      </c>
      <c r="E96" t="s">
        <v>8</v>
      </c>
      <c r="H96" t="s">
        <v>2936</v>
      </c>
      <c r="I96" t="s">
        <v>7807</v>
      </c>
      <c r="J96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t="s">
        <v>4223</v>
      </c>
      <c r="E97" t="s">
        <v>5480</v>
      </c>
      <c r="F97" t="s">
        <v>7714</v>
      </c>
      <c r="I97" t="s">
        <v>7810</v>
      </c>
      <c r="J97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t="s">
        <v>4223</v>
      </c>
      <c r="E98" t="s">
        <v>5480</v>
      </c>
      <c r="F98" t="s">
        <v>60</v>
      </c>
      <c r="I98" t="s">
        <v>7813</v>
      </c>
      <c r="J98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t="s">
        <v>4</v>
      </c>
      <c r="E99" t="s">
        <v>8</v>
      </c>
      <c r="I99" t="s">
        <v>7816</v>
      </c>
      <c r="J99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t="s">
        <v>4</v>
      </c>
      <c r="E100" t="s">
        <v>8</v>
      </c>
      <c r="I100" t="s">
        <v>7983</v>
      </c>
      <c r="J100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t="s">
        <v>4</v>
      </c>
      <c r="E101" t="s">
        <v>8</v>
      </c>
      <c r="I101" t="s">
        <v>7986</v>
      </c>
      <c r="J101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t="s">
        <v>4</v>
      </c>
      <c r="E102" t="s">
        <v>8</v>
      </c>
      <c r="I102" t="s">
        <v>7989</v>
      </c>
      <c r="J102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t="s">
        <v>533</v>
      </c>
      <c r="E103" t="s">
        <v>531</v>
      </c>
      <c r="F103" t="s">
        <v>8361</v>
      </c>
      <c r="I103" t="s">
        <v>8273</v>
      </c>
      <c r="J103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t="s">
        <v>2004</v>
      </c>
      <c r="E104" t="s">
        <v>8</v>
      </c>
      <c r="I104" t="s">
        <v>8276</v>
      </c>
      <c r="J104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t="s">
        <v>2004</v>
      </c>
      <c r="E105" t="s">
        <v>8</v>
      </c>
      <c r="I105" t="s">
        <v>8279</v>
      </c>
      <c r="J105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t="s">
        <v>2004</v>
      </c>
      <c r="E106" t="s">
        <v>8</v>
      </c>
      <c r="I106" t="s">
        <v>8282</v>
      </c>
      <c r="J106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t="s">
        <v>2004</v>
      </c>
      <c r="E107" t="s">
        <v>8</v>
      </c>
      <c r="I107" t="s">
        <v>8465</v>
      </c>
      <c r="J107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t="s">
        <v>2004</v>
      </c>
      <c r="E108" t="s">
        <v>8</v>
      </c>
      <c r="I108" t="s">
        <v>8468</v>
      </c>
      <c r="J108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t="s">
        <v>2004</v>
      </c>
      <c r="E109" t="s">
        <v>8</v>
      </c>
      <c r="I109" t="s">
        <v>8471</v>
      </c>
      <c r="J109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t="s">
        <v>2004</v>
      </c>
      <c r="E110" t="s">
        <v>8</v>
      </c>
      <c r="I110" t="s">
        <v>8778</v>
      </c>
      <c r="J110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t="s">
        <v>2004</v>
      </c>
      <c r="E111" t="s">
        <v>8</v>
      </c>
      <c r="I111" t="s">
        <v>8781</v>
      </c>
      <c r="J111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t="s">
        <v>2004</v>
      </c>
      <c r="E112" t="s">
        <v>8</v>
      </c>
      <c r="I112" t="s">
        <v>8784</v>
      </c>
      <c r="J112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t="s">
        <v>2004</v>
      </c>
      <c r="E113" t="s">
        <v>8</v>
      </c>
      <c r="I113" t="s">
        <v>8787</v>
      </c>
      <c r="J113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t="s">
        <v>2004</v>
      </c>
      <c r="E114" t="s">
        <v>8</v>
      </c>
      <c r="I114" t="s">
        <v>8790</v>
      </c>
      <c r="J114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t="s">
        <v>2004</v>
      </c>
      <c r="E115" t="s">
        <v>8</v>
      </c>
      <c r="I115" t="s">
        <v>8793</v>
      </c>
      <c r="J115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t="s">
        <v>2004</v>
      </c>
      <c r="E116" t="s">
        <v>8</v>
      </c>
      <c r="I116" t="s">
        <v>8796</v>
      </c>
      <c r="J116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t="s">
        <v>4</v>
      </c>
      <c r="E117" t="s">
        <v>8045</v>
      </c>
      <c r="I117" t="s">
        <v>9168</v>
      </c>
      <c r="J117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t="s">
        <v>7171</v>
      </c>
      <c r="E118" t="s">
        <v>5480</v>
      </c>
      <c r="F118" t="s">
        <v>9202</v>
      </c>
      <c r="I118" t="s">
        <v>9171</v>
      </c>
      <c r="J118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t="s">
        <v>4</v>
      </c>
      <c r="E119" t="s">
        <v>8</v>
      </c>
      <c r="I119" t="s">
        <v>9174</v>
      </c>
      <c r="J119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t="s">
        <v>4</v>
      </c>
      <c r="E120" t="s">
        <v>9212</v>
      </c>
      <c r="I120" t="s">
        <v>9177</v>
      </c>
      <c r="J120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t="s">
        <v>4</v>
      </c>
      <c r="E121" t="s">
        <v>9212</v>
      </c>
      <c r="I121" t="s">
        <v>9180</v>
      </c>
      <c r="J121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t="s">
        <v>4</v>
      </c>
      <c r="E122" t="s">
        <v>8</v>
      </c>
      <c r="I122" t="s">
        <v>9183</v>
      </c>
      <c r="J122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t="s">
        <v>4</v>
      </c>
      <c r="E123" t="s">
        <v>8045</v>
      </c>
      <c r="I123" t="s">
        <v>9324</v>
      </c>
      <c r="J123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t="s">
        <v>4</v>
      </c>
      <c r="E124" t="s">
        <v>8045</v>
      </c>
      <c r="I124" t="s">
        <v>9327</v>
      </c>
      <c r="J124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t="s">
        <v>4</v>
      </c>
      <c r="E125" t="s">
        <v>8045</v>
      </c>
      <c r="I125" t="s">
        <v>9330</v>
      </c>
      <c r="J125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t="s">
        <v>4</v>
      </c>
      <c r="E126" t="s">
        <v>8</v>
      </c>
      <c r="I126" t="s">
        <v>9333</v>
      </c>
      <c r="J126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t="s">
        <v>4</v>
      </c>
      <c r="E127" t="s">
        <v>8</v>
      </c>
      <c r="I127" t="s">
        <v>9549</v>
      </c>
      <c r="J127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t="s">
        <v>4</v>
      </c>
      <c r="E128" t="s">
        <v>8</v>
      </c>
      <c r="I128" t="s">
        <v>9552</v>
      </c>
      <c r="J128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t="s">
        <v>4</v>
      </c>
      <c r="E129" t="s">
        <v>9212</v>
      </c>
      <c r="I129" t="s">
        <v>9555</v>
      </c>
      <c r="J129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t="s">
        <v>4</v>
      </c>
      <c r="E130" t="s">
        <v>9212</v>
      </c>
      <c r="I130" t="s">
        <v>9558</v>
      </c>
      <c r="J130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t="s">
        <v>4</v>
      </c>
      <c r="E131" t="s">
        <v>9212</v>
      </c>
      <c r="I131" t="s">
        <v>9561</v>
      </c>
      <c r="J131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t="s">
        <v>4</v>
      </c>
      <c r="E132" t="s">
        <v>9212</v>
      </c>
      <c r="I132" t="s">
        <v>9564</v>
      </c>
      <c r="J132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t="s">
        <v>4</v>
      </c>
      <c r="E133" t="s">
        <v>8</v>
      </c>
      <c r="I133" t="s">
        <v>9567</v>
      </c>
      <c r="J133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t="s">
        <v>2004</v>
      </c>
      <c r="E134" t="s">
        <v>8</v>
      </c>
      <c r="I134" t="s">
        <v>9677</v>
      </c>
      <c r="J134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t="s">
        <v>2004</v>
      </c>
      <c r="E135" t="s">
        <v>8</v>
      </c>
      <c r="I135" t="s">
        <v>9680</v>
      </c>
      <c r="J135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  <row r="136" spans="1:13" x14ac:dyDescent="0.25">
      <c r="A136" s="2" t="s">
        <v>13</v>
      </c>
      <c r="B136" s="4">
        <v>46041</v>
      </c>
      <c r="C136" s="5">
        <v>0.69590277777777776</v>
      </c>
      <c r="D136" t="s">
        <v>2004</v>
      </c>
      <c r="E136" t="s">
        <v>8</v>
      </c>
      <c r="I136" t="s">
        <v>9870</v>
      </c>
      <c r="J136" t="s">
        <v>2988</v>
      </c>
      <c r="K136" t="s">
        <v>9871</v>
      </c>
      <c r="L136" t="s">
        <v>9872</v>
      </c>
      <c r="M136" s="3" t="str">
        <f>HYPERLINK(склад2въезд131920212223789[[#This Row],[RelativePath]])</f>
        <v>13 Склад хол\K07156189_23_20260119T164206Z.jpg</v>
      </c>
    </row>
    <row r="137" spans="1:13" x14ac:dyDescent="0.25">
      <c r="A137" s="2" t="s">
        <v>14</v>
      </c>
      <c r="B137" s="4">
        <v>46042</v>
      </c>
      <c r="C137" s="5">
        <v>0.42664351851851851</v>
      </c>
      <c r="D137" t="s">
        <v>2004</v>
      </c>
      <c r="E137" t="s">
        <v>8</v>
      </c>
      <c r="I137" t="s">
        <v>9873</v>
      </c>
      <c r="J137" t="s">
        <v>2988</v>
      </c>
      <c r="K137" t="s">
        <v>9874</v>
      </c>
      <c r="L137" t="s">
        <v>9875</v>
      </c>
      <c r="M137" s="3" t="str">
        <f>HYPERLINK(склад2въезд131920212223789[[#This Row],[RelativePath]])</f>
        <v>13 Склад хол\K07156189_23_20260120T101422Z.jpg</v>
      </c>
    </row>
    <row r="138" spans="1:13" x14ac:dyDescent="0.25">
      <c r="A138" s="2" t="s">
        <v>15</v>
      </c>
      <c r="B138" s="4">
        <v>46043</v>
      </c>
      <c r="C138" s="5">
        <v>0.69363425925925926</v>
      </c>
      <c r="D138" t="s">
        <v>2004</v>
      </c>
      <c r="E138" t="s">
        <v>8</v>
      </c>
      <c r="I138" t="s">
        <v>10113</v>
      </c>
      <c r="J138" t="s">
        <v>2988</v>
      </c>
      <c r="K138" t="s">
        <v>10114</v>
      </c>
      <c r="L138" t="s">
        <v>10115</v>
      </c>
      <c r="M138" s="3" t="str">
        <f>HYPERLINK(склад2въезд131920212223789[[#This Row],[RelativePath]])</f>
        <v>13 Склад хол\K07156189_23_20260121T163850Z.jpg</v>
      </c>
    </row>
    <row r="139" spans="1:13" x14ac:dyDescent="0.25">
      <c r="A139" s="2" t="s">
        <v>16</v>
      </c>
      <c r="B139" s="4">
        <v>46044</v>
      </c>
      <c r="C139" s="5">
        <v>0.50263888888888886</v>
      </c>
      <c r="D139" t="s">
        <v>7171</v>
      </c>
      <c r="E139" t="s">
        <v>5480</v>
      </c>
      <c r="F139" t="s">
        <v>9202</v>
      </c>
      <c r="I139" t="s">
        <v>10116</v>
      </c>
      <c r="J139" t="s">
        <v>2988</v>
      </c>
      <c r="K139" t="s">
        <v>10117</v>
      </c>
      <c r="L139" t="s">
        <v>10118</v>
      </c>
      <c r="M139" s="3" t="str">
        <f>HYPERLINK(склад2въезд131920212223789[[#This Row],[RelativePath]])</f>
        <v>13 Склад хол\K07156189_23_20260122T120348Z.jpg</v>
      </c>
    </row>
    <row r="140" spans="1:13" x14ac:dyDescent="0.25">
      <c r="A140" s="2" t="s">
        <v>16</v>
      </c>
      <c r="B140" s="4">
        <v>46044</v>
      </c>
      <c r="C140" s="5">
        <v>0.71048611111111115</v>
      </c>
      <c r="D140" t="s">
        <v>4</v>
      </c>
      <c r="E140" t="s">
        <v>8</v>
      </c>
      <c r="I140" t="s">
        <v>10119</v>
      </c>
      <c r="J140" t="s">
        <v>2988</v>
      </c>
      <c r="K140" t="s">
        <v>10120</v>
      </c>
      <c r="L140" t="s">
        <v>10121</v>
      </c>
      <c r="M140" s="3" t="str">
        <f>HYPERLINK(склад2въезд131920212223789[[#This Row],[RelativePath]])</f>
        <v>13 Склад хол\K07156189_23_20260122T170306Z.jpg</v>
      </c>
    </row>
    <row r="141" spans="1:13" x14ac:dyDescent="0.25">
      <c r="A141" s="2" t="s">
        <v>17</v>
      </c>
      <c r="B141" s="4">
        <v>46045</v>
      </c>
      <c r="C141" s="5">
        <v>0.48048611111111111</v>
      </c>
      <c r="D141" t="s">
        <v>4</v>
      </c>
      <c r="E141" t="s">
        <v>8</v>
      </c>
      <c r="I141" t="s">
        <v>10433</v>
      </c>
      <c r="J141" t="s">
        <v>2988</v>
      </c>
      <c r="K141" t="s">
        <v>10434</v>
      </c>
      <c r="L141" t="s">
        <v>10435</v>
      </c>
      <c r="M141" s="3" t="str">
        <f>HYPERLINK(склад2въезд131920212223789[[#This Row],[RelativePath]])</f>
        <v>13 Склад хол\K07156189_23_20260123T113154Z.jpg</v>
      </c>
    </row>
    <row r="142" spans="1:13" x14ac:dyDescent="0.25">
      <c r="A142" s="2" t="s">
        <v>17</v>
      </c>
      <c r="B142" s="4">
        <v>46045</v>
      </c>
      <c r="C142" s="5">
        <v>0.52121527777777776</v>
      </c>
      <c r="D142" t="s">
        <v>4</v>
      </c>
      <c r="E142" t="s">
        <v>8</v>
      </c>
      <c r="H142" t="s">
        <v>2936</v>
      </c>
      <c r="I142" t="s">
        <v>10436</v>
      </c>
      <c r="J142" t="s">
        <v>2988</v>
      </c>
      <c r="K142" t="s">
        <v>10437</v>
      </c>
      <c r="L142" t="s">
        <v>10438</v>
      </c>
      <c r="M142" s="3" t="str">
        <f>HYPERLINK(склад2въезд131920212223789[[#This Row],[RelativePath]])</f>
        <v>13 Склад хол\K07156189_23_20260123T123033Z.jpg</v>
      </c>
    </row>
    <row r="143" spans="1:13" x14ac:dyDescent="0.25">
      <c r="A143" s="2" t="s">
        <v>17</v>
      </c>
      <c r="B143" s="4">
        <v>46045</v>
      </c>
      <c r="C143" s="5">
        <v>0.58937499999999998</v>
      </c>
      <c r="D143" t="s">
        <v>4</v>
      </c>
      <c r="E143" t="s">
        <v>8</v>
      </c>
      <c r="H143" t="s">
        <v>2936</v>
      </c>
      <c r="I143" t="s">
        <v>10439</v>
      </c>
      <c r="J143" t="s">
        <v>2988</v>
      </c>
      <c r="K143" t="s">
        <v>10440</v>
      </c>
      <c r="L143" t="s">
        <v>10441</v>
      </c>
      <c r="M143" s="3" t="str">
        <f>HYPERLINK(склад2въезд131920212223789[[#This Row],[RelativePath]])</f>
        <v>13 Склад хол\K07156189_23_20260123T140842Z.jpg</v>
      </c>
    </row>
    <row r="144" spans="1:13" x14ac:dyDescent="0.25">
      <c r="A144" s="2" t="s">
        <v>18</v>
      </c>
      <c r="B144" s="4">
        <v>46046</v>
      </c>
      <c r="C144" s="5">
        <v>0.59510416666666666</v>
      </c>
      <c r="D144" t="s">
        <v>2004</v>
      </c>
      <c r="E144" t="s">
        <v>8</v>
      </c>
      <c r="I144" t="s">
        <v>10485</v>
      </c>
      <c r="J144" t="s">
        <v>2988</v>
      </c>
      <c r="K144" t="s">
        <v>10486</v>
      </c>
      <c r="L144" t="s">
        <v>10487</v>
      </c>
      <c r="M144" s="3" t="str">
        <f>HYPERLINK(склад2въезд131920212223789[[#This Row],[RelativePath]])</f>
        <v>13 Склад хол\K07156189_23_20260124T141657Z.jpg</v>
      </c>
    </row>
    <row r="145" spans="1:13" x14ac:dyDescent="0.25">
      <c r="A145" s="2" t="s">
        <v>22</v>
      </c>
      <c r="B145" s="4">
        <v>46047</v>
      </c>
      <c r="C145" s="5">
        <v>0.66177083333333331</v>
      </c>
      <c r="D145" t="s">
        <v>2004</v>
      </c>
      <c r="E145" t="s">
        <v>8</v>
      </c>
      <c r="I145" t="s">
        <v>10488</v>
      </c>
      <c r="J145" t="s">
        <v>2988</v>
      </c>
      <c r="K145" t="s">
        <v>10489</v>
      </c>
      <c r="L145" t="s">
        <v>10490</v>
      </c>
      <c r="M145" s="3" t="str">
        <f>HYPERLINK(склад2въезд131920212223789[[#This Row],[RelativePath]])</f>
        <v>13 Склад хол\K07156189_23_20260125T155257Z.jpg</v>
      </c>
    </row>
    <row r="146" spans="1:13" x14ac:dyDescent="0.25">
      <c r="A146" s="2" t="s">
        <v>13</v>
      </c>
      <c r="B146" s="4">
        <v>46048</v>
      </c>
      <c r="C146" s="5">
        <v>0.70393518518518516</v>
      </c>
      <c r="D146" t="s">
        <v>2004</v>
      </c>
      <c r="E146" t="s">
        <v>8</v>
      </c>
      <c r="I146" t="s">
        <v>10624</v>
      </c>
      <c r="J146" t="s">
        <v>2988</v>
      </c>
      <c r="K146" t="s">
        <v>10625</v>
      </c>
      <c r="L146" t="s">
        <v>10626</v>
      </c>
      <c r="M146" s="3" t="str">
        <f>HYPERLINK(склад2въезд131920212223789[[#This Row],[RelativePath]])</f>
        <v>13 Склад хол\K07156189_23_20260126T165340Z.jpg</v>
      </c>
    </row>
    <row r="147" spans="1:13" x14ac:dyDescent="0.25">
      <c r="A147" s="2" t="s">
        <v>14</v>
      </c>
      <c r="B147" s="4">
        <v>46049</v>
      </c>
      <c r="C147" s="5">
        <v>0.59751157407407407</v>
      </c>
      <c r="D147" t="s">
        <v>2004</v>
      </c>
      <c r="E147" t="s">
        <v>8</v>
      </c>
      <c r="I147" t="s">
        <v>10627</v>
      </c>
      <c r="J147" t="s">
        <v>2988</v>
      </c>
      <c r="K147" t="s">
        <v>10628</v>
      </c>
      <c r="L147" t="s">
        <v>10629</v>
      </c>
      <c r="M147" s="3" t="str">
        <f>HYPERLINK(склад2въезд131920212223789[[#This Row],[RelativePath]])</f>
        <v>13 Склад хол\K07156189_23_20260127T142025Z.jpg</v>
      </c>
    </row>
    <row r="148" spans="1:13" x14ac:dyDescent="0.25">
      <c r="A148" s="2" t="s">
        <v>15</v>
      </c>
      <c r="B148" s="4">
        <v>46050</v>
      </c>
      <c r="C148" s="5">
        <v>0.41715277777777776</v>
      </c>
      <c r="D148" t="s">
        <v>2004</v>
      </c>
      <c r="E148" t="s">
        <v>8</v>
      </c>
      <c r="I148" t="s">
        <v>10872</v>
      </c>
      <c r="J148" t="s">
        <v>2988</v>
      </c>
      <c r="K148" t="s">
        <v>10873</v>
      </c>
      <c r="L148" t="s">
        <v>10874</v>
      </c>
      <c r="M148" s="3" t="str">
        <f>HYPERLINK(склад2въезд131920212223789[[#This Row],[RelativePath]])</f>
        <v>13 Склад хол\K07156189_23_20260128T100042Z.jpg</v>
      </c>
    </row>
    <row r="149" spans="1:13" x14ac:dyDescent="0.25">
      <c r="A149" s="2" t="s">
        <v>16</v>
      </c>
      <c r="B149" s="4">
        <v>46051</v>
      </c>
      <c r="C149" s="5">
        <v>0.71858796296296301</v>
      </c>
      <c r="D149" t="s">
        <v>2004</v>
      </c>
      <c r="E149" t="s">
        <v>8</v>
      </c>
      <c r="I149" t="s">
        <v>10875</v>
      </c>
      <c r="J149" t="s">
        <v>2988</v>
      </c>
      <c r="K149" t="s">
        <v>10876</v>
      </c>
      <c r="L149" t="s">
        <v>10877</v>
      </c>
      <c r="M149" s="3" t="str">
        <f>HYPERLINK(склад2въезд131920212223789[[#This Row],[RelativePath]])</f>
        <v>13 Склад хол\K07156189_23_20260129T171446Z.jpg</v>
      </c>
    </row>
    <row r="150" spans="1:13" x14ac:dyDescent="0.25">
      <c r="A150" s="2" t="s">
        <v>17</v>
      </c>
      <c r="B150" s="4">
        <v>46052</v>
      </c>
      <c r="C150" s="5">
        <v>0.67129629629629628</v>
      </c>
      <c r="D150" t="s">
        <v>2004</v>
      </c>
      <c r="E150" t="s">
        <v>8</v>
      </c>
      <c r="I150" t="s">
        <v>11001</v>
      </c>
      <c r="J150" t="s">
        <v>2988</v>
      </c>
      <c r="K150" t="s">
        <v>11002</v>
      </c>
      <c r="L150" t="s">
        <v>11003</v>
      </c>
      <c r="M150" s="3" t="str">
        <f>HYPERLINK(склад2въезд131920212223789[[#This Row],[RelativePath]])</f>
        <v>13 Склад хол\K07156189_23_20260130T160640Z.jpg</v>
      </c>
    </row>
    <row r="151" spans="1:13" x14ac:dyDescent="0.25">
      <c r="A151" s="2" t="s">
        <v>18</v>
      </c>
      <c r="B151" s="4">
        <v>46053</v>
      </c>
      <c r="C151" s="5">
        <v>0.89428240740740739</v>
      </c>
      <c r="D151" t="s">
        <v>2014</v>
      </c>
      <c r="I151" t="s">
        <v>11055</v>
      </c>
      <c r="J151" t="s">
        <v>2988</v>
      </c>
      <c r="K151" t="s">
        <v>11056</v>
      </c>
      <c r="L151" t="s">
        <v>11057</v>
      </c>
      <c r="M151" s="3" t="str">
        <f>HYPERLINK(склад2въезд131920212223789[[#This Row],[RelativePath]])</f>
        <v>13 Склад хол\K07156189_23_20260131T212746Z.jpg</v>
      </c>
    </row>
    <row r="152" spans="1:13" x14ac:dyDescent="0.25">
      <c r="A152" s="2" t="s">
        <v>22</v>
      </c>
      <c r="B152" s="4">
        <v>46054</v>
      </c>
      <c r="C152" s="5">
        <v>0.61293981481481485</v>
      </c>
      <c r="D152" t="s">
        <v>2004</v>
      </c>
      <c r="E152" t="s">
        <v>8</v>
      </c>
      <c r="I152" t="s">
        <v>11058</v>
      </c>
      <c r="J152" t="s">
        <v>2988</v>
      </c>
      <c r="K152" t="s">
        <v>11059</v>
      </c>
      <c r="L152" t="s">
        <v>11060</v>
      </c>
      <c r="M152" s="3" t="str">
        <f>HYPERLINK(склад2въезд131920212223789[[#This Row],[RelativePath]])</f>
        <v>13 Склад хол\K07156189_23_20260201T144238Z.jpg</v>
      </c>
    </row>
  </sheetData>
  <conditionalFormatting sqref="D153:D163 E153:E166 G2:H152 D2:E152">
    <cfRule type="containsText" dxfId="89" priority="14" operator="containsText" text="Выезд с территории">
      <formula>NOT(ISERROR(SEARCH("Выезд с территории",D2)))</formula>
    </cfRule>
  </conditionalFormatting>
  <conditionalFormatting sqref="F2:F152">
    <cfRule type="notContainsText" dxfId="88" priority="13" operator="notContains" text="порожний">
      <formula>ISERROR(SEARCH("порожний",F2))</formula>
    </cfRule>
  </conditionalFormatting>
  <conditionalFormatting sqref="E2:E166">
    <cfRule type="containsText" dxfId="87" priority="11" operator="containsText" text="Газель базы">
      <formula>NOT(ISERROR(SEARCH("Газель базы",E2)))</formula>
    </cfRule>
    <cfRule type="containsText" dxfId="86" priority="12" operator="containsText" text="Погрузчик базы">
      <formula>NOT(ISERROR(SEARCH("Погрузчик базы",E2)))</formula>
    </cfRule>
  </conditionalFormatting>
  <conditionalFormatting sqref="E2:E166">
    <cfRule type="containsText" dxfId="85" priority="10" operator="containsText" text="Трактор базы">
      <formula>NOT(ISERROR(SEARCH("Трактор базы",E2)))</formula>
    </cfRule>
  </conditionalFormatting>
  <conditionalFormatting sqref="A2:C152">
    <cfRule type="expression" dxfId="84" priority="9">
      <formula>$A2="пн"</formula>
    </cfRule>
  </conditionalFormatting>
  <conditionalFormatting sqref="A2:C154">
    <cfRule type="expression" dxfId="83" priority="3">
      <formula>$A2="вс"</formula>
    </cfRule>
    <cfRule type="expression" dxfId="82" priority="4">
      <formula>$A2="сб"</formula>
    </cfRule>
    <cfRule type="expression" dxfId="81" priority="5">
      <formula>$A2="пт"</formula>
    </cfRule>
    <cfRule type="expression" dxfId="80" priority="6">
      <formula>$A2="чт"</formula>
    </cfRule>
    <cfRule type="expression" dxfId="79" priority="7">
      <formula>$A2="ср"</formula>
    </cfRule>
    <cfRule type="expression" dxfId="78" priority="8">
      <formula>$A2="вт"</formula>
    </cfRule>
  </conditionalFormatting>
  <conditionalFormatting sqref="D2:D163">
    <cfRule type="containsText" dxfId="7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3">
    <cfRule type="containsText" dxfId="7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3539"/>
  <sheetViews>
    <sheetView topLeftCell="A3523" zoomScale="90" zoomScaleNormal="90" workbookViewId="0">
      <selection activeCell="G3459" sqref="G3459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x14ac:dyDescent="0.25">
      <c r="A432" t="s">
        <v>1623</v>
      </c>
      <c r="F432" t="s">
        <v>1513</v>
      </c>
      <c r="G432" t="s">
        <v>1603</v>
      </c>
    </row>
    <row r="433" spans="1:7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x14ac:dyDescent="0.25">
      <c r="A441" t="s">
        <v>1623</v>
      </c>
      <c r="F441" t="s">
        <v>1540</v>
      </c>
      <c r="G441" t="s">
        <v>1603</v>
      </c>
    </row>
    <row r="442" spans="1:7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x14ac:dyDescent="0.25">
      <c r="A451" t="s">
        <v>1623</v>
      </c>
      <c r="F451" t="s">
        <v>1570</v>
      </c>
      <c r="G451" t="s">
        <v>1603</v>
      </c>
    </row>
    <row r="452" spans="1:7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x14ac:dyDescent="0.25">
      <c r="A454" t="s">
        <v>1623</v>
      </c>
      <c r="F454" t="s">
        <v>1579</v>
      </c>
      <c r="G454" t="s">
        <v>1603</v>
      </c>
    </row>
    <row r="455" spans="1:7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x14ac:dyDescent="0.25">
      <c r="A458" t="s">
        <v>1623</v>
      </c>
      <c r="F458" t="s">
        <v>1591</v>
      </c>
      <c r="G458" t="s">
        <v>1603</v>
      </c>
    </row>
    <row r="459" spans="1:7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hidden="1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hidden="1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hidden="1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hidden="1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hidden="1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hidden="1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hidden="1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hidden="1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hidden="1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hidden="1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hidden="1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hidden="1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hidden="1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hidden="1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hidden="1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hidden="1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hidden="1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hidden="1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hidden="1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hidden="1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x14ac:dyDescent="0.25">
      <c r="A895" t="s">
        <v>2965</v>
      </c>
      <c r="F895" t="s">
        <v>2833</v>
      </c>
      <c r="G895" s="1" t="s">
        <v>1603</v>
      </c>
    </row>
    <row r="896" spans="1:7" x14ac:dyDescent="0.25">
      <c r="A896" t="s">
        <v>2965</v>
      </c>
      <c r="F896" t="s">
        <v>2836</v>
      </c>
      <c r="G896" s="1" t="s">
        <v>1603</v>
      </c>
    </row>
    <row r="897" spans="1:7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x14ac:dyDescent="0.25">
      <c r="A913" t="s">
        <v>2004</v>
      </c>
      <c r="F913" t="s">
        <v>2887</v>
      </c>
      <c r="G913" s="1" t="s">
        <v>1603</v>
      </c>
    </row>
    <row r="914" spans="1:7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hidden="1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hidden="1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hidden="1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hidden="1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hidden="1" x14ac:dyDescent="0.25">
      <c r="A957" t="s">
        <v>2004</v>
      </c>
      <c r="F957" t="s">
        <v>2905</v>
      </c>
      <c r="G957" t="s">
        <v>1997</v>
      </c>
    </row>
    <row r="958" spans="1:7" hidden="1" x14ac:dyDescent="0.25">
      <c r="A958" t="s">
        <v>2004</v>
      </c>
      <c r="F958" t="s">
        <v>2908</v>
      </c>
      <c r="G958" t="s">
        <v>1997</v>
      </c>
    </row>
    <row r="959" spans="1:7" hidden="1" x14ac:dyDescent="0.25">
      <c r="A959" t="s">
        <v>2014</v>
      </c>
      <c r="F959" t="s">
        <v>2911</v>
      </c>
      <c r="G959" t="s">
        <v>1997</v>
      </c>
    </row>
    <row r="960" spans="1:7" hidden="1" x14ac:dyDescent="0.25">
      <c r="A960" t="s">
        <v>2004</v>
      </c>
      <c r="F960" t="s">
        <v>2914</v>
      </c>
      <c r="G960" t="s">
        <v>1997</v>
      </c>
    </row>
    <row r="961" spans="1:7" hidden="1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hidden="1" x14ac:dyDescent="0.25">
      <c r="A1312" t="s">
        <v>2014</v>
      </c>
      <c r="F1312" t="s">
        <v>4166</v>
      </c>
      <c r="G1312" t="s">
        <v>1997</v>
      </c>
    </row>
    <row r="1313" spans="1:7" hidden="1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hidden="1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hidden="1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hidden="1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hidden="1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hidden="1" x14ac:dyDescent="0.25">
      <c r="A1318" t="s">
        <v>4212</v>
      </c>
      <c r="F1318" t="s">
        <v>4187</v>
      </c>
      <c r="G1318" t="s">
        <v>1997</v>
      </c>
    </row>
    <row r="1319" spans="1:7" hidden="1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hidden="1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hidden="1" x14ac:dyDescent="0.25">
      <c r="A1600" t="s">
        <v>2014</v>
      </c>
      <c r="F1600" t="s">
        <v>4981</v>
      </c>
      <c r="G1600" t="s">
        <v>1997</v>
      </c>
    </row>
    <row r="1601" spans="1:7" hidden="1" x14ac:dyDescent="0.25">
      <c r="A1601" t="s">
        <v>2014</v>
      </c>
      <c r="F1601" t="s">
        <v>4984</v>
      </c>
      <c r="G1601" t="s">
        <v>1997</v>
      </c>
    </row>
    <row r="1602" spans="1:7" hidden="1" x14ac:dyDescent="0.25">
      <c r="A1602" t="s">
        <v>2014</v>
      </c>
      <c r="F1602" t="s">
        <v>4987</v>
      </c>
      <c r="G1602" t="s">
        <v>1997</v>
      </c>
    </row>
    <row r="1603" spans="1:7" hidden="1" x14ac:dyDescent="0.25">
      <c r="A1603" t="s">
        <v>2014</v>
      </c>
      <c r="F1603" t="s">
        <v>4990</v>
      </c>
      <c r="G1603" t="s">
        <v>1997</v>
      </c>
    </row>
    <row r="1604" spans="1:7" hidden="1" x14ac:dyDescent="0.25">
      <c r="A1604" t="s">
        <v>2014</v>
      </c>
      <c r="F1604" t="s">
        <v>4993</v>
      </c>
      <c r="G1604" t="s">
        <v>1997</v>
      </c>
    </row>
    <row r="1605" spans="1:7" hidden="1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hidden="1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hidden="1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hidden="1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hidden="1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hidden="1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hidden="1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hidden="1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hidden="1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hidden="1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hidden="1" x14ac:dyDescent="0.25">
      <c r="A1935" t="s">
        <v>2014</v>
      </c>
      <c r="F1935" t="s">
        <v>5681</v>
      </c>
      <c r="G1935" t="s">
        <v>1997</v>
      </c>
    </row>
    <row r="1936" spans="1:7" hidden="1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hidden="1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hidden="1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hidden="1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hidden="1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hidden="1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hidden="1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hidden="1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hidden="1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hidden="1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hidden="1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hidden="1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hidden="1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hidden="1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hidden="1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hidden="1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hidden="1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hidden="1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hidden="1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hidden="1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hidden="1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hidden="1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hidden="1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hidden="1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hidden="1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hidden="1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hidden="1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hidden="1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hidden="1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hidden="1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hidden="1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hidden="1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hidden="1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hidden="1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hidden="1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hidden="1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hidden="1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hidden="1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hidden="1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hidden="1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hidden="1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hidden="1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hidden="1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hidden="1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hidden="1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hidden="1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hidden="1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hidden="1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hidden="1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hidden="1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hidden="1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hidden="1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hidden="1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hidden="1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hidden="1" x14ac:dyDescent="0.25">
      <c r="A2683" t="s">
        <v>2004</v>
      </c>
      <c r="F2683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hidden="1" x14ac:dyDescent="0.25">
      <c r="A2694" t="s">
        <v>2004</v>
      </c>
      <c r="F2694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hidden="1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hidden="1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hidden="1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hidden="1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hidden="1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hidden="1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hidden="1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hidden="1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hidden="1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hidden="1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hidden="1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hidden="1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hidden="1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hidden="1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hidden="1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hidden="1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hidden="1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hidden="1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hidden="1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hidden="1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hidden="1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hidden="1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hidden="1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hidden="1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hidden="1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hidden="1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hidden="1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hidden="1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hidden="1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hidden="1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hidden="1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hidden="1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hidden="1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hidden="1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hidden="1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hidden="1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hidden="1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hidden="1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hidden="1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hidden="1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hidden="1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hidden="1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hidden="1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hidden="1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hidden="1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hidden="1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hidden="1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hidden="1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hidden="1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hidden="1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hidden="1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hidden="1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hidden="1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hidden="1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hidden="1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hidden="1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hidden="1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hidden="1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hidden="1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hidden="1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hidden="1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hidden="1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hidden="1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hidden="1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hidden="1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hidden="1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hidden="1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hidden="1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hidden="1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hidden="1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hidden="1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hidden="1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hidden="1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hidden="1" x14ac:dyDescent="0.25">
      <c r="A2921" t="s">
        <v>2004</v>
      </c>
      <c r="F2921" t="s">
        <v>9249</v>
      </c>
      <c r="G2921" t="s">
        <v>1102</v>
      </c>
    </row>
    <row r="2922" spans="1:7" hidden="1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hidden="1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hidden="1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hidden="1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hidden="1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hidden="1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hidden="1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hidden="1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hidden="1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hidden="1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hidden="1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hidden="1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hidden="1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hidden="1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hidden="1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hidden="1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hidden="1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hidden="1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hidden="1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hidden="1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hidden="1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hidden="1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hidden="1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hidden="1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hidden="1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hidden="1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hidden="1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hidden="1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hidden="1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hidden="1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hidden="1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hidden="1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hidden="1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hidden="1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hidden="1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hidden="1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hidden="1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hidden="1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hidden="1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hidden="1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hidden="1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hidden="1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hidden="1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hidden="1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hidden="1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hidden="1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hidden="1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hidden="1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hidden="1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hidden="1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hidden="1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hidden="1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hidden="1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hidden="1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hidden="1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hidden="1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hidden="1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hidden="1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hidden="1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hidden="1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hidden="1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hidden="1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hidden="1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hidden="1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hidden="1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hidden="1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hidden="1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hidden="1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hidden="1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hidden="1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hidden="1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hidden="1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hidden="1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hidden="1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hidden="1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hidden="1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hidden="1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hidden="1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hidden="1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hidden="1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hidden="1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hidden="1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hidden="1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hidden="1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hidden="1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hidden="1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hidden="1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hidden="1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hidden="1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hidden="1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hidden="1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hidden="1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hidden="1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hidden="1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hidden="1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hidden="1" x14ac:dyDescent="0.25">
      <c r="A3032" t="s">
        <v>91</v>
      </c>
      <c r="B3032" t="s">
        <v>6656</v>
      </c>
      <c r="C3032" t="s">
        <v>51</v>
      </c>
      <c r="F3032" t="s">
        <v>9591</v>
      </c>
      <c r="G3032" t="s">
        <v>1102</v>
      </c>
    </row>
    <row r="3033" spans="1:7" hidden="1" x14ac:dyDescent="0.25">
      <c r="A3033" t="s">
        <v>62</v>
      </c>
      <c r="B3033" t="s">
        <v>6656</v>
      </c>
      <c r="C3033" t="s">
        <v>4240</v>
      </c>
      <c r="F3033" t="s">
        <v>9594</v>
      </c>
      <c r="G3033" t="s">
        <v>1102</v>
      </c>
    </row>
    <row r="3034" spans="1:7" hidden="1" x14ac:dyDescent="0.25">
      <c r="A3034" t="s">
        <v>91</v>
      </c>
      <c r="B3034" t="s">
        <v>9683</v>
      </c>
      <c r="F3034" t="s">
        <v>9597</v>
      </c>
      <c r="G3034" t="s">
        <v>1102</v>
      </c>
    </row>
    <row r="3035" spans="1:7" hidden="1" x14ac:dyDescent="0.25">
      <c r="A3035" t="s">
        <v>91</v>
      </c>
      <c r="B3035" t="s">
        <v>6656</v>
      </c>
      <c r="C3035" t="s">
        <v>51</v>
      </c>
      <c r="F3035" t="s">
        <v>9600</v>
      </c>
      <c r="G3035" t="s">
        <v>1102</v>
      </c>
    </row>
    <row r="3036" spans="1:7" hidden="1" x14ac:dyDescent="0.25">
      <c r="A3036" t="s">
        <v>62</v>
      </c>
      <c r="B3036" t="s">
        <v>9683</v>
      </c>
      <c r="F3036" t="s">
        <v>9603</v>
      </c>
      <c r="G3036" t="s">
        <v>1102</v>
      </c>
    </row>
    <row r="3037" spans="1:7" hidden="1" x14ac:dyDescent="0.25">
      <c r="A3037" t="s">
        <v>62</v>
      </c>
      <c r="B3037" t="s">
        <v>6656</v>
      </c>
      <c r="C3037" t="s">
        <v>9684</v>
      </c>
      <c r="F3037" t="s">
        <v>9606</v>
      </c>
      <c r="G3037" t="s">
        <v>1102</v>
      </c>
    </row>
    <row r="3038" spans="1:7" hidden="1" x14ac:dyDescent="0.25">
      <c r="A3038" t="s">
        <v>2004</v>
      </c>
      <c r="F3038" t="s">
        <v>9609</v>
      </c>
      <c r="G3038" t="s">
        <v>1102</v>
      </c>
    </row>
    <row r="3039" spans="1:7" hidden="1" x14ac:dyDescent="0.25">
      <c r="A3039" t="s">
        <v>1606</v>
      </c>
      <c r="B3039" t="s">
        <v>6656</v>
      </c>
      <c r="C3039" t="s">
        <v>51</v>
      </c>
      <c r="F3039" t="s">
        <v>9570</v>
      </c>
      <c r="G3039" t="s">
        <v>1103</v>
      </c>
    </row>
    <row r="3040" spans="1:7" hidden="1" x14ac:dyDescent="0.25">
      <c r="A3040" t="s">
        <v>650</v>
      </c>
      <c r="B3040" t="s">
        <v>6656</v>
      </c>
      <c r="C3040" t="s">
        <v>4240</v>
      </c>
      <c r="F3040" t="s">
        <v>9573</v>
      </c>
      <c r="G3040" t="s">
        <v>1103</v>
      </c>
    </row>
    <row r="3041" spans="1:7" hidden="1" x14ac:dyDescent="0.25">
      <c r="A3041" t="s">
        <v>1606</v>
      </c>
      <c r="B3041" t="s">
        <v>6656</v>
      </c>
      <c r="C3041" t="s">
        <v>51</v>
      </c>
      <c r="F3041" t="s">
        <v>9576</v>
      </c>
      <c r="G3041" t="s">
        <v>1103</v>
      </c>
    </row>
    <row r="3042" spans="1:7" hidden="1" x14ac:dyDescent="0.25">
      <c r="A3042" t="s">
        <v>650</v>
      </c>
      <c r="B3042" t="s">
        <v>6656</v>
      </c>
      <c r="C3042" t="s">
        <v>9684</v>
      </c>
      <c r="F3042" t="s">
        <v>9579</v>
      </c>
      <c r="G3042" t="s">
        <v>1103</v>
      </c>
    </row>
    <row r="3043" spans="1:7" hidden="1" x14ac:dyDescent="0.25">
      <c r="A3043" t="s">
        <v>2004</v>
      </c>
      <c r="B3043" t="s">
        <v>8</v>
      </c>
      <c r="F3043" t="s">
        <v>9582</v>
      </c>
      <c r="G3043" t="s">
        <v>1103</v>
      </c>
    </row>
    <row r="3044" spans="1:7" hidden="1" x14ac:dyDescent="0.25">
      <c r="A3044" t="s">
        <v>4</v>
      </c>
      <c r="B3044" t="s">
        <v>9685</v>
      </c>
      <c r="F3044" t="s">
        <v>9585</v>
      </c>
      <c r="G3044" t="s">
        <v>91</v>
      </c>
    </row>
    <row r="3045" spans="1:7" hidden="1" x14ac:dyDescent="0.25">
      <c r="A3045" t="s">
        <v>2004</v>
      </c>
      <c r="B3045" t="s">
        <v>8</v>
      </c>
      <c r="F3045" t="s">
        <v>9588</v>
      </c>
      <c r="G3045" t="s">
        <v>91</v>
      </c>
    </row>
    <row r="3046" spans="1:7" hidden="1" x14ac:dyDescent="0.25">
      <c r="A3046" t="s">
        <v>4</v>
      </c>
      <c r="B3046" t="s">
        <v>8803</v>
      </c>
      <c r="F3046" t="s">
        <v>9633</v>
      </c>
      <c r="G3046" t="s">
        <v>1104</v>
      </c>
    </row>
    <row r="3047" spans="1:7" hidden="1" x14ac:dyDescent="0.25">
      <c r="A3047" t="s">
        <v>2004</v>
      </c>
      <c r="B3047" t="s">
        <v>8</v>
      </c>
      <c r="F3047" t="s">
        <v>9636</v>
      </c>
      <c r="G3047" t="s">
        <v>1104</v>
      </c>
    </row>
    <row r="3048" spans="1:7" hidden="1" x14ac:dyDescent="0.25">
      <c r="A3048" t="s">
        <v>4</v>
      </c>
      <c r="B3048" t="s">
        <v>8045</v>
      </c>
      <c r="F3048" t="s">
        <v>9639</v>
      </c>
      <c r="G3048" t="s">
        <v>1105</v>
      </c>
    </row>
    <row r="3049" spans="1:7" hidden="1" x14ac:dyDescent="0.25">
      <c r="A3049" t="s">
        <v>4</v>
      </c>
      <c r="B3049" t="s">
        <v>8045</v>
      </c>
      <c r="F3049" t="s">
        <v>9642</v>
      </c>
      <c r="G3049" t="s">
        <v>1105</v>
      </c>
    </row>
    <row r="3050" spans="1:7" hidden="1" x14ac:dyDescent="0.25">
      <c r="A3050" t="s">
        <v>4</v>
      </c>
      <c r="B3050" t="s">
        <v>8045</v>
      </c>
      <c r="F3050" t="s">
        <v>9645</v>
      </c>
      <c r="G3050" t="s">
        <v>1105</v>
      </c>
    </row>
    <row r="3051" spans="1:7" hidden="1" x14ac:dyDescent="0.25">
      <c r="A3051" t="s">
        <v>2004</v>
      </c>
      <c r="B3051" t="s">
        <v>8</v>
      </c>
      <c r="F3051" t="s">
        <v>9612</v>
      </c>
      <c r="G3051" t="s">
        <v>1106</v>
      </c>
    </row>
    <row r="3052" spans="1:7" hidden="1" x14ac:dyDescent="0.25">
      <c r="A3052" t="s">
        <v>2004</v>
      </c>
      <c r="B3052" t="s">
        <v>8</v>
      </c>
      <c r="F3052" t="s">
        <v>9615</v>
      </c>
      <c r="G3052" t="s">
        <v>1106</v>
      </c>
    </row>
    <row r="3053" spans="1:7" hidden="1" x14ac:dyDescent="0.25">
      <c r="A3053" t="s">
        <v>2004</v>
      </c>
      <c r="B3053" t="s">
        <v>8</v>
      </c>
      <c r="F3053" t="s">
        <v>9686</v>
      </c>
      <c r="G3053" t="s">
        <v>1107</v>
      </c>
    </row>
    <row r="3054" spans="1:7" hidden="1" x14ac:dyDescent="0.25">
      <c r="A3054" t="s">
        <v>2004</v>
      </c>
      <c r="B3054" t="s">
        <v>8</v>
      </c>
      <c r="F3054" t="s">
        <v>9688</v>
      </c>
      <c r="G3054" t="s">
        <v>1107</v>
      </c>
    </row>
    <row r="3055" spans="1:7" hidden="1" x14ac:dyDescent="0.25">
      <c r="A3055" t="s">
        <v>9409</v>
      </c>
      <c r="B3055" t="s">
        <v>1607</v>
      </c>
      <c r="F3055" t="s">
        <v>9618</v>
      </c>
      <c r="G3055" t="s">
        <v>796</v>
      </c>
    </row>
    <row r="3056" spans="1:7" hidden="1" x14ac:dyDescent="0.25">
      <c r="A3056" t="s">
        <v>4</v>
      </c>
      <c r="B3056" t="s">
        <v>9</v>
      </c>
      <c r="F3056" t="s">
        <v>9621</v>
      </c>
      <c r="G3056" t="s">
        <v>796</v>
      </c>
    </row>
    <row r="3057" spans="1:7" hidden="1" x14ac:dyDescent="0.25">
      <c r="A3057" t="s">
        <v>9409</v>
      </c>
      <c r="B3057" t="s">
        <v>1607</v>
      </c>
      <c r="F3057" t="s">
        <v>9624</v>
      </c>
      <c r="G3057" t="s">
        <v>796</v>
      </c>
    </row>
    <row r="3058" spans="1:7" hidden="1" x14ac:dyDescent="0.25">
      <c r="A3058" t="s">
        <v>2024</v>
      </c>
      <c r="B3058" t="s">
        <v>796</v>
      </c>
      <c r="F3058" t="s">
        <v>9627</v>
      </c>
      <c r="G3058" t="s">
        <v>796</v>
      </c>
    </row>
    <row r="3059" spans="1:7" hidden="1" x14ac:dyDescent="0.25">
      <c r="A3059" t="s">
        <v>4</v>
      </c>
      <c r="B3059" t="s">
        <v>9</v>
      </c>
      <c r="F3059" t="s">
        <v>9630</v>
      </c>
      <c r="G3059" t="s">
        <v>796</v>
      </c>
    </row>
    <row r="3060" spans="1:7" x14ac:dyDescent="0.25">
      <c r="A3060" t="s">
        <v>4</v>
      </c>
      <c r="B3060" t="s">
        <v>6656</v>
      </c>
      <c r="C3060" t="s">
        <v>9339</v>
      </c>
      <c r="F3060" t="s">
        <v>9657</v>
      </c>
      <c r="G3060" s="1" t="s">
        <v>1603</v>
      </c>
    </row>
    <row r="3061" spans="1:7" x14ac:dyDescent="0.25">
      <c r="A3061" t="s">
        <v>4</v>
      </c>
      <c r="B3061" t="s">
        <v>6656</v>
      </c>
      <c r="C3061" t="s">
        <v>9339</v>
      </c>
      <c r="F3061" t="s">
        <v>9660</v>
      </c>
      <c r="G3061" s="1" t="s">
        <v>1603</v>
      </c>
    </row>
    <row r="3062" spans="1:7" x14ac:dyDescent="0.25">
      <c r="A3062" t="s">
        <v>533</v>
      </c>
      <c r="B3062" t="s">
        <v>1607</v>
      </c>
      <c r="C3062" t="s">
        <v>58</v>
      </c>
      <c r="F3062" t="s">
        <v>9663</v>
      </c>
      <c r="G3062" s="1" t="s">
        <v>1603</v>
      </c>
    </row>
    <row r="3063" spans="1:7" hidden="1" x14ac:dyDescent="0.25">
      <c r="A3063" t="s">
        <v>2004</v>
      </c>
      <c r="B3063" t="s">
        <v>8</v>
      </c>
      <c r="F3063" t="s">
        <v>9666</v>
      </c>
      <c r="G3063" t="s">
        <v>1817</v>
      </c>
    </row>
    <row r="3064" spans="1:7" hidden="1" x14ac:dyDescent="0.25">
      <c r="A3064" t="s">
        <v>2004</v>
      </c>
      <c r="B3064" t="s">
        <v>8</v>
      </c>
      <c r="F3064" t="s">
        <v>9668</v>
      </c>
      <c r="G3064" t="s">
        <v>1817</v>
      </c>
    </row>
    <row r="3065" spans="1:7" hidden="1" x14ac:dyDescent="0.25">
      <c r="A3065" t="s">
        <v>2004</v>
      </c>
      <c r="B3065" t="s">
        <v>8</v>
      </c>
      <c r="F3065" t="s">
        <v>9671</v>
      </c>
      <c r="G3065" t="s">
        <v>1934</v>
      </c>
    </row>
    <row r="3066" spans="1:7" hidden="1" x14ac:dyDescent="0.25">
      <c r="A3066" t="s">
        <v>2004</v>
      </c>
      <c r="B3066" t="s">
        <v>8</v>
      </c>
      <c r="F3066" t="s">
        <v>9674</v>
      </c>
      <c r="G3066" t="s">
        <v>1934</v>
      </c>
    </row>
    <row r="3067" spans="1:7" hidden="1" x14ac:dyDescent="0.25">
      <c r="A3067" t="s">
        <v>2004</v>
      </c>
      <c r="B3067" t="s">
        <v>8</v>
      </c>
      <c r="F3067" t="s">
        <v>9677</v>
      </c>
      <c r="G3067" t="s">
        <v>1997</v>
      </c>
    </row>
    <row r="3068" spans="1:7" hidden="1" x14ac:dyDescent="0.25">
      <c r="A3068" t="s">
        <v>2004</v>
      </c>
      <c r="B3068" t="s">
        <v>8</v>
      </c>
      <c r="F3068" t="s">
        <v>9680</v>
      </c>
      <c r="G3068" t="s">
        <v>1997</v>
      </c>
    </row>
    <row r="3069" spans="1:7" hidden="1" x14ac:dyDescent="0.25">
      <c r="A3069" t="s">
        <v>4</v>
      </c>
      <c r="B3069" t="s">
        <v>86</v>
      </c>
      <c r="E3069" t="s">
        <v>5479</v>
      </c>
      <c r="F3069" t="s">
        <v>9648</v>
      </c>
      <c r="G3069" t="s">
        <v>1100</v>
      </c>
    </row>
    <row r="3070" spans="1:7" hidden="1" x14ac:dyDescent="0.25">
      <c r="A3070" t="s">
        <v>4</v>
      </c>
      <c r="B3070" t="s">
        <v>9691</v>
      </c>
      <c r="F3070" t="s">
        <v>9651</v>
      </c>
      <c r="G3070" t="s">
        <v>1100</v>
      </c>
    </row>
    <row r="3071" spans="1:7" hidden="1" x14ac:dyDescent="0.25">
      <c r="A3071" t="s">
        <v>9692</v>
      </c>
      <c r="B3071" t="s">
        <v>9201</v>
      </c>
      <c r="F3071" t="s">
        <v>9654</v>
      </c>
      <c r="G3071" t="s">
        <v>1100</v>
      </c>
    </row>
    <row r="3072" spans="1:7" hidden="1" x14ac:dyDescent="0.25">
      <c r="A3072" t="s">
        <v>2004</v>
      </c>
      <c r="F3072" t="s">
        <v>9708</v>
      </c>
      <c r="G3072" t="s">
        <v>1102</v>
      </c>
    </row>
    <row r="3073" spans="1:7" hidden="1" x14ac:dyDescent="0.25">
      <c r="A3073" t="s">
        <v>2004</v>
      </c>
      <c r="F3073" t="s">
        <v>9711</v>
      </c>
      <c r="G3073" t="s">
        <v>1102</v>
      </c>
    </row>
    <row r="3074" spans="1:7" hidden="1" x14ac:dyDescent="0.25">
      <c r="A3074" t="s">
        <v>2004</v>
      </c>
      <c r="B3074" t="s">
        <v>8</v>
      </c>
      <c r="F3074" t="s">
        <v>9714</v>
      </c>
      <c r="G3074" t="s">
        <v>1103</v>
      </c>
    </row>
    <row r="3075" spans="1:7" hidden="1" x14ac:dyDescent="0.25">
      <c r="A3075" t="s">
        <v>2004</v>
      </c>
      <c r="B3075" t="s">
        <v>8</v>
      </c>
      <c r="F3075" t="s">
        <v>9717</v>
      </c>
      <c r="G3075" t="s">
        <v>1103</v>
      </c>
    </row>
    <row r="3076" spans="1:7" hidden="1" x14ac:dyDescent="0.25">
      <c r="A3076" t="s">
        <v>4</v>
      </c>
      <c r="B3076" t="s">
        <v>8803</v>
      </c>
      <c r="F3076" t="s">
        <v>9720</v>
      </c>
      <c r="G3076" t="s">
        <v>91</v>
      </c>
    </row>
    <row r="3077" spans="1:7" hidden="1" x14ac:dyDescent="0.25">
      <c r="A3077" t="s">
        <v>4</v>
      </c>
      <c r="B3077" t="s">
        <v>8803</v>
      </c>
      <c r="F3077" t="s">
        <v>9723</v>
      </c>
      <c r="G3077" t="s">
        <v>91</v>
      </c>
    </row>
    <row r="3078" spans="1:7" hidden="1" x14ac:dyDescent="0.25">
      <c r="A3078" t="s">
        <v>4</v>
      </c>
      <c r="B3078" t="s">
        <v>8803</v>
      </c>
      <c r="F3078" t="s">
        <v>9726</v>
      </c>
      <c r="G3078" t="s">
        <v>1104</v>
      </c>
    </row>
    <row r="3079" spans="1:7" hidden="1" x14ac:dyDescent="0.25">
      <c r="A3079" t="s">
        <v>4</v>
      </c>
      <c r="B3079" t="s">
        <v>8803</v>
      </c>
      <c r="F3079" t="s">
        <v>9729</v>
      </c>
      <c r="G3079" t="s">
        <v>1104</v>
      </c>
    </row>
    <row r="3080" spans="1:7" hidden="1" x14ac:dyDescent="0.25">
      <c r="A3080" t="s">
        <v>4</v>
      </c>
      <c r="B3080" t="s">
        <v>8803</v>
      </c>
      <c r="F3080" t="s">
        <v>9732</v>
      </c>
      <c r="G3080" t="s">
        <v>1104</v>
      </c>
    </row>
    <row r="3081" spans="1:7" hidden="1" x14ac:dyDescent="0.25">
      <c r="A3081" t="s">
        <v>4</v>
      </c>
      <c r="B3081" t="s">
        <v>9876</v>
      </c>
      <c r="F3081" t="s">
        <v>9693</v>
      </c>
      <c r="G3081" t="s">
        <v>1105</v>
      </c>
    </row>
    <row r="3082" spans="1:7" hidden="1" x14ac:dyDescent="0.25">
      <c r="A3082" t="s">
        <v>4</v>
      </c>
      <c r="B3082" t="s">
        <v>9876</v>
      </c>
      <c r="F3082" t="s">
        <v>9696</v>
      </c>
      <c r="G3082" t="s">
        <v>1105</v>
      </c>
    </row>
    <row r="3083" spans="1:7" hidden="1" x14ac:dyDescent="0.25">
      <c r="A3083" t="s">
        <v>4</v>
      </c>
      <c r="B3083" t="s">
        <v>9876</v>
      </c>
      <c r="F3083" t="s">
        <v>9699</v>
      </c>
      <c r="G3083" t="s">
        <v>1105</v>
      </c>
    </row>
    <row r="3084" spans="1:7" hidden="1" x14ac:dyDescent="0.25">
      <c r="A3084" t="s">
        <v>4</v>
      </c>
      <c r="B3084" t="s">
        <v>9876</v>
      </c>
      <c r="F3084" t="s">
        <v>9702</v>
      </c>
      <c r="G3084" t="s">
        <v>1105</v>
      </c>
    </row>
    <row r="3085" spans="1:7" hidden="1" x14ac:dyDescent="0.25">
      <c r="A3085" t="s">
        <v>4</v>
      </c>
      <c r="B3085" t="s">
        <v>9876</v>
      </c>
      <c r="F3085" t="s">
        <v>9705</v>
      </c>
      <c r="G3085" t="s">
        <v>1105</v>
      </c>
    </row>
    <row r="3086" spans="1:7" hidden="1" x14ac:dyDescent="0.25">
      <c r="A3086" t="s">
        <v>2004</v>
      </c>
      <c r="B3086" t="s">
        <v>8</v>
      </c>
      <c r="F3086" t="s">
        <v>9735</v>
      </c>
      <c r="G3086" t="s">
        <v>1106</v>
      </c>
    </row>
    <row r="3087" spans="1:7" hidden="1" x14ac:dyDescent="0.25">
      <c r="A3087" t="s">
        <v>2004</v>
      </c>
      <c r="B3087" t="s">
        <v>8</v>
      </c>
      <c r="F3087" t="s">
        <v>9738</v>
      </c>
      <c r="G3087" t="s">
        <v>1106</v>
      </c>
    </row>
    <row r="3088" spans="1:7" hidden="1" x14ac:dyDescent="0.25">
      <c r="A3088" t="s">
        <v>4</v>
      </c>
      <c r="B3088" t="s">
        <v>9913</v>
      </c>
      <c r="F3088" t="s">
        <v>9877</v>
      </c>
      <c r="G3088" t="s">
        <v>1107</v>
      </c>
    </row>
    <row r="3089" spans="1:7" hidden="1" x14ac:dyDescent="0.25">
      <c r="A3089" t="s">
        <v>4</v>
      </c>
      <c r="B3089" t="s">
        <v>9913</v>
      </c>
      <c r="E3089" t="s">
        <v>2936</v>
      </c>
      <c r="F3089" t="s">
        <v>9880</v>
      </c>
      <c r="G3089" t="s">
        <v>1107</v>
      </c>
    </row>
    <row r="3090" spans="1:7" hidden="1" x14ac:dyDescent="0.25">
      <c r="A3090" t="s">
        <v>4</v>
      </c>
      <c r="B3090" t="s">
        <v>9913</v>
      </c>
      <c r="E3090" t="s">
        <v>2936</v>
      </c>
      <c r="F3090" t="s">
        <v>9883</v>
      </c>
      <c r="G3090" t="s">
        <v>1107</v>
      </c>
    </row>
    <row r="3091" spans="1:7" hidden="1" x14ac:dyDescent="0.25">
      <c r="A3091" t="s">
        <v>4</v>
      </c>
      <c r="B3091" t="s">
        <v>9913</v>
      </c>
      <c r="E3091" t="s">
        <v>2936</v>
      </c>
      <c r="F3091" t="s">
        <v>9886</v>
      </c>
      <c r="G3091" t="s">
        <v>1107</v>
      </c>
    </row>
    <row r="3092" spans="1:7" hidden="1" x14ac:dyDescent="0.25">
      <c r="A3092" t="s">
        <v>4</v>
      </c>
      <c r="B3092" t="s">
        <v>9913</v>
      </c>
      <c r="E3092" t="s">
        <v>2936</v>
      </c>
      <c r="F3092" t="s">
        <v>9889</v>
      </c>
      <c r="G3092" t="s">
        <v>1107</v>
      </c>
    </row>
    <row r="3093" spans="1:7" hidden="1" x14ac:dyDescent="0.25">
      <c r="A3093" t="s">
        <v>4</v>
      </c>
      <c r="B3093" t="s">
        <v>9913</v>
      </c>
      <c r="E3093" t="s">
        <v>2936</v>
      </c>
      <c r="F3093" t="s">
        <v>9892</v>
      </c>
      <c r="G3093" t="s">
        <v>1107</v>
      </c>
    </row>
    <row r="3094" spans="1:7" hidden="1" x14ac:dyDescent="0.25">
      <c r="A3094" t="s">
        <v>4</v>
      </c>
      <c r="B3094" t="s">
        <v>9913</v>
      </c>
      <c r="E3094" t="s">
        <v>2936</v>
      </c>
      <c r="F3094" t="s">
        <v>9895</v>
      </c>
      <c r="G3094" t="s">
        <v>1107</v>
      </c>
    </row>
    <row r="3095" spans="1:7" hidden="1" x14ac:dyDescent="0.25">
      <c r="A3095" t="s">
        <v>4</v>
      </c>
      <c r="B3095" t="s">
        <v>9913</v>
      </c>
      <c r="E3095" t="s">
        <v>2936</v>
      </c>
      <c r="F3095" t="s">
        <v>9898</v>
      </c>
      <c r="G3095" t="s">
        <v>1107</v>
      </c>
    </row>
    <row r="3096" spans="1:7" hidden="1" x14ac:dyDescent="0.25">
      <c r="A3096" t="s">
        <v>4</v>
      </c>
      <c r="B3096" t="s">
        <v>9913</v>
      </c>
      <c r="E3096" t="s">
        <v>2936</v>
      </c>
      <c r="F3096" t="s">
        <v>9901</v>
      </c>
      <c r="G3096" t="s">
        <v>1107</v>
      </c>
    </row>
    <row r="3097" spans="1:7" hidden="1" x14ac:dyDescent="0.25">
      <c r="A3097" t="s">
        <v>4</v>
      </c>
      <c r="B3097" t="s">
        <v>9913</v>
      </c>
      <c r="E3097" t="s">
        <v>2936</v>
      </c>
      <c r="F3097" t="s">
        <v>9904</v>
      </c>
      <c r="G3097" t="s">
        <v>1107</v>
      </c>
    </row>
    <row r="3098" spans="1:7" hidden="1" x14ac:dyDescent="0.25">
      <c r="A3098" t="s">
        <v>4</v>
      </c>
      <c r="B3098" t="s">
        <v>9913</v>
      </c>
      <c r="E3098" t="s">
        <v>2936</v>
      </c>
      <c r="F3098" t="s">
        <v>9907</v>
      </c>
      <c r="G3098" t="s">
        <v>1107</v>
      </c>
    </row>
    <row r="3099" spans="1:7" hidden="1" x14ac:dyDescent="0.25">
      <c r="A3099" t="s">
        <v>4</v>
      </c>
      <c r="B3099" t="s">
        <v>9913</v>
      </c>
      <c r="E3099" t="s">
        <v>2936</v>
      </c>
      <c r="F3099" t="s">
        <v>9910</v>
      </c>
      <c r="G3099" t="s">
        <v>1107</v>
      </c>
    </row>
    <row r="3100" spans="1:7" hidden="1" x14ac:dyDescent="0.25">
      <c r="A3100" t="s">
        <v>9409</v>
      </c>
      <c r="B3100" t="s">
        <v>1607</v>
      </c>
      <c r="F3100" t="s">
        <v>9741</v>
      </c>
      <c r="G3100" t="s">
        <v>796</v>
      </c>
    </row>
    <row r="3101" spans="1:7" hidden="1" x14ac:dyDescent="0.25">
      <c r="A3101" t="s">
        <v>9409</v>
      </c>
      <c r="B3101" t="s">
        <v>1607</v>
      </c>
      <c r="F3101" t="s">
        <v>9744</v>
      </c>
      <c r="G3101" t="s">
        <v>796</v>
      </c>
    </row>
    <row r="3102" spans="1:7" hidden="1" x14ac:dyDescent="0.25">
      <c r="A3102" t="s">
        <v>9409</v>
      </c>
      <c r="B3102" t="s">
        <v>1607</v>
      </c>
      <c r="F3102" t="s">
        <v>9747</v>
      </c>
      <c r="G3102" t="s">
        <v>796</v>
      </c>
    </row>
    <row r="3103" spans="1:7" hidden="1" x14ac:dyDescent="0.25">
      <c r="A3103" t="s">
        <v>2024</v>
      </c>
      <c r="B3103" t="s">
        <v>796</v>
      </c>
      <c r="F3103" t="s">
        <v>9750</v>
      </c>
      <c r="G3103" t="s">
        <v>796</v>
      </c>
    </row>
    <row r="3104" spans="1:7" hidden="1" x14ac:dyDescent="0.25">
      <c r="A3104" t="s">
        <v>2024</v>
      </c>
      <c r="B3104" t="s">
        <v>796</v>
      </c>
      <c r="F3104" t="s">
        <v>9753</v>
      </c>
      <c r="G3104" t="s">
        <v>796</v>
      </c>
    </row>
    <row r="3105" spans="1:7" hidden="1" x14ac:dyDescent="0.25">
      <c r="A3105" t="s">
        <v>2024</v>
      </c>
      <c r="B3105" t="s">
        <v>796</v>
      </c>
      <c r="F3105" t="s">
        <v>9756</v>
      </c>
      <c r="G3105" t="s">
        <v>796</v>
      </c>
    </row>
    <row r="3106" spans="1:7" hidden="1" x14ac:dyDescent="0.25">
      <c r="A3106" t="s">
        <v>9409</v>
      </c>
      <c r="B3106" t="s">
        <v>1607</v>
      </c>
      <c r="F3106" t="s">
        <v>9759</v>
      </c>
      <c r="G3106" t="s">
        <v>796</v>
      </c>
    </row>
    <row r="3107" spans="1:7" hidden="1" x14ac:dyDescent="0.25">
      <c r="A3107" t="s">
        <v>4</v>
      </c>
      <c r="B3107" t="s">
        <v>9</v>
      </c>
      <c r="F3107" t="s">
        <v>9762</v>
      </c>
      <c r="G3107" t="s">
        <v>796</v>
      </c>
    </row>
    <row r="3108" spans="1:7" hidden="1" x14ac:dyDescent="0.25">
      <c r="A3108" t="s">
        <v>9409</v>
      </c>
      <c r="B3108" t="s">
        <v>1607</v>
      </c>
      <c r="F3108" t="s">
        <v>9765</v>
      </c>
      <c r="G3108" t="s">
        <v>796</v>
      </c>
    </row>
    <row r="3109" spans="1:7" hidden="1" x14ac:dyDescent="0.25">
      <c r="A3109" t="s">
        <v>2024</v>
      </c>
      <c r="B3109" t="s">
        <v>796</v>
      </c>
      <c r="F3109" t="s">
        <v>9768</v>
      </c>
      <c r="G3109" t="s">
        <v>796</v>
      </c>
    </row>
    <row r="3110" spans="1:7" hidden="1" x14ac:dyDescent="0.25">
      <c r="A3110" t="s">
        <v>9409</v>
      </c>
      <c r="B3110" t="s">
        <v>1607</v>
      </c>
      <c r="F3110" t="s">
        <v>9771</v>
      </c>
      <c r="G3110" t="s">
        <v>796</v>
      </c>
    </row>
    <row r="3111" spans="1:7" hidden="1" x14ac:dyDescent="0.25">
      <c r="A3111" t="s">
        <v>9409</v>
      </c>
      <c r="B3111" t="s">
        <v>1607</v>
      </c>
      <c r="F3111" t="s">
        <v>9774</v>
      </c>
      <c r="G3111" t="s">
        <v>796</v>
      </c>
    </row>
    <row r="3112" spans="1:7" hidden="1" x14ac:dyDescent="0.25">
      <c r="A3112" t="s">
        <v>9409</v>
      </c>
      <c r="B3112" t="s">
        <v>1607</v>
      </c>
      <c r="F3112" t="s">
        <v>9777</v>
      </c>
      <c r="G3112" t="s">
        <v>796</v>
      </c>
    </row>
    <row r="3113" spans="1:7" hidden="1" x14ac:dyDescent="0.25">
      <c r="A3113" t="s">
        <v>9455</v>
      </c>
      <c r="B3113" t="s">
        <v>531</v>
      </c>
      <c r="F3113" t="s">
        <v>9780</v>
      </c>
      <c r="G3113" t="s">
        <v>796</v>
      </c>
    </row>
    <row r="3114" spans="1:7" hidden="1" x14ac:dyDescent="0.25">
      <c r="A3114" t="s">
        <v>9409</v>
      </c>
      <c r="B3114" t="s">
        <v>1607</v>
      </c>
      <c r="F3114" t="s">
        <v>9783</v>
      </c>
      <c r="G3114" t="s">
        <v>796</v>
      </c>
    </row>
    <row r="3115" spans="1:7" hidden="1" x14ac:dyDescent="0.25">
      <c r="A3115" t="s">
        <v>9409</v>
      </c>
      <c r="B3115" t="s">
        <v>1607</v>
      </c>
      <c r="F3115" t="s">
        <v>9786</v>
      </c>
      <c r="G3115" t="s">
        <v>796</v>
      </c>
    </row>
    <row r="3116" spans="1:7" hidden="1" x14ac:dyDescent="0.25">
      <c r="A3116" t="s">
        <v>2024</v>
      </c>
      <c r="B3116" t="s">
        <v>796</v>
      </c>
      <c r="F3116" t="s">
        <v>9789</v>
      </c>
      <c r="G3116" t="s">
        <v>796</v>
      </c>
    </row>
    <row r="3117" spans="1:7" hidden="1" x14ac:dyDescent="0.25">
      <c r="A3117" t="s">
        <v>2024</v>
      </c>
      <c r="B3117" t="s">
        <v>796</v>
      </c>
      <c r="F3117" t="s">
        <v>9792</v>
      </c>
      <c r="G3117" t="s">
        <v>796</v>
      </c>
    </row>
    <row r="3118" spans="1:7" hidden="1" x14ac:dyDescent="0.25">
      <c r="A3118" t="s">
        <v>9456</v>
      </c>
      <c r="B3118" t="s">
        <v>1304</v>
      </c>
      <c r="F3118" t="s">
        <v>9795</v>
      </c>
      <c r="G3118" t="s">
        <v>1100</v>
      </c>
    </row>
    <row r="3119" spans="1:7" hidden="1" x14ac:dyDescent="0.25">
      <c r="A3119" t="s">
        <v>9456</v>
      </c>
      <c r="B3119" t="s">
        <v>1304</v>
      </c>
      <c r="F3119" t="s">
        <v>9798</v>
      </c>
      <c r="G3119" t="s">
        <v>1100</v>
      </c>
    </row>
    <row r="3120" spans="1:7" hidden="1" x14ac:dyDescent="0.25">
      <c r="A3120" t="s">
        <v>4</v>
      </c>
      <c r="B3120" t="s">
        <v>9</v>
      </c>
      <c r="F3120" t="s">
        <v>9801</v>
      </c>
      <c r="G3120" t="s">
        <v>1100</v>
      </c>
    </row>
    <row r="3121" spans="1:7" hidden="1" x14ac:dyDescent="0.25">
      <c r="A3121" t="s">
        <v>4</v>
      </c>
      <c r="B3121" t="s">
        <v>5477</v>
      </c>
      <c r="F3121" t="s">
        <v>9804</v>
      </c>
      <c r="G3121" t="s">
        <v>1100</v>
      </c>
    </row>
    <row r="3122" spans="1:7" hidden="1" x14ac:dyDescent="0.25">
      <c r="A3122" t="s">
        <v>5476</v>
      </c>
      <c r="B3122" t="s">
        <v>5480</v>
      </c>
      <c r="C3122" t="s">
        <v>9202</v>
      </c>
      <c r="D3122">
        <v>1</v>
      </c>
      <c r="F3122" t="s">
        <v>9807</v>
      </c>
      <c r="G3122" t="s">
        <v>1100</v>
      </c>
    </row>
    <row r="3123" spans="1:7" hidden="1" x14ac:dyDescent="0.25">
      <c r="A3123" t="s">
        <v>5476</v>
      </c>
      <c r="B3123" t="s">
        <v>5480</v>
      </c>
      <c r="C3123" t="s">
        <v>9202</v>
      </c>
      <c r="D3123">
        <v>2</v>
      </c>
      <c r="F3123" t="s">
        <v>9810</v>
      </c>
      <c r="G3123" t="s">
        <v>1100</v>
      </c>
    </row>
    <row r="3124" spans="1:7" hidden="1" x14ac:dyDescent="0.25">
      <c r="A3124" t="s">
        <v>5476</v>
      </c>
      <c r="B3124" t="s">
        <v>5480</v>
      </c>
      <c r="C3124" t="s">
        <v>9202</v>
      </c>
      <c r="D3124">
        <v>1</v>
      </c>
      <c r="F3124" t="s">
        <v>9813</v>
      </c>
      <c r="G3124" t="s">
        <v>1100</v>
      </c>
    </row>
    <row r="3125" spans="1:7" hidden="1" x14ac:dyDescent="0.25">
      <c r="A3125" t="s">
        <v>4</v>
      </c>
      <c r="B3125" t="s">
        <v>5477</v>
      </c>
      <c r="F3125" t="s">
        <v>9816</v>
      </c>
      <c r="G3125" t="s">
        <v>1100</v>
      </c>
    </row>
    <row r="3126" spans="1:7" hidden="1" x14ac:dyDescent="0.25">
      <c r="A3126" t="s">
        <v>4</v>
      </c>
      <c r="B3126" t="s">
        <v>5477</v>
      </c>
      <c r="F3126" t="s">
        <v>9819</v>
      </c>
      <c r="G3126" t="s">
        <v>1100</v>
      </c>
    </row>
    <row r="3127" spans="1:7" hidden="1" x14ac:dyDescent="0.25">
      <c r="A3127" t="s">
        <v>4</v>
      </c>
      <c r="B3127" t="s">
        <v>86</v>
      </c>
      <c r="E3127" t="s">
        <v>5479</v>
      </c>
      <c r="F3127" t="s">
        <v>9822</v>
      </c>
      <c r="G3127" t="s">
        <v>1100</v>
      </c>
    </row>
    <row r="3128" spans="1:7" x14ac:dyDescent="0.25">
      <c r="A3128" t="s">
        <v>2004</v>
      </c>
      <c r="B3128" t="s">
        <v>8</v>
      </c>
      <c r="F3128" t="s">
        <v>9825</v>
      </c>
      <c r="G3128" s="1" t="s">
        <v>1603</v>
      </c>
    </row>
    <row r="3129" spans="1:7" x14ac:dyDescent="0.25">
      <c r="A3129" t="s">
        <v>533</v>
      </c>
      <c r="B3129" t="s">
        <v>1607</v>
      </c>
      <c r="C3129" t="s">
        <v>58</v>
      </c>
      <c r="F3129" t="s">
        <v>9828</v>
      </c>
      <c r="G3129" s="1" t="s">
        <v>1603</v>
      </c>
    </row>
    <row r="3130" spans="1:7" x14ac:dyDescent="0.25">
      <c r="A3130" t="s">
        <v>4223</v>
      </c>
      <c r="B3130" t="s">
        <v>86</v>
      </c>
      <c r="C3130" t="s">
        <v>9202</v>
      </c>
      <c r="F3130" t="s">
        <v>9831</v>
      </c>
      <c r="G3130" s="1" t="s">
        <v>1603</v>
      </c>
    </row>
    <row r="3131" spans="1:7" x14ac:dyDescent="0.25">
      <c r="A3131" t="s">
        <v>4223</v>
      </c>
      <c r="B3131" t="s">
        <v>86</v>
      </c>
      <c r="C3131" t="s">
        <v>9202</v>
      </c>
      <c r="F3131" t="s">
        <v>9834</v>
      </c>
      <c r="G3131" s="1" t="s">
        <v>1603</v>
      </c>
    </row>
    <row r="3132" spans="1:7" x14ac:dyDescent="0.25">
      <c r="A3132" t="s">
        <v>4223</v>
      </c>
      <c r="B3132" t="s">
        <v>86</v>
      </c>
      <c r="C3132" t="s">
        <v>9202</v>
      </c>
      <c r="F3132" t="s">
        <v>9837</v>
      </c>
      <c r="G3132" s="1" t="s">
        <v>1603</v>
      </c>
    </row>
    <row r="3133" spans="1:7" hidden="1" x14ac:dyDescent="0.25">
      <c r="A3133" t="s">
        <v>2004</v>
      </c>
      <c r="B3133" t="s">
        <v>8</v>
      </c>
      <c r="F3133" t="s">
        <v>9840</v>
      </c>
      <c r="G3133" t="s">
        <v>1817</v>
      </c>
    </row>
    <row r="3134" spans="1:7" hidden="1" x14ac:dyDescent="0.25">
      <c r="A3134" t="s">
        <v>7171</v>
      </c>
      <c r="B3134" t="s">
        <v>5480</v>
      </c>
      <c r="F3134" t="s">
        <v>9843</v>
      </c>
      <c r="G3134" t="s">
        <v>1817</v>
      </c>
    </row>
    <row r="3135" spans="1:7" hidden="1" x14ac:dyDescent="0.25">
      <c r="A3135" t="s">
        <v>7171</v>
      </c>
      <c r="B3135" t="s">
        <v>5480</v>
      </c>
      <c r="E3135" t="s">
        <v>2936</v>
      </c>
      <c r="F3135" t="s">
        <v>9846</v>
      </c>
      <c r="G3135" t="s">
        <v>1817</v>
      </c>
    </row>
    <row r="3136" spans="1:7" hidden="1" x14ac:dyDescent="0.25">
      <c r="A3136" t="s">
        <v>7171</v>
      </c>
      <c r="B3136" t="s">
        <v>5480</v>
      </c>
      <c r="C3136" t="s">
        <v>9202</v>
      </c>
      <c r="F3136" t="s">
        <v>9849</v>
      </c>
      <c r="G3136" t="s">
        <v>1817</v>
      </c>
    </row>
    <row r="3137" spans="1:7" hidden="1" x14ac:dyDescent="0.25">
      <c r="A3137" t="s">
        <v>9876</v>
      </c>
      <c r="B3137" t="s">
        <v>9201</v>
      </c>
      <c r="F3137" t="s">
        <v>9852</v>
      </c>
      <c r="G3137" t="s">
        <v>1934</v>
      </c>
    </row>
    <row r="3138" spans="1:7" hidden="1" x14ac:dyDescent="0.25">
      <c r="A3138" t="s">
        <v>9876</v>
      </c>
      <c r="B3138" t="s">
        <v>9201</v>
      </c>
      <c r="E3138" t="s">
        <v>2936</v>
      </c>
      <c r="F3138" t="s">
        <v>9855</v>
      </c>
      <c r="G3138" t="s">
        <v>1934</v>
      </c>
    </row>
    <row r="3139" spans="1:7" hidden="1" x14ac:dyDescent="0.25">
      <c r="A3139" t="s">
        <v>9876</v>
      </c>
      <c r="B3139" t="s">
        <v>9201</v>
      </c>
      <c r="E3139" t="s">
        <v>2936</v>
      </c>
      <c r="F3139" t="s">
        <v>9858</v>
      </c>
      <c r="G3139" t="s">
        <v>1934</v>
      </c>
    </row>
    <row r="3140" spans="1:7" hidden="1" x14ac:dyDescent="0.25">
      <c r="A3140" t="s">
        <v>9914</v>
      </c>
      <c r="B3140" t="s">
        <v>4247</v>
      </c>
      <c r="E3140" t="s">
        <v>2936</v>
      </c>
      <c r="F3140" t="s">
        <v>9861</v>
      </c>
      <c r="G3140" t="s">
        <v>1934</v>
      </c>
    </row>
    <row r="3141" spans="1:7" hidden="1" x14ac:dyDescent="0.25">
      <c r="A3141" t="s">
        <v>9876</v>
      </c>
      <c r="B3141" t="s">
        <v>9201</v>
      </c>
      <c r="E3141" t="s">
        <v>2936</v>
      </c>
      <c r="F3141" t="s">
        <v>9864</v>
      </c>
      <c r="G3141" t="s">
        <v>1934</v>
      </c>
    </row>
    <row r="3142" spans="1:7" hidden="1" x14ac:dyDescent="0.25">
      <c r="A3142" t="s">
        <v>4</v>
      </c>
      <c r="B3142" t="s">
        <v>8</v>
      </c>
      <c r="F3142" t="s">
        <v>9867</v>
      </c>
      <c r="G3142" t="s">
        <v>1934</v>
      </c>
    </row>
    <row r="3143" spans="1:7" hidden="1" x14ac:dyDescent="0.25">
      <c r="A3143" t="s">
        <v>2004</v>
      </c>
      <c r="B3143" t="s">
        <v>8</v>
      </c>
      <c r="F3143" t="s">
        <v>9870</v>
      </c>
      <c r="G3143" t="s">
        <v>1997</v>
      </c>
    </row>
    <row r="3144" spans="1:7" hidden="1" x14ac:dyDescent="0.25">
      <c r="A3144" t="s">
        <v>2004</v>
      </c>
      <c r="B3144" t="s">
        <v>8</v>
      </c>
      <c r="F3144" t="s">
        <v>9873</v>
      </c>
      <c r="G3144" t="s">
        <v>1997</v>
      </c>
    </row>
    <row r="3145" spans="1:7" hidden="1" x14ac:dyDescent="0.25">
      <c r="A3145" t="s">
        <v>2004</v>
      </c>
      <c r="F3145" t="s">
        <v>9927</v>
      </c>
      <c r="G3145" t="s">
        <v>1102</v>
      </c>
    </row>
    <row r="3146" spans="1:7" hidden="1" x14ac:dyDescent="0.25">
      <c r="A3146" t="s">
        <v>91</v>
      </c>
      <c r="B3146" t="s">
        <v>4193</v>
      </c>
      <c r="C3146" t="s">
        <v>5076</v>
      </c>
      <c r="F3146" t="s">
        <v>9930</v>
      </c>
      <c r="G3146" t="s">
        <v>1102</v>
      </c>
    </row>
    <row r="3147" spans="1:7" hidden="1" x14ac:dyDescent="0.25">
      <c r="A3147" t="s">
        <v>62</v>
      </c>
      <c r="B3147" t="s">
        <v>4193</v>
      </c>
      <c r="C3147" t="s">
        <v>5076</v>
      </c>
      <c r="F3147" t="s">
        <v>9933</v>
      </c>
      <c r="G3147" t="s">
        <v>1102</v>
      </c>
    </row>
    <row r="3148" spans="1:7" hidden="1" x14ac:dyDescent="0.25">
      <c r="A3148" t="s">
        <v>1606</v>
      </c>
      <c r="B3148" t="s">
        <v>10140</v>
      </c>
      <c r="E3148" t="s">
        <v>5474</v>
      </c>
      <c r="F3148" t="s">
        <v>9915</v>
      </c>
      <c r="G3148" t="s">
        <v>1103</v>
      </c>
    </row>
    <row r="3149" spans="1:7" hidden="1" x14ac:dyDescent="0.25">
      <c r="A3149" t="s">
        <v>650</v>
      </c>
      <c r="B3149" t="s">
        <v>10140</v>
      </c>
      <c r="F3149" t="s">
        <v>9918</v>
      </c>
      <c r="G3149" t="s">
        <v>1103</v>
      </c>
    </row>
    <row r="3150" spans="1:7" hidden="1" x14ac:dyDescent="0.25">
      <c r="A3150" t="s">
        <v>1606</v>
      </c>
      <c r="B3150" t="s">
        <v>4193</v>
      </c>
      <c r="E3150" t="s">
        <v>5474</v>
      </c>
      <c r="F3150" t="s">
        <v>9921</v>
      </c>
      <c r="G3150" t="s">
        <v>1103</v>
      </c>
    </row>
    <row r="3151" spans="1:7" hidden="1" x14ac:dyDescent="0.25">
      <c r="A3151" t="s">
        <v>650</v>
      </c>
      <c r="B3151" t="s">
        <v>4193</v>
      </c>
      <c r="F3151" t="s">
        <v>9924</v>
      </c>
      <c r="G3151" t="s">
        <v>1103</v>
      </c>
    </row>
    <row r="3152" spans="1:7" hidden="1" x14ac:dyDescent="0.25">
      <c r="A3152" t="s">
        <v>4</v>
      </c>
      <c r="B3152" t="s">
        <v>8803</v>
      </c>
      <c r="F3152" t="s">
        <v>9951</v>
      </c>
      <c r="G3152" t="s">
        <v>91</v>
      </c>
    </row>
    <row r="3153" spans="1:7" hidden="1" x14ac:dyDescent="0.25">
      <c r="A3153" t="s">
        <v>4</v>
      </c>
      <c r="B3153" t="s">
        <v>8803</v>
      </c>
      <c r="F3153" t="s">
        <v>9954</v>
      </c>
      <c r="G3153" t="s">
        <v>91</v>
      </c>
    </row>
    <row r="3154" spans="1:7" hidden="1" x14ac:dyDescent="0.25">
      <c r="A3154" t="s">
        <v>4</v>
      </c>
      <c r="B3154" t="s">
        <v>8803</v>
      </c>
      <c r="F3154" t="s">
        <v>9957</v>
      </c>
      <c r="G3154" t="s">
        <v>91</v>
      </c>
    </row>
    <row r="3155" spans="1:7" hidden="1" x14ac:dyDescent="0.25">
      <c r="A3155" t="s">
        <v>4</v>
      </c>
      <c r="B3155" t="s">
        <v>8803</v>
      </c>
      <c r="F3155" t="s">
        <v>10122</v>
      </c>
      <c r="G3155" t="s">
        <v>1104</v>
      </c>
    </row>
    <row r="3156" spans="1:7" hidden="1" x14ac:dyDescent="0.25">
      <c r="A3156" t="s">
        <v>4</v>
      </c>
      <c r="B3156" t="s">
        <v>8803</v>
      </c>
      <c r="F3156" t="s">
        <v>9960</v>
      </c>
      <c r="G3156" t="s">
        <v>1104</v>
      </c>
    </row>
    <row r="3157" spans="1:7" hidden="1" x14ac:dyDescent="0.25">
      <c r="A3157" t="s">
        <v>4</v>
      </c>
      <c r="B3157" t="s">
        <v>8803</v>
      </c>
      <c r="F3157" t="s">
        <v>9963</v>
      </c>
      <c r="G3157" t="s">
        <v>1104</v>
      </c>
    </row>
    <row r="3158" spans="1:7" hidden="1" x14ac:dyDescent="0.25">
      <c r="A3158" t="s">
        <v>4</v>
      </c>
      <c r="B3158" t="s">
        <v>8803</v>
      </c>
      <c r="F3158" t="s">
        <v>9966</v>
      </c>
      <c r="G3158" t="s">
        <v>1104</v>
      </c>
    </row>
    <row r="3159" spans="1:7" hidden="1" x14ac:dyDescent="0.25">
      <c r="A3159" t="s">
        <v>4</v>
      </c>
      <c r="B3159" t="s">
        <v>9876</v>
      </c>
      <c r="F3159" t="s">
        <v>9936</v>
      </c>
      <c r="G3159" t="s">
        <v>1105</v>
      </c>
    </row>
    <row r="3160" spans="1:7" hidden="1" x14ac:dyDescent="0.25">
      <c r="A3160" t="s">
        <v>4</v>
      </c>
      <c r="B3160" t="s">
        <v>9876</v>
      </c>
      <c r="F3160" t="s">
        <v>9939</v>
      </c>
      <c r="G3160" t="s">
        <v>1105</v>
      </c>
    </row>
    <row r="3161" spans="1:7" hidden="1" x14ac:dyDescent="0.25">
      <c r="A3161" t="s">
        <v>4</v>
      </c>
      <c r="B3161" t="s">
        <v>9876</v>
      </c>
      <c r="F3161" t="s">
        <v>9942</v>
      </c>
      <c r="G3161" t="s">
        <v>1105</v>
      </c>
    </row>
    <row r="3162" spans="1:7" hidden="1" x14ac:dyDescent="0.25">
      <c r="A3162" t="s">
        <v>4</v>
      </c>
      <c r="B3162" t="s">
        <v>9876</v>
      </c>
      <c r="F3162" t="s">
        <v>9945</v>
      </c>
      <c r="G3162" t="s">
        <v>1105</v>
      </c>
    </row>
    <row r="3163" spans="1:7" hidden="1" x14ac:dyDescent="0.25">
      <c r="A3163" t="s">
        <v>4</v>
      </c>
      <c r="B3163" t="s">
        <v>8</v>
      </c>
      <c r="F3163" t="s">
        <v>9948</v>
      </c>
      <c r="G3163" t="s">
        <v>1105</v>
      </c>
    </row>
    <row r="3164" spans="1:7" hidden="1" x14ac:dyDescent="0.25">
      <c r="A3164" t="s">
        <v>2004</v>
      </c>
      <c r="B3164" t="s">
        <v>8</v>
      </c>
      <c r="F3164" t="s">
        <v>9969</v>
      </c>
      <c r="G3164" t="s">
        <v>1106</v>
      </c>
    </row>
    <row r="3165" spans="1:7" hidden="1" x14ac:dyDescent="0.25">
      <c r="A3165" t="s">
        <v>4</v>
      </c>
      <c r="B3165" t="s">
        <v>8</v>
      </c>
      <c r="F3165" t="s">
        <v>9972</v>
      </c>
      <c r="G3165" t="s">
        <v>1106</v>
      </c>
    </row>
    <row r="3166" spans="1:7" hidden="1" x14ac:dyDescent="0.25">
      <c r="A3166" t="s">
        <v>4</v>
      </c>
      <c r="B3166" t="s">
        <v>8</v>
      </c>
      <c r="E3166" t="s">
        <v>2936</v>
      </c>
      <c r="F3166" t="s">
        <v>9975</v>
      </c>
      <c r="G3166" t="s">
        <v>1106</v>
      </c>
    </row>
    <row r="3167" spans="1:7" hidden="1" x14ac:dyDescent="0.25">
      <c r="A3167" t="s">
        <v>4</v>
      </c>
      <c r="B3167" t="s">
        <v>9913</v>
      </c>
      <c r="E3167" t="s">
        <v>2936</v>
      </c>
      <c r="F3167" t="s">
        <v>10125</v>
      </c>
      <c r="G3167" t="s">
        <v>1107</v>
      </c>
    </row>
    <row r="3168" spans="1:7" hidden="1" x14ac:dyDescent="0.25">
      <c r="A3168" t="s">
        <v>4</v>
      </c>
      <c r="B3168" t="s">
        <v>9913</v>
      </c>
      <c r="E3168" t="s">
        <v>2936</v>
      </c>
      <c r="F3168" t="s">
        <v>10128</v>
      </c>
      <c r="G3168" t="s">
        <v>1107</v>
      </c>
    </row>
    <row r="3169" spans="1:7" hidden="1" x14ac:dyDescent="0.25">
      <c r="A3169" t="s">
        <v>4</v>
      </c>
      <c r="B3169" t="s">
        <v>9913</v>
      </c>
      <c r="E3169" t="s">
        <v>2936</v>
      </c>
      <c r="F3169" t="s">
        <v>10131</v>
      </c>
      <c r="G3169" t="s">
        <v>1107</v>
      </c>
    </row>
    <row r="3170" spans="1:7" hidden="1" x14ac:dyDescent="0.25">
      <c r="A3170" t="s">
        <v>4</v>
      </c>
      <c r="B3170" t="s">
        <v>9913</v>
      </c>
      <c r="E3170" t="s">
        <v>2936</v>
      </c>
      <c r="F3170" t="s">
        <v>10134</v>
      </c>
      <c r="G3170" t="s">
        <v>1107</v>
      </c>
    </row>
    <row r="3171" spans="1:7" hidden="1" x14ac:dyDescent="0.25">
      <c r="A3171" t="s">
        <v>2004</v>
      </c>
      <c r="B3171" t="s">
        <v>8</v>
      </c>
      <c r="F3171" t="s">
        <v>10137</v>
      </c>
      <c r="G3171" t="s">
        <v>1107</v>
      </c>
    </row>
    <row r="3172" spans="1:7" hidden="1" x14ac:dyDescent="0.25">
      <c r="A3172" t="s">
        <v>2024</v>
      </c>
      <c r="B3172" t="s">
        <v>796</v>
      </c>
      <c r="F3172" t="s">
        <v>9978</v>
      </c>
      <c r="G3172" t="s">
        <v>796</v>
      </c>
    </row>
    <row r="3173" spans="1:7" hidden="1" x14ac:dyDescent="0.25">
      <c r="A3173" t="s">
        <v>2024</v>
      </c>
      <c r="B3173" t="s">
        <v>796</v>
      </c>
      <c r="F3173" t="s">
        <v>9981</v>
      </c>
      <c r="G3173" t="s">
        <v>796</v>
      </c>
    </row>
    <row r="3174" spans="1:7" hidden="1" x14ac:dyDescent="0.25">
      <c r="A3174" t="s">
        <v>2024</v>
      </c>
      <c r="B3174" t="s">
        <v>796</v>
      </c>
      <c r="F3174" t="s">
        <v>9984</v>
      </c>
      <c r="G3174" t="s">
        <v>796</v>
      </c>
    </row>
    <row r="3175" spans="1:7" hidden="1" x14ac:dyDescent="0.25">
      <c r="A3175" t="s">
        <v>9409</v>
      </c>
      <c r="B3175" t="s">
        <v>1607</v>
      </c>
      <c r="F3175" t="s">
        <v>9987</v>
      </c>
      <c r="G3175" t="s">
        <v>796</v>
      </c>
    </row>
    <row r="3176" spans="1:7" hidden="1" x14ac:dyDescent="0.25">
      <c r="A3176" t="s">
        <v>9409</v>
      </c>
      <c r="B3176" t="s">
        <v>1607</v>
      </c>
      <c r="F3176" t="s">
        <v>9990</v>
      </c>
      <c r="G3176" t="s">
        <v>796</v>
      </c>
    </row>
    <row r="3177" spans="1:7" hidden="1" x14ac:dyDescent="0.25">
      <c r="A3177" t="s">
        <v>9409</v>
      </c>
      <c r="B3177" t="s">
        <v>1607</v>
      </c>
      <c r="F3177" t="s">
        <v>9993</v>
      </c>
      <c r="G3177" t="s">
        <v>796</v>
      </c>
    </row>
    <row r="3178" spans="1:7" hidden="1" x14ac:dyDescent="0.25">
      <c r="A3178" t="s">
        <v>9409</v>
      </c>
      <c r="B3178" t="s">
        <v>1607</v>
      </c>
      <c r="F3178" t="s">
        <v>9996</v>
      </c>
      <c r="G3178" t="s">
        <v>796</v>
      </c>
    </row>
    <row r="3179" spans="1:7" hidden="1" x14ac:dyDescent="0.25">
      <c r="A3179" t="s">
        <v>9409</v>
      </c>
      <c r="B3179" t="s">
        <v>1607</v>
      </c>
      <c r="F3179" t="s">
        <v>9999</v>
      </c>
      <c r="G3179" t="s">
        <v>796</v>
      </c>
    </row>
    <row r="3180" spans="1:7" hidden="1" x14ac:dyDescent="0.25">
      <c r="A3180" t="s">
        <v>9409</v>
      </c>
      <c r="B3180" t="s">
        <v>1607</v>
      </c>
      <c r="F3180" t="s">
        <v>10002</v>
      </c>
      <c r="G3180" t="s">
        <v>796</v>
      </c>
    </row>
    <row r="3181" spans="1:7" hidden="1" x14ac:dyDescent="0.25">
      <c r="A3181" t="s">
        <v>2024</v>
      </c>
      <c r="B3181" t="s">
        <v>796</v>
      </c>
      <c r="F3181" t="s">
        <v>10005</v>
      </c>
      <c r="G3181" t="s">
        <v>796</v>
      </c>
    </row>
    <row r="3182" spans="1:7" hidden="1" x14ac:dyDescent="0.25">
      <c r="A3182" t="s">
        <v>9455</v>
      </c>
      <c r="B3182" t="s">
        <v>531</v>
      </c>
      <c r="F3182" t="s">
        <v>10008</v>
      </c>
      <c r="G3182" t="s">
        <v>796</v>
      </c>
    </row>
    <row r="3183" spans="1:7" hidden="1" x14ac:dyDescent="0.25">
      <c r="A3183" t="s">
        <v>4</v>
      </c>
      <c r="B3183" t="s">
        <v>9</v>
      </c>
      <c r="F3183" t="s">
        <v>10011</v>
      </c>
      <c r="G3183" t="s">
        <v>796</v>
      </c>
    </row>
    <row r="3184" spans="1:7" hidden="1" x14ac:dyDescent="0.25">
      <c r="A3184" t="s">
        <v>2024</v>
      </c>
      <c r="B3184" t="s">
        <v>796</v>
      </c>
      <c r="F3184" t="s">
        <v>10014</v>
      </c>
      <c r="G3184" t="s">
        <v>796</v>
      </c>
    </row>
    <row r="3185" spans="1:7" hidden="1" x14ac:dyDescent="0.25">
      <c r="A3185" t="s">
        <v>9200</v>
      </c>
      <c r="B3185" t="s">
        <v>5137</v>
      </c>
      <c r="F3185" t="s">
        <v>10017</v>
      </c>
      <c r="G3185" t="s">
        <v>1100</v>
      </c>
    </row>
    <row r="3186" spans="1:7" hidden="1" x14ac:dyDescent="0.25">
      <c r="A3186" t="s">
        <v>4</v>
      </c>
      <c r="B3186" t="s">
        <v>7709</v>
      </c>
      <c r="F3186" t="s">
        <v>10020</v>
      </c>
      <c r="G3186" t="s">
        <v>1100</v>
      </c>
    </row>
    <row r="3187" spans="1:7" hidden="1" x14ac:dyDescent="0.25">
      <c r="A3187" t="s">
        <v>5476</v>
      </c>
      <c r="B3187" t="s">
        <v>5480</v>
      </c>
      <c r="C3187" t="s">
        <v>9202</v>
      </c>
      <c r="D3187">
        <v>1</v>
      </c>
      <c r="F3187" t="s">
        <v>10023</v>
      </c>
      <c r="G3187" t="s">
        <v>1100</v>
      </c>
    </row>
    <row r="3188" spans="1:7" hidden="1" x14ac:dyDescent="0.25">
      <c r="A3188" t="s">
        <v>5476</v>
      </c>
      <c r="B3188" t="s">
        <v>5480</v>
      </c>
      <c r="C3188" t="s">
        <v>9202</v>
      </c>
      <c r="D3188">
        <v>1</v>
      </c>
      <c r="F3188" t="s">
        <v>10026</v>
      </c>
      <c r="G3188" t="s">
        <v>1100</v>
      </c>
    </row>
    <row r="3189" spans="1:7" hidden="1" x14ac:dyDescent="0.25">
      <c r="A3189" t="s">
        <v>9692</v>
      </c>
      <c r="B3189" t="s">
        <v>5137</v>
      </c>
      <c r="F3189" t="s">
        <v>10029</v>
      </c>
      <c r="G3189" t="s">
        <v>1100</v>
      </c>
    </row>
    <row r="3190" spans="1:7" hidden="1" x14ac:dyDescent="0.25">
      <c r="A3190" t="s">
        <v>5476</v>
      </c>
      <c r="B3190" t="s">
        <v>5480</v>
      </c>
      <c r="C3190" t="s">
        <v>9202</v>
      </c>
      <c r="D3190">
        <v>2</v>
      </c>
      <c r="F3190" t="s">
        <v>10032</v>
      </c>
      <c r="G3190" t="s">
        <v>1100</v>
      </c>
    </row>
    <row r="3191" spans="1:7" hidden="1" x14ac:dyDescent="0.25">
      <c r="A3191" t="s">
        <v>158</v>
      </c>
      <c r="B3191" t="s">
        <v>5480</v>
      </c>
      <c r="C3191" t="s">
        <v>528</v>
      </c>
      <c r="D3191">
        <v>1</v>
      </c>
      <c r="F3191" t="s">
        <v>10035</v>
      </c>
      <c r="G3191" t="s">
        <v>1100</v>
      </c>
    </row>
    <row r="3192" spans="1:7" hidden="1" x14ac:dyDescent="0.25">
      <c r="A3192" t="s">
        <v>650</v>
      </c>
      <c r="B3192" t="s">
        <v>5480</v>
      </c>
      <c r="F3192" t="s">
        <v>10038</v>
      </c>
      <c r="G3192" t="s">
        <v>1100</v>
      </c>
    </row>
    <row r="3193" spans="1:7" hidden="1" x14ac:dyDescent="0.25">
      <c r="A3193" t="s">
        <v>4</v>
      </c>
      <c r="B3193" t="s">
        <v>8824</v>
      </c>
      <c r="F3193" t="s">
        <v>10041</v>
      </c>
      <c r="G3193" t="s">
        <v>1100</v>
      </c>
    </row>
    <row r="3194" spans="1:7" x14ac:dyDescent="0.25">
      <c r="A3194" t="s">
        <v>1606</v>
      </c>
      <c r="B3194" t="s">
        <v>10140</v>
      </c>
      <c r="F3194" t="s">
        <v>10044</v>
      </c>
      <c r="G3194" s="1" t="s">
        <v>1603</v>
      </c>
    </row>
    <row r="3195" spans="1:7" x14ac:dyDescent="0.25">
      <c r="A3195" t="s">
        <v>650</v>
      </c>
      <c r="B3195" t="s">
        <v>10140</v>
      </c>
      <c r="F3195" t="s">
        <v>10047</v>
      </c>
      <c r="G3195" s="1" t="s">
        <v>1603</v>
      </c>
    </row>
    <row r="3196" spans="1:7" x14ac:dyDescent="0.25">
      <c r="A3196" t="s">
        <v>159</v>
      </c>
      <c r="B3196" t="s">
        <v>10140</v>
      </c>
      <c r="F3196" t="s">
        <v>10050</v>
      </c>
      <c r="G3196" s="1" t="s">
        <v>1603</v>
      </c>
    </row>
    <row r="3197" spans="1:7" x14ac:dyDescent="0.25">
      <c r="A3197" t="s">
        <v>533</v>
      </c>
      <c r="B3197" t="s">
        <v>1607</v>
      </c>
      <c r="C3197" t="s">
        <v>58</v>
      </c>
      <c r="F3197" t="s">
        <v>10053</v>
      </c>
      <c r="G3197" s="1" t="s">
        <v>1603</v>
      </c>
    </row>
    <row r="3198" spans="1:7" x14ac:dyDescent="0.25">
      <c r="A3198" t="s">
        <v>10141</v>
      </c>
      <c r="B3198" t="s">
        <v>10140</v>
      </c>
      <c r="F3198" t="s">
        <v>10056</v>
      </c>
      <c r="G3198" s="1" t="s">
        <v>1603</v>
      </c>
    </row>
    <row r="3199" spans="1:7" x14ac:dyDescent="0.25">
      <c r="A3199" t="s">
        <v>533</v>
      </c>
      <c r="B3199" t="s">
        <v>1607</v>
      </c>
      <c r="C3199" t="s">
        <v>58</v>
      </c>
      <c r="F3199" t="s">
        <v>10059</v>
      </c>
      <c r="G3199" s="1" t="s">
        <v>1603</v>
      </c>
    </row>
    <row r="3200" spans="1:7" x14ac:dyDescent="0.25">
      <c r="A3200" t="s">
        <v>4223</v>
      </c>
      <c r="B3200" t="s">
        <v>86</v>
      </c>
      <c r="C3200" t="s">
        <v>9202</v>
      </c>
      <c r="F3200" t="s">
        <v>10062</v>
      </c>
      <c r="G3200" s="1" t="s">
        <v>1603</v>
      </c>
    </row>
    <row r="3201" spans="1:7" x14ac:dyDescent="0.25">
      <c r="A3201" t="s">
        <v>159</v>
      </c>
      <c r="B3201" t="s">
        <v>4193</v>
      </c>
      <c r="F3201" t="s">
        <v>10065</v>
      </c>
      <c r="G3201" s="1" t="s">
        <v>1603</v>
      </c>
    </row>
    <row r="3202" spans="1:7" x14ac:dyDescent="0.25">
      <c r="A3202" t="s">
        <v>533</v>
      </c>
      <c r="B3202" t="s">
        <v>1607</v>
      </c>
      <c r="C3202" t="s">
        <v>58</v>
      </c>
      <c r="F3202" t="s">
        <v>10068</v>
      </c>
      <c r="G3202" s="1" t="s">
        <v>1603</v>
      </c>
    </row>
    <row r="3203" spans="1:7" x14ac:dyDescent="0.25">
      <c r="A3203" t="s">
        <v>10142</v>
      </c>
      <c r="B3203" t="s">
        <v>4193</v>
      </c>
      <c r="F3203" t="s">
        <v>10071</v>
      </c>
      <c r="G3203" s="1" t="s">
        <v>1603</v>
      </c>
    </row>
    <row r="3204" spans="1:7" x14ac:dyDescent="0.25">
      <c r="A3204" t="s">
        <v>533</v>
      </c>
      <c r="B3204" t="s">
        <v>1607</v>
      </c>
      <c r="C3204" t="s">
        <v>58</v>
      </c>
      <c r="F3204" t="s">
        <v>10074</v>
      </c>
      <c r="G3204" s="1" t="s">
        <v>1603</v>
      </c>
    </row>
    <row r="3205" spans="1:7" x14ac:dyDescent="0.25">
      <c r="A3205" t="s">
        <v>4223</v>
      </c>
      <c r="B3205" t="s">
        <v>86</v>
      </c>
      <c r="C3205" t="s">
        <v>9202</v>
      </c>
      <c r="E3205" t="s">
        <v>4236</v>
      </c>
      <c r="F3205" t="s">
        <v>10077</v>
      </c>
      <c r="G3205" s="1" t="s">
        <v>1603</v>
      </c>
    </row>
    <row r="3206" spans="1:7" x14ac:dyDescent="0.25">
      <c r="A3206" t="s">
        <v>4223</v>
      </c>
      <c r="B3206" t="s">
        <v>86</v>
      </c>
      <c r="C3206" t="s">
        <v>9202</v>
      </c>
      <c r="E3206" t="s">
        <v>4236</v>
      </c>
      <c r="F3206" t="s">
        <v>10080</v>
      </c>
      <c r="G3206" s="1" t="s">
        <v>1603</v>
      </c>
    </row>
    <row r="3207" spans="1:7" x14ac:dyDescent="0.25">
      <c r="A3207" t="s">
        <v>533</v>
      </c>
      <c r="B3207" t="s">
        <v>1607</v>
      </c>
      <c r="C3207" t="s">
        <v>53</v>
      </c>
      <c r="F3207" t="s">
        <v>10083</v>
      </c>
      <c r="G3207" s="1" t="s">
        <v>1603</v>
      </c>
    </row>
    <row r="3208" spans="1:7" hidden="1" x14ac:dyDescent="0.25">
      <c r="A3208" t="s">
        <v>4</v>
      </c>
      <c r="B3208" t="s">
        <v>8</v>
      </c>
      <c r="F3208" t="s">
        <v>10086</v>
      </c>
      <c r="G3208" t="s">
        <v>1817</v>
      </c>
    </row>
    <row r="3209" spans="1:7" hidden="1" x14ac:dyDescent="0.25">
      <c r="A3209" t="s">
        <v>7171</v>
      </c>
      <c r="B3209" t="s">
        <v>5480</v>
      </c>
      <c r="C3209" t="s">
        <v>9202</v>
      </c>
      <c r="F3209" t="s">
        <v>10089</v>
      </c>
      <c r="G3209" t="s">
        <v>1817</v>
      </c>
    </row>
    <row r="3210" spans="1:7" hidden="1" x14ac:dyDescent="0.25">
      <c r="A3210" t="s">
        <v>651</v>
      </c>
      <c r="B3210" t="s">
        <v>5480</v>
      </c>
      <c r="F3210" t="s">
        <v>10092</v>
      </c>
      <c r="G3210" t="s">
        <v>1817</v>
      </c>
    </row>
    <row r="3211" spans="1:7" hidden="1" x14ac:dyDescent="0.25">
      <c r="A3211" t="s">
        <v>651</v>
      </c>
      <c r="B3211" t="s">
        <v>5480</v>
      </c>
      <c r="F3211" t="s">
        <v>10095</v>
      </c>
      <c r="G3211" t="s">
        <v>1817</v>
      </c>
    </row>
    <row r="3212" spans="1:7" hidden="1" x14ac:dyDescent="0.25">
      <c r="A3212" t="s">
        <v>651</v>
      </c>
      <c r="B3212" t="s">
        <v>5480</v>
      </c>
      <c r="F3212" t="s">
        <v>10098</v>
      </c>
      <c r="G3212" t="s">
        <v>1817</v>
      </c>
    </row>
    <row r="3213" spans="1:7" hidden="1" x14ac:dyDescent="0.25">
      <c r="A3213" t="s">
        <v>651</v>
      </c>
      <c r="B3213" t="s">
        <v>5480</v>
      </c>
      <c r="F3213" t="s">
        <v>10101</v>
      </c>
      <c r="G3213" t="s">
        <v>1817</v>
      </c>
    </row>
    <row r="3214" spans="1:7" hidden="1" x14ac:dyDescent="0.25">
      <c r="A3214" t="s">
        <v>4</v>
      </c>
      <c r="B3214" t="s">
        <v>8</v>
      </c>
      <c r="F3214" t="s">
        <v>10104</v>
      </c>
      <c r="G3214" t="s">
        <v>1934</v>
      </c>
    </row>
    <row r="3215" spans="1:7" hidden="1" x14ac:dyDescent="0.25">
      <c r="A3215" t="s">
        <v>9876</v>
      </c>
      <c r="B3215" t="s">
        <v>9201</v>
      </c>
      <c r="F3215" t="s">
        <v>10107</v>
      </c>
      <c r="G3215" t="s">
        <v>1934</v>
      </c>
    </row>
    <row r="3216" spans="1:7" hidden="1" x14ac:dyDescent="0.25">
      <c r="A3216" t="s">
        <v>9876</v>
      </c>
      <c r="B3216" t="s">
        <v>9201</v>
      </c>
      <c r="F3216" t="s">
        <v>10110</v>
      </c>
      <c r="G3216" t="s">
        <v>1934</v>
      </c>
    </row>
    <row r="3217" spans="1:7" hidden="1" x14ac:dyDescent="0.25">
      <c r="A3217" t="s">
        <v>2004</v>
      </c>
      <c r="B3217" t="s">
        <v>8</v>
      </c>
      <c r="F3217" t="s">
        <v>10113</v>
      </c>
      <c r="G3217" t="s">
        <v>1997</v>
      </c>
    </row>
    <row r="3218" spans="1:7" hidden="1" x14ac:dyDescent="0.25">
      <c r="A3218" t="s">
        <v>7171</v>
      </c>
      <c r="B3218" t="s">
        <v>5480</v>
      </c>
      <c r="C3218" t="s">
        <v>9202</v>
      </c>
      <c r="F3218" t="s">
        <v>10116</v>
      </c>
      <c r="G3218" t="s">
        <v>1997</v>
      </c>
    </row>
    <row r="3219" spans="1:7" hidden="1" x14ac:dyDescent="0.25">
      <c r="A3219" t="s">
        <v>4</v>
      </c>
      <c r="B3219" t="s">
        <v>8</v>
      </c>
      <c r="F3219" t="s">
        <v>10119</v>
      </c>
      <c r="G3219" t="s">
        <v>1997</v>
      </c>
    </row>
    <row r="3220" spans="1:7" hidden="1" x14ac:dyDescent="0.25">
      <c r="A3220" t="s">
        <v>91</v>
      </c>
      <c r="B3220" t="s">
        <v>10164</v>
      </c>
      <c r="C3220" t="s">
        <v>60</v>
      </c>
      <c r="F3220" t="s">
        <v>10158</v>
      </c>
      <c r="G3220" t="s">
        <v>1102</v>
      </c>
    </row>
    <row r="3221" spans="1:7" hidden="1" x14ac:dyDescent="0.25">
      <c r="A3221" t="s">
        <v>62</v>
      </c>
      <c r="B3221" t="s">
        <v>10164</v>
      </c>
      <c r="C3221" t="s">
        <v>51</v>
      </c>
      <c r="F3221" t="s">
        <v>10161</v>
      </c>
      <c r="G3221" t="s">
        <v>1102</v>
      </c>
    </row>
    <row r="3222" spans="1:7" hidden="1" x14ac:dyDescent="0.25">
      <c r="A3222" t="s">
        <v>91</v>
      </c>
      <c r="B3222" t="s">
        <v>10165</v>
      </c>
      <c r="C3222" t="s">
        <v>60</v>
      </c>
      <c r="F3222" t="s">
        <v>10143</v>
      </c>
      <c r="G3222" t="s">
        <v>1102</v>
      </c>
    </row>
    <row r="3223" spans="1:7" hidden="1" x14ac:dyDescent="0.25">
      <c r="A3223" t="s">
        <v>91</v>
      </c>
      <c r="B3223" t="s">
        <v>10166</v>
      </c>
      <c r="F3223" t="s">
        <v>10146</v>
      </c>
      <c r="G3223" t="s">
        <v>1102</v>
      </c>
    </row>
    <row r="3224" spans="1:7" hidden="1" x14ac:dyDescent="0.25">
      <c r="A3224" t="s">
        <v>62</v>
      </c>
      <c r="B3224" t="s">
        <v>10165</v>
      </c>
      <c r="C3224" t="s">
        <v>10167</v>
      </c>
      <c r="D3224">
        <v>1</v>
      </c>
      <c r="F3224" t="s">
        <v>10149</v>
      </c>
      <c r="G3224" t="s">
        <v>1102</v>
      </c>
    </row>
    <row r="3225" spans="1:7" hidden="1" x14ac:dyDescent="0.25">
      <c r="A3225" t="s">
        <v>62</v>
      </c>
      <c r="B3225" t="s">
        <v>10166</v>
      </c>
      <c r="F3225" t="s">
        <v>10152</v>
      </c>
      <c r="G3225" t="s">
        <v>1102</v>
      </c>
    </row>
    <row r="3226" spans="1:7" hidden="1" x14ac:dyDescent="0.25">
      <c r="A3226" t="s">
        <v>62</v>
      </c>
      <c r="B3226" t="s">
        <v>9520</v>
      </c>
      <c r="C3226" t="s">
        <v>58</v>
      </c>
      <c r="E3226" t="s">
        <v>9336</v>
      </c>
      <c r="F3226" t="s">
        <v>10155</v>
      </c>
      <c r="G3226" t="s">
        <v>1102</v>
      </c>
    </row>
    <row r="3227" spans="1:7" hidden="1" x14ac:dyDescent="0.25">
      <c r="A3227" t="s">
        <v>1606</v>
      </c>
      <c r="B3227" t="s">
        <v>10166</v>
      </c>
      <c r="C3227" t="s">
        <v>5076</v>
      </c>
      <c r="F3227" t="s">
        <v>10168</v>
      </c>
      <c r="G3227" t="s">
        <v>1103</v>
      </c>
    </row>
    <row r="3228" spans="1:7" hidden="1" x14ac:dyDescent="0.25">
      <c r="A3228" t="s">
        <v>6171</v>
      </c>
      <c r="B3228" t="s">
        <v>10166</v>
      </c>
      <c r="C3228" t="s">
        <v>5076</v>
      </c>
      <c r="E3228" t="s">
        <v>5474</v>
      </c>
      <c r="F3228" t="s">
        <v>10171</v>
      </c>
      <c r="G3228" t="s">
        <v>1103</v>
      </c>
    </row>
    <row r="3229" spans="1:7" hidden="1" x14ac:dyDescent="0.25">
      <c r="A3229" t="s">
        <v>650</v>
      </c>
      <c r="B3229" t="s">
        <v>10166</v>
      </c>
      <c r="C3229" t="s">
        <v>5076</v>
      </c>
      <c r="E3229" s="7"/>
      <c r="F3229" t="s">
        <v>10174</v>
      </c>
      <c r="G3229" t="s">
        <v>1103</v>
      </c>
    </row>
    <row r="3230" spans="1:7" hidden="1" x14ac:dyDescent="0.25">
      <c r="A3230" t="s">
        <v>290</v>
      </c>
      <c r="B3230" t="s">
        <v>86</v>
      </c>
      <c r="C3230" t="s">
        <v>60</v>
      </c>
      <c r="D3230">
        <v>2</v>
      </c>
      <c r="E3230" t="s">
        <v>10210</v>
      </c>
      <c r="F3230" t="s">
        <v>10180</v>
      </c>
      <c r="G3230" t="s">
        <v>1105</v>
      </c>
    </row>
    <row r="3231" spans="1:7" hidden="1" x14ac:dyDescent="0.25">
      <c r="A3231" t="s">
        <v>290</v>
      </c>
      <c r="B3231" t="s">
        <v>86</v>
      </c>
      <c r="C3231" t="s">
        <v>60</v>
      </c>
      <c r="D3231">
        <v>4</v>
      </c>
      <c r="F3231" t="s">
        <v>10183</v>
      </c>
      <c r="G3231" t="s">
        <v>1105</v>
      </c>
    </row>
    <row r="3232" spans="1:7" hidden="1" x14ac:dyDescent="0.25">
      <c r="A3232" t="s">
        <v>290</v>
      </c>
      <c r="B3232" t="s">
        <v>86</v>
      </c>
      <c r="C3232" t="s">
        <v>60</v>
      </c>
      <c r="D3232">
        <v>3</v>
      </c>
      <c r="F3232" t="s">
        <v>10189</v>
      </c>
      <c r="G3232" t="s">
        <v>1105</v>
      </c>
    </row>
    <row r="3233" spans="1:7" hidden="1" x14ac:dyDescent="0.25">
      <c r="A3233" t="s">
        <v>290</v>
      </c>
      <c r="B3233" t="s">
        <v>86</v>
      </c>
      <c r="C3233" t="s">
        <v>60</v>
      </c>
      <c r="D3233">
        <v>4</v>
      </c>
      <c r="F3233" t="s">
        <v>10192</v>
      </c>
      <c r="G3233" t="s">
        <v>1105</v>
      </c>
    </row>
    <row r="3234" spans="1:7" hidden="1" x14ac:dyDescent="0.25">
      <c r="A3234" t="s">
        <v>290</v>
      </c>
      <c r="B3234" t="s">
        <v>86</v>
      </c>
      <c r="C3234" t="s">
        <v>60</v>
      </c>
      <c r="D3234">
        <v>3</v>
      </c>
      <c r="F3234" t="s">
        <v>10195</v>
      </c>
      <c r="G3234" t="s">
        <v>1105</v>
      </c>
    </row>
    <row r="3235" spans="1:7" hidden="1" x14ac:dyDescent="0.25">
      <c r="A3235" t="s">
        <v>290</v>
      </c>
      <c r="B3235" t="s">
        <v>86</v>
      </c>
      <c r="C3235" t="s">
        <v>60</v>
      </c>
      <c r="E3235" t="s">
        <v>2936</v>
      </c>
      <c r="F3235" t="s">
        <v>10198</v>
      </c>
      <c r="G3235" t="s">
        <v>1105</v>
      </c>
    </row>
    <row r="3236" spans="1:7" hidden="1" x14ac:dyDescent="0.25">
      <c r="A3236" t="s">
        <v>290</v>
      </c>
      <c r="B3236" t="s">
        <v>86</v>
      </c>
      <c r="C3236" t="s">
        <v>60</v>
      </c>
      <c r="D3236">
        <v>3</v>
      </c>
      <c r="F3236" t="s">
        <v>10204</v>
      </c>
      <c r="G3236" t="s">
        <v>1105</v>
      </c>
    </row>
    <row r="3237" spans="1:7" hidden="1" x14ac:dyDescent="0.25">
      <c r="A3237" t="s">
        <v>290</v>
      </c>
      <c r="B3237" t="s">
        <v>86</v>
      </c>
      <c r="C3237" t="s">
        <v>60</v>
      </c>
      <c r="D3237">
        <v>1</v>
      </c>
      <c r="F3237" t="s">
        <v>10201</v>
      </c>
      <c r="G3237" t="s">
        <v>1105</v>
      </c>
    </row>
    <row r="3238" spans="1:7" hidden="1" x14ac:dyDescent="0.25">
      <c r="A3238" t="s">
        <v>290</v>
      </c>
      <c r="B3238" t="s">
        <v>86</v>
      </c>
      <c r="C3238" t="s">
        <v>60</v>
      </c>
      <c r="D3238">
        <v>3</v>
      </c>
      <c r="F3238" t="s">
        <v>10207</v>
      </c>
      <c r="G3238" t="s">
        <v>1105</v>
      </c>
    </row>
    <row r="3239" spans="1:7" hidden="1" x14ac:dyDescent="0.25">
      <c r="A3239" t="s">
        <v>290</v>
      </c>
      <c r="B3239" t="s">
        <v>86</v>
      </c>
      <c r="C3239" t="s">
        <v>60</v>
      </c>
      <c r="D3239">
        <v>2</v>
      </c>
      <c r="F3239" t="s">
        <v>10211</v>
      </c>
      <c r="G3239" t="s">
        <v>1105</v>
      </c>
    </row>
    <row r="3240" spans="1:7" hidden="1" x14ac:dyDescent="0.25">
      <c r="A3240" t="s">
        <v>290</v>
      </c>
      <c r="B3240" t="s">
        <v>86</v>
      </c>
      <c r="C3240" t="s">
        <v>60</v>
      </c>
      <c r="D3240">
        <v>3</v>
      </c>
      <c r="F3240" t="s">
        <v>10214</v>
      </c>
      <c r="G3240" t="s">
        <v>1105</v>
      </c>
    </row>
    <row r="3241" spans="1:7" hidden="1" x14ac:dyDescent="0.25">
      <c r="A3241" t="s">
        <v>290</v>
      </c>
      <c r="B3241" t="s">
        <v>86</v>
      </c>
      <c r="C3241" t="s">
        <v>60</v>
      </c>
      <c r="E3241" t="s">
        <v>2936</v>
      </c>
      <c r="F3241" t="s">
        <v>10217</v>
      </c>
      <c r="G3241" t="s">
        <v>1105</v>
      </c>
    </row>
    <row r="3242" spans="1:7" hidden="1" x14ac:dyDescent="0.25">
      <c r="A3242" t="s">
        <v>290</v>
      </c>
      <c r="B3242" t="s">
        <v>86</v>
      </c>
      <c r="C3242" t="s">
        <v>60</v>
      </c>
      <c r="D3242">
        <v>2</v>
      </c>
      <c r="F3242" t="s">
        <v>10220</v>
      </c>
      <c r="G3242" t="s">
        <v>1105</v>
      </c>
    </row>
    <row r="3243" spans="1:7" hidden="1" x14ac:dyDescent="0.25">
      <c r="A3243" t="s">
        <v>290</v>
      </c>
      <c r="B3243" t="s">
        <v>86</v>
      </c>
      <c r="C3243" t="s">
        <v>60</v>
      </c>
      <c r="D3243">
        <v>4</v>
      </c>
      <c r="F3243" t="s">
        <v>10223</v>
      </c>
      <c r="G3243" t="s">
        <v>1105</v>
      </c>
    </row>
    <row r="3244" spans="1:7" hidden="1" x14ac:dyDescent="0.25">
      <c r="A3244" t="s">
        <v>290</v>
      </c>
      <c r="B3244" t="s">
        <v>86</v>
      </c>
      <c r="C3244" t="s">
        <v>60</v>
      </c>
      <c r="D3244">
        <v>1</v>
      </c>
      <c r="F3244" t="s">
        <v>10226</v>
      </c>
      <c r="G3244" t="s">
        <v>1105</v>
      </c>
    </row>
    <row r="3245" spans="1:7" hidden="1" x14ac:dyDescent="0.25">
      <c r="A3245" t="s">
        <v>290</v>
      </c>
      <c r="B3245" t="s">
        <v>86</v>
      </c>
      <c r="C3245" t="s">
        <v>60</v>
      </c>
      <c r="D3245">
        <v>3</v>
      </c>
      <c r="F3245" t="s">
        <v>10229</v>
      </c>
      <c r="G3245" t="s">
        <v>1105</v>
      </c>
    </row>
    <row r="3246" spans="1:7" hidden="1" x14ac:dyDescent="0.25">
      <c r="A3246" t="s">
        <v>290</v>
      </c>
      <c r="B3246" t="s">
        <v>86</v>
      </c>
      <c r="C3246" t="s">
        <v>60</v>
      </c>
      <c r="D3246">
        <v>3</v>
      </c>
      <c r="F3246" t="s">
        <v>10232</v>
      </c>
      <c r="G3246" t="s">
        <v>1105</v>
      </c>
    </row>
    <row r="3247" spans="1:7" hidden="1" x14ac:dyDescent="0.25">
      <c r="A3247" t="s">
        <v>290</v>
      </c>
      <c r="B3247" t="s">
        <v>86</v>
      </c>
      <c r="C3247" t="s">
        <v>60</v>
      </c>
      <c r="D3247">
        <v>2</v>
      </c>
      <c r="F3247" t="s">
        <v>10235</v>
      </c>
      <c r="G3247" t="s">
        <v>1105</v>
      </c>
    </row>
    <row r="3248" spans="1:7" hidden="1" x14ac:dyDescent="0.25">
      <c r="A3248" t="s">
        <v>290</v>
      </c>
      <c r="B3248" t="s">
        <v>86</v>
      </c>
      <c r="C3248" t="s">
        <v>60</v>
      </c>
      <c r="D3248">
        <v>2</v>
      </c>
      <c r="F3248" t="s">
        <v>10238</v>
      </c>
      <c r="G3248" t="s">
        <v>1105</v>
      </c>
    </row>
    <row r="3249" spans="1:7" hidden="1" x14ac:dyDescent="0.25">
      <c r="A3249" t="s">
        <v>290</v>
      </c>
      <c r="B3249" t="s">
        <v>86</v>
      </c>
      <c r="C3249" t="s">
        <v>60</v>
      </c>
      <c r="D3249">
        <v>3</v>
      </c>
      <c r="F3249" t="s">
        <v>10241</v>
      </c>
      <c r="G3249" t="s">
        <v>1105</v>
      </c>
    </row>
    <row r="3250" spans="1:7" hidden="1" x14ac:dyDescent="0.25">
      <c r="A3250" t="s">
        <v>290</v>
      </c>
      <c r="B3250" t="s">
        <v>86</v>
      </c>
      <c r="C3250" t="s">
        <v>60</v>
      </c>
      <c r="D3250">
        <v>2</v>
      </c>
      <c r="F3250" t="s">
        <v>10244</v>
      </c>
      <c r="G3250" t="s">
        <v>1105</v>
      </c>
    </row>
    <row r="3251" spans="1:7" hidden="1" x14ac:dyDescent="0.25">
      <c r="A3251" t="s">
        <v>290</v>
      </c>
      <c r="B3251" t="s">
        <v>86</v>
      </c>
      <c r="C3251" t="s">
        <v>60</v>
      </c>
      <c r="D3251">
        <v>2</v>
      </c>
      <c r="F3251" t="s">
        <v>10247</v>
      </c>
      <c r="G3251" t="s">
        <v>1105</v>
      </c>
    </row>
    <row r="3252" spans="1:7" hidden="1" x14ac:dyDescent="0.25">
      <c r="A3252" t="s">
        <v>290</v>
      </c>
      <c r="B3252" t="s">
        <v>86</v>
      </c>
      <c r="C3252" t="s">
        <v>60</v>
      </c>
      <c r="D3252">
        <v>3</v>
      </c>
      <c r="F3252" t="s">
        <v>10250</v>
      </c>
      <c r="G3252" t="s">
        <v>1105</v>
      </c>
    </row>
    <row r="3253" spans="1:7" hidden="1" x14ac:dyDescent="0.25">
      <c r="A3253" t="s">
        <v>290</v>
      </c>
      <c r="B3253" t="s">
        <v>86</v>
      </c>
      <c r="C3253" t="s">
        <v>60</v>
      </c>
      <c r="E3253" t="s">
        <v>2936</v>
      </c>
      <c r="F3253" t="s">
        <v>10253</v>
      </c>
      <c r="G3253" t="s">
        <v>1105</v>
      </c>
    </row>
    <row r="3254" spans="1:7" hidden="1" x14ac:dyDescent="0.25">
      <c r="A3254" t="s">
        <v>290</v>
      </c>
      <c r="B3254" t="s">
        <v>86</v>
      </c>
      <c r="C3254" t="s">
        <v>60</v>
      </c>
      <c r="D3254">
        <v>4</v>
      </c>
      <c r="F3254" t="s">
        <v>10256</v>
      </c>
      <c r="G3254" t="s">
        <v>1105</v>
      </c>
    </row>
    <row r="3255" spans="1:7" hidden="1" x14ac:dyDescent="0.25">
      <c r="A3255" t="s">
        <v>290</v>
      </c>
      <c r="B3255" t="s">
        <v>86</v>
      </c>
      <c r="C3255" t="s">
        <v>60</v>
      </c>
      <c r="D3255">
        <v>3</v>
      </c>
      <c r="F3255" t="s">
        <v>10259</v>
      </c>
      <c r="G3255" t="s">
        <v>1105</v>
      </c>
    </row>
    <row r="3256" spans="1:7" hidden="1" x14ac:dyDescent="0.25">
      <c r="A3256" t="s">
        <v>290</v>
      </c>
      <c r="B3256" t="s">
        <v>86</v>
      </c>
      <c r="C3256" t="s">
        <v>60</v>
      </c>
      <c r="D3256">
        <v>3</v>
      </c>
      <c r="F3256" t="s">
        <v>10262</v>
      </c>
      <c r="G3256" t="s">
        <v>1105</v>
      </c>
    </row>
    <row r="3257" spans="1:7" hidden="1" x14ac:dyDescent="0.25">
      <c r="A3257" t="s">
        <v>290</v>
      </c>
      <c r="B3257" t="s">
        <v>86</v>
      </c>
      <c r="C3257" t="s">
        <v>60</v>
      </c>
      <c r="D3257">
        <v>2</v>
      </c>
      <c r="F3257" t="s">
        <v>10265</v>
      </c>
      <c r="G3257" t="s">
        <v>1105</v>
      </c>
    </row>
    <row r="3258" spans="1:7" hidden="1" x14ac:dyDescent="0.25">
      <c r="A3258" t="s">
        <v>4</v>
      </c>
      <c r="B3258" t="s">
        <v>8803</v>
      </c>
      <c r="F3258" t="s">
        <v>10177</v>
      </c>
      <c r="G3258" t="s">
        <v>91</v>
      </c>
    </row>
    <row r="3259" spans="1:7" hidden="1" x14ac:dyDescent="0.25">
      <c r="A3259" t="s">
        <v>4</v>
      </c>
      <c r="B3259" t="s">
        <v>10164</v>
      </c>
      <c r="F3259" t="s">
        <v>10186</v>
      </c>
      <c r="G3259" t="s">
        <v>1104</v>
      </c>
    </row>
    <row r="3260" spans="1:7" hidden="1" x14ac:dyDescent="0.25">
      <c r="A3260" t="s">
        <v>4</v>
      </c>
      <c r="B3260" t="s">
        <v>10164</v>
      </c>
      <c r="E3260" t="s">
        <v>10280</v>
      </c>
      <c r="F3260" t="s">
        <v>10268</v>
      </c>
      <c r="G3260" t="s">
        <v>1104</v>
      </c>
    </row>
    <row r="3261" spans="1:7" hidden="1" x14ac:dyDescent="0.25">
      <c r="A3261" t="s">
        <v>4</v>
      </c>
      <c r="B3261" t="s">
        <v>10164</v>
      </c>
      <c r="E3261" t="s">
        <v>10280</v>
      </c>
      <c r="F3261" t="s">
        <v>10271</v>
      </c>
      <c r="G3261" t="s">
        <v>1104</v>
      </c>
    </row>
    <row r="3262" spans="1:7" hidden="1" x14ac:dyDescent="0.25">
      <c r="A3262" t="s">
        <v>1606</v>
      </c>
      <c r="B3262" t="s">
        <v>10165</v>
      </c>
      <c r="C3262" t="s">
        <v>60</v>
      </c>
      <c r="F3262" t="s">
        <v>10274</v>
      </c>
      <c r="G3262" t="s">
        <v>1104</v>
      </c>
    </row>
    <row r="3263" spans="1:7" hidden="1" x14ac:dyDescent="0.25">
      <c r="A3263" t="s">
        <v>4</v>
      </c>
      <c r="B3263" t="s">
        <v>8803</v>
      </c>
      <c r="F3263" t="s">
        <v>10277</v>
      </c>
      <c r="G3263" t="s">
        <v>1104</v>
      </c>
    </row>
    <row r="3264" spans="1:7" hidden="1" x14ac:dyDescent="0.25">
      <c r="A3264" t="s">
        <v>290</v>
      </c>
      <c r="B3264" t="s">
        <v>86</v>
      </c>
      <c r="C3264" t="s">
        <v>60</v>
      </c>
      <c r="D3264">
        <v>2</v>
      </c>
      <c r="E3264" t="s">
        <v>10347</v>
      </c>
      <c r="F3264" t="s">
        <v>10281</v>
      </c>
      <c r="G3264" t="s">
        <v>1105</v>
      </c>
    </row>
    <row r="3265" spans="1:7" hidden="1" x14ac:dyDescent="0.25">
      <c r="A3265" t="s">
        <v>290</v>
      </c>
      <c r="B3265" t="s">
        <v>86</v>
      </c>
      <c r="C3265" t="s">
        <v>60</v>
      </c>
      <c r="D3265">
        <v>3</v>
      </c>
      <c r="E3265" t="s">
        <v>10347</v>
      </c>
      <c r="F3265" t="s">
        <v>10284</v>
      </c>
      <c r="G3265" t="s">
        <v>1105</v>
      </c>
    </row>
    <row r="3266" spans="1:7" hidden="1" x14ac:dyDescent="0.25">
      <c r="A3266" t="s">
        <v>290</v>
      </c>
      <c r="B3266" t="s">
        <v>86</v>
      </c>
      <c r="C3266" t="s">
        <v>60</v>
      </c>
      <c r="D3266">
        <v>3</v>
      </c>
      <c r="E3266" t="s">
        <v>10347</v>
      </c>
      <c r="F3266" t="s">
        <v>10287</v>
      </c>
      <c r="G3266" t="s">
        <v>1105</v>
      </c>
    </row>
    <row r="3267" spans="1:7" hidden="1" x14ac:dyDescent="0.25">
      <c r="A3267" t="s">
        <v>290</v>
      </c>
      <c r="B3267" t="s">
        <v>86</v>
      </c>
      <c r="C3267" t="s">
        <v>60</v>
      </c>
      <c r="D3267">
        <v>4</v>
      </c>
      <c r="E3267" t="s">
        <v>10347</v>
      </c>
      <c r="F3267" t="s">
        <v>10290</v>
      </c>
      <c r="G3267" t="s">
        <v>1105</v>
      </c>
    </row>
    <row r="3268" spans="1:7" hidden="1" x14ac:dyDescent="0.25">
      <c r="A3268" t="s">
        <v>290</v>
      </c>
      <c r="B3268" t="s">
        <v>86</v>
      </c>
      <c r="C3268" t="s">
        <v>60</v>
      </c>
      <c r="D3268">
        <v>4</v>
      </c>
      <c r="E3268" t="s">
        <v>10347</v>
      </c>
      <c r="F3268" t="s">
        <v>10293</v>
      </c>
      <c r="G3268" t="s">
        <v>1105</v>
      </c>
    </row>
    <row r="3269" spans="1:7" hidden="1" x14ac:dyDescent="0.25">
      <c r="A3269" t="s">
        <v>290</v>
      </c>
      <c r="B3269" t="s">
        <v>86</v>
      </c>
      <c r="C3269" t="s">
        <v>60</v>
      </c>
      <c r="D3269">
        <v>4</v>
      </c>
      <c r="E3269" t="s">
        <v>10347</v>
      </c>
      <c r="F3269" t="s">
        <v>10296</v>
      </c>
      <c r="G3269" t="s">
        <v>1105</v>
      </c>
    </row>
    <row r="3270" spans="1:7" hidden="1" x14ac:dyDescent="0.25">
      <c r="A3270" t="s">
        <v>290</v>
      </c>
      <c r="B3270" t="s">
        <v>86</v>
      </c>
      <c r="C3270" t="s">
        <v>60</v>
      </c>
      <c r="D3270">
        <v>5</v>
      </c>
      <c r="E3270" t="s">
        <v>10347</v>
      </c>
      <c r="F3270" t="s">
        <v>10299</v>
      </c>
      <c r="G3270" t="s">
        <v>1105</v>
      </c>
    </row>
    <row r="3271" spans="1:7" hidden="1" x14ac:dyDescent="0.25">
      <c r="A3271" t="s">
        <v>290</v>
      </c>
      <c r="B3271" t="s">
        <v>86</v>
      </c>
      <c r="C3271" t="s">
        <v>60</v>
      </c>
      <c r="D3271">
        <v>2</v>
      </c>
      <c r="E3271" t="s">
        <v>10347</v>
      </c>
      <c r="F3271" t="s">
        <v>10302</v>
      </c>
      <c r="G3271" t="s">
        <v>1105</v>
      </c>
    </row>
    <row r="3272" spans="1:7" hidden="1" x14ac:dyDescent="0.25">
      <c r="A3272" t="s">
        <v>290</v>
      </c>
      <c r="B3272" t="s">
        <v>86</v>
      </c>
      <c r="C3272" t="s">
        <v>60</v>
      </c>
      <c r="D3272">
        <v>3</v>
      </c>
      <c r="E3272" t="s">
        <v>10347</v>
      </c>
      <c r="F3272" t="s">
        <v>10305</v>
      </c>
      <c r="G3272" t="s">
        <v>1105</v>
      </c>
    </row>
    <row r="3273" spans="1:7" hidden="1" x14ac:dyDescent="0.25">
      <c r="A3273" t="s">
        <v>290</v>
      </c>
      <c r="B3273" t="s">
        <v>86</v>
      </c>
      <c r="C3273" t="s">
        <v>60</v>
      </c>
      <c r="D3273">
        <v>3</v>
      </c>
      <c r="E3273" t="s">
        <v>10347</v>
      </c>
      <c r="F3273" t="s">
        <v>10308</v>
      </c>
      <c r="G3273" t="s">
        <v>1105</v>
      </c>
    </row>
    <row r="3274" spans="1:7" hidden="1" x14ac:dyDescent="0.25">
      <c r="A3274" t="s">
        <v>290</v>
      </c>
      <c r="B3274" t="s">
        <v>86</v>
      </c>
      <c r="C3274" t="s">
        <v>60</v>
      </c>
      <c r="D3274">
        <v>3</v>
      </c>
      <c r="E3274" t="s">
        <v>10347</v>
      </c>
      <c r="F3274" t="s">
        <v>10311</v>
      </c>
      <c r="G3274" t="s">
        <v>1105</v>
      </c>
    </row>
    <row r="3275" spans="1:7" hidden="1" x14ac:dyDescent="0.25">
      <c r="A3275" t="s">
        <v>290</v>
      </c>
      <c r="B3275" t="s">
        <v>86</v>
      </c>
      <c r="C3275" t="s">
        <v>60</v>
      </c>
      <c r="D3275">
        <v>2</v>
      </c>
      <c r="E3275" t="s">
        <v>10347</v>
      </c>
      <c r="F3275" t="s">
        <v>10314</v>
      </c>
      <c r="G3275" t="s">
        <v>1105</v>
      </c>
    </row>
    <row r="3276" spans="1:7" hidden="1" x14ac:dyDescent="0.25">
      <c r="A3276" t="s">
        <v>290</v>
      </c>
      <c r="B3276" t="s">
        <v>86</v>
      </c>
      <c r="C3276" t="s">
        <v>60</v>
      </c>
      <c r="D3276">
        <v>2</v>
      </c>
      <c r="E3276" t="s">
        <v>10347</v>
      </c>
      <c r="F3276" t="s">
        <v>10317</v>
      </c>
      <c r="G3276" t="s">
        <v>1105</v>
      </c>
    </row>
    <row r="3277" spans="1:7" hidden="1" x14ac:dyDescent="0.25">
      <c r="A3277" t="s">
        <v>290</v>
      </c>
      <c r="B3277" t="s">
        <v>86</v>
      </c>
      <c r="C3277" t="s">
        <v>60</v>
      </c>
      <c r="D3277">
        <v>3</v>
      </c>
      <c r="E3277" t="s">
        <v>10347</v>
      </c>
      <c r="F3277" t="s">
        <v>10320</v>
      </c>
      <c r="G3277" t="s">
        <v>1105</v>
      </c>
    </row>
    <row r="3278" spans="1:7" hidden="1" x14ac:dyDescent="0.25">
      <c r="A3278" t="s">
        <v>290</v>
      </c>
      <c r="B3278" t="s">
        <v>86</v>
      </c>
      <c r="C3278" t="s">
        <v>60</v>
      </c>
      <c r="D3278">
        <v>3</v>
      </c>
      <c r="E3278" t="s">
        <v>10347</v>
      </c>
      <c r="F3278" t="s">
        <v>10323</v>
      </c>
      <c r="G3278" t="s">
        <v>1105</v>
      </c>
    </row>
    <row r="3279" spans="1:7" hidden="1" x14ac:dyDescent="0.25">
      <c r="A3279" t="s">
        <v>290</v>
      </c>
      <c r="B3279" t="s">
        <v>86</v>
      </c>
      <c r="C3279" t="s">
        <v>60</v>
      </c>
      <c r="D3279">
        <v>3</v>
      </c>
      <c r="E3279" t="s">
        <v>10347</v>
      </c>
      <c r="F3279" t="s">
        <v>10326</v>
      </c>
      <c r="G3279" t="s">
        <v>1105</v>
      </c>
    </row>
    <row r="3280" spans="1:7" hidden="1" x14ac:dyDescent="0.25">
      <c r="A3280" t="s">
        <v>290</v>
      </c>
      <c r="B3280" t="s">
        <v>86</v>
      </c>
      <c r="C3280" t="s">
        <v>60</v>
      </c>
      <c r="D3280">
        <v>2</v>
      </c>
      <c r="E3280" t="s">
        <v>10347</v>
      </c>
      <c r="F3280" t="s">
        <v>10329</v>
      </c>
      <c r="G3280" t="s">
        <v>1105</v>
      </c>
    </row>
    <row r="3281" spans="1:7" hidden="1" x14ac:dyDescent="0.25">
      <c r="A3281" t="s">
        <v>290</v>
      </c>
      <c r="B3281" t="s">
        <v>86</v>
      </c>
      <c r="C3281" t="s">
        <v>60</v>
      </c>
      <c r="D3281">
        <v>2</v>
      </c>
      <c r="E3281" t="s">
        <v>10347</v>
      </c>
      <c r="F3281" t="s">
        <v>10332</v>
      </c>
      <c r="G3281" t="s">
        <v>1105</v>
      </c>
    </row>
    <row r="3282" spans="1:7" hidden="1" x14ac:dyDescent="0.25">
      <c r="A3282" t="s">
        <v>290</v>
      </c>
      <c r="B3282" t="s">
        <v>86</v>
      </c>
      <c r="C3282" t="s">
        <v>60</v>
      </c>
      <c r="D3282">
        <v>2</v>
      </c>
      <c r="E3282" t="s">
        <v>10347</v>
      </c>
      <c r="F3282" t="s">
        <v>10335</v>
      </c>
      <c r="G3282" t="s">
        <v>1105</v>
      </c>
    </row>
    <row r="3283" spans="1:7" hidden="1" x14ac:dyDescent="0.25">
      <c r="A3283" t="s">
        <v>10348</v>
      </c>
      <c r="B3283" t="s">
        <v>86</v>
      </c>
      <c r="C3283" t="s">
        <v>10167</v>
      </c>
      <c r="D3283">
        <v>1</v>
      </c>
      <c r="E3283" t="s">
        <v>10349</v>
      </c>
      <c r="F3283" t="s">
        <v>10338</v>
      </c>
      <c r="G3283" t="s">
        <v>1105</v>
      </c>
    </row>
    <row r="3284" spans="1:7" hidden="1" x14ac:dyDescent="0.25">
      <c r="A3284" t="s">
        <v>4</v>
      </c>
      <c r="B3284" t="s">
        <v>9876</v>
      </c>
      <c r="F3284" t="s">
        <v>10341</v>
      </c>
      <c r="G3284" t="s">
        <v>1105</v>
      </c>
    </row>
    <row r="3285" spans="1:7" hidden="1" x14ac:dyDescent="0.25">
      <c r="A3285" t="s">
        <v>4</v>
      </c>
      <c r="B3285" t="s">
        <v>2932</v>
      </c>
      <c r="F3285" t="s">
        <v>10344</v>
      </c>
      <c r="G3285" t="s">
        <v>1105</v>
      </c>
    </row>
    <row r="3286" spans="1:7" hidden="1" x14ac:dyDescent="0.25">
      <c r="A3286" t="s">
        <v>2004</v>
      </c>
      <c r="B3286" t="s">
        <v>8</v>
      </c>
      <c r="F3286" t="s">
        <v>10350</v>
      </c>
      <c r="G3286" t="s">
        <v>1106</v>
      </c>
    </row>
    <row r="3287" spans="1:7" hidden="1" x14ac:dyDescent="0.25">
      <c r="A3287" t="s">
        <v>4</v>
      </c>
      <c r="B3287" t="s">
        <v>10392</v>
      </c>
      <c r="F3287" t="s">
        <v>10389</v>
      </c>
      <c r="G3287" t="s">
        <v>1107</v>
      </c>
    </row>
    <row r="3288" spans="1:7" hidden="1" x14ac:dyDescent="0.25">
      <c r="A3288" t="s">
        <v>9409</v>
      </c>
      <c r="B3288" t="s">
        <v>1607</v>
      </c>
      <c r="F3288" t="s">
        <v>10353</v>
      </c>
      <c r="G3288" t="s">
        <v>796</v>
      </c>
    </row>
    <row r="3289" spans="1:7" hidden="1" x14ac:dyDescent="0.25">
      <c r="A3289" t="s">
        <v>9409</v>
      </c>
      <c r="B3289" t="s">
        <v>1607</v>
      </c>
      <c r="F3289" t="s">
        <v>10356</v>
      </c>
      <c r="G3289" t="s">
        <v>796</v>
      </c>
    </row>
    <row r="3290" spans="1:7" hidden="1" x14ac:dyDescent="0.25">
      <c r="A3290" t="s">
        <v>4</v>
      </c>
      <c r="B3290" t="s">
        <v>9</v>
      </c>
      <c r="F3290" t="s">
        <v>10359</v>
      </c>
      <c r="G3290" t="s">
        <v>796</v>
      </c>
    </row>
    <row r="3291" spans="1:7" hidden="1" x14ac:dyDescent="0.25">
      <c r="A3291" t="s">
        <v>9409</v>
      </c>
      <c r="B3291" t="s">
        <v>1607</v>
      </c>
      <c r="F3291" t="s">
        <v>10362</v>
      </c>
      <c r="G3291" t="s">
        <v>796</v>
      </c>
    </row>
    <row r="3292" spans="1:7" hidden="1" x14ac:dyDescent="0.25">
      <c r="A3292" t="s">
        <v>9409</v>
      </c>
      <c r="B3292" t="s">
        <v>1607</v>
      </c>
      <c r="F3292" t="s">
        <v>10365</v>
      </c>
      <c r="G3292" t="s">
        <v>796</v>
      </c>
    </row>
    <row r="3293" spans="1:7" hidden="1" x14ac:dyDescent="0.25">
      <c r="A3293" t="s">
        <v>4</v>
      </c>
      <c r="B3293" t="s">
        <v>9</v>
      </c>
      <c r="F3293" t="s">
        <v>10368</v>
      </c>
      <c r="G3293" t="s">
        <v>796</v>
      </c>
    </row>
    <row r="3294" spans="1:7" hidden="1" x14ac:dyDescent="0.25">
      <c r="A3294" t="s">
        <v>4</v>
      </c>
      <c r="B3294" t="s">
        <v>10393</v>
      </c>
      <c r="E3294" t="s">
        <v>5479</v>
      </c>
      <c r="F3294" t="s">
        <v>10371</v>
      </c>
      <c r="G3294" t="s">
        <v>1100</v>
      </c>
    </row>
    <row r="3295" spans="1:7" hidden="1" x14ac:dyDescent="0.25">
      <c r="A3295" t="s">
        <v>4</v>
      </c>
      <c r="B3295" t="s">
        <v>7709</v>
      </c>
      <c r="F3295" t="s">
        <v>10374</v>
      </c>
      <c r="G3295" t="s">
        <v>1100</v>
      </c>
    </row>
    <row r="3296" spans="1:7" hidden="1" x14ac:dyDescent="0.25">
      <c r="A3296" t="s">
        <v>289</v>
      </c>
      <c r="B3296" t="s">
        <v>9520</v>
      </c>
      <c r="C3296" t="s">
        <v>58</v>
      </c>
      <c r="E3296" t="s">
        <v>10445</v>
      </c>
      <c r="F3296" t="s">
        <v>10377</v>
      </c>
      <c r="G3296" t="s">
        <v>1100</v>
      </c>
    </row>
    <row r="3297" spans="1:7" hidden="1" x14ac:dyDescent="0.25">
      <c r="A3297" t="s">
        <v>289</v>
      </c>
      <c r="B3297" t="s">
        <v>9520</v>
      </c>
      <c r="C3297" t="s">
        <v>58</v>
      </c>
      <c r="E3297" t="s">
        <v>2936</v>
      </c>
      <c r="F3297" t="s">
        <v>10380</v>
      </c>
      <c r="G3297" t="s">
        <v>1100</v>
      </c>
    </row>
    <row r="3298" spans="1:7" hidden="1" x14ac:dyDescent="0.25">
      <c r="A3298" t="s">
        <v>4</v>
      </c>
      <c r="B3298" t="s">
        <v>5480</v>
      </c>
      <c r="E3298" t="s">
        <v>5479</v>
      </c>
      <c r="F3298" t="s">
        <v>10383</v>
      </c>
      <c r="G3298" t="s">
        <v>1100</v>
      </c>
    </row>
    <row r="3299" spans="1:7" x14ac:dyDescent="0.25">
      <c r="A3299" t="s">
        <v>10442</v>
      </c>
      <c r="B3299" t="s">
        <v>1607</v>
      </c>
      <c r="F3299" t="s">
        <v>10386</v>
      </c>
      <c r="G3299" s="1" t="s">
        <v>1603</v>
      </c>
    </row>
    <row r="3300" spans="1:7" x14ac:dyDescent="0.25">
      <c r="A3300" t="s">
        <v>289</v>
      </c>
      <c r="B3300" t="s">
        <v>9521</v>
      </c>
      <c r="C3300" t="s">
        <v>58</v>
      </c>
      <c r="E3300" t="s">
        <v>10443</v>
      </c>
      <c r="F3300" t="s">
        <v>10394</v>
      </c>
      <c r="G3300" s="1" t="s">
        <v>1603</v>
      </c>
    </row>
    <row r="3301" spans="1:7" x14ac:dyDescent="0.25">
      <c r="A3301" t="s">
        <v>650</v>
      </c>
      <c r="B3301" t="s">
        <v>9521</v>
      </c>
      <c r="C3301" t="s">
        <v>58</v>
      </c>
      <c r="E3301" t="s">
        <v>10444</v>
      </c>
      <c r="F3301" t="s">
        <v>10397</v>
      </c>
      <c r="G3301" s="1" t="s">
        <v>1603</v>
      </c>
    </row>
    <row r="3302" spans="1:7" hidden="1" x14ac:dyDescent="0.25">
      <c r="A3302" t="s">
        <v>651</v>
      </c>
      <c r="B3302" t="s">
        <v>5480</v>
      </c>
      <c r="F3302" t="s">
        <v>10400</v>
      </c>
      <c r="G3302" t="s">
        <v>1817</v>
      </c>
    </row>
    <row r="3303" spans="1:7" hidden="1" x14ac:dyDescent="0.25">
      <c r="A3303" t="s">
        <v>651</v>
      </c>
      <c r="B3303" t="s">
        <v>5480</v>
      </c>
      <c r="F3303" t="s">
        <v>10403</v>
      </c>
      <c r="G3303" t="s">
        <v>1817</v>
      </c>
    </row>
    <row r="3304" spans="1:7" hidden="1" x14ac:dyDescent="0.25">
      <c r="A3304" t="s">
        <v>651</v>
      </c>
      <c r="B3304" t="s">
        <v>5480</v>
      </c>
      <c r="F3304" t="s">
        <v>10406</v>
      </c>
      <c r="G3304" t="s">
        <v>1817</v>
      </c>
    </row>
    <row r="3305" spans="1:7" hidden="1" x14ac:dyDescent="0.25">
      <c r="A3305" t="s">
        <v>651</v>
      </c>
      <c r="B3305" t="s">
        <v>5480</v>
      </c>
      <c r="F3305" t="s">
        <v>10409</v>
      </c>
      <c r="G3305" t="s">
        <v>1817</v>
      </c>
    </row>
    <row r="3306" spans="1:7" hidden="1" x14ac:dyDescent="0.25">
      <c r="A3306" t="s">
        <v>651</v>
      </c>
      <c r="B3306" t="s">
        <v>5480</v>
      </c>
      <c r="F3306" t="s">
        <v>10412</v>
      </c>
      <c r="G3306" t="s">
        <v>1817</v>
      </c>
    </row>
    <row r="3307" spans="1:7" hidden="1" x14ac:dyDescent="0.25">
      <c r="A3307" t="s">
        <v>651</v>
      </c>
      <c r="B3307" t="s">
        <v>5480</v>
      </c>
      <c r="F3307" t="s">
        <v>10415</v>
      </c>
      <c r="G3307" t="s">
        <v>1817</v>
      </c>
    </row>
    <row r="3308" spans="1:7" hidden="1" x14ac:dyDescent="0.25">
      <c r="A3308" t="s">
        <v>651</v>
      </c>
      <c r="B3308" t="s">
        <v>5480</v>
      </c>
      <c r="F3308" t="s">
        <v>10418</v>
      </c>
      <c r="G3308" t="s">
        <v>1817</v>
      </c>
    </row>
    <row r="3309" spans="1:7" hidden="1" x14ac:dyDescent="0.25">
      <c r="A3309" t="s">
        <v>651</v>
      </c>
      <c r="B3309" t="s">
        <v>5480</v>
      </c>
      <c r="F3309" t="s">
        <v>10421</v>
      </c>
      <c r="G3309" t="s">
        <v>1817</v>
      </c>
    </row>
    <row r="3310" spans="1:7" hidden="1" x14ac:dyDescent="0.25">
      <c r="A3310" t="s">
        <v>4</v>
      </c>
      <c r="B3310" t="s">
        <v>8</v>
      </c>
      <c r="F3310" t="s">
        <v>10424</v>
      </c>
      <c r="G3310" t="s">
        <v>1934</v>
      </c>
    </row>
    <row r="3311" spans="1:7" hidden="1" x14ac:dyDescent="0.25">
      <c r="A3311" t="s">
        <v>4</v>
      </c>
      <c r="B3311" t="s">
        <v>8</v>
      </c>
      <c r="E3311" t="s">
        <v>2936</v>
      </c>
      <c r="F3311" t="s">
        <v>10427</v>
      </c>
      <c r="G3311" t="s">
        <v>1934</v>
      </c>
    </row>
    <row r="3312" spans="1:7" hidden="1" x14ac:dyDescent="0.25">
      <c r="A3312" t="s">
        <v>4</v>
      </c>
      <c r="B3312" t="s">
        <v>8</v>
      </c>
      <c r="E3312" t="s">
        <v>2936</v>
      </c>
      <c r="F3312" t="s">
        <v>10430</v>
      </c>
      <c r="G3312" t="s">
        <v>1934</v>
      </c>
    </row>
    <row r="3313" spans="1:7" hidden="1" x14ac:dyDescent="0.25">
      <c r="A3313" t="s">
        <v>4</v>
      </c>
      <c r="B3313" t="s">
        <v>8</v>
      </c>
      <c r="F3313" t="s">
        <v>10433</v>
      </c>
      <c r="G3313" t="s">
        <v>1997</v>
      </c>
    </row>
    <row r="3314" spans="1:7" hidden="1" x14ac:dyDescent="0.25">
      <c r="A3314" t="s">
        <v>4</v>
      </c>
      <c r="B3314" t="s">
        <v>8</v>
      </c>
      <c r="E3314" t="s">
        <v>2936</v>
      </c>
      <c r="F3314" t="s">
        <v>10436</v>
      </c>
      <c r="G3314" t="s">
        <v>1997</v>
      </c>
    </row>
    <row r="3315" spans="1:7" hidden="1" x14ac:dyDescent="0.25">
      <c r="A3315" t="s">
        <v>4</v>
      </c>
      <c r="B3315" t="s">
        <v>8</v>
      </c>
      <c r="E3315" t="s">
        <v>2936</v>
      </c>
      <c r="F3315" t="s">
        <v>10439</v>
      </c>
      <c r="G3315" t="s">
        <v>1997</v>
      </c>
    </row>
    <row r="3316" spans="1:7" hidden="1" x14ac:dyDescent="0.25">
      <c r="A3316" t="s">
        <v>2004</v>
      </c>
      <c r="F3316" t="s">
        <v>10452</v>
      </c>
      <c r="G3316" t="s">
        <v>1102</v>
      </c>
    </row>
    <row r="3317" spans="1:7" hidden="1" x14ac:dyDescent="0.25">
      <c r="A3317" t="s">
        <v>2004</v>
      </c>
      <c r="F3317" t="s">
        <v>10455</v>
      </c>
      <c r="G3317" t="s">
        <v>1102</v>
      </c>
    </row>
    <row r="3318" spans="1:7" hidden="1" x14ac:dyDescent="0.25">
      <c r="A3318" t="s">
        <v>2004</v>
      </c>
      <c r="B3318" t="s">
        <v>8</v>
      </c>
      <c r="F3318" t="s">
        <v>10446</v>
      </c>
      <c r="G3318" t="s">
        <v>1103</v>
      </c>
    </row>
    <row r="3319" spans="1:7" hidden="1" x14ac:dyDescent="0.25">
      <c r="A3319" t="s">
        <v>2004</v>
      </c>
      <c r="B3319" t="s">
        <v>8</v>
      </c>
      <c r="F3319" t="s">
        <v>10449</v>
      </c>
      <c r="G3319" t="s">
        <v>1103</v>
      </c>
    </row>
    <row r="3320" spans="1:7" hidden="1" x14ac:dyDescent="0.25">
      <c r="A3320" t="s">
        <v>2004</v>
      </c>
      <c r="B3320" t="s">
        <v>8</v>
      </c>
      <c r="F3320" t="s">
        <v>10494</v>
      </c>
      <c r="G3320" t="s">
        <v>1104</v>
      </c>
    </row>
    <row r="3321" spans="1:7" hidden="1" x14ac:dyDescent="0.25">
      <c r="A3321" t="s">
        <v>2004</v>
      </c>
      <c r="B3321" t="s">
        <v>8</v>
      </c>
      <c r="F3321" t="s">
        <v>10497</v>
      </c>
      <c r="G3321" t="s">
        <v>1104</v>
      </c>
    </row>
    <row r="3322" spans="1:7" hidden="1" x14ac:dyDescent="0.25">
      <c r="A3322" t="s">
        <v>2004</v>
      </c>
      <c r="B3322" t="s">
        <v>8</v>
      </c>
      <c r="F3322" t="s">
        <v>10500</v>
      </c>
      <c r="G3322" t="s">
        <v>1105</v>
      </c>
    </row>
    <row r="3323" spans="1:7" hidden="1" x14ac:dyDescent="0.25">
      <c r="A3323" t="s">
        <v>2004</v>
      </c>
      <c r="B3323" t="s">
        <v>8</v>
      </c>
      <c r="F3323" t="s">
        <v>10503</v>
      </c>
      <c r="G3323" t="s">
        <v>1105</v>
      </c>
    </row>
    <row r="3324" spans="1:7" hidden="1" x14ac:dyDescent="0.25">
      <c r="A3324" t="s">
        <v>2004</v>
      </c>
      <c r="B3324" t="s">
        <v>8</v>
      </c>
      <c r="F3324" t="s">
        <v>10506</v>
      </c>
      <c r="G3324" t="s">
        <v>1106</v>
      </c>
    </row>
    <row r="3325" spans="1:7" hidden="1" x14ac:dyDescent="0.25">
      <c r="A3325" t="s">
        <v>2004</v>
      </c>
      <c r="B3325" t="s">
        <v>8</v>
      </c>
      <c r="F3325" t="s">
        <v>10509</v>
      </c>
      <c r="G3325" t="s">
        <v>1106</v>
      </c>
    </row>
    <row r="3326" spans="1:7" hidden="1" x14ac:dyDescent="0.25">
      <c r="A3326" t="s">
        <v>2004</v>
      </c>
      <c r="B3326" t="s">
        <v>8</v>
      </c>
      <c r="F3326" t="s">
        <v>10512</v>
      </c>
      <c r="G3326" t="s">
        <v>1107</v>
      </c>
    </row>
    <row r="3327" spans="1:7" hidden="1" x14ac:dyDescent="0.25">
      <c r="A3327" t="s">
        <v>2004</v>
      </c>
      <c r="B3327" t="s">
        <v>8</v>
      </c>
      <c r="F3327" t="s">
        <v>10515</v>
      </c>
      <c r="G3327" t="s">
        <v>1107</v>
      </c>
    </row>
    <row r="3328" spans="1:7" hidden="1" x14ac:dyDescent="0.25">
      <c r="A3328" t="s">
        <v>9409</v>
      </c>
      <c r="B3328" t="s">
        <v>1607</v>
      </c>
      <c r="F3328" t="s">
        <v>10458</v>
      </c>
      <c r="G3328" t="s">
        <v>796</v>
      </c>
    </row>
    <row r="3329" spans="1:7" hidden="1" x14ac:dyDescent="0.25">
      <c r="A3329" t="s">
        <v>9409</v>
      </c>
      <c r="B3329" t="s">
        <v>1607</v>
      </c>
      <c r="F3329" t="s">
        <v>10461</v>
      </c>
      <c r="G3329" t="s">
        <v>796</v>
      </c>
    </row>
    <row r="3330" spans="1:7" hidden="1" x14ac:dyDescent="0.25">
      <c r="A3330" t="s">
        <v>4</v>
      </c>
      <c r="B3330" t="s">
        <v>9</v>
      </c>
      <c r="F3330" t="s">
        <v>10464</v>
      </c>
      <c r="G3330" t="s">
        <v>796</v>
      </c>
    </row>
    <row r="3331" spans="1:7" hidden="1" x14ac:dyDescent="0.25">
      <c r="A3331" t="s">
        <v>4</v>
      </c>
      <c r="B3331" t="s">
        <v>5480</v>
      </c>
      <c r="E3331" t="s">
        <v>5479</v>
      </c>
      <c r="F3331" t="s">
        <v>10467</v>
      </c>
      <c r="G3331" t="s">
        <v>1100</v>
      </c>
    </row>
    <row r="3332" spans="1:7" hidden="1" x14ac:dyDescent="0.25">
      <c r="A3332" t="s">
        <v>4</v>
      </c>
      <c r="B3332" t="s">
        <v>5137</v>
      </c>
      <c r="F3332" t="s">
        <v>10518</v>
      </c>
      <c r="G3332" t="s">
        <v>1100</v>
      </c>
    </row>
    <row r="3333" spans="1:7" x14ac:dyDescent="0.25">
      <c r="A3333" t="s">
        <v>4</v>
      </c>
      <c r="B3333" t="s">
        <v>10524</v>
      </c>
      <c r="F3333" t="s">
        <v>10521</v>
      </c>
      <c r="G3333" s="1" t="s">
        <v>1603</v>
      </c>
    </row>
    <row r="3334" spans="1:7" x14ac:dyDescent="0.25">
      <c r="A3334" t="s">
        <v>4</v>
      </c>
      <c r="B3334" t="s">
        <v>462</v>
      </c>
      <c r="F3334" t="s">
        <v>10470</v>
      </c>
      <c r="G3334" s="1" t="s">
        <v>1603</v>
      </c>
    </row>
    <row r="3335" spans="1:7" hidden="1" x14ac:dyDescent="0.25">
      <c r="A3335" t="s">
        <v>2004</v>
      </c>
      <c r="B3335" t="s">
        <v>8</v>
      </c>
      <c r="F3335" t="s">
        <v>10473</v>
      </c>
      <c r="G3335" t="s">
        <v>1817</v>
      </c>
    </row>
    <row r="3336" spans="1:7" hidden="1" x14ac:dyDescent="0.25">
      <c r="A3336" t="s">
        <v>2004</v>
      </c>
      <c r="B3336" t="s">
        <v>8</v>
      </c>
      <c r="F3336" t="s">
        <v>10476</v>
      </c>
      <c r="G3336" t="s">
        <v>1817</v>
      </c>
    </row>
    <row r="3337" spans="1:7" hidden="1" x14ac:dyDescent="0.25">
      <c r="A3337" t="s">
        <v>2004</v>
      </c>
      <c r="B3337" t="s">
        <v>8</v>
      </c>
      <c r="F3337" t="s">
        <v>10479</v>
      </c>
      <c r="G3337" t="s">
        <v>1934</v>
      </c>
    </row>
    <row r="3338" spans="1:7" hidden="1" x14ac:dyDescent="0.25">
      <c r="A3338" t="s">
        <v>2004</v>
      </c>
      <c r="B3338" t="s">
        <v>8</v>
      </c>
      <c r="F3338" t="s">
        <v>10482</v>
      </c>
      <c r="G3338" t="s">
        <v>1934</v>
      </c>
    </row>
    <row r="3339" spans="1:7" hidden="1" x14ac:dyDescent="0.25">
      <c r="A3339" t="s">
        <v>2004</v>
      </c>
      <c r="B3339" t="s">
        <v>8</v>
      </c>
      <c r="F3339" t="s">
        <v>10485</v>
      </c>
      <c r="G3339" t="s">
        <v>1997</v>
      </c>
    </row>
    <row r="3340" spans="1:7" hidden="1" x14ac:dyDescent="0.25">
      <c r="A3340" t="s">
        <v>2004</v>
      </c>
      <c r="B3340" t="s">
        <v>8</v>
      </c>
      <c r="F3340" t="s">
        <v>10488</v>
      </c>
      <c r="G3340" t="s">
        <v>1997</v>
      </c>
    </row>
    <row r="3341" spans="1:7" hidden="1" x14ac:dyDescent="0.25">
      <c r="A3341" t="s">
        <v>2004</v>
      </c>
      <c r="B3341" t="s">
        <v>8</v>
      </c>
      <c r="F3341" t="s">
        <v>10525</v>
      </c>
      <c r="G3341" t="s">
        <v>91</v>
      </c>
    </row>
    <row r="3342" spans="1:7" hidden="1" x14ac:dyDescent="0.25">
      <c r="A3342" t="s">
        <v>2004</v>
      </c>
      <c r="B3342" t="s">
        <v>8</v>
      </c>
      <c r="F3342" t="s">
        <v>10491</v>
      </c>
      <c r="G3342" t="s">
        <v>91</v>
      </c>
    </row>
    <row r="3343" spans="1:7" hidden="1" x14ac:dyDescent="0.25">
      <c r="A3343" t="s">
        <v>2004</v>
      </c>
      <c r="F3343" t="s">
        <v>10534</v>
      </c>
      <c r="G3343" t="s">
        <v>1102</v>
      </c>
    </row>
    <row r="3344" spans="1:7" hidden="1" x14ac:dyDescent="0.25">
      <c r="A3344" t="s">
        <v>2004</v>
      </c>
      <c r="F3344" t="s">
        <v>10537</v>
      </c>
      <c r="G3344" t="s">
        <v>1102</v>
      </c>
    </row>
    <row r="3345" spans="1:7" hidden="1" x14ac:dyDescent="0.25">
      <c r="A3345" t="s">
        <v>2004</v>
      </c>
      <c r="B3345" t="s">
        <v>8</v>
      </c>
      <c r="F3345" t="s">
        <v>10528</v>
      </c>
      <c r="G3345" t="s">
        <v>1103</v>
      </c>
    </row>
    <row r="3346" spans="1:7" hidden="1" x14ac:dyDescent="0.25">
      <c r="A3346" t="s">
        <v>2004</v>
      </c>
      <c r="B3346" t="s">
        <v>8</v>
      </c>
      <c r="F3346" t="s">
        <v>10531</v>
      </c>
      <c r="G3346" t="s">
        <v>1103</v>
      </c>
    </row>
    <row r="3347" spans="1:7" hidden="1" x14ac:dyDescent="0.25">
      <c r="A3347" t="s">
        <v>4</v>
      </c>
      <c r="B3347" t="s">
        <v>8803</v>
      </c>
      <c r="F3347" t="s">
        <v>10558</v>
      </c>
      <c r="G3347" t="s">
        <v>91</v>
      </c>
    </row>
    <row r="3348" spans="1:7" hidden="1" x14ac:dyDescent="0.25">
      <c r="A3348" t="s">
        <v>4</v>
      </c>
      <c r="B3348" t="s">
        <v>8803</v>
      </c>
      <c r="F3348" t="s">
        <v>10561</v>
      </c>
      <c r="G3348" t="s">
        <v>91</v>
      </c>
    </row>
    <row r="3349" spans="1:7" hidden="1" x14ac:dyDescent="0.25">
      <c r="A3349" t="s">
        <v>2004</v>
      </c>
      <c r="B3349" t="s">
        <v>8</v>
      </c>
      <c r="F3349" t="s">
        <v>10540</v>
      </c>
      <c r="G3349" t="s">
        <v>1104</v>
      </c>
    </row>
    <row r="3350" spans="1:7" hidden="1" x14ac:dyDescent="0.25">
      <c r="A3350" t="s">
        <v>2004</v>
      </c>
      <c r="B3350" t="s">
        <v>8</v>
      </c>
      <c r="F3350" t="s">
        <v>10543</v>
      </c>
      <c r="G3350" t="s">
        <v>1104</v>
      </c>
    </row>
    <row r="3351" spans="1:7" hidden="1" x14ac:dyDescent="0.25">
      <c r="A3351" t="s">
        <v>4</v>
      </c>
      <c r="B3351" t="s">
        <v>2932</v>
      </c>
      <c r="F3351" t="s">
        <v>10546</v>
      </c>
      <c r="G3351" t="s">
        <v>1105</v>
      </c>
    </row>
    <row r="3352" spans="1:7" hidden="1" x14ac:dyDescent="0.25">
      <c r="A3352" t="s">
        <v>4</v>
      </c>
      <c r="B3352" t="s">
        <v>10630</v>
      </c>
      <c r="F3352" t="s">
        <v>10549</v>
      </c>
      <c r="G3352" t="s">
        <v>1105</v>
      </c>
    </row>
    <row r="3353" spans="1:7" hidden="1" x14ac:dyDescent="0.25">
      <c r="A3353" t="s">
        <v>2004</v>
      </c>
      <c r="B3353" t="s">
        <v>8</v>
      </c>
      <c r="F3353" t="s">
        <v>10552</v>
      </c>
      <c r="G3353" t="s">
        <v>1106</v>
      </c>
    </row>
    <row r="3354" spans="1:7" hidden="1" x14ac:dyDescent="0.25">
      <c r="A3354" t="s">
        <v>2004</v>
      </c>
      <c r="B3354" t="s">
        <v>8</v>
      </c>
      <c r="F3354" t="s">
        <v>10555</v>
      </c>
      <c r="G3354" t="s">
        <v>1106</v>
      </c>
    </row>
    <row r="3355" spans="1:7" hidden="1" x14ac:dyDescent="0.25">
      <c r="A3355" t="s">
        <v>2004</v>
      </c>
      <c r="B3355" t="s">
        <v>8</v>
      </c>
      <c r="F3355" t="s">
        <v>10631</v>
      </c>
      <c r="G3355" t="s">
        <v>1107</v>
      </c>
    </row>
    <row r="3356" spans="1:7" hidden="1" x14ac:dyDescent="0.25">
      <c r="A3356" t="s">
        <v>2004</v>
      </c>
      <c r="B3356" t="s">
        <v>8</v>
      </c>
      <c r="F3356" t="s">
        <v>10634</v>
      </c>
      <c r="G3356" t="s">
        <v>1107</v>
      </c>
    </row>
    <row r="3357" spans="1:7" hidden="1" x14ac:dyDescent="0.25">
      <c r="A3357" t="s">
        <v>9409</v>
      </c>
      <c r="B3357" t="s">
        <v>1607</v>
      </c>
      <c r="F3357" t="s">
        <v>10564</v>
      </c>
      <c r="G3357" t="s">
        <v>796</v>
      </c>
    </row>
    <row r="3358" spans="1:7" hidden="1" x14ac:dyDescent="0.25">
      <c r="A3358" t="s">
        <v>9409</v>
      </c>
      <c r="B3358" t="s">
        <v>1607</v>
      </c>
      <c r="E3358" t="s">
        <v>2936</v>
      </c>
      <c r="F3358" t="s">
        <v>10567</v>
      </c>
      <c r="G3358" t="s">
        <v>796</v>
      </c>
    </row>
    <row r="3359" spans="1:7" hidden="1" x14ac:dyDescent="0.25">
      <c r="A3359" t="s">
        <v>9409</v>
      </c>
      <c r="B3359" t="s">
        <v>1607</v>
      </c>
      <c r="E3359" t="s">
        <v>2936</v>
      </c>
      <c r="F3359" t="s">
        <v>10570</v>
      </c>
      <c r="G3359" t="s">
        <v>796</v>
      </c>
    </row>
    <row r="3360" spans="1:7" hidden="1" x14ac:dyDescent="0.25">
      <c r="A3360" t="s">
        <v>9409</v>
      </c>
      <c r="B3360" t="s">
        <v>1607</v>
      </c>
      <c r="E3360" t="s">
        <v>2936</v>
      </c>
      <c r="F3360" t="s">
        <v>10573</v>
      </c>
      <c r="G3360" t="s">
        <v>796</v>
      </c>
    </row>
    <row r="3361" spans="1:7" hidden="1" x14ac:dyDescent="0.25">
      <c r="A3361" t="s">
        <v>9409</v>
      </c>
      <c r="B3361" t="s">
        <v>1607</v>
      </c>
      <c r="E3361" t="s">
        <v>2936</v>
      </c>
      <c r="F3361" t="s">
        <v>10576</v>
      </c>
      <c r="G3361" t="s">
        <v>796</v>
      </c>
    </row>
    <row r="3362" spans="1:7" hidden="1" x14ac:dyDescent="0.25">
      <c r="A3362" t="s">
        <v>9409</v>
      </c>
      <c r="B3362" t="s">
        <v>1607</v>
      </c>
      <c r="E3362" t="s">
        <v>2936</v>
      </c>
      <c r="F3362" t="s">
        <v>10579</v>
      </c>
      <c r="G3362" t="s">
        <v>796</v>
      </c>
    </row>
    <row r="3363" spans="1:7" hidden="1" x14ac:dyDescent="0.25">
      <c r="A3363" t="s">
        <v>9409</v>
      </c>
      <c r="B3363" t="s">
        <v>1607</v>
      </c>
      <c r="E3363" t="s">
        <v>2936</v>
      </c>
      <c r="F3363" t="s">
        <v>10582</v>
      </c>
      <c r="G3363" t="s">
        <v>796</v>
      </c>
    </row>
    <row r="3364" spans="1:7" hidden="1" x14ac:dyDescent="0.25">
      <c r="A3364" t="s">
        <v>9455</v>
      </c>
      <c r="B3364" t="s">
        <v>531</v>
      </c>
      <c r="F3364" t="s">
        <v>10585</v>
      </c>
      <c r="G3364" t="s">
        <v>1100</v>
      </c>
    </row>
    <row r="3365" spans="1:7" hidden="1" x14ac:dyDescent="0.25">
      <c r="A3365" t="s">
        <v>10637</v>
      </c>
      <c r="B3365" t="s">
        <v>531</v>
      </c>
      <c r="F3365" t="s">
        <v>10588</v>
      </c>
      <c r="G3365" t="s">
        <v>1100</v>
      </c>
    </row>
    <row r="3366" spans="1:7" hidden="1" x14ac:dyDescent="0.25">
      <c r="A3366" t="s">
        <v>9455</v>
      </c>
      <c r="B3366" t="s">
        <v>531</v>
      </c>
      <c r="F3366" t="s">
        <v>10591</v>
      </c>
      <c r="G3366" t="s">
        <v>1100</v>
      </c>
    </row>
    <row r="3367" spans="1:7" hidden="1" x14ac:dyDescent="0.25">
      <c r="A3367" t="s">
        <v>10637</v>
      </c>
      <c r="B3367" t="s">
        <v>531</v>
      </c>
      <c r="F3367" t="s">
        <v>10594</v>
      </c>
      <c r="G3367" t="s">
        <v>1100</v>
      </c>
    </row>
    <row r="3368" spans="1:7" hidden="1" x14ac:dyDescent="0.25">
      <c r="A3368" t="s">
        <v>4</v>
      </c>
      <c r="B3368" t="s">
        <v>7709</v>
      </c>
      <c r="F3368" t="s">
        <v>10597</v>
      </c>
      <c r="G3368" t="s">
        <v>1100</v>
      </c>
    </row>
    <row r="3369" spans="1:7" x14ac:dyDescent="0.25">
      <c r="A3369" t="s">
        <v>4</v>
      </c>
      <c r="B3369" t="s">
        <v>10638</v>
      </c>
      <c r="F3369" t="s">
        <v>10600</v>
      </c>
      <c r="G3369" s="1" t="s">
        <v>1603</v>
      </c>
    </row>
    <row r="3370" spans="1:7" x14ac:dyDescent="0.25">
      <c r="A3370" t="s">
        <v>4</v>
      </c>
      <c r="B3370" t="s">
        <v>10638</v>
      </c>
      <c r="F3370" t="s">
        <v>10603</v>
      </c>
      <c r="G3370" s="1" t="s">
        <v>1603</v>
      </c>
    </row>
    <row r="3371" spans="1:7" x14ac:dyDescent="0.25">
      <c r="A3371" t="s">
        <v>4</v>
      </c>
      <c r="B3371" t="s">
        <v>10638</v>
      </c>
      <c r="F3371" t="s">
        <v>10606</v>
      </c>
      <c r="G3371" s="1" t="s">
        <v>1603</v>
      </c>
    </row>
    <row r="3372" spans="1:7" x14ac:dyDescent="0.25">
      <c r="A3372" t="s">
        <v>4</v>
      </c>
      <c r="B3372" t="s">
        <v>10524</v>
      </c>
      <c r="F3372" t="s">
        <v>10609</v>
      </c>
      <c r="G3372" s="1" t="s">
        <v>1603</v>
      </c>
    </row>
    <row r="3373" spans="1:7" hidden="1" x14ac:dyDescent="0.25">
      <c r="A3373" t="s">
        <v>10639</v>
      </c>
      <c r="B3373" t="s">
        <v>531</v>
      </c>
      <c r="F3373" t="s">
        <v>10612</v>
      </c>
      <c r="G3373" t="s">
        <v>1817</v>
      </c>
    </row>
    <row r="3374" spans="1:7" hidden="1" x14ac:dyDescent="0.25">
      <c r="A3374" t="s">
        <v>10640</v>
      </c>
      <c r="B3374" t="s">
        <v>531</v>
      </c>
      <c r="F3374" t="s">
        <v>10615</v>
      </c>
      <c r="G3374" t="s">
        <v>1817</v>
      </c>
    </row>
    <row r="3375" spans="1:7" hidden="1" x14ac:dyDescent="0.25">
      <c r="A3375" t="s">
        <v>2004</v>
      </c>
      <c r="B3375" t="s">
        <v>8</v>
      </c>
      <c r="F3375" t="s">
        <v>10618</v>
      </c>
      <c r="G3375" t="s">
        <v>1934</v>
      </c>
    </row>
    <row r="3376" spans="1:7" hidden="1" x14ac:dyDescent="0.25">
      <c r="A3376" t="s">
        <v>9914</v>
      </c>
      <c r="B3376" t="s">
        <v>4247</v>
      </c>
      <c r="F3376" t="s">
        <v>10621</v>
      </c>
      <c r="G3376" t="s">
        <v>1934</v>
      </c>
    </row>
    <row r="3377" spans="1:7" hidden="1" x14ac:dyDescent="0.25">
      <c r="A3377" t="s">
        <v>2004</v>
      </c>
      <c r="B3377" t="s">
        <v>8</v>
      </c>
      <c r="F3377" t="s">
        <v>10624</v>
      </c>
      <c r="G3377" t="s">
        <v>1997</v>
      </c>
    </row>
    <row r="3378" spans="1:7" hidden="1" x14ac:dyDescent="0.25">
      <c r="A3378" t="s">
        <v>2004</v>
      </c>
      <c r="B3378" t="s">
        <v>8</v>
      </c>
      <c r="F3378" t="s">
        <v>10627</v>
      </c>
      <c r="G3378" t="s">
        <v>1997</v>
      </c>
    </row>
    <row r="3379" spans="1:7" hidden="1" x14ac:dyDescent="0.25">
      <c r="A3379" t="s">
        <v>2004</v>
      </c>
      <c r="F3379" t="s">
        <v>10716</v>
      </c>
      <c r="G3379" t="s">
        <v>1102</v>
      </c>
    </row>
    <row r="3380" spans="1:7" hidden="1" x14ac:dyDescent="0.25">
      <c r="A3380" t="s">
        <v>62</v>
      </c>
      <c r="B3380" t="s">
        <v>10884</v>
      </c>
      <c r="C3380" t="s">
        <v>58</v>
      </c>
      <c r="D3380">
        <v>4</v>
      </c>
      <c r="E3380" t="s">
        <v>9336</v>
      </c>
      <c r="F3380" t="s">
        <v>10719</v>
      </c>
      <c r="G3380" t="s">
        <v>1102</v>
      </c>
    </row>
    <row r="3381" spans="1:7" hidden="1" x14ac:dyDescent="0.25">
      <c r="A3381" t="s">
        <v>158</v>
      </c>
      <c r="B3381" t="s">
        <v>1607</v>
      </c>
      <c r="C3381" t="s">
        <v>2929</v>
      </c>
      <c r="D3381">
        <v>1</v>
      </c>
      <c r="E3381" t="s">
        <v>3075</v>
      </c>
      <c r="F3381" t="s">
        <v>10641</v>
      </c>
      <c r="G3381" t="s">
        <v>1103</v>
      </c>
    </row>
    <row r="3382" spans="1:7" hidden="1" x14ac:dyDescent="0.25">
      <c r="A3382" t="s">
        <v>158</v>
      </c>
      <c r="B3382" t="s">
        <v>1607</v>
      </c>
      <c r="C3382" t="s">
        <v>2929</v>
      </c>
      <c r="D3382">
        <v>1</v>
      </c>
      <c r="E3382" t="s">
        <v>3075</v>
      </c>
      <c r="F3382" t="s">
        <v>10644</v>
      </c>
      <c r="G3382" t="s">
        <v>1103</v>
      </c>
    </row>
    <row r="3383" spans="1:7" hidden="1" x14ac:dyDescent="0.25">
      <c r="A3383" t="s">
        <v>158</v>
      </c>
      <c r="B3383" t="s">
        <v>1607</v>
      </c>
      <c r="C3383" t="s">
        <v>2929</v>
      </c>
      <c r="D3383">
        <v>1</v>
      </c>
      <c r="E3383" t="s">
        <v>3075</v>
      </c>
      <c r="F3383" t="s">
        <v>10647</v>
      </c>
      <c r="G3383" t="s">
        <v>1103</v>
      </c>
    </row>
    <row r="3384" spans="1:7" hidden="1" x14ac:dyDescent="0.25">
      <c r="A3384" t="s">
        <v>158</v>
      </c>
      <c r="B3384" t="s">
        <v>1607</v>
      </c>
      <c r="C3384" t="s">
        <v>2929</v>
      </c>
      <c r="D3384">
        <v>1</v>
      </c>
      <c r="E3384" t="s">
        <v>3075</v>
      </c>
      <c r="F3384" t="s">
        <v>10650</v>
      </c>
      <c r="G3384" t="s">
        <v>1103</v>
      </c>
    </row>
    <row r="3385" spans="1:7" hidden="1" x14ac:dyDescent="0.25">
      <c r="A3385" t="s">
        <v>289</v>
      </c>
      <c r="B3385" t="s">
        <v>10884</v>
      </c>
      <c r="C3385" t="s">
        <v>2929</v>
      </c>
      <c r="D3385">
        <v>1</v>
      </c>
      <c r="F3385" t="s">
        <v>10653</v>
      </c>
      <c r="G3385" t="s">
        <v>1103</v>
      </c>
    </row>
    <row r="3386" spans="1:7" hidden="1" x14ac:dyDescent="0.25">
      <c r="A3386" t="s">
        <v>289</v>
      </c>
      <c r="B3386" t="s">
        <v>10884</v>
      </c>
      <c r="C3386" t="s">
        <v>2929</v>
      </c>
      <c r="D3386">
        <v>1</v>
      </c>
      <c r="E3386" t="s">
        <v>2936</v>
      </c>
      <c r="F3386" t="s">
        <v>10656</v>
      </c>
      <c r="G3386" t="s">
        <v>1103</v>
      </c>
    </row>
    <row r="3387" spans="1:7" hidden="1" x14ac:dyDescent="0.25">
      <c r="A3387" t="s">
        <v>289</v>
      </c>
      <c r="B3387" t="s">
        <v>10884</v>
      </c>
      <c r="C3387" t="s">
        <v>2929</v>
      </c>
      <c r="D3387">
        <v>1</v>
      </c>
      <c r="E3387" t="s">
        <v>2936</v>
      </c>
      <c r="F3387" t="s">
        <v>10659</v>
      </c>
      <c r="G3387" t="s">
        <v>1103</v>
      </c>
    </row>
    <row r="3388" spans="1:7" hidden="1" x14ac:dyDescent="0.25">
      <c r="A3388" t="s">
        <v>289</v>
      </c>
      <c r="B3388" t="s">
        <v>10884</v>
      </c>
      <c r="C3388" t="s">
        <v>2929</v>
      </c>
      <c r="D3388">
        <v>1</v>
      </c>
      <c r="E3388" t="s">
        <v>2936</v>
      </c>
      <c r="F3388" t="s">
        <v>10662</v>
      </c>
      <c r="G3388" t="s">
        <v>1103</v>
      </c>
    </row>
    <row r="3389" spans="1:7" hidden="1" x14ac:dyDescent="0.25">
      <c r="A3389" t="s">
        <v>650</v>
      </c>
      <c r="B3389" t="s">
        <v>10884</v>
      </c>
      <c r="C3389" t="s">
        <v>58</v>
      </c>
      <c r="E3389" t="s">
        <v>9336</v>
      </c>
      <c r="F3389" t="s">
        <v>10665</v>
      </c>
      <c r="G3389" t="s">
        <v>1103</v>
      </c>
    </row>
    <row r="3390" spans="1:7" hidden="1" x14ac:dyDescent="0.25">
      <c r="A3390" t="s">
        <v>158</v>
      </c>
      <c r="B3390" t="s">
        <v>1607</v>
      </c>
      <c r="C3390" t="s">
        <v>2929</v>
      </c>
      <c r="D3390">
        <v>1</v>
      </c>
      <c r="E3390" t="s">
        <v>3075</v>
      </c>
      <c r="F3390" t="s">
        <v>10668</v>
      </c>
      <c r="G3390" t="s">
        <v>1103</v>
      </c>
    </row>
    <row r="3391" spans="1:7" hidden="1" x14ac:dyDescent="0.25">
      <c r="A3391" t="s">
        <v>158</v>
      </c>
      <c r="B3391" t="s">
        <v>1607</v>
      </c>
      <c r="C3391" t="s">
        <v>2929</v>
      </c>
      <c r="D3391">
        <v>2</v>
      </c>
      <c r="E3391" t="s">
        <v>3075</v>
      </c>
      <c r="F3391" t="s">
        <v>10671</v>
      </c>
      <c r="G3391" t="s">
        <v>1103</v>
      </c>
    </row>
    <row r="3392" spans="1:7" hidden="1" x14ac:dyDescent="0.25">
      <c r="A3392" t="s">
        <v>158</v>
      </c>
      <c r="B3392" t="s">
        <v>1607</v>
      </c>
      <c r="C3392" t="s">
        <v>2929</v>
      </c>
      <c r="D3392">
        <v>2</v>
      </c>
      <c r="E3392" t="s">
        <v>3075</v>
      </c>
      <c r="F3392" t="s">
        <v>10674</v>
      </c>
      <c r="G3392" t="s">
        <v>1103</v>
      </c>
    </row>
    <row r="3393" spans="1:7" hidden="1" x14ac:dyDescent="0.25">
      <c r="A3393" t="s">
        <v>158</v>
      </c>
      <c r="B3393" t="s">
        <v>1607</v>
      </c>
      <c r="C3393" t="s">
        <v>2929</v>
      </c>
      <c r="D3393">
        <v>2</v>
      </c>
      <c r="E3393" t="s">
        <v>3075</v>
      </c>
      <c r="F3393" t="s">
        <v>10677</v>
      </c>
      <c r="G3393" t="s">
        <v>1103</v>
      </c>
    </row>
    <row r="3394" spans="1:7" hidden="1" x14ac:dyDescent="0.25">
      <c r="A3394" t="s">
        <v>533</v>
      </c>
      <c r="B3394" t="s">
        <v>531</v>
      </c>
      <c r="C3394" t="s">
        <v>2929</v>
      </c>
      <c r="E3394" t="s">
        <v>10885</v>
      </c>
      <c r="F3394" t="s">
        <v>10683</v>
      </c>
      <c r="G3394" t="s">
        <v>1103</v>
      </c>
    </row>
    <row r="3395" spans="1:7" hidden="1" x14ac:dyDescent="0.25">
      <c r="A3395" t="s">
        <v>533</v>
      </c>
      <c r="B3395" t="s">
        <v>531</v>
      </c>
      <c r="C3395" t="s">
        <v>2929</v>
      </c>
      <c r="E3395" t="s">
        <v>10885</v>
      </c>
      <c r="F3395" t="s">
        <v>10689</v>
      </c>
      <c r="G3395" t="s">
        <v>1103</v>
      </c>
    </row>
    <row r="3396" spans="1:7" hidden="1" x14ac:dyDescent="0.25">
      <c r="A3396" t="s">
        <v>533</v>
      </c>
      <c r="B3396" t="s">
        <v>531</v>
      </c>
      <c r="C3396" t="s">
        <v>2929</v>
      </c>
      <c r="E3396" t="s">
        <v>10885</v>
      </c>
      <c r="F3396" t="s">
        <v>10692</v>
      </c>
      <c r="G3396" t="s">
        <v>1103</v>
      </c>
    </row>
    <row r="3397" spans="1:7" hidden="1" x14ac:dyDescent="0.25">
      <c r="A3397" t="s">
        <v>533</v>
      </c>
      <c r="B3397" t="s">
        <v>531</v>
      </c>
      <c r="C3397" t="s">
        <v>2929</v>
      </c>
      <c r="E3397" t="s">
        <v>10885</v>
      </c>
      <c r="F3397" t="s">
        <v>10698</v>
      </c>
      <c r="G3397" t="s">
        <v>1103</v>
      </c>
    </row>
    <row r="3398" spans="1:7" hidden="1" x14ac:dyDescent="0.25">
      <c r="A3398" t="s">
        <v>533</v>
      </c>
      <c r="B3398" t="s">
        <v>531</v>
      </c>
      <c r="C3398" t="s">
        <v>2929</v>
      </c>
      <c r="E3398" t="s">
        <v>10885</v>
      </c>
      <c r="F3398" t="s">
        <v>10701</v>
      </c>
      <c r="G3398" t="s">
        <v>1103</v>
      </c>
    </row>
    <row r="3399" spans="1:7" hidden="1" x14ac:dyDescent="0.25">
      <c r="A3399" t="s">
        <v>533</v>
      </c>
      <c r="B3399" t="s">
        <v>531</v>
      </c>
      <c r="C3399" t="s">
        <v>2929</v>
      </c>
      <c r="E3399" t="s">
        <v>10885</v>
      </c>
      <c r="F3399" t="s">
        <v>10707</v>
      </c>
      <c r="G3399" t="s">
        <v>1103</v>
      </c>
    </row>
    <row r="3400" spans="1:7" hidden="1" x14ac:dyDescent="0.25">
      <c r="A3400" t="s">
        <v>533</v>
      </c>
      <c r="B3400" t="s">
        <v>531</v>
      </c>
      <c r="C3400" t="s">
        <v>2929</v>
      </c>
      <c r="E3400" t="s">
        <v>10885</v>
      </c>
      <c r="F3400" t="s">
        <v>10680</v>
      </c>
      <c r="G3400" t="s">
        <v>1103</v>
      </c>
    </row>
    <row r="3401" spans="1:7" hidden="1" x14ac:dyDescent="0.25">
      <c r="A3401" t="s">
        <v>533</v>
      </c>
      <c r="B3401" t="s">
        <v>531</v>
      </c>
      <c r="C3401" t="s">
        <v>2929</v>
      </c>
      <c r="E3401" t="s">
        <v>10885</v>
      </c>
      <c r="F3401" t="s">
        <v>10686</v>
      </c>
      <c r="G3401" t="s">
        <v>1103</v>
      </c>
    </row>
    <row r="3402" spans="1:7" hidden="1" x14ac:dyDescent="0.25">
      <c r="A3402" t="s">
        <v>533</v>
      </c>
      <c r="B3402" t="s">
        <v>531</v>
      </c>
      <c r="C3402" t="s">
        <v>2929</v>
      </c>
      <c r="E3402" t="s">
        <v>10885</v>
      </c>
      <c r="F3402" t="s">
        <v>10695</v>
      </c>
      <c r="G3402" t="s">
        <v>1103</v>
      </c>
    </row>
    <row r="3403" spans="1:7" hidden="1" x14ac:dyDescent="0.25">
      <c r="A3403" t="s">
        <v>533</v>
      </c>
      <c r="B3403" t="s">
        <v>531</v>
      </c>
      <c r="C3403" t="s">
        <v>2929</v>
      </c>
      <c r="E3403" t="s">
        <v>10885</v>
      </c>
      <c r="F3403" t="s">
        <v>10704</v>
      </c>
      <c r="G3403" t="s">
        <v>1103</v>
      </c>
    </row>
    <row r="3404" spans="1:7" hidden="1" x14ac:dyDescent="0.25">
      <c r="A3404" t="s">
        <v>4</v>
      </c>
      <c r="B3404" t="s">
        <v>8803</v>
      </c>
      <c r="F3404" t="s">
        <v>10737</v>
      </c>
      <c r="G3404" t="s">
        <v>91</v>
      </c>
    </row>
    <row r="3405" spans="1:7" hidden="1" x14ac:dyDescent="0.25">
      <c r="A3405" t="s">
        <v>4</v>
      </c>
      <c r="B3405" t="s">
        <v>8803</v>
      </c>
      <c r="F3405" t="s">
        <v>10740</v>
      </c>
      <c r="G3405" t="s">
        <v>91</v>
      </c>
    </row>
    <row r="3406" spans="1:7" hidden="1" x14ac:dyDescent="0.25">
      <c r="A3406" t="s">
        <v>4</v>
      </c>
      <c r="B3406" t="s">
        <v>10886</v>
      </c>
      <c r="F3406" t="s">
        <v>10710</v>
      </c>
      <c r="G3406" t="s">
        <v>1104</v>
      </c>
    </row>
    <row r="3407" spans="1:7" hidden="1" x14ac:dyDescent="0.25">
      <c r="A3407" t="s">
        <v>4</v>
      </c>
      <c r="B3407" t="s">
        <v>8803</v>
      </c>
      <c r="F3407" t="s">
        <v>10713</v>
      </c>
      <c r="G3407" t="s">
        <v>1104</v>
      </c>
    </row>
    <row r="3408" spans="1:7" hidden="1" x14ac:dyDescent="0.25">
      <c r="A3408" t="s">
        <v>4</v>
      </c>
      <c r="B3408" t="s">
        <v>9876</v>
      </c>
      <c r="F3408" t="s">
        <v>10722</v>
      </c>
      <c r="G3408" t="s">
        <v>1105</v>
      </c>
    </row>
    <row r="3409" spans="1:7" hidden="1" x14ac:dyDescent="0.25">
      <c r="A3409" t="s">
        <v>158</v>
      </c>
      <c r="B3409" t="s">
        <v>86</v>
      </c>
      <c r="C3409" t="s">
        <v>60</v>
      </c>
      <c r="E3409" t="s">
        <v>10887</v>
      </c>
      <c r="F3409" t="s">
        <v>10725</v>
      </c>
      <c r="G3409" t="s">
        <v>1105</v>
      </c>
    </row>
    <row r="3410" spans="1:7" hidden="1" x14ac:dyDescent="0.25">
      <c r="A3410" t="s">
        <v>4</v>
      </c>
      <c r="B3410" t="s">
        <v>2932</v>
      </c>
      <c r="F3410" t="s">
        <v>10728</v>
      </c>
      <c r="G3410" t="s">
        <v>1105</v>
      </c>
    </row>
    <row r="3411" spans="1:7" hidden="1" x14ac:dyDescent="0.25">
      <c r="A3411" t="s">
        <v>4</v>
      </c>
      <c r="B3411" t="s">
        <v>9876</v>
      </c>
      <c r="F3411" t="s">
        <v>10731</v>
      </c>
      <c r="G3411" t="s">
        <v>1105</v>
      </c>
    </row>
    <row r="3412" spans="1:7" hidden="1" x14ac:dyDescent="0.25">
      <c r="A3412" t="s">
        <v>4</v>
      </c>
      <c r="B3412" t="s">
        <v>9876</v>
      </c>
      <c r="F3412" t="s">
        <v>10734</v>
      </c>
      <c r="G3412" t="s">
        <v>1105</v>
      </c>
    </row>
    <row r="3413" spans="1:7" hidden="1" x14ac:dyDescent="0.25">
      <c r="A3413" t="s">
        <v>2004</v>
      </c>
      <c r="B3413" t="s">
        <v>8</v>
      </c>
      <c r="F3413" t="s">
        <v>10782</v>
      </c>
      <c r="G3413" t="s">
        <v>1106</v>
      </c>
    </row>
    <row r="3414" spans="1:7" hidden="1" x14ac:dyDescent="0.25">
      <c r="A3414" t="s">
        <v>2004</v>
      </c>
      <c r="B3414" t="s">
        <v>8</v>
      </c>
      <c r="F3414" t="s">
        <v>10785</v>
      </c>
      <c r="G3414" t="s">
        <v>1106</v>
      </c>
    </row>
    <row r="3415" spans="1:7" hidden="1" x14ac:dyDescent="0.25">
      <c r="A3415" t="s">
        <v>2004</v>
      </c>
      <c r="B3415" t="s">
        <v>8</v>
      </c>
      <c r="F3415" t="s">
        <v>10878</v>
      </c>
      <c r="G3415" t="s">
        <v>1107</v>
      </c>
    </row>
    <row r="3416" spans="1:7" hidden="1" x14ac:dyDescent="0.25">
      <c r="A3416" t="s">
        <v>2004</v>
      </c>
      <c r="B3416" t="s">
        <v>8</v>
      </c>
      <c r="F3416" t="s">
        <v>10881</v>
      </c>
      <c r="G3416" t="s">
        <v>1107</v>
      </c>
    </row>
    <row r="3417" spans="1:7" hidden="1" x14ac:dyDescent="0.25">
      <c r="A3417" t="s">
        <v>10888</v>
      </c>
      <c r="B3417" t="s">
        <v>796</v>
      </c>
      <c r="F3417" t="s">
        <v>10743</v>
      </c>
      <c r="G3417" t="s">
        <v>796</v>
      </c>
    </row>
    <row r="3418" spans="1:7" hidden="1" x14ac:dyDescent="0.25">
      <c r="A3418" t="s">
        <v>10888</v>
      </c>
      <c r="B3418" t="s">
        <v>796</v>
      </c>
      <c r="F3418" t="s">
        <v>10746</v>
      </c>
      <c r="G3418" t="s">
        <v>796</v>
      </c>
    </row>
    <row r="3419" spans="1:7" hidden="1" x14ac:dyDescent="0.25">
      <c r="A3419" t="s">
        <v>2024</v>
      </c>
      <c r="B3419" t="s">
        <v>796</v>
      </c>
      <c r="F3419" t="s">
        <v>10749</v>
      </c>
      <c r="G3419" t="s">
        <v>796</v>
      </c>
    </row>
    <row r="3420" spans="1:7" hidden="1" x14ac:dyDescent="0.25">
      <c r="A3420" t="s">
        <v>10888</v>
      </c>
      <c r="B3420" t="s">
        <v>796</v>
      </c>
      <c r="F3420" t="s">
        <v>10752</v>
      </c>
      <c r="G3420" t="s">
        <v>796</v>
      </c>
    </row>
    <row r="3421" spans="1:7" hidden="1" x14ac:dyDescent="0.25">
      <c r="A3421" t="s">
        <v>2024</v>
      </c>
      <c r="B3421" t="s">
        <v>796</v>
      </c>
      <c r="F3421" t="s">
        <v>10755</v>
      </c>
      <c r="G3421" t="s">
        <v>796</v>
      </c>
    </row>
    <row r="3422" spans="1:7" hidden="1" x14ac:dyDescent="0.25">
      <c r="A3422" t="s">
        <v>2024</v>
      </c>
      <c r="B3422" t="s">
        <v>796</v>
      </c>
      <c r="F3422" t="s">
        <v>10758</v>
      </c>
      <c r="G3422" t="s">
        <v>796</v>
      </c>
    </row>
    <row r="3423" spans="1:7" hidden="1" x14ac:dyDescent="0.25">
      <c r="A3423" t="s">
        <v>2024</v>
      </c>
      <c r="B3423" t="s">
        <v>796</v>
      </c>
      <c r="F3423" t="s">
        <v>10761</v>
      </c>
      <c r="G3423" t="s">
        <v>796</v>
      </c>
    </row>
    <row r="3424" spans="1:7" hidden="1" x14ac:dyDescent="0.25">
      <c r="A3424" t="s">
        <v>9409</v>
      </c>
      <c r="B3424" t="s">
        <v>1607</v>
      </c>
      <c r="F3424" t="s">
        <v>10764</v>
      </c>
      <c r="G3424" t="s">
        <v>796</v>
      </c>
    </row>
    <row r="3425" spans="1:7" hidden="1" x14ac:dyDescent="0.25">
      <c r="A3425" t="s">
        <v>2024</v>
      </c>
      <c r="B3425" t="s">
        <v>796</v>
      </c>
      <c r="F3425" t="s">
        <v>10767</v>
      </c>
      <c r="G3425" t="s">
        <v>796</v>
      </c>
    </row>
    <row r="3426" spans="1:7" hidden="1" x14ac:dyDescent="0.25">
      <c r="A3426" t="s">
        <v>9409</v>
      </c>
      <c r="B3426" t="s">
        <v>1607</v>
      </c>
      <c r="F3426" t="s">
        <v>10770</v>
      </c>
      <c r="G3426" t="s">
        <v>796</v>
      </c>
    </row>
    <row r="3427" spans="1:7" hidden="1" x14ac:dyDescent="0.25">
      <c r="A3427" t="s">
        <v>9409</v>
      </c>
      <c r="B3427" t="s">
        <v>1607</v>
      </c>
      <c r="F3427" t="s">
        <v>10773</v>
      </c>
      <c r="G3427" t="s">
        <v>796</v>
      </c>
    </row>
    <row r="3428" spans="1:7" hidden="1" x14ac:dyDescent="0.25">
      <c r="A3428" t="s">
        <v>2024</v>
      </c>
      <c r="B3428" t="s">
        <v>796</v>
      </c>
      <c r="F3428" t="s">
        <v>10776</v>
      </c>
      <c r="G3428" t="s">
        <v>796</v>
      </c>
    </row>
    <row r="3429" spans="1:7" hidden="1" x14ac:dyDescent="0.25">
      <c r="A3429" t="s">
        <v>2024</v>
      </c>
      <c r="B3429" t="s">
        <v>796</v>
      </c>
      <c r="F3429" t="s">
        <v>10779</v>
      </c>
      <c r="G3429" t="s">
        <v>796</v>
      </c>
    </row>
    <row r="3430" spans="1:7" hidden="1" x14ac:dyDescent="0.25">
      <c r="A3430" t="s">
        <v>9455</v>
      </c>
      <c r="B3430" t="s">
        <v>531</v>
      </c>
      <c r="F3430" t="s">
        <v>10788</v>
      </c>
      <c r="G3430" t="s">
        <v>1100</v>
      </c>
    </row>
    <row r="3431" spans="1:7" hidden="1" x14ac:dyDescent="0.25">
      <c r="A3431" t="s">
        <v>4</v>
      </c>
      <c r="B3431" t="s">
        <v>7709</v>
      </c>
      <c r="F3431" t="s">
        <v>10791</v>
      </c>
      <c r="G3431" t="s">
        <v>1100</v>
      </c>
    </row>
    <row r="3432" spans="1:7" hidden="1" x14ac:dyDescent="0.25">
      <c r="A3432" t="s">
        <v>5476</v>
      </c>
      <c r="B3432" t="s">
        <v>5480</v>
      </c>
      <c r="C3432" t="s">
        <v>9202</v>
      </c>
      <c r="F3432" t="s">
        <v>10794</v>
      </c>
      <c r="G3432" t="s">
        <v>1100</v>
      </c>
    </row>
    <row r="3433" spans="1:7" hidden="1" x14ac:dyDescent="0.25">
      <c r="A3433" t="s">
        <v>9692</v>
      </c>
      <c r="B3433" t="s">
        <v>5137</v>
      </c>
      <c r="F3433" t="s">
        <v>10797</v>
      </c>
      <c r="G3433" t="s">
        <v>1100</v>
      </c>
    </row>
    <row r="3434" spans="1:7" hidden="1" x14ac:dyDescent="0.25">
      <c r="A3434" t="s">
        <v>5476</v>
      </c>
      <c r="B3434" t="s">
        <v>5480</v>
      </c>
      <c r="C3434" t="s">
        <v>9202</v>
      </c>
      <c r="F3434" t="s">
        <v>10800</v>
      </c>
      <c r="G3434" t="s">
        <v>1100</v>
      </c>
    </row>
    <row r="3435" spans="1:7" hidden="1" x14ac:dyDescent="0.25">
      <c r="A3435" t="s">
        <v>158</v>
      </c>
      <c r="B3435" t="s">
        <v>9201</v>
      </c>
      <c r="C3435" t="s">
        <v>2929</v>
      </c>
      <c r="F3435" t="s">
        <v>10803</v>
      </c>
      <c r="G3435" t="s">
        <v>1100</v>
      </c>
    </row>
    <row r="3436" spans="1:7" hidden="1" x14ac:dyDescent="0.25">
      <c r="A3436" t="s">
        <v>9200</v>
      </c>
      <c r="B3436" t="s">
        <v>5137</v>
      </c>
      <c r="F3436" t="s">
        <v>10806</v>
      </c>
      <c r="G3436" t="s">
        <v>1100</v>
      </c>
    </row>
    <row r="3437" spans="1:7" hidden="1" x14ac:dyDescent="0.25">
      <c r="A3437" t="s">
        <v>9455</v>
      </c>
      <c r="B3437" t="s">
        <v>531</v>
      </c>
      <c r="F3437" t="s">
        <v>10809</v>
      </c>
      <c r="G3437" t="s">
        <v>1100</v>
      </c>
    </row>
    <row r="3438" spans="1:7" hidden="1" x14ac:dyDescent="0.25">
      <c r="A3438" t="s">
        <v>9200</v>
      </c>
      <c r="B3438" t="s">
        <v>5137</v>
      </c>
      <c r="F3438" t="s">
        <v>10812</v>
      </c>
      <c r="G3438" t="s">
        <v>1100</v>
      </c>
    </row>
    <row r="3439" spans="1:7" hidden="1" x14ac:dyDescent="0.25">
      <c r="A3439" t="s">
        <v>9200</v>
      </c>
      <c r="B3439" t="s">
        <v>5137</v>
      </c>
      <c r="F3439" t="s">
        <v>10815</v>
      </c>
      <c r="G3439" t="s">
        <v>1100</v>
      </c>
    </row>
    <row r="3440" spans="1:7" hidden="1" x14ac:dyDescent="0.25">
      <c r="A3440" t="s">
        <v>2024</v>
      </c>
      <c r="B3440" t="s">
        <v>1304</v>
      </c>
      <c r="E3440" t="s">
        <v>10889</v>
      </c>
      <c r="F3440" t="s">
        <v>10818</v>
      </c>
      <c r="G3440" t="s">
        <v>1100</v>
      </c>
    </row>
    <row r="3441" spans="1:7" hidden="1" x14ac:dyDescent="0.25">
      <c r="A3441" t="s">
        <v>9200</v>
      </c>
      <c r="B3441" t="s">
        <v>5137</v>
      </c>
      <c r="F3441" t="s">
        <v>10821</v>
      </c>
      <c r="G3441" t="s">
        <v>1100</v>
      </c>
    </row>
    <row r="3442" spans="1:7" x14ac:dyDescent="0.25">
      <c r="A3442" t="s">
        <v>4223</v>
      </c>
      <c r="B3442" t="s">
        <v>86</v>
      </c>
      <c r="C3442" t="s">
        <v>9202</v>
      </c>
      <c r="F3442" t="s">
        <v>10824</v>
      </c>
      <c r="G3442" s="1" t="s">
        <v>1603</v>
      </c>
    </row>
    <row r="3443" spans="1:7" x14ac:dyDescent="0.25">
      <c r="A3443" t="s">
        <v>533</v>
      </c>
      <c r="B3443" t="s">
        <v>1607</v>
      </c>
      <c r="C3443" t="s">
        <v>2929</v>
      </c>
      <c r="F3443" t="s">
        <v>10827</v>
      </c>
      <c r="G3443" s="1" t="s">
        <v>1603</v>
      </c>
    </row>
    <row r="3444" spans="1:7" x14ac:dyDescent="0.25">
      <c r="A3444" t="s">
        <v>4223</v>
      </c>
      <c r="B3444" t="s">
        <v>86</v>
      </c>
      <c r="C3444" t="s">
        <v>9202</v>
      </c>
      <c r="F3444" t="s">
        <v>10830</v>
      </c>
      <c r="G3444" s="1" t="s">
        <v>1603</v>
      </c>
    </row>
    <row r="3445" spans="1:7" x14ac:dyDescent="0.25">
      <c r="A3445" t="s">
        <v>533</v>
      </c>
      <c r="B3445" t="s">
        <v>1607</v>
      </c>
      <c r="C3445" t="s">
        <v>2929</v>
      </c>
      <c r="E3445" t="s">
        <v>6339</v>
      </c>
      <c r="F3445" t="s">
        <v>10833</v>
      </c>
      <c r="G3445" s="1" t="s">
        <v>1603</v>
      </c>
    </row>
    <row r="3446" spans="1:7" x14ac:dyDescent="0.25">
      <c r="A3446" t="s">
        <v>533</v>
      </c>
      <c r="B3446" t="s">
        <v>1607</v>
      </c>
      <c r="C3446" t="s">
        <v>2929</v>
      </c>
      <c r="F3446" t="s">
        <v>10836</v>
      </c>
      <c r="G3446" s="1" t="s">
        <v>1603</v>
      </c>
    </row>
    <row r="3447" spans="1:7" x14ac:dyDescent="0.25">
      <c r="A3447" t="s">
        <v>533</v>
      </c>
      <c r="B3447" t="s">
        <v>1607</v>
      </c>
      <c r="C3447" t="s">
        <v>2929</v>
      </c>
      <c r="F3447" t="s">
        <v>10839</v>
      </c>
      <c r="G3447" s="1" t="s">
        <v>1603</v>
      </c>
    </row>
    <row r="3448" spans="1:7" x14ac:dyDescent="0.25">
      <c r="A3448" t="s">
        <v>533</v>
      </c>
      <c r="B3448" t="s">
        <v>1607</v>
      </c>
      <c r="C3448" t="s">
        <v>2929</v>
      </c>
      <c r="F3448" t="s">
        <v>10842</v>
      </c>
      <c r="G3448" s="1" t="s">
        <v>1603</v>
      </c>
    </row>
    <row r="3449" spans="1:7" x14ac:dyDescent="0.25">
      <c r="A3449" t="s">
        <v>533</v>
      </c>
      <c r="B3449" t="s">
        <v>1607</v>
      </c>
      <c r="C3449" t="s">
        <v>2929</v>
      </c>
      <c r="F3449" t="s">
        <v>10845</v>
      </c>
      <c r="G3449" s="1" t="s">
        <v>1603</v>
      </c>
    </row>
    <row r="3450" spans="1:7" x14ac:dyDescent="0.25">
      <c r="A3450" t="s">
        <v>533</v>
      </c>
      <c r="B3450" t="s">
        <v>1607</v>
      </c>
      <c r="C3450" t="s">
        <v>2929</v>
      </c>
      <c r="F3450" t="s">
        <v>10848</v>
      </c>
      <c r="G3450" s="1" t="s">
        <v>1603</v>
      </c>
    </row>
    <row r="3451" spans="1:7" x14ac:dyDescent="0.25">
      <c r="A3451" t="s">
        <v>533</v>
      </c>
      <c r="B3451" t="s">
        <v>1607</v>
      </c>
      <c r="C3451" t="s">
        <v>2929</v>
      </c>
      <c r="F3451" t="s">
        <v>10851</v>
      </c>
      <c r="G3451" s="1" t="s">
        <v>1603</v>
      </c>
    </row>
    <row r="3452" spans="1:7" hidden="1" x14ac:dyDescent="0.25">
      <c r="A3452" t="s">
        <v>2004</v>
      </c>
      <c r="B3452" t="s">
        <v>8</v>
      </c>
      <c r="F3452" t="s">
        <v>10854</v>
      </c>
      <c r="G3452" t="s">
        <v>1817</v>
      </c>
    </row>
    <row r="3453" spans="1:7" hidden="1" x14ac:dyDescent="0.25">
      <c r="A3453" t="s">
        <v>2004</v>
      </c>
      <c r="B3453" t="s">
        <v>8</v>
      </c>
      <c r="F3453" t="s">
        <v>10857</v>
      </c>
      <c r="G3453" t="s">
        <v>1817</v>
      </c>
    </row>
    <row r="3454" spans="1:7" hidden="1" x14ac:dyDescent="0.25">
      <c r="A3454" t="s">
        <v>9876</v>
      </c>
      <c r="B3454" t="s">
        <v>9201</v>
      </c>
      <c r="F3454" t="s">
        <v>10860</v>
      </c>
      <c r="G3454" t="s">
        <v>1934</v>
      </c>
    </row>
    <row r="3455" spans="1:7" hidden="1" x14ac:dyDescent="0.25">
      <c r="A3455" t="s">
        <v>9876</v>
      </c>
      <c r="B3455" t="s">
        <v>9201</v>
      </c>
      <c r="E3455" t="s">
        <v>2936</v>
      </c>
      <c r="F3455" t="s">
        <v>10863</v>
      </c>
      <c r="G3455" t="s">
        <v>1934</v>
      </c>
    </row>
    <row r="3456" spans="1:7" hidden="1" x14ac:dyDescent="0.25">
      <c r="A3456" t="s">
        <v>9876</v>
      </c>
      <c r="B3456" t="s">
        <v>9201</v>
      </c>
      <c r="E3456" t="s">
        <v>2936</v>
      </c>
      <c r="F3456" t="s">
        <v>10866</v>
      </c>
      <c r="G3456" t="s">
        <v>1934</v>
      </c>
    </row>
    <row r="3457" spans="1:7" hidden="1" x14ac:dyDescent="0.25">
      <c r="A3457" t="s">
        <v>9876</v>
      </c>
      <c r="B3457" t="s">
        <v>9201</v>
      </c>
      <c r="E3457" t="s">
        <v>2936</v>
      </c>
      <c r="F3457" t="s">
        <v>10869</v>
      </c>
      <c r="G3457" t="s">
        <v>1934</v>
      </c>
    </row>
    <row r="3458" spans="1:7" hidden="1" x14ac:dyDescent="0.25">
      <c r="A3458" t="s">
        <v>2004</v>
      </c>
      <c r="B3458" t="s">
        <v>8</v>
      </c>
      <c r="F3458" t="s">
        <v>10872</v>
      </c>
      <c r="G3458" t="s">
        <v>1997</v>
      </c>
    </row>
    <row r="3459" spans="1:7" hidden="1" x14ac:dyDescent="0.25">
      <c r="A3459" t="s">
        <v>2004</v>
      </c>
      <c r="B3459" t="s">
        <v>8</v>
      </c>
      <c r="F3459" t="s">
        <v>10875</v>
      </c>
      <c r="G3459" t="s">
        <v>1997</v>
      </c>
    </row>
    <row r="3460" spans="1:7" hidden="1" x14ac:dyDescent="0.25">
      <c r="A3460" t="s">
        <v>91</v>
      </c>
      <c r="B3460" t="s">
        <v>70</v>
      </c>
      <c r="C3460" t="s">
        <v>5076</v>
      </c>
      <c r="F3460" t="s">
        <v>10902</v>
      </c>
      <c r="G3460" t="s">
        <v>1102</v>
      </c>
    </row>
    <row r="3461" spans="1:7" hidden="1" x14ac:dyDescent="0.25">
      <c r="A3461" t="s">
        <v>62</v>
      </c>
      <c r="B3461" t="s">
        <v>70</v>
      </c>
      <c r="C3461" t="s">
        <v>5093</v>
      </c>
      <c r="F3461" t="s">
        <v>10905</v>
      </c>
      <c r="G3461" t="s">
        <v>1102</v>
      </c>
    </row>
    <row r="3462" spans="1:7" hidden="1" x14ac:dyDescent="0.25">
      <c r="A3462" t="s">
        <v>1606</v>
      </c>
      <c r="B3462" t="s">
        <v>10140</v>
      </c>
      <c r="F3462" t="s">
        <v>10890</v>
      </c>
      <c r="G3462" t="s">
        <v>1103</v>
      </c>
    </row>
    <row r="3463" spans="1:7" hidden="1" x14ac:dyDescent="0.25">
      <c r="A3463" t="s">
        <v>650</v>
      </c>
      <c r="B3463" t="s">
        <v>10140</v>
      </c>
      <c r="F3463" t="s">
        <v>10893</v>
      </c>
      <c r="G3463" t="s">
        <v>1103</v>
      </c>
    </row>
    <row r="3464" spans="1:7" hidden="1" x14ac:dyDescent="0.25">
      <c r="A3464" t="s">
        <v>4</v>
      </c>
      <c r="B3464" t="s">
        <v>8803</v>
      </c>
      <c r="F3464" t="s">
        <v>10896</v>
      </c>
      <c r="G3464" t="s">
        <v>91</v>
      </c>
    </row>
    <row r="3465" spans="1:7" hidden="1" x14ac:dyDescent="0.25">
      <c r="A3465" t="s">
        <v>4</v>
      </c>
      <c r="B3465" t="s">
        <v>8803</v>
      </c>
      <c r="F3465" t="s">
        <v>10899</v>
      </c>
      <c r="G3465" t="s">
        <v>91</v>
      </c>
    </row>
    <row r="3466" spans="1:7" hidden="1" x14ac:dyDescent="0.25">
      <c r="A3466" t="s">
        <v>4</v>
      </c>
      <c r="B3466" t="s">
        <v>70</v>
      </c>
      <c r="C3466" t="s">
        <v>5093</v>
      </c>
      <c r="F3466" t="s">
        <v>10908</v>
      </c>
      <c r="G3466" t="s">
        <v>1104</v>
      </c>
    </row>
    <row r="3467" spans="1:7" hidden="1" x14ac:dyDescent="0.25">
      <c r="A3467" t="s">
        <v>289</v>
      </c>
      <c r="B3467" t="s">
        <v>70</v>
      </c>
      <c r="C3467" t="s">
        <v>5093</v>
      </c>
      <c r="F3467" t="s">
        <v>10911</v>
      </c>
      <c r="G3467" t="s">
        <v>1104</v>
      </c>
    </row>
    <row r="3468" spans="1:7" hidden="1" x14ac:dyDescent="0.25">
      <c r="A3468" t="s">
        <v>4</v>
      </c>
      <c r="B3468" t="s">
        <v>8045</v>
      </c>
      <c r="F3468" t="s">
        <v>10914</v>
      </c>
      <c r="G3468" t="s">
        <v>1105</v>
      </c>
    </row>
    <row r="3469" spans="1:7" hidden="1" x14ac:dyDescent="0.25">
      <c r="A3469" t="s">
        <v>4</v>
      </c>
      <c r="B3469" t="s">
        <v>8045</v>
      </c>
      <c r="F3469" t="s">
        <v>10917</v>
      </c>
      <c r="G3469" t="s">
        <v>1105</v>
      </c>
    </row>
    <row r="3470" spans="1:7" hidden="1" x14ac:dyDescent="0.25">
      <c r="A3470" t="s">
        <v>2004</v>
      </c>
      <c r="B3470" t="s">
        <v>8</v>
      </c>
      <c r="F3470" t="s">
        <v>10920</v>
      </c>
      <c r="G3470" t="s">
        <v>1106</v>
      </c>
    </row>
    <row r="3471" spans="1:7" hidden="1" x14ac:dyDescent="0.25">
      <c r="A3471" t="s">
        <v>2004</v>
      </c>
      <c r="B3471" t="s">
        <v>8</v>
      </c>
      <c r="F3471" t="s">
        <v>11004</v>
      </c>
      <c r="G3471" t="s">
        <v>1107</v>
      </c>
    </row>
    <row r="3472" spans="1:7" hidden="1" x14ac:dyDescent="0.25">
      <c r="A3472" t="s">
        <v>4</v>
      </c>
      <c r="B3472" t="s">
        <v>9</v>
      </c>
      <c r="F3472" t="s">
        <v>10923</v>
      </c>
      <c r="G3472" t="s">
        <v>796</v>
      </c>
    </row>
    <row r="3473" spans="1:7" hidden="1" x14ac:dyDescent="0.25">
      <c r="A3473" t="s">
        <v>9409</v>
      </c>
      <c r="B3473" t="s">
        <v>1607</v>
      </c>
      <c r="F3473" t="s">
        <v>10926</v>
      </c>
      <c r="G3473" t="s">
        <v>796</v>
      </c>
    </row>
    <row r="3474" spans="1:7" hidden="1" x14ac:dyDescent="0.25">
      <c r="A3474" t="s">
        <v>10888</v>
      </c>
      <c r="B3474" t="s">
        <v>796</v>
      </c>
      <c r="F3474" t="s">
        <v>10929</v>
      </c>
      <c r="G3474" t="s">
        <v>796</v>
      </c>
    </row>
    <row r="3475" spans="1:7" hidden="1" x14ac:dyDescent="0.25">
      <c r="A3475" t="s">
        <v>2024</v>
      </c>
      <c r="B3475" t="s">
        <v>796</v>
      </c>
      <c r="F3475" t="s">
        <v>10932</v>
      </c>
      <c r="G3475" t="s">
        <v>796</v>
      </c>
    </row>
    <row r="3476" spans="1:7" hidden="1" x14ac:dyDescent="0.25">
      <c r="A3476" t="s">
        <v>10888</v>
      </c>
      <c r="B3476" t="s">
        <v>796</v>
      </c>
      <c r="F3476" t="s">
        <v>10935</v>
      </c>
      <c r="G3476" t="s">
        <v>796</v>
      </c>
    </row>
    <row r="3477" spans="1:7" hidden="1" x14ac:dyDescent="0.25">
      <c r="A3477" t="s">
        <v>2024</v>
      </c>
      <c r="B3477" t="s">
        <v>796</v>
      </c>
      <c r="F3477" t="s">
        <v>10938</v>
      </c>
      <c r="G3477" t="s">
        <v>796</v>
      </c>
    </row>
    <row r="3478" spans="1:7" hidden="1" x14ac:dyDescent="0.25">
      <c r="A3478" t="s">
        <v>10888</v>
      </c>
      <c r="B3478" t="s">
        <v>796</v>
      </c>
      <c r="F3478" t="s">
        <v>10941</v>
      </c>
      <c r="G3478" t="s">
        <v>796</v>
      </c>
    </row>
    <row r="3479" spans="1:7" hidden="1" x14ac:dyDescent="0.25">
      <c r="A3479" t="s">
        <v>2024</v>
      </c>
      <c r="B3479" t="s">
        <v>796</v>
      </c>
      <c r="F3479" t="s">
        <v>10944</v>
      </c>
      <c r="G3479" t="s">
        <v>796</v>
      </c>
    </row>
    <row r="3480" spans="1:7" hidden="1" x14ac:dyDescent="0.25">
      <c r="A3480" t="s">
        <v>9455</v>
      </c>
      <c r="B3480" t="s">
        <v>531</v>
      </c>
      <c r="F3480" t="s">
        <v>10947</v>
      </c>
      <c r="G3480" t="s">
        <v>1100</v>
      </c>
    </row>
    <row r="3481" spans="1:7" hidden="1" x14ac:dyDescent="0.25">
      <c r="A3481" t="s">
        <v>4</v>
      </c>
      <c r="B3481" t="s">
        <v>7709</v>
      </c>
      <c r="F3481" t="s">
        <v>10950</v>
      </c>
      <c r="G3481" t="s">
        <v>1100</v>
      </c>
    </row>
    <row r="3482" spans="1:7" hidden="1" x14ac:dyDescent="0.25">
      <c r="A3482" t="s">
        <v>4</v>
      </c>
      <c r="B3482" t="s">
        <v>5480</v>
      </c>
      <c r="E3482" t="s">
        <v>5479</v>
      </c>
      <c r="F3482" t="s">
        <v>10953</v>
      </c>
      <c r="G3482" t="s">
        <v>1100</v>
      </c>
    </row>
    <row r="3483" spans="1:7" x14ac:dyDescent="0.25">
      <c r="A3483" t="s">
        <v>1606</v>
      </c>
      <c r="B3483" t="s">
        <v>70</v>
      </c>
      <c r="F3483" t="s">
        <v>10956</v>
      </c>
      <c r="G3483" s="1" t="s">
        <v>1603</v>
      </c>
    </row>
    <row r="3484" spans="1:7" x14ac:dyDescent="0.25">
      <c r="A3484" t="s">
        <v>289</v>
      </c>
      <c r="B3484" t="s">
        <v>70</v>
      </c>
      <c r="C3484" t="s">
        <v>11007</v>
      </c>
      <c r="F3484" t="s">
        <v>10959</v>
      </c>
      <c r="G3484" s="1" t="s">
        <v>1603</v>
      </c>
    </row>
    <row r="3485" spans="1:7" x14ac:dyDescent="0.25">
      <c r="A3485" t="s">
        <v>289</v>
      </c>
      <c r="B3485" t="s">
        <v>70</v>
      </c>
      <c r="C3485" t="s">
        <v>11007</v>
      </c>
      <c r="E3485" t="s">
        <v>2936</v>
      </c>
      <c r="F3485" t="s">
        <v>10962</v>
      </c>
      <c r="G3485" s="1" t="s">
        <v>1603</v>
      </c>
    </row>
    <row r="3486" spans="1:7" x14ac:dyDescent="0.25">
      <c r="A3486" t="s">
        <v>289</v>
      </c>
      <c r="B3486" t="s">
        <v>70</v>
      </c>
      <c r="C3486" t="s">
        <v>11007</v>
      </c>
      <c r="E3486" t="s">
        <v>2936</v>
      </c>
      <c r="F3486" t="s">
        <v>10965</v>
      </c>
      <c r="G3486" s="1" t="s">
        <v>1603</v>
      </c>
    </row>
    <row r="3487" spans="1:7" x14ac:dyDescent="0.25">
      <c r="A3487" t="s">
        <v>289</v>
      </c>
      <c r="B3487" t="s">
        <v>70</v>
      </c>
      <c r="C3487" t="s">
        <v>11007</v>
      </c>
      <c r="E3487" t="s">
        <v>2936</v>
      </c>
      <c r="F3487" t="s">
        <v>10968</v>
      </c>
      <c r="G3487" s="1" t="s">
        <v>1603</v>
      </c>
    </row>
    <row r="3488" spans="1:7" x14ac:dyDescent="0.25">
      <c r="A3488" t="s">
        <v>650</v>
      </c>
      <c r="B3488" t="s">
        <v>70</v>
      </c>
      <c r="F3488" t="s">
        <v>10971</v>
      </c>
      <c r="G3488" s="1" t="s">
        <v>1603</v>
      </c>
    </row>
    <row r="3489" spans="1:7" x14ac:dyDescent="0.25">
      <c r="A3489" t="s">
        <v>4223</v>
      </c>
      <c r="B3489" t="s">
        <v>86</v>
      </c>
      <c r="C3489" t="s">
        <v>9202</v>
      </c>
      <c r="F3489" t="s">
        <v>10974</v>
      </c>
      <c r="G3489" s="1" t="s">
        <v>1603</v>
      </c>
    </row>
    <row r="3490" spans="1:7" x14ac:dyDescent="0.25">
      <c r="A3490" t="s">
        <v>159</v>
      </c>
      <c r="B3490" t="s">
        <v>10140</v>
      </c>
      <c r="F3490" t="s">
        <v>10977</v>
      </c>
      <c r="G3490" s="1" t="s">
        <v>1603</v>
      </c>
    </row>
    <row r="3491" spans="1:7" x14ac:dyDescent="0.25">
      <c r="A3491" t="s">
        <v>1606</v>
      </c>
      <c r="B3491" t="s">
        <v>10140</v>
      </c>
      <c r="F3491" t="s">
        <v>10980</v>
      </c>
      <c r="G3491" s="1" t="s">
        <v>1603</v>
      </c>
    </row>
    <row r="3492" spans="1:7" x14ac:dyDescent="0.25">
      <c r="A3492" t="s">
        <v>4</v>
      </c>
      <c r="B3492" t="s">
        <v>11008</v>
      </c>
      <c r="F3492" t="s">
        <v>10983</v>
      </c>
      <c r="G3492" s="1" t="s">
        <v>1603</v>
      </c>
    </row>
    <row r="3493" spans="1:7" x14ac:dyDescent="0.25">
      <c r="A3493" t="s">
        <v>650</v>
      </c>
      <c r="B3493" t="s">
        <v>10140</v>
      </c>
      <c r="F3493" t="s">
        <v>10986</v>
      </c>
      <c r="G3493" s="1" t="s">
        <v>1603</v>
      </c>
    </row>
    <row r="3494" spans="1:7" hidden="1" x14ac:dyDescent="0.25">
      <c r="A3494" t="s">
        <v>2004</v>
      </c>
      <c r="B3494" t="s">
        <v>8</v>
      </c>
      <c r="F3494" t="s">
        <v>10989</v>
      </c>
      <c r="G3494" t="s">
        <v>1817</v>
      </c>
    </row>
    <row r="3495" spans="1:7" hidden="1" x14ac:dyDescent="0.25">
      <c r="A3495" t="s">
        <v>2004</v>
      </c>
      <c r="B3495" t="s">
        <v>8</v>
      </c>
      <c r="F3495" t="s">
        <v>10992</v>
      </c>
      <c r="G3495" t="s">
        <v>1817</v>
      </c>
    </row>
    <row r="3496" spans="1:7" hidden="1" x14ac:dyDescent="0.25">
      <c r="A3496" t="s">
        <v>11009</v>
      </c>
      <c r="B3496" t="s">
        <v>9201</v>
      </c>
      <c r="F3496" t="s">
        <v>10995</v>
      </c>
      <c r="G3496" t="s">
        <v>1934</v>
      </c>
    </row>
    <row r="3497" spans="1:7" hidden="1" x14ac:dyDescent="0.25">
      <c r="A3497" t="s">
        <v>4</v>
      </c>
      <c r="B3497" t="s">
        <v>8</v>
      </c>
      <c r="F3497" t="s">
        <v>10998</v>
      </c>
      <c r="G3497" t="s">
        <v>1934</v>
      </c>
    </row>
    <row r="3498" spans="1:7" hidden="1" x14ac:dyDescent="0.25">
      <c r="A3498" t="s">
        <v>2004</v>
      </c>
      <c r="B3498" t="s">
        <v>8</v>
      </c>
      <c r="F3498" t="s">
        <v>11001</v>
      </c>
      <c r="G3498" t="s">
        <v>1997</v>
      </c>
    </row>
    <row r="3499" spans="1:7" hidden="1" x14ac:dyDescent="0.25">
      <c r="A3499" t="s">
        <v>91</v>
      </c>
      <c r="B3499" t="s">
        <v>11124</v>
      </c>
      <c r="F3499" t="s">
        <v>11010</v>
      </c>
      <c r="G3499" t="s">
        <v>1102</v>
      </c>
    </row>
    <row r="3500" spans="1:7" hidden="1" x14ac:dyDescent="0.25">
      <c r="A3500" t="s">
        <v>62</v>
      </c>
      <c r="B3500" t="s">
        <v>11124</v>
      </c>
      <c r="C3500" t="s">
        <v>53</v>
      </c>
      <c r="D3500">
        <v>11</v>
      </c>
      <c r="F3500" t="s">
        <v>11013</v>
      </c>
      <c r="G3500" t="s">
        <v>1102</v>
      </c>
    </row>
    <row r="3501" spans="1:7" hidden="1" x14ac:dyDescent="0.25">
      <c r="A3501" t="s">
        <v>91</v>
      </c>
      <c r="B3501" t="s">
        <v>11125</v>
      </c>
      <c r="F3501" t="s">
        <v>11016</v>
      </c>
      <c r="G3501" t="s">
        <v>1102</v>
      </c>
    </row>
    <row r="3502" spans="1:7" hidden="1" x14ac:dyDescent="0.25">
      <c r="A3502" t="s">
        <v>2004</v>
      </c>
      <c r="F3502" t="s">
        <v>11019</v>
      </c>
      <c r="G3502" t="s">
        <v>1102</v>
      </c>
    </row>
    <row r="3503" spans="1:7" hidden="1" x14ac:dyDescent="0.25">
      <c r="A3503" t="s">
        <v>2004</v>
      </c>
      <c r="B3503" t="s">
        <v>8</v>
      </c>
      <c r="F3503" t="s">
        <v>11022</v>
      </c>
      <c r="G3503" t="s">
        <v>1103</v>
      </c>
    </row>
    <row r="3504" spans="1:7" hidden="1" x14ac:dyDescent="0.25">
      <c r="A3504" t="s">
        <v>2004</v>
      </c>
      <c r="B3504" t="s">
        <v>8</v>
      </c>
      <c r="F3504" t="s">
        <v>11025</v>
      </c>
      <c r="G3504" t="s">
        <v>1103</v>
      </c>
    </row>
    <row r="3505" spans="1:7" hidden="1" x14ac:dyDescent="0.25">
      <c r="A3505" t="s">
        <v>4</v>
      </c>
      <c r="B3505" t="s">
        <v>11124</v>
      </c>
      <c r="F3505" t="s">
        <v>11061</v>
      </c>
      <c r="G3505" t="s">
        <v>91</v>
      </c>
    </row>
    <row r="3506" spans="1:7" hidden="1" x14ac:dyDescent="0.25">
      <c r="A3506" t="s">
        <v>2004</v>
      </c>
      <c r="B3506" t="s">
        <v>8</v>
      </c>
      <c r="F3506" t="s">
        <v>11064</v>
      </c>
      <c r="G3506" t="s">
        <v>91</v>
      </c>
    </row>
    <row r="3507" spans="1:7" hidden="1" x14ac:dyDescent="0.25">
      <c r="A3507" t="s">
        <v>2004</v>
      </c>
      <c r="B3507" t="s">
        <v>8</v>
      </c>
      <c r="F3507" t="s">
        <v>11028</v>
      </c>
      <c r="G3507" t="s">
        <v>1104</v>
      </c>
    </row>
    <row r="3508" spans="1:7" hidden="1" x14ac:dyDescent="0.25">
      <c r="A3508" t="s">
        <v>2004</v>
      </c>
      <c r="B3508" t="s">
        <v>8</v>
      </c>
      <c r="F3508" t="s">
        <v>11031</v>
      </c>
      <c r="G3508" t="s">
        <v>1104</v>
      </c>
    </row>
    <row r="3509" spans="1:7" hidden="1" x14ac:dyDescent="0.25">
      <c r="A3509" t="s">
        <v>4</v>
      </c>
      <c r="B3509" t="s">
        <v>8</v>
      </c>
      <c r="F3509" t="s">
        <v>11067</v>
      </c>
      <c r="G3509" t="s">
        <v>1105</v>
      </c>
    </row>
    <row r="3510" spans="1:7" hidden="1" x14ac:dyDescent="0.25">
      <c r="A3510" t="s">
        <v>650</v>
      </c>
      <c r="B3510" t="s">
        <v>11125</v>
      </c>
      <c r="E3510" t="s">
        <v>11126</v>
      </c>
      <c r="F3510" t="s">
        <v>11070</v>
      </c>
      <c r="G3510" t="s">
        <v>1105</v>
      </c>
    </row>
    <row r="3511" spans="1:7" hidden="1" x14ac:dyDescent="0.25">
      <c r="A3511" t="s">
        <v>4</v>
      </c>
      <c r="B3511" t="s">
        <v>9876</v>
      </c>
      <c r="F3511" t="s">
        <v>11073</v>
      </c>
      <c r="G3511" t="s">
        <v>1105</v>
      </c>
    </row>
    <row r="3512" spans="1:7" hidden="1" x14ac:dyDescent="0.25">
      <c r="A3512" t="s">
        <v>4</v>
      </c>
      <c r="B3512" t="s">
        <v>8045</v>
      </c>
      <c r="F3512" t="s">
        <v>11034</v>
      </c>
      <c r="G3512" t="s">
        <v>1106</v>
      </c>
    </row>
    <row r="3513" spans="1:7" hidden="1" x14ac:dyDescent="0.25">
      <c r="A3513" t="s">
        <v>2004</v>
      </c>
      <c r="B3513" t="s">
        <v>8</v>
      </c>
      <c r="F3513" t="s">
        <v>11037</v>
      </c>
      <c r="G3513" t="s">
        <v>1106</v>
      </c>
    </row>
    <row r="3514" spans="1:7" hidden="1" x14ac:dyDescent="0.25">
      <c r="A3514" t="s">
        <v>2004</v>
      </c>
      <c r="B3514" t="s">
        <v>8</v>
      </c>
      <c r="F3514" t="s">
        <v>11127</v>
      </c>
      <c r="G3514" t="s">
        <v>1107</v>
      </c>
    </row>
    <row r="3515" spans="1:7" hidden="1" x14ac:dyDescent="0.25">
      <c r="A3515" t="s">
        <v>2004</v>
      </c>
      <c r="B3515" t="s">
        <v>8</v>
      </c>
      <c r="F3515" t="s">
        <v>11130</v>
      </c>
      <c r="G3515" t="s">
        <v>1107</v>
      </c>
    </row>
    <row r="3516" spans="1:7" hidden="1" x14ac:dyDescent="0.25">
      <c r="A3516" t="s">
        <v>9455</v>
      </c>
      <c r="B3516" t="s">
        <v>1607</v>
      </c>
      <c r="F3516" t="s">
        <v>11040</v>
      </c>
      <c r="G3516" t="s">
        <v>796</v>
      </c>
    </row>
    <row r="3517" spans="1:7" hidden="1" x14ac:dyDescent="0.25">
      <c r="A3517" t="s">
        <v>2024</v>
      </c>
      <c r="B3517" t="s">
        <v>796</v>
      </c>
      <c r="F3517" t="s">
        <v>11043</v>
      </c>
      <c r="G3517" t="s">
        <v>796</v>
      </c>
    </row>
    <row r="3518" spans="1:7" hidden="1" x14ac:dyDescent="0.25">
      <c r="A3518" t="s">
        <v>11133</v>
      </c>
      <c r="B3518" t="s">
        <v>11134</v>
      </c>
      <c r="F3518" t="s">
        <v>11046</v>
      </c>
      <c r="G3518" t="s">
        <v>1100</v>
      </c>
    </row>
    <row r="3519" spans="1:7" hidden="1" x14ac:dyDescent="0.25">
      <c r="A3519" t="s">
        <v>9692</v>
      </c>
      <c r="B3519" t="s">
        <v>1607</v>
      </c>
      <c r="F3519" t="s">
        <v>11049</v>
      </c>
      <c r="G3519" t="s">
        <v>1100</v>
      </c>
    </row>
    <row r="3520" spans="1:7" x14ac:dyDescent="0.25">
      <c r="A3520" t="s">
        <v>289</v>
      </c>
      <c r="B3520" t="s">
        <v>11124</v>
      </c>
      <c r="C3520" t="s">
        <v>7167</v>
      </c>
      <c r="D3520">
        <v>1</v>
      </c>
      <c r="F3520" t="s">
        <v>11076</v>
      </c>
      <c r="G3520" s="1" t="s">
        <v>1603</v>
      </c>
    </row>
    <row r="3521" spans="1:7" x14ac:dyDescent="0.25">
      <c r="A3521" t="s">
        <v>289</v>
      </c>
      <c r="B3521" t="s">
        <v>11124</v>
      </c>
      <c r="C3521" t="s">
        <v>7167</v>
      </c>
      <c r="D3521">
        <v>1</v>
      </c>
      <c r="F3521" t="s">
        <v>11079</v>
      </c>
      <c r="G3521" s="1" t="s">
        <v>1603</v>
      </c>
    </row>
    <row r="3522" spans="1:7" x14ac:dyDescent="0.25">
      <c r="A3522" t="s">
        <v>289</v>
      </c>
      <c r="B3522" t="s">
        <v>11124</v>
      </c>
      <c r="C3522" t="s">
        <v>7167</v>
      </c>
      <c r="D3522">
        <v>1</v>
      </c>
      <c r="F3522" t="s">
        <v>11082</v>
      </c>
      <c r="G3522" s="1" t="s">
        <v>1603</v>
      </c>
    </row>
    <row r="3523" spans="1:7" x14ac:dyDescent="0.25">
      <c r="A3523" t="s">
        <v>289</v>
      </c>
      <c r="B3523" t="s">
        <v>11124</v>
      </c>
      <c r="C3523" t="s">
        <v>7167</v>
      </c>
      <c r="D3523">
        <v>1</v>
      </c>
      <c r="F3523" t="s">
        <v>11085</v>
      </c>
      <c r="G3523" s="1" t="s">
        <v>1603</v>
      </c>
    </row>
    <row r="3524" spans="1:7" x14ac:dyDescent="0.25">
      <c r="A3524" t="s">
        <v>289</v>
      </c>
      <c r="B3524" t="s">
        <v>11124</v>
      </c>
      <c r="C3524" t="s">
        <v>7167</v>
      </c>
      <c r="D3524">
        <v>1</v>
      </c>
      <c r="F3524" t="s">
        <v>11088</v>
      </c>
      <c r="G3524" s="1" t="s">
        <v>1603</v>
      </c>
    </row>
    <row r="3525" spans="1:7" x14ac:dyDescent="0.25">
      <c r="A3525" t="s">
        <v>289</v>
      </c>
      <c r="B3525" t="s">
        <v>11124</v>
      </c>
      <c r="C3525" t="s">
        <v>7167</v>
      </c>
      <c r="D3525">
        <v>1</v>
      </c>
      <c r="F3525" t="s">
        <v>11091</v>
      </c>
      <c r="G3525" s="1" t="s">
        <v>1603</v>
      </c>
    </row>
    <row r="3526" spans="1:7" x14ac:dyDescent="0.25">
      <c r="A3526" t="s">
        <v>289</v>
      </c>
      <c r="B3526" t="s">
        <v>11124</v>
      </c>
      <c r="C3526" t="s">
        <v>7167</v>
      </c>
      <c r="D3526">
        <v>1</v>
      </c>
      <c r="F3526" t="s">
        <v>11094</v>
      </c>
      <c r="G3526" s="1" t="s">
        <v>1603</v>
      </c>
    </row>
    <row r="3527" spans="1:7" x14ac:dyDescent="0.25">
      <c r="A3527" t="s">
        <v>289</v>
      </c>
      <c r="B3527" t="s">
        <v>11124</v>
      </c>
      <c r="C3527" t="s">
        <v>7167</v>
      </c>
      <c r="D3527">
        <v>1</v>
      </c>
      <c r="F3527" t="s">
        <v>11097</v>
      </c>
      <c r="G3527" s="1" t="s">
        <v>1603</v>
      </c>
    </row>
    <row r="3528" spans="1:7" x14ac:dyDescent="0.25">
      <c r="A3528" t="s">
        <v>289</v>
      </c>
      <c r="B3528" t="s">
        <v>11124</v>
      </c>
      <c r="C3528" t="s">
        <v>7167</v>
      </c>
      <c r="D3528">
        <v>1</v>
      </c>
      <c r="F3528" t="s">
        <v>11100</v>
      </c>
      <c r="G3528" s="1" t="s">
        <v>1603</v>
      </c>
    </row>
    <row r="3529" spans="1:7" x14ac:dyDescent="0.25">
      <c r="A3529" t="s">
        <v>289</v>
      </c>
      <c r="B3529" t="s">
        <v>11124</v>
      </c>
      <c r="C3529" t="s">
        <v>7167</v>
      </c>
      <c r="D3529">
        <v>1</v>
      </c>
      <c r="F3529" t="s">
        <v>11103</v>
      </c>
      <c r="G3529" s="1" t="s">
        <v>1603</v>
      </c>
    </row>
    <row r="3530" spans="1:7" x14ac:dyDescent="0.25">
      <c r="A3530" t="s">
        <v>289</v>
      </c>
      <c r="B3530" t="s">
        <v>11124</v>
      </c>
      <c r="C3530" t="s">
        <v>7167</v>
      </c>
      <c r="D3530">
        <v>1</v>
      </c>
      <c r="F3530" t="s">
        <v>11106</v>
      </c>
      <c r="G3530" s="1" t="s">
        <v>1603</v>
      </c>
    </row>
    <row r="3531" spans="1:7" x14ac:dyDescent="0.25">
      <c r="A3531" t="s">
        <v>650</v>
      </c>
      <c r="B3531" t="s">
        <v>11124</v>
      </c>
      <c r="F3531" t="s">
        <v>11109</v>
      </c>
      <c r="G3531" s="1" t="s">
        <v>1603</v>
      </c>
    </row>
    <row r="3532" spans="1:7" x14ac:dyDescent="0.25">
      <c r="A3532" t="s">
        <v>533</v>
      </c>
      <c r="B3532" t="s">
        <v>1607</v>
      </c>
      <c r="C3532" t="s">
        <v>2929</v>
      </c>
      <c r="F3532" t="s">
        <v>11112</v>
      </c>
      <c r="G3532" s="1" t="s">
        <v>1603</v>
      </c>
    </row>
    <row r="3533" spans="1:7" x14ac:dyDescent="0.25">
      <c r="A3533" t="s">
        <v>533</v>
      </c>
      <c r="B3533" t="s">
        <v>1607</v>
      </c>
      <c r="C3533" t="s">
        <v>2929</v>
      </c>
      <c r="F3533" t="s">
        <v>11115</v>
      </c>
      <c r="G3533" s="1" t="s">
        <v>1603</v>
      </c>
    </row>
    <row r="3534" spans="1:7" hidden="1" x14ac:dyDescent="0.25">
      <c r="A3534" t="s">
        <v>2004</v>
      </c>
      <c r="B3534" t="s">
        <v>8</v>
      </c>
      <c r="F3534" t="s">
        <v>11052</v>
      </c>
      <c r="G3534" t="s">
        <v>1817</v>
      </c>
    </row>
    <row r="3535" spans="1:7" hidden="1" x14ac:dyDescent="0.25">
      <c r="A3535" t="s">
        <v>11138</v>
      </c>
      <c r="F3535" t="s">
        <v>11135</v>
      </c>
      <c r="G3535" t="s">
        <v>1817</v>
      </c>
    </row>
    <row r="3536" spans="1:7" hidden="1" x14ac:dyDescent="0.25">
      <c r="A3536" t="s">
        <v>2004</v>
      </c>
      <c r="B3536" t="s">
        <v>8</v>
      </c>
      <c r="E3536" t="s">
        <v>2014</v>
      </c>
      <c r="F3536" t="s">
        <v>11118</v>
      </c>
      <c r="G3536" t="s">
        <v>1934</v>
      </c>
    </row>
    <row r="3537" spans="1:7" hidden="1" x14ac:dyDescent="0.25">
      <c r="A3537" t="s">
        <v>2004</v>
      </c>
      <c r="B3537" t="s">
        <v>8</v>
      </c>
      <c r="E3537" t="s">
        <v>2014</v>
      </c>
      <c r="F3537" t="s">
        <v>11121</v>
      </c>
      <c r="G3537" t="s">
        <v>1934</v>
      </c>
    </row>
    <row r="3538" spans="1:7" hidden="1" x14ac:dyDescent="0.25">
      <c r="A3538" t="s">
        <v>2014</v>
      </c>
      <c r="F3538" t="s">
        <v>11055</v>
      </c>
      <c r="G3538" t="s">
        <v>1997</v>
      </c>
    </row>
    <row r="3539" spans="1:7" hidden="1" x14ac:dyDescent="0.25">
      <c r="A3539" t="s">
        <v>2004</v>
      </c>
      <c r="B3539" t="s">
        <v>8</v>
      </c>
      <c r="F3539" t="s">
        <v>11058</v>
      </c>
      <c r="G3539" t="s">
        <v>1997</v>
      </c>
    </row>
  </sheetData>
  <phoneticPr fontId="2" type="noConversion"/>
  <conditionalFormatting sqref="C2:C11 C14 C16:C18 C23:C24">
    <cfRule type="notContainsText" dxfId="591" priority="510" operator="notContains" text="порожний">
      <formula>ISERROR(SEARCH("порожний",C2))</formula>
    </cfRule>
  </conditionalFormatting>
  <conditionalFormatting sqref="B11 A695 A697:A701 A825 B932 A3437:B3437">
    <cfRule type="containsText" dxfId="590" priority="509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589" priority="508" operator="notContains" text="порожний">
      <formula>ISERROR(SEARCH("порожний",C12))</formula>
    </cfRule>
  </conditionalFormatting>
  <conditionalFormatting sqref="B12:B14">
    <cfRule type="containsText" dxfId="588" priority="507" operator="containsText" text="Выезд с территории">
      <formula>NOT(ISERROR(SEARCH("Выезд с территории",B12)))</formula>
    </cfRule>
  </conditionalFormatting>
  <conditionalFormatting sqref="C15">
    <cfRule type="notContainsText" dxfId="587" priority="506" operator="notContains" text="порожний">
      <formula>ISERROR(SEARCH("порожний",C15))</formula>
    </cfRule>
  </conditionalFormatting>
  <conditionalFormatting sqref="C19:C22">
    <cfRule type="notContainsText" dxfId="586" priority="505" operator="notContains" text="порожний">
      <formula>ISERROR(SEARCH("порожний",C19))</formula>
    </cfRule>
  </conditionalFormatting>
  <conditionalFormatting sqref="C25">
    <cfRule type="notContainsText" dxfId="585" priority="504" operator="notContains" text="порожний">
      <formula>ISERROR(SEARCH("порожний",C25))</formula>
    </cfRule>
  </conditionalFormatting>
  <conditionalFormatting sqref="C26:C27">
    <cfRule type="notContainsText" dxfId="584" priority="503" operator="notContains" text="порожний">
      <formula>ISERROR(SEARCH("порожний",C26))</formula>
    </cfRule>
  </conditionalFormatting>
  <conditionalFormatting sqref="C29">
    <cfRule type="notContainsText" dxfId="583" priority="502" operator="notContains" text="порожний">
      <formula>ISERROR(SEARCH("порожний",C29))</formula>
    </cfRule>
  </conditionalFormatting>
  <conditionalFormatting sqref="C39">
    <cfRule type="notContainsText" dxfId="582" priority="497" operator="notContains" text="порожний">
      <formula>ISERROR(SEARCH("порожний",C39))</formula>
    </cfRule>
  </conditionalFormatting>
  <conditionalFormatting sqref="C32">
    <cfRule type="notContainsText" dxfId="581" priority="501" operator="notContains" text="порожний">
      <formula>ISERROR(SEARCH("порожний",C32))</formula>
    </cfRule>
  </conditionalFormatting>
  <conditionalFormatting sqref="C34">
    <cfRule type="notContainsText" dxfId="580" priority="500" operator="notContains" text="порожний">
      <formula>ISERROR(SEARCH("порожний",C34))</formula>
    </cfRule>
  </conditionalFormatting>
  <conditionalFormatting sqref="C36">
    <cfRule type="notContainsText" dxfId="579" priority="499" operator="notContains" text="порожний">
      <formula>ISERROR(SEARCH("порожний",C36))</formula>
    </cfRule>
  </conditionalFormatting>
  <conditionalFormatting sqref="C38">
    <cfRule type="notContainsText" dxfId="578" priority="498" operator="notContains" text="порожний">
      <formula>ISERROR(SEARCH("порожний",C38))</formula>
    </cfRule>
  </conditionalFormatting>
  <conditionalFormatting sqref="E147">
    <cfRule type="containsText" dxfId="577" priority="496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576" priority="495" operator="notContains" text="порожний">
      <formula>ISERROR(SEARCH("порожний",C581))</formula>
    </cfRule>
  </conditionalFormatting>
  <conditionalFormatting sqref="C586">
    <cfRule type="notContainsText" dxfId="575" priority="494" operator="notContains" text="порожний">
      <formula>ISERROR(SEARCH("порожний",C586))</formula>
    </cfRule>
  </conditionalFormatting>
  <conditionalFormatting sqref="B609">
    <cfRule type="containsText" dxfId="574" priority="493" operator="containsText" text="Выезд с территории">
      <formula>NOT(ISERROR(SEARCH("Выезд с территории",B609)))</formula>
    </cfRule>
  </conditionalFormatting>
  <conditionalFormatting sqref="B609 B932 B3437">
    <cfRule type="containsText" dxfId="573" priority="491" operator="containsText" text="Газель базы">
      <formula>NOT(ISERROR(SEARCH("Газель базы",B609)))</formula>
    </cfRule>
    <cfRule type="containsText" dxfId="572" priority="492" operator="containsText" text="Погрузчик базы">
      <formula>NOT(ISERROR(SEARCH("Погрузчик базы",B609)))</formula>
    </cfRule>
  </conditionalFormatting>
  <conditionalFormatting sqref="B609 B932 B3437">
    <cfRule type="containsText" dxfId="571" priority="490" operator="containsText" text="Трактор базы">
      <formula>NOT(ISERROR(SEARCH("Трактор базы",B609)))</formula>
    </cfRule>
  </conditionalFormatting>
  <conditionalFormatting sqref="B614">
    <cfRule type="containsText" dxfId="570" priority="486" operator="containsText" text="Трактор базы">
      <formula>NOT(ISERROR(SEARCH("Трактор базы",B614)))</formula>
    </cfRule>
  </conditionalFormatting>
  <conditionalFormatting sqref="B614">
    <cfRule type="containsText" dxfId="569" priority="489" operator="containsText" text="Выезд с территории">
      <formula>NOT(ISERROR(SEARCH("Выезд с территории",B614)))</formula>
    </cfRule>
  </conditionalFormatting>
  <conditionalFormatting sqref="B614">
    <cfRule type="containsText" dxfId="568" priority="487" operator="containsText" text="Газель базы">
      <formula>NOT(ISERROR(SEARCH("Газель базы",B614)))</formula>
    </cfRule>
    <cfRule type="containsText" dxfId="567" priority="488" operator="containsText" text="Погрузчик базы">
      <formula>NOT(ISERROR(SEARCH("Погрузчик базы",B614)))</formula>
    </cfRule>
  </conditionalFormatting>
  <conditionalFormatting sqref="C649">
    <cfRule type="notContainsText" dxfId="566" priority="485" operator="notContains" text="порожний">
      <formula>ISERROR(SEARCH("порожний",C649))</formula>
    </cfRule>
  </conditionalFormatting>
  <conditionalFormatting sqref="C655">
    <cfRule type="notContainsText" dxfId="565" priority="482" operator="notContains" text="порожний">
      <formula>ISERROR(SEARCH("порожний",C655))</formula>
    </cfRule>
  </conditionalFormatting>
  <conditionalFormatting sqref="C650">
    <cfRule type="notContainsText" dxfId="564" priority="484" operator="notContains" text="порожний">
      <formula>ISERROR(SEARCH("порожний",C650))</formula>
    </cfRule>
  </conditionalFormatting>
  <conditionalFormatting sqref="C654">
    <cfRule type="notContainsText" dxfId="563" priority="483" operator="notContains" text="порожний">
      <formula>ISERROR(SEARCH("порожний",C654))</formula>
    </cfRule>
  </conditionalFormatting>
  <conditionalFormatting sqref="A663:A666 A668:A670 A695 A697:A701 A825 A3437">
    <cfRule type="containsText" dxfId="562" priority="479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561" priority="481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560" priority="480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559" priority="476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558" priority="478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557" priority="477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556" priority="466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555" priority="475" operator="containsText" text="Выезд с территории">
      <formula>NOT(ISERROR(SEARCH("Выезд с территории",A681)))</formula>
    </cfRule>
  </conditionalFormatting>
  <conditionalFormatting sqref="A681">
    <cfRule type="containsText" dxfId="554" priority="474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553" priority="473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552" priority="469" operator="containsText" text="Трактор базы">
      <formula>NOT(ISERROR(SEARCH("Трактор базы",B682)))</formula>
    </cfRule>
  </conditionalFormatting>
  <conditionalFormatting sqref="B682">
    <cfRule type="containsText" dxfId="551" priority="472" operator="containsText" text="Выезд с территории">
      <formula>NOT(ISERROR(SEARCH("Выезд с территории",B682)))</formula>
    </cfRule>
  </conditionalFormatting>
  <conditionalFormatting sqref="B682">
    <cfRule type="containsText" dxfId="550" priority="470" operator="containsText" text="Газель базы">
      <formula>NOT(ISERROR(SEARCH("Газель базы",B682)))</formula>
    </cfRule>
    <cfRule type="containsText" dxfId="549" priority="471" operator="containsText" text="Погрузчик базы">
      <formula>NOT(ISERROR(SEARCH("Погрузчик базы",B682)))</formula>
    </cfRule>
  </conditionalFormatting>
  <conditionalFormatting sqref="A684:A687">
    <cfRule type="containsText" dxfId="548" priority="468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547" priority="467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546" priority="457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545" priority="459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544" priority="458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543" priority="454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42" priority="456" operator="containsText" text="Выезд с территории">
      <formula>NOT(ISERROR(SEARCH("Выезд с территории",A824)))</formula>
    </cfRule>
  </conditionalFormatting>
  <conditionalFormatting sqref="A824">
    <cfRule type="containsText" dxfId="541" priority="455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40" priority="450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39" priority="448" operator="containsText" text="Газель базы">
      <formula>NOT(ISERROR(SEARCH("Газель базы",B846)))</formula>
    </cfRule>
    <cfRule type="containsText" dxfId="538" priority="449" operator="containsText" text="Погрузчик базы">
      <formula>NOT(ISERROR(SEARCH("Погрузчик базы",B846)))</formula>
    </cfRule>
  </conditionalFormatting>
  <conditionalFormatting sqref="B846:B850">
    <cfRule type="containsText" dxfId="537" priority="447" operator="containsText" text="Трактор базы">
      <formula>NOT(ISERROR(SEARCH("Трактор базы",B846)))</formula>
    </cfRule>
  </conditionalFormatting>
  <conditionalFormatting sqref="A916:A917">
    <cfRule type="containsText" dxfId="536" priority="441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35" priority="446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34" priority="444" operator="containsText" text="Газель базы">
      <formula>NOT(ISERROR(SEARCH("Газель базы",B916)))</formula>
    </cfRule>
    <cfRule type="containsText" dxfId="533" priority="445" operator="containsText" text="Погрузчик базы">
      <formula>NOT(ISERROR(SEARCH("Погрузчик базы",B916)))</formula>
    </cfRule>
  </conditionalFormatting>
  <conditionalFormatting sqref="B916:B917">
    <cfRule type="containsText" dxfId="532" priority="443" operator="containsText" text="Трактор базы">
      <formula>NOT(ISERROR(SEARCH("Трактор базы",B916)))</formula>
    </cfRule>
  </conditionalFormatting>
  <conditionalFormatting sqref="A916:A917">
    <cfRule type="containsText" dxfId="531" priority="442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30" priority="440" operator="containsText" text="Выезд с территории">
      <formula>NOT(ISERROR(SEARCH("Выезд с территории",E916)))</formula>
    </cfRule>
  </conditionalFormatting>
  <conditionalFormatting sqref="A932">
    <cfRule type="containsText" dxfId="529" priority="417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28" priority="439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27" priority="437" operator="containsText" text="Газель базы">
      <formula>NOT(ISERROR(SEARCH("Газель базы",B918)))</formula>
    </cfRule>
    <cfRule type="containsText" dxfId="526" priority="438" operator="containsText" text="Погрузчик базы">
      <formula>NOT(ISERROR(SEARCH("Погрузчик базы",B918)))</formula>
    </cfRule>
  </conditionalFormatting>
  <conditionalFormatting sqref="B918:B924">
    <cfRule type="containsText" dxfId="525" priority="436" operator="containsText" text="Трактор базы">
      <formula>NOT(ISERROR(SEARCH("Трактор базы",B918)))</formula>
    </cfRule>
  </conditionalFormatting>
  <conditionalFormatting sqref="A918">
    <cfRule type="containsText" dxfId="524" priority="435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23" priority="434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22" priority="428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21" priority="433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20" priority="431" operator="containsText" text="Газель базы">
      <formula>NOT(ISERROR(SEARCH("Газель базы",B926)))</formula>
    </cfRule>
    <cfRule type="containsText" dxfId="519" priority="432" operator="containsText" text="Погрузчик базы">
      <formula>NOT(ISERROR(SEARCH("Погрузчик базы",B926)))</formula>
    </cfRule>
  </conditionalFormatting>
  <conditionalFormatting sqref="B926:B928">
    <cfRule type="containsText" dxfId="518" priority="430" operator="containsText" text="Трактор базы">
      <formula>NOT(ISERROR(SEARCH("Трактор базы",B926)))</formula>
    </cfRule>
  </conditionalFormatting>
  <conditionalFormatting sqref="A926:A928">
    <cfRule type="containsText" dxfId="517" priority="429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16" priority="427" operator="containsText" text="Выезд с территории">
      <formula>NOT(ISERROR(SEARCH("Выезд с территории",E926)))</formula>
    </cfRule>
  </conditionalFormatting>
  <conditionalFormatting sqref="A930">
    <cfRule type="containsText" dxfId="515" priority="421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14" priority="426" operator="containsText" text="Выезд с территории">
      <formula>NOT(ISERROR(SEARCH("Выезд с территории",A930)))</formula>
    </cfRule>
  </conditionalFormatting>
  <conditionalFormatting sqref="B930">
    <cfRule type="containsText" dxfId="513" priority="424" operator="containsText" text="Газель базы">
      <formula>NOT(ISERROR(SEARCH("Газель базы",B930)))</formula>
    </cfRule>
    <cfRule type="containsText" dxfId="512" priority="425" operator="containsText" text="Погрузчик базы">
      <formula>NOT(ISERROR(SEARCH("Погрузчик базы",B930)))</formula>
    </cfRule>
  </conditionalFormatting>
  <conditionalFormatting sqref="B930">
    <cfRule type="containsText" dxfId="511" priority="423" operator="containsText" text="Трактор базы">
      <formula>NOT(ISERROR(SEARCH("Трактор базы",B930)))</formula>
    </cfRule>
  </conditionalFormatting>
  <conditionalFormatting sqref="A930">
    <cfRule type="containsText" dxfId="510" priority="422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09" priority="420" operator="containsText" text="Выезд с территории">
      <formula>NOT(ISERROR(SEARCH("Выезд с территории",E930)))</formula>
    </cfRule>
  </conditionalFormatting>
  <conditionalFormatting sqref="A932">
    <cfRule type="containsText" dxfId="508" priority="419" operator="containsText" text="Выезд с территории">
      <formula>NOT(ISERROR(SEARCH("Выезд с территории",A932)))</formula>
    </cfRule>
  </conditionalFormatting>
  <conditionalFormatting sqref="A932">
    <cfRule type="containsText" dxfId="507" priority="418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06" priority="414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05" priority="416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04" priority="415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03" priority="413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02" priority="412" operator="notContains" text="порожний">
      <formula>ISERROR(SEARCH("порожний",C954))</formula>
    </cfRule>
  </conditionalFormatting>
  <conditionalFormatting sqref="B954:B956">
    <cfRule type="containsText" dxfId="501" priority="410" operator="containsText" text="Газель базы">
      <formula>NOT(ISERROR(SEARCH("Газель базы",B954)))</formula>
    </cfRule>
    <cfRule type="containsText" dxfId="500" priority="411" operator="containsText" text="Погрузчик базы">
      <formula>NOT(ISERROR(SEARCH("Погрузчик базы",B954)))</formula>
    </cfRule>
  </conditionalFormatting>
  <conditionalFormatting sqref="B954:B956">
    <cfRule type="containsText" dxfId="499" priority="409" operator="containsText" text="Трактор базы">
      <formula>NOT(ISERROR(SEARCH("Трактор базы",B954)))</formula>
    </cfRule>
  </conditionalFormatting>
  <conditionalFormatting sqref="A954:A956">
    <cfRule type="containsText" dxfId="498" priority="408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497" priority="407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496" priority="405" operator="notContains" text="порожний">
      <formula>ISERROR(SEARCH("порожний",C995))</formula>
    </cfRule>
  </conditionalFormatting>
  <conditionalFormatting sqref="C987">
    <cfRule type="notContainsText" dxfId="495" priority="406" operator="notContains" text="порожний">
      <formula>ISERROR(SEARCH("порожний",C987))</formula>
    </cfRule>
  </conditionalFormatting>
  <conditionalFormatting sqref="B999">
    <cfRule type="containsText" dxfId="494" priority="404" operator="containsText" text="Выезд с территории">
      <formula>NOT(ISERROR(SEARCH("Выезд с территории",B999)))</formula>
    </cfRule>
  </conditionalFormatting>
  <conditionalFormatting sqref="B999">
    <cfRule type="containsText" dxfId="493" priority="402" operator="containsText" text="Газель базы">
      <formula>NOT(ISERROR(SEARCH("Газель базы",B999)))</formula>
    </cfRule>
    <cfRule type="containsText" dxfId="492" priority="403" operator="containsText" text="Погрузчик базы">
      <formula>NOT(ISERROR(SEARCH("Погрузчик базы",B999)))</formula>
    </cfRule>
  </conditionalFormatting>
  <conditionalFormatting sqref="B999">
    <cfRule type="containsText" dxfId="491" priority="401" operator="containsText" text="Трактор базы">
      <formula>NOT(ISERROR(SEARCH("Трактор базы",B999)))</formula>
    </cfRule>
  </conditionalFormatting>
  <conditionalFormatting sqref="B1019:B1022">
    <cfRule type="containsText" dxfId="490" priority="397" operator="containsText" text="Трактор базы">
      <formula>NOT(ISERROR(SEARCH("Трактор базы",B1019)))</formula>
    </cfRule>
  </conditionalFormatting>
  <conditionalFormatting sqref="B1019:B1022">
    <cfRule type="containsText" dxfId="489" priority="400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488" priority="398" operator="containsText" text="Газель базы">
      <formula>NOT(ISERROR(SEARCH("Газель базы",B1019)))</formula>
    </cfRule>
    <cfRule type="containsText" dxfId="487" priority="399" operator="containsText" text="Погрузчик базы">
      <formula>NOT(ISERROR(SEARCH("Погрузчик базы",B1019)))</formula>
    </cfRule>
  </conditionalFormatting>
  <conditionalFormatting sqref="C966">
    <cfRule type="notContainsText" dxfId="486" priority="396" operator="notContains" text="порожний">
      <formula>ISERROR(SEARCH("порожний",C966))</formula>
    </cfRule>
  </conditionalFormatting>
  <conditionalFormatting sqref="A1029">
    <cfRule type="containsText" dxfId="485" priority="393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484" priority="395" operator="containsText" text="Выезд с территории">
      <formula>NOT(ISERROR(SEARCH("Выезд с территории",A1029)))</formula>
    </cfRule>
  </conditionalFormatting>
  <conditionalFormatting sqref="A1029">
    <cfRule type="containsText" dxfId="483" priority="394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482" priority="392" operator="containsText" text="Выезд с территории">
      <formula>NOT(ISERROR(SEARCH("Выезд с территории",B1030)))</formula>
    </cfRule>
  </conditionalFormatting>
  <conditionalFormatting sqref="B1030">
    <cfRule type="containsText" dxfId="481" priority="390" operator="containsText" text="Газель базы">
      <formula>NOT(ISERROR(SEARCH("Газель базы",B1030)))</formula>
    </cfRule>
    <cfRule type="containsText" dxfId="480" priority="391" operator="containsText" text="Погрузчик базы">
      <formula>NOT(ISERROR(SEARCH("Погрузчик базы",B1030)))</formula>
    </cfRule>
  </conditionalFormatting>
  <conditionalFormatting sqref="B1030">
    <cfRule type="containsText" dxfId="479" priority="389" operator="containsText" text="Трактор базы">
      <formula>NOT(ISERROR(SEARCH("Трактор базы",B1030)))</formula>
    </cfRule>
  </conditionalFormatting>
  <conditionalFormatting sqref="A1035">
    <cfRule type="containsText" dxfId="478" priority="383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477" priority="386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476" priority="388" operator="containsText" text="Выезд с территории">
      <formula>NOT(ISERROR(SEARCH("Выезд с территории",A1033)))</formula>
    </cfRule>
  </conditionalFormatting>
  <conditionalFormatting sqref="A1033">
    <cfRule type="containsText" dxfId="475" priority="387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474" priority="385" operator="containsText" text="Выезд с территории">
      <formula>NOT(ISERROR(SEARCH("Выезд с территории",A1035)))</formula>
    </cfRule>
  </conditionalFormatting>
  <conditionalFormatting sqref="A1035">
    <cfRule type="containsText" dxfId="473" priority="384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472" priority="382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471" priority="380" operator="containsText" text="Газель базы">
      <formula>NOT(ISERROR(SEARCH("Газель базы",B1138)))</formula>
    </cfRule>
    <cfRule type="containsText" dxfId="470" priority="381" operator="containsText" text="Погрузчик базы">
      <formula>NOT(ISERROR(SEARCH("Погрузчик базы",B1138)))</formula>
    </cfRule>
  </conditionalFormatting>
  <conditionalFormatting sqref="B1138:B1161">
    <cfRule type="containsText" dxfId="469" priority="379" operator="containsText" text="Трактор базы">
      <formula>NOT(ISERROR(SEARCH("Трактор базы",B1138)))</formula>
    </cfRule>
  </conditionalFormatting>
  <conditionalFormatting sqref="B1258:B1262">
    <cfRule type="containsText" dxfId="468" priority="363" operator="containsText" text="Трактор базы">
      <formula>NOT(ISERROR(SEARCH("Трактор базы",B1258)))</formula>
    </cfRule>
  </conditionalFormatting>
  <conditionalFormatting sqref="B1244:B1252">
    <cfRule type="containsText" dxfId="467" priority="378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466" priority="376" operator="containsText" text="Газель базы">
      <formula>NOT(ISERROR(SEARCH("Газель базы",B1244)))</formula>
    </cfRule>
    <cfRule type="containsText" dxfId="465" priority="377" operator="containsText" text="Погрузчик базы">
      <formula>NOT(ISERROR(SEARCH("Погрузчик базы",B1244)))</formula>
    </cfRule>
  </conditionalFormatting>
  <conditionalFormatting sqref="B1244:B1252">
    <cfRule type="containsText" dxfId="464" priority="375" operator="containsText" text="Трактор базы">
      <formula>NOT(ISERROR(SEARCH("Трактор базы",B1244)))</formula>
    </cfRule>
  </conditionalFormatting>
  <conditionalFormatting sqref="B1253:B1256">
    <cfRule type="containsText" dxfId="463" priority="374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462" priority="372" operator="containsText" text="Газель базы">
      <formula>NOT(ISERROR(SEARCH("Газель базы",B1253)))</formula>
    </cfRule>
    <cfRule type="containsText" dxfId="461" priority="373" operator="containsText" text="Погрузчик базы">
      <formula>NOT(ISERROR(SEARCH("Погрузчик базы",B1253)))</formula>
    </cfRule>
  </conditionalFormatting>
  <conditionalFormatting sqref="B1253:B1256">
    <cfRule type="containsText" dxfId="460" priority="371" operator="containsText" text="Трактор базы">
      <formula>NOT(ISERROR(SEARCH("Трактор базы",B1253)))</formula>
    </cfRule>
  </conditionalFormatting>
  <conditionalFormatting sqref="B1257">
    <cfRule type="containsText" dxfId="459" priority="370" operator="containsText" text="Выезд с территории">
      <formula>NOT(ISERROR(SEARCH("Выезд с территории",B1257)))</formula>
    </cfRule>
  </conditionalFormatting>
  <conditionalFormatting sqref="B1257">
    <cfRule type="containsText" dxfId="458" priority="368" operator="containsText" text="Газель базы">
      <formula>NOT(ISERROR(SEARCH("Газель базы",B1257)))</formula>
    </cfRule>
    <cfRule type="containsText" dxfId="457" priority="369" operator="containsText" text="Погрузчик базы">
      <formula>NOT(ISERROR(SEARCH("Погрузчик базы",B1257)))</formula>
    </cfRule>
  </conditionalFormatting>
  <conditionalFormatting sqref="B1257">
    <cfRule type="containsText" dxfId="456" priority="367" operator="containsText" text="Трактор базы">
      <formula>NOT(ISERROR(SEARCH("Трактор базы",B1257)))</formula>
    </cfRule>
  </conditionalFormatting>
  <conditionalFormatting sqref="B1258:B1262">
    <cfRule type="containsText" dxfId="455" priority="366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454" priority="364" operator="containsText" text="Газель базы">
      <formula>NOT(ISERROR(SEARCH("Газель базы",B1258)))</formula>
    </cfRule>
    <cfRule type="containsText" dxfId="453" priority="365" operator="containsText" text="Погрузчик базы">
      <formula>NOT(ISERROR(SEARCH("Погрузчик базы",B1258)))</formula>
    </cfRule>
  </conditionalFormatting>
  <conditionalFormatting sqref="B1281:B1287">
    <cfRule type="containsText" dxfId="452" priority="362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451" priority="360" operator="containsText" text="Газель базы">
      <formula>NOT(ISERROR(SEARCH("Газель базы",B1281)))</formula>
    </cfRule>
    <cfRule type="containsText" dxfId="450" priority="361" operator="containsText" text="Погрузчик базы">
      <formula>NOT(ISERROR(SEARCH("Погрузчик базы",B1281)))</formula>
    </cfRule>
  </conditionalFormatting>
  <conditionalFormatting sqref="B1281:B1287">
    <cfRule type="containsText" dxfId="449" priority="359" operator="containsText" text="Трактор базы">
      <formula>NOT(ISERROR(SEARCH("Трактор базы",B1281)))</formula>
    </cfRule>
  </conditionalFormatting>
  <conditionalFormatting sqref="B1296">
    <cfRule type="containsText" dxfId="448" priority="355" operator="containsText" text="Трактор базы">
      <formula>NOT(ISERROR(SEARCH("Трактор базы",B1296)))</formula>
    </cfRule>
  </conditionalFormatting>
  <conditionalFormatting sqref="B1296">
    <cfRule type="containsText" dxfId="447" priority="358" operator="containsText" text="Выезд с территории">
      <formula>NOT(ISERROR(SEARCH("Выезд с территории",B1296)))</formula>
    </cfRule>
  </conditionalFormatting>
  <conditionalFormatting sqref="B1296">
    <cfRule type="containsText" dxfId="446" priority="356" operator="containsText" text="Газель базы">
      <formula>NOT(ISERROR(SEARCH("Газель базы",B1296)))</formula>
    </cfRule>
    <cfRule type="containsText" dxfId="445" priority="357" operator="containsText" text="Погрузчик базы">
      <formula>NOT(ISERROR(SEARCH("Погрузчик базы",B1296)))</formula>
    </cfRule>
  </conditionalFormatting>
  <conditionalFormatting sqref="C1320:C1321">
    <cfRule type="notContainsText" dxfId="444" priority="353" operator="notContains" text="порожний">
      <formula>ISERROR(SEARCH("порожний",C1320))</formula>
    </cfRule>
  </conditionalFormatting>
  <conditionalFormatting sqref="A1323">
    <cfRule type="containsText" dxfId="443" priority="347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42" priority="350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41" priority="352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40" priority="351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39" priority="349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38" priority="348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37" priority="346" operator="notContains" text="порожний">
      <formula>ISERROR(SEARCH("порожний",C1336))</formula>
    </cfRule>
  </conditionalFormatting>
  <conditionalFormatting sqref="C1346">
    <cfRule type="notContainsText" dxfId="436" priority="345" operator="notContains" text="порожний">
      <formula>ISERROR(SEARCH("порожний",C1346))</formula>
    </cfRule>
  </conditionalFormatting>
  <conditionalFormatting sqref="A1391">
    <cfRule type="containsText" dxfId="435" priority="339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34" priority="341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33" priority="340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32" priority="336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31" priority="338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30" priority="337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29" priority="335" operator="notContains" text="порожний">
      <formula>ISERROR(SEARCH("порожний",C1606))</formula>
    </cfRule>
  </conditionalFormatting>
  <conditionalFormatting sqref="B1633:B1636">
    <cfRule type="containsText" dxfId="428" priority="334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27" priority="332" operator="containsText" text="Газель базы">
      <formula>NOT(ISERROR(SEARCH("Газель базы",B1633)))</formula>
    </cfRule>
    <cfRule type="containsText" dxfId="426" priority="333" operator="containsText" text="Погрузчик базы">
      <formula>NOT(ISERROR(SEARCH("Погрузчик базы",B1633)))</formula>
    </cfRule>
  </conditionalFormatting>
  <conditionalFormatting sqref="B1633:B1636">
    <cfRule type="containsText" dxfId="425" priority="331" operator="containsText" text="Трактор базы">
      <formula>NOT(ISERROR(SEARCH("Трактор базы",B1633)))</formula>
    </cfRule>
  </conditionalFormatting>
  <conditionalFormatting sqref="B1637:B1642">
    <cfRule type="containsText" dxfId="424" priority="330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23" priority="328" operator="containsText" text="Газель базы">
      <formula>NOT(ISERROR(SEARCH("Газель базы",B1637)))</formula>
    </cfRule>
    <cfRule type="containsText" dxfId="422" priority="329" operator="containsText" text="Погрузчик базы">
      <formula>NOT(ISERROR(SEARCH("Погрузчик базы",B1637)))</formula>
    </cfRule>
  </conditionalFormatting>
  <conditionalFormatting sqref="B1637:B1642">
    <cfRule type="containsText" dxfId="421" priority="327" operator="containsText" text="Трактор базы">
      <formula>NOT(ISERROR(SEARCH("Трактор базы",B1637)))</formula>
    </cfRule>
  </conditionalFormatting>
  <conditionalFormatting sqref="B1671:B1672">
    <cfRule type="containsText" dxfId="420" priority="323" operator="containsText" text="Трактор базы">
      <formula>NOT(ISERROR(SEARCH("Трактор базы",B1671)))</formula>
    </cfRule>
  </conditionalFormatting>
  <conditionalFormatting sqref="B1671:B1672">
    <cfRule type="containsText" dxfId="419" priority="326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18" priority="324" operator="containsText" text="Газель базы">
      <formula>NOT(ISERROR(SEARCH("Газель базы",B1671)))</formula>
    </cfRule>
    <cfRule type="containsText" dxfId="417" priority="325" operator="containsText" text="Погрузчик базы">
      <formula>NOT(ISERROR(SEARCH("Погрузчик базы",B1671)))</formula>
    </cfRule>
  </conditionalFormatting>
  <conditionalFormatting sqref="B1675">
    <cfRule type="containsText" dxfId="416" priority="319" operator="containsText" text="Трактор базы">
      <formula>NOT(ISERROR(SEARCH("Трактор базы",B1675)))</formula>
    </cfRule>
  </conditionalFormatting>
  <conditionalFormatting sqref="B1675">
    <cfRule type="containsText" dxfId="415" priority="322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14" priority="320" operator="containsText" text="Газель базы">
      <formula>NOT(ISERROR(SEARCH("Газель базы",B1675)))</formula>
    </cfRule>
    <cfRule type="containsText" dxfId="413" priority="321" operator="containsText" text="Погрузчик базы">
      <formula>NOT(ISERROR(SEARCH("Погрузчик базы",B1675)))</formula>
    </cfRule>
  </conditionalFormatting>
  <conditionalFormatting sqref="A1678">
    <cfRule type="containsText" dxfId="412" priority="316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11" priority="318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10" priority="317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09" priority="315" operator="notContains" text="порожний">
      <formula>ISERROR(SEARCH("порожний",C1723))</formula>
    </cfRule>
  </conditionalFormatting>
  <conditionalFormatting sqref="C1725:C1726">
    <cfRule type="notContainsText" dxfId="408" priority="314" operator="notContains" text="порожний">
      <formula>ISERROR(SEARCH("порожний",C1725))</formula>
    </cfRule>
  </conditionalFormatting>
  <conditionalFormatting sqref="C1727">
    <cfRule type="notContainsText" dxfId="407" priority="313" operator="notContains" text="порожний">
      <formula>ISERROR(SEARCH("порожний",C1727))</formula>
    </cfRule>
  </conditionalFormatting>
  <conditionalFormatting sqref="C1728">
    <cfRule type="notContainsText" dxfId="406" priority="312" operator="notContains" text="порожний">
      <formula>ISERROR(SEARCH("порожний",C1728))</formula>
    </cfRule>
  </conditionalFormatting>
  <conditionalFormatting sqref="B1732:B1733">
    <cfRule type="containsText" dxfId="405" priority="311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04" priority="309" operator="containsText" text="Газель базы">
      <formula>NOT(ISERROR(SEARCH("Газель базы",B1732)))</formula>
    </cfRule>
    <cfRule type="containsText" dxfId="403" priority="310" operator="containsText" text="Погрузчик базы">
      <formula>NOT(ISERROR(SEARCH("Погрузчик базы",B1732)))</formula>
    </cfRule>
  </conditionalFormatting>
  <conditionalFormatting sqref="B1732:B1733">
    <cfRule type="containsText" dxfId="402" priority="308" operator="containsText" text="Трактор базы">
      <formula>NOT(ISERROR(SEARCH("Трактор базы",B1732)))</formula>
    </cfRule>
  </conditionalFormatting>
  <conditionalFormatting sqref="B1734:B1735">
    <cfRule type="containsText" dxfId="401" priority="307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00" priority="305" operator="containsText" text="Газель базы">
      <formula>NOT(ISERROR(SEARCH("Газель базы",B1734)))</formula>
    </cfRule>
    <cfRule type="containsText" dxfId="399" priority="306" operator="containsText" text="Погрузчик базы">
      <formula>NOT(ISERROR(SEARCH("Погрузчик базы",B1734)))</formula>
    </cfRule>
  </conditionalFormatting>
  <conditionalFormatting sqref="B1734:B1735">
    <cfRule type="containsText" dxfId="398" priority="304" operator="containsText" text="Трактор базы">
      <formula>NOT(ISERROR(SEARCH("Трактор базы",B1734)))</formula>
    </cfRule>
  </conditionalFormatting>
  <conditionalFormatting sqref="B1762:B1764">
    <cfRule type="containsText" dxfId="397" priority="290" operator="containsText" text="Трактор базы">
      <formula>NOT(ISERROR(SEARCH("Трактор базы",B1762)))</formula>
    </cfRule>
  </conditionalFormatting>
  <conditionalFormatting sqref="B1740:B1741">
    <cfRule type="containsText" dxfId="396" priority="303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395" priority="301" operator="containsText" text="Газель базы">
      <formula>NOT(ISERROR(SEARCH("Газель базы",B1740)))</formula>
    </cfRule>
    <cfRule type="containsText" dxfId="394" priority="302" operator="containsText" text="Погрузчик базы">
      <formula>NOT(ISERROR(SEARCH("Погрузчик базы",B1740)))</formula>
    </cfRule>
  </conditionalFormatting>
  <conditionalFormatting sqref="B1740:B1741">
    <cfRule type="containsText" dxfId="393" priority="300" operator="containsText" text="Трактор базы">
      <formula>NOT(ISERROR(SEARCH("Трактор базы",B1740)))</formula>
    </cfRule>
  </conditionalFormatting>
  <conditionalFormatting sqref="A1755">
    <cfRule type="containsText" dxfId="392" priority="297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391" priority="299" operator="containsText" text="Выезд с территории">
      <formula>NOT(ISERROR(SEARCH("Выезд с территории",A1755)))</formula>
    </cfRule>
  </conditionalFormatting>
  <conditionalFormatting sqref="A1755">
    <cfRule type="containsText" dxfId="390" priority="298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389" priority="294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388" priority="296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387" priority="295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386" priority="281" operator="containsText" text="Трактор базы">
      <formula>NOT(ISERROR(SEARCH("Трактор базы",B1773)))</formula>
    </cfRule>
  </conditionalFormatting>
  <conditionalFormatting sqref="B1762:B1764">
    <cfRule type="containsText" dxfId="385" priority="293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384" priority="291" operator="containsText" text="Газель базы">
      <formula>NOT(ISERROR(SEARCH("Газель базы",B1762)))</formula>
    </cfRule>
    <cfRule type="containsText" dxfId="383" priority="292" operator="containsText" text="Погрузчик базы">
      <formula>NOT(ISERROR(SEARCH("Погрузчик базы",B1762)))</formula>
    </cfRule>
  </conditionalFormatting>
  <conditionalFormatting sqref="B1776:B1777">
    <cfRule type="containsText" dxfId="382" priority="272" operator="containsText" text="Трактор базы">
      <formula>NOT(ISERROR(SEARCH("Трактор базы",B1776)))</formula>
    </cfRule>
  </conditionalFormatting>
  <conditionalFormatting sqref="B1770:B1771">
    <cfRule type="containsText" dxfId="381" priority="289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380" priority="287" operator="containsText" text="Газель базы">
      <formula>NOT(ISERROR(SEARCH("Газель базы",B1770)))</formula>
    </cfRule>
    <cfRule type="containsText" dxfId="379" priority="288" operator="containsText" text="Погрузчик базы">
      <formula>NOT(ISERROR(SEARCH("Погрузчик базы",B1770)))</formula>
    </cfRule>
  </conditionalFormatting>
  <conditionalFormatting sqref="B1770:B1771">
    <cfRule type="containsText" dxfId="378" priority="286" operator="containsText" text="Трактор базы">
      <formula>NOT(ISERROR(SEARCH("Трактор базы",B1770)))</formula>
    </cfRule>
  </conditionalFormatting>
  <conditionalFormatting sqref="B1773">
    <cfRule type="containsText" dxfId="377" priority="285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376" priority="284" operator="notContains" text="порожний">
      <formula>ISERROR(SEARCH("порожний",C1773))</formula>
    </cfRule>
  </conditionalFormatting>
  <conditionalFormatting sqref="B1773">
    <cfRule type="containsText" dxfId="375" priority="282" operator="containsText" text="Газель базы">
      <formula>NOT(ISERROR(SEARCH("Газель базы",B1773)))</formula>
    </cfRule>
    <cfRule type="containsText" dxfId="374" priority="283" operator="containsText" text="Погрузчик базы">
      <formula>NOT(ISERROR(SEARCH("Погрузчик базы",B1773)))</formula>
    </cfRule>
  </conditionalFormatting>
  <conditionalFormatting sqref="B1775">
    <cfRule type="containsText" dxfId="373" priority="276" operator="containsText" text="Трактор базы">
      <formula>NOT(ISERROR(SEARCH("Трактор базы",B1775)))</formula>
    </cfRule>
  </conditionalFormatting>
  <conditionalFormatting sqref="B1775">
    <cfRule type="containsText" dxfId="372" priority="280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371" priority="279" operator="notContains" text="порожний">
      <formula>ISERROR(SEARCH("порожний",C1775))</formula>
    </cfRule>
  </conditionalFormatting>
  <conditionalFormatting sqref="B1775">
    <cfRule type="containsText" dxfId="370" priority="277" operator="containsText" text="Газель базы">
      <formula>NOT(ISERROR(SEARCH("Газель базы",B1775)))</formula>
    </cfRule>
    <cfRule type="containsText" dxfId="369" priority="278" operator="containsText" text="Погрузчик базы">
      <formula>NOT(ISERROR(SEARCH("Погрузчик базы",B1775)))</formula>
    </cfRule>
  </conditionalFormatting>
  <conditionalFormatting sqref="B1776:B1777">
    <cfRule type="containsText" dxfId="368" priority="275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367" priority="273" operator="containsText" text="Газель базы">
      <formula>NOT(ISERROR(SEARCH("Газель базы",B1776)))</formula>
    </cfRule>
    <cfRule type="containsText" dxfId="366" priority="274" operator="containsText" text="Погрузчик базы">
      <formula>NOT(ISERROR(SEARCH("Погрузчик базы",B1776)))</formula>
    </cfRule>
  </conditionalFormatting>
  <conditionalFormatting sqref="B1891">
    <cfRule type="containsText" dxfId="365" priority="264" operator="containsText" text="Трактор базы">
      <formula>NOT(ISERROR(SEARCH("Трактор базы",B1891)))</formula>
    </cfRule>
  </conditionalFormatting>
  <conditionalFormatting sqref="B1889">
    <cfRule type="containsText" dxfId="364" priority="271" operator="containsText" text="Выезд с территории">
      <formula>NOT(ISERROR(SEARCH("Выезд с территории",B1889)))</formula>
    </cfRule>
  </conditionalFormatting>
  <conditionalFormatting sqref="B1889">
    <cfRule type="containsText" dxfId="363" priority="269" operator="containsText" text="Газель базы">
      <formula>NOT(ISERROR(SEARCH("Газель базы",B1889)))</formula>
    </cfRule>
    <cfRule type="containsText" dxfId="362" priority="270" operator="containsText" text="Погрузчик базы">
      <formula>NOT(ISERROR(SEARCH("Погрузчик базы",B1889)))</formula>
    </cfRule>
  </conditionalFormatting>
  <conditionalFormatting sqref="B1889">
    <cfRule type="containsText" dxfId="361" priority="268" operator="containsText" text="Трактор базы">
      <formula>NOT(ISERROR(SEARCH("Трактор базы",B1889)))</formula>
    </cfRule>
  </conditionalFormatting>
  <conditionalFormatting sqref="B1891">
    <cfRule type="containsText" dxfId="360" priority="267" operator="containsText" text="Выезд с территории">
      <formula>NOT(ISERROR(SEARCH("Выезд с территории",B1891)))</formula>
    </cfRule>
  </conditionalFormatting>
  <conditionalFormatting sqref="B1891">
    <cfRule type="containsText" dxfId="359" priority="265" operator="containsText" text="Газель базы">
      <formula>NOT(ISERROR(SEARCH("Газель базы",B1891)))</formula>
    </cfRule>
    <cfRule type="containsText" dxfId="358" priority="266" operator="containsText" text="Погрузчик базы">
      <formula>NOT(ISERROR(SEARCH("Погрузчик базы",B1891)))</formula>
    </cfRule>
  </conditionalFormatting>
  <conditionalFormatting sqref="B1920">
    <cfRule type="containsText" dxfId="357" priority="252" operator="containsText" text="Трактор базы">
      <formula>NOT(ISERROR(SEARCH("Трактор базы",B1920)))</formula>
    </cfRule>
  </conditionalFormatting>
  <conditionalFormatting sqref="B1904:B1914">
    <cfRule type="containsText" dxfId="356" priority="263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355" priority="261" operator="containsText" text="Газель базы">
      <formula>NOT(ISERROR(SEARCH("Газель базы",B1904)))</formula>
    </cfRule>
    <cfRule type="containsText" dxfId="354" priority="262" operator="containsText" text="Погрузчик базы">
      <formula>NOT(ISERROR(SEARCH("Погрузчик базы",B1904)))</formula>
    </cfRule>
  </conditionalFormatting>
  <conditionalFormatting sqref="B1904:B1914">
    <cfRule type="containsText" dxfId="353" priority="260" operator="containsText" text="Трактор базы">
      <formula>NOT(ISERROR(SEARCH("Трактор базы",B1904)))</formula>
    </cfRule>
  </conditionalFormatting>
  <conditionalFormatting sqref="B1915:B1919">
    <cfRule type="containsText" dxfId="352" priority="259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351" priority="257" operator="containsText" text="Газель базы">
      <formula>NOT(ISERROR(SEARCH("Газель базы",B1915)))</formula>
    </cfRule>
    <cfRule type="containsText" dxfId="350" priority="258" operator="containsText" text="Погрузчик базы">
      <formula>NOT(ISERROR(SEARCH("Погрузчик базы",B1915)))</formula>
    </cfRule>
  </conditionalFormatting>
  <conditionalFormatting sqref="B1915:B1919">
    <cfRule type="containsText" dxfId="349" priority="256" operator="containsText" text="Трактор базы">
      <formula>NOT(ISERROR(SEARCH("Трактор базы",B1915)))</formula>
    </cfRule>
  </conditionalFormatting>
  <conditionalFormatting sqref="B1920">
    <cfRule type="containsText" dxfId="348" priority="255" operator="containsText" text="Выезд с территории">
      <formula>NOT(ISERROR(SEARCH("Выезд с территории",B1920)))</formula>
    </cfRule>
  </conditionalFormatting>
  <conditionalFormatting sqref="B1920">
    <cfRule type="containsText" dxfId="347" priority="253" operator="containsText" text="Газель базы">
      <formula>NOT(ISERROR(SEARCH("Газель базы",B1920)))</formula>
    </cfRule>
    <cfRule type="containsText" dxfId="346" priority="254" operator="containsText" text="Погрузчик базы">
      <formula>NOT(ISERROR(SEARCH("Погрузчик базы",B1920)))</formula>
    </cfRule>
  </conditionalFormatting>
  <conditionalFormatting sqref="B1939">
    <cfRule type="containsText" dxfId="345" priority="248" operator="containsText" text="Трактор базы">
      <formula>NOT(ISERROR(SEARCH("Трактор базы",B1939)))</formula>
    </cfRule>
  </conditionalFormatting>
  <conditionalFormatting sqref="B1939">
    <cfRule type="containsText" dxfId="344" priority="251" operator="containsText" text="Выезд с территории">
      <formula>NOT(ISERROR(SEARCH("Выезд с территории",B1939)))</formula>
    </cfRule>
  </conditionalFormatting>
  <conditionalFormatting sqref="B1939">
    <cfRule type="containsText" dxfId="343" priority="249" operator="containsText" text="Газель базы">
      <formula>NOT(ISERROR(SEARCH("Газель базы",B1939)))</formula>
    </cfRule>
    <cfRule type="containsText" dxfId="342" priority="250" operator="containsText" text="Погрузчик базы">
      <formula>NOT(ISERROR(SEARCH("Погрузчик базы",B1939)))</formula>
    </cfRule>
  </conditionalFormatting>
  <conditionalFormatting sqref="A1943">
    <cfRule type="containsText" dxfId="341" priority="245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40" priority="247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39" priority="246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38" priority="229" operator="containsText" text="Трактор базы">
      <formula>NOT(ISERROR(SEARCH("Трактор базы",B1977)))</formula>
    </cfRule>
  </conditionalFormatting>
  <conditionalFormatting sqref="B1974">
    <cfRule type="containsText" dxfId="337" priority="244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36" priority="242" operator="containsText" text="Газель базы">
      <formula>NOT(ISERROR(SEARCH("Газель базы",B1974)))</formula>
    </cfRule>
    <cfRule type="containsText" dxfId="335" priority="243" operator="containsText" text="Погрузчик базы">
      <formula>NOT(ISERROR(SEARCH("Погрузчик базы",B1974)))</formula>
    </cfRule>
  </conditionalFormatting>
  <conditionalFormatting sqref="B1974">
    <cfRule type="containsText" dxfId="334" priority="241" operator="containsText" text="Трактор базы">
      <formula>NOT(ISERROR(SEARCH("Трактор базы",B1974)))</formula>
    </cfRule>
  </conditionalFormatting>
  <conditionalFormatting sqref="B1975">
    <cfRule type="containsText" dxfId="333" priority="240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32" priority="238" operator="containsText" text="Газель базы">
      <formula>NOT(ISERROR(SEARCH("Газель базы",B1975)))</formula>
    </cfRule>
    <cfRule type="containsText" dxfId="331" priority="239" operator="containsText" text="Погрузчик базы">
      <formula>NOT(ISERROR(SEARCH("Погрузчик базы",B1975)))</formula>
    </cfRule>
  </conditionalFormatting>
  <conditionalFormatting sqref="B1975">
    <cfRule type="containsText" dxfId="330" priority="237" operator="containsText" text="Трактор базы">
      <formula>NOT(ISERROR(SEARCH("Трактор базы",B1975)))</formula>
    </cfRule>
  </conditionalFormatting>
  <conditionalFormatting sqref="B1976">
    <cfRule type="containsText" dxfId="329" priority="236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28" priority="234" operator="containsText" text="Газель базы">
      <formula>NOT(ISERROR(SEARCH("Газель базы",B1976)))</formula>
    </cfRule>
    <cfRule type="containsText" dxfId="327" priority="235" operator="containsText" text="Погрузчик базы">
      <formula>NOT(ISERROR(SEARCH("Погрузчик базы",B1976)))</formula>
    </cfRule>
  </conditionalFormatting>
  <conditionalFormatting sqref="B1976">
    <cfRule type="containsText" dxfId="326" priority="233" operator="containsText" text="Трактор базы">
      <formula>NOT(ISERROR(SEARCH("Трактор базы",B1976)))</formula>
    </cfRule>
  </conditionalFormatting>
  <conditionalFormatting sqref="B1977">
    <cfRule type="containsText" dxfId="325" priority="232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24" priority="230" operator="containsText" text="Газель базы">
      <formula>NOT(ISERROR(SEARCH("Газель базы",B1977)))</formula>
    </cfRule>
    <cfRule type="containsText" dxfId="323" priority="231" operator="containsText" text="Погрузчик базы">
      <formula>NOT(ISERROR(SEARCH("Погрузчик базы",B1977)))</formula>
    </cfRule>
  </conditionalFormatting>
  <conditionalFormatting sqref="C1965">
    <cfRule type="notContainsText" dxfId="322" priority="228" operator="notContains" text="порожний">
      <formula>ISERROR(SEARCH("порожний",C1965))</formula>
    </cfRule>
  </conditionalFormatting>
  <conditionalFormatting sqref="B2042">
    <cfRule type="containsText" dxfId="321" priority="224" operator="containsText" text="Трактор базы">
      <formula>NOT(ISERROR(SEARCH("Трактор базы",B2042)))</formula>
    </cfRule>
  </conditionalFormatting>
  <conditionalFormatting sqref="B2042">
    <cfRule type="containsText" dxfId="320" priority="227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19" priority="225" operator="containsText" text="Газель базы">
      <formula>NOT(ISERROR(SEARCH("Газель базы",B2042)))</formula>
    </cfRule>
    <cfRule type="containsText" dxfId="318" priority="226" operator="containsText" text="Погрузчик базы">
      <formula>NOT(ISERROR(SEARCH("Погрузчик базы",B2042)))</formula>
    </cfRule>
  </conditionalFormatting>
  <conditionalFormatting sqref="C2050">
    <cfRule type="notContainsText" dxfId="317" priority="223" operator="notContains" text="порожний">
      <formula>ISERROR(SEARCH("порожний",C2050))</formula>
    </cfRule>
  </conditionalFormatting>
  <conditionalFormatting sqref="B2054">
    <cfRule type="containsText" dxfId="316" priority="222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15" priority="220" operator="containsText" text="Газель базы">
      <formula>NOT(ISERROR(SEARCH("Газель базы",B2054)))</formula>
    </cfRule>
    <cfRule type="containsText" dxfId="314" priority="221" operator="containsText" text="Погрузчик базы">
      <formula>NOT(ISERROR(SEARCH("Погрузчик базы",B2054)))</formula>
    </cfRule>
  </conditionalFormatting>
  <conditionalFormatting sqref="B2054">
    <cfRule type="containsText" dxfId="313" priority="219" operator="containsText" text="Трактор базы">
      <formula>NOT(ISERROR(SEARCH("Трактор базы",B2054)))</formula>
    </cfRule>
  </conditionalFormatting>
  <conditionalFormatting sqref="B2055">
    <cfRule type="containsText" dxfId="312" priority="215" operator="containsText" text="Трактор базы">
      <formula>NOT(ISERROR(SEARCH("Трактор базы",B2055)))</formula>
    </cfRule>
  </conditionalFormatting>
  <conditionalFormatting sqref="B2055">
    <cfRule type="containsText" dxfId="311" priority="218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10" priority="216" operator="containsText" text="Газель базы">
      <formula>NOT(ISERROR(SEARCH("Газель базы",B2055)))</formula>
    </cfRule>
    <cfRule type="containsText" dxfId="309" priority="217" operator="containsText" text="Погрузчик базы">
      <formula>NOT(ISERROR(SEARCH("Погрузчик базы",B2055)))</formula>
    </cfRule>
  </conditionalFormatting>
  <conditionalFormatting sqref="A2087:A2089">
    <cfRule type="containsText" dxfId="308" priority="208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07" priority="214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06" priority="213" operator="notContains" text="порожний">
      <formula>ISERROR(SEARCH("порожний",C2087))</formula>
    </cfRule>
  </conditionalFormatting>
  <conditionalFormatting sqref="B2087:B2089">
    <cfRule type="containsText" dxfId="305" priority="211" operator="containsText" text="Газель базы">
      <formula>NOT(ISERROR(SEARCH("Газель базы",B2087)))</formula>
    </cfRule>
    <cfRule type="containsText" dxfId="304" priority="212" operator="containsText" text="Погрузчик базы">
      <formula>NOT(ISERROR(SEARCH("Погрузчик базы",B2087)))</formula>
    </cfRule>
  </conditionalFormatting>
  <conditionalFormatting sqref="B2087:B2089">
    <cfRule type="containsText" dxfId="303" priority="210" operator="containsText" text="Трактор базы">
      <formula>NOT(ISERROR(SEARCH("Трактор базы",B2087)))</formula>
    </cfRule>
  </conditionalFormatting>
  <conditionalFormatting sqref="A2087:A2089">
    <cfRule type="containsText" dxfId="302" priority="209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01" priority="207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00" priority="205" operator="containsText" text="Газель базы">
      <formula>NOT(ISERROR(SEARCH("Газель базы",B2101)))</formula>
    </cfRule>
    <cfRule type="containsText" dxfId="299" priority="206" operator="containsText" text="Погрузчик базы">
      <formula>NOT(ISERROR(SEARCH("Погрузчик базы",B2101)))</formula>
    </cfRule>
  </conditionalFormatting>
  <conditionalFormatting sqref="B2101">
    <cfRule type="containsText" dxfId="298" priority="204" operator="containsText" text="Трактор базы">
      <formula>NOT(ISERROR(SEARCH("Трактор базы",B2101)))</formula>
    </cfRule>
  </conditionalFormatting>
  <conditionalFormatting sqref="B2102">
    <cfRule type="containsText" dxfId="297" priority="203" operator="containsText" text="Выезд с территории">
      <formula>NOT(ISERROR(SEARCH("Выезд с территории",B2102)))</formula>
    </cfRule>
  </conditionalFormatting>
  <conditionalFormatting sqref="B2102">
    <cfRule type="containsText" dxfId="296" priority="201" operator="containsText" text="Газель базы">
      <formula>NOT(ISERROR(SEARCH("Газель базы",B2102)))</formula>
    </cfRule>
    <cfRule type="containsText" dxfId="295" priority="202" operator="containsText" text="Погрузчик базы">
      <formula>NOT(ISERROR(SEARCH("Погрузчик базы",B2102)))</formula>
    </cfRule>
  </conditionalFormatting>
  <conditionalFormatting sqref="B2102">
    <cfRule type="containsText" dxfId="294" priority="200" operator="containsText" text="Трактор базы">
      <formula>NOT(ISERROR(SEARCH("Трактор базы",B2102)))</formula>
    </cfRule>
  </conditionalFormatting>
  <conditionalFormatting sqref="B2103">
    <cfRule type="containsText" dxfId="293" priority="196" operator="containsText" text="Трактор базы">
      <formula>NOT(ISERROR(SEARCH("Трактор базы",B2103)))</formula>
    </cfRule>
  </conditionalFormatting>
  <conditionalFormatting sqref="B2103">
    <cfRule type="containsText" dxfId="292" priority="199" operator="containsText" text="Выезд с территории">
      <formula>NOT(ISERROR(SEARCH("Выезд с территории",B2103)))</formula>
    </cfRule>
  </conditionalFormatting>
  <conditionalFormatting sqref="B2103">
    <cfRule type="containsText" dxfId="291" priority="197" operator="containsText" text="Газель базы">
      <formula>NOT(ISERROR(SEARCH("Газель базы",B2103)))</formula>
    </cfRule>
    <cfRule type="containsText" dxfId="290" priority="198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289" priority="193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288" priority="195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287" priority="194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286" priority="192" operator="containsText" text="Выезд с территории">
      <formula>NOT(ISERROR(SEARCH("Выезд с территории",B2276)))</formula>
    </cfRule>
  </conditionalFormatting>
  <conditionalFormatting sqref="B2276">
    <cfRule type="containsText" dxfId="285" priority="190" operator="containsText" text="Газель базы">
      <formula>NOT(ISERROR(SEARCH("Газель базы",B2276)))</formula>
    </cfRule>
    <cfRule type="containsText" dxfId="284" priority="191" operator="containsText" text="Погрузчик базы">
      <formula>NOT(ISERROR(SEARCH("Погрузчик базы",B2276)))</formula>
    </cfRule>
  </conditionalFormatting>
  <conditionalFormatting sqref="B2276">
    <cfRule type="containsText" dxfId="283" priority="189" operator="containsText" text="Трактор базы">
      <formula>NOT(ISERROR(SEARCH("Трактор базы",B2276)))</formula>
    </cfRule>
  </conditionalFormatting>
  <conditionalFormatting sqref="B2277">
    <cfRule type="containsText" dxfId="282" priority="185" operator="containsText" text="Трактор базы">
      <formula>NOT(ISERROR(SEARCH("Трактор базы",B2277)))</formula>
    </cfRule>
  </conditionalFormatting>
  <conditionalFormatting sqref="B2277">
    <cfRule type="containsText" dxfId="281" priority="188" operator="containsText" text="Выезд с территории">
      <formula>NOT(ISERROR(SEARCH("Выезд с территории",B2277)))</formula>
    </cfRule>
  </conditionalFormatting>
  <conditionalFormatting sqref="B2277">
    <cfRule type="containsText" dxfId="280" priority="186" operator="containsText" text="Газель базы">
      <formula>NOT(ISERROR(SEARCH("Газель базы",B2277)))</formula>
    </cfRule>
    <cfRule type="containsText" dxfId="279" priority="187" operator="containsText" text="Погрузчик базы">
      <formula>NOT(ISERROR(SEARCH("Погрузчик базы",B2277)))</formula>
    </cfRule>
  </conditionalFormatting>
  <conditionalFormatting sqref="A2279">
    <cfRule type="containsText" dxfId="278" priority="182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277" priority="184" operator="containsText" text="Выезд с территории">
      <formula>NOT(ISERROR(SEARCH("Выезд с территории",A2279)))</formula>
    </cfRule>
  </conditionalFormatting>
  <conditionalFormatting sqref="A2279">
    <cfRule type="containsText" dxfId="276" priority="183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275" priority="179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274" priority="181" operator="containsText" text="Выезд с территории">
      <formula>NOT(ISERROR(SEARCH("Выезд с территории",A2347)))</formula>
    </cfRule>
  </conditionalFormatting>
  <conditionalFormatting sqref="A2347">
    <cfRule type="containsText" dxfId="273" priority="180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272" priority="160" operator="containsText" text="Трактор базы">
      <formula>NOT(ISERROR(SEARCH("Трактор базы",B2382)))</formula>
    </cfRule>
  </conditionalFormatting>
  <conditionalFormatting sqref="B2348:B2349">
    <cfRule type="containsText" dxfId="271" priority="178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270" priority="176" operator="containsText" text="Газель базы">
      <formula>NOT(ISERROR(SEARCH("Газель базы",B2348)))</formula>
    </cfRule>
    <cfRule type="containsText" dxfId="269" priority="177" operator="containsText" text="Погрузчик базы">
      <formula>NOT(ISERROR(SEARCH("Погрузчик базы",B2348)))</formula>
    </cfRule>
  </conditionalFormatting>
  <conditionalFormatting sqref="B2348:B2349">
    <cfRule type="containsText" dxfId="268" priority="175" operator="containsText" text="Трактор базы">
      <formula>NOT(ISERROR(SEARCH("Трактор базы",B2348)))</formula>
    </cfRule>
  </conditionalFormatting>
  <conditionalFormatting sqref="A2350">
    <cfRule type="containsText" dxfId="267" priority="172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266" priority="174" operator="containsText" text="Выезд с территории">
      <formula>NOT(ISERROR(SEARCH("Выезд с территории",A2350)))</formula>
    </cfRule>
  </conditionalFormatting>
  <conditionalFormatting sqref="A2350">
    <cfRule type="containsText" dxfId="265" priority="173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264" priority="171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263" priority="169" operator="containsText" text="Газель базы">
      <formula>NOT(ISERROR(SEARCH("Газель базы",B2352)))</formula>
    </cfRule>
    <cfRule type="containsText" dxfId="262" priority="170" operator="containsText" text="Погрузчик базы">
      <formula>NOT(ISERROR(SEARCH("Погрузчик базы",B2352)))</formula>
    </cfRule>
  </conditionalFormatting>
  <conditionalFormatting sqref="B2352:B2354">
    <cfRule type="containsText" dxfId="261" priority="168" operator="containsText" text="Трактор базы">
      <formula>NOT(ISERROR(SEARCH("Трактор базы",B2352)))</formula>
    </cfRule>
  </conditionalFormatting>
  <conditionalFormatting sqref="B2358">
    <cfRule type="containsText" dxfId="260" priority="167" operator="containsText" text="Выезд с территории">
      <formula>NOT(ISERROR(SEARCH("Выезд с территории",B2358)))</formula>
    </cfRule>
  </conditionalFormatting>
  <conditionalFormatting sqref="B2358">
    <cfRule type="containsText" dxfId="259" priority="165" operator="containsText" text="Газель базы">
      <formula>NOT(ISERROR(SEARCH("Газель базы",B2358)))</formula>
    </cfRule>
    <cfRule type="containsText" dxfId="258" priority="166" operator="containsText" text="Погрузчик базы">
      <formula>NOT(ISERROR(SEARCH("Погрузчик базы",B2358)))</formula>
    </cfRule>
  </conditionalFormatting>
  <conditionalFormatting sqref="B2358">
    <cfRule type="containsText" dxfId="257" priority="164" operator="containsText" text="Трактор базы">
      <formula>NOT(ISERROR(SEARCH("Трактор базы",B2358)))</formula>
    </cfRule>
  </conditionalFormatting>
  <conditionalFormatting sqref="B2382">
    <cfRule type="containsText" dxfId="256" priority="163" operator="containsText" text="Выезд с территории">
      <formula>NOT(ISERROR(SEARCH("Выезд с территории",B2382)))</formula>
    </cfRule>
  </conditionalFormatting>
  <conditionalFormatting sqref="B2382">
    <cfRule type="containsText" dxfId="255" priority="161" operator="containsText" text="Газель базы">
      <formula>NOT(ISERROR(SEARCH("Газель базы",B2382)))</formula>
    </cfRule>
    <cfRule type="containsText" dxfId="254" priority="162" operator="containsText" text="Погрузчик базы">
      <formula>NOT(ISERROR(SEARCH("Погрузчик базы",B2382)))</formula>
    </cfRule>
  </conditionalFormatting>
  <conditionalFormatting sqref="B2423:B2424">
    <cfRule type="containsText" dxfId="253" priority="159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252" priority="157" operator="containsText" text="Газель базы">
      <formula>NOT(ISERROR(SEARCH("Газель базы",B2423)))</formula>
    </cfRule>
    <cfRule type="containsText" dxfId="251" priority="158" operator="containsText" text="Погрузчик базы">
      <formula>NOT(ISERROR(SEARCH("Погрузчик базы",B2423)))</formula>
    </cfRule>
  </conditionalFormatting>
  <conditionalFormatting sqref="B2423:B2424">
    <cfRule type="containsText" dxfId="250" priority="156" operator="containsText" text="Трактор базы">
      <formula>NOT(ISERROR(SEARCH("Трактор базы",B2423)))</formula>
    </cfRule>
  </conditionalFormatting>
  <conditionalFormatting sqref="B2431">
    <cfRule type="containsText" dxfId="249" priority="155" operator="containsText" text="Выезд с территории">
      <formula>NOT(ISERROR(SEARCH("Выезд с территории",B2431)))</formula>
    </cfRule>
  </conditionalFormatting>
  <conditionalFormatting sqref="B2431">
    <cfRule type="containsText" dxfId="248" priority="153" operator="containsText" text="Газель базы">
      <formula>NOT(ISERROR(SEARCH("Газель базы",B2431)))</formula>
    </cfRule>
    <cfRule type="containsText" dxfId="247" priority="154" operator="containsText" text="Погрузчик базы">
      <formula>NOT(ISERROR(SEARCH("Погрузчик базы",B2431)))</formula>
    </cfRule>
  </conditionalFormatting>
  <conditionalFormatting sqref="B2431">
    <cfRule type="containsText" dxfId="246" priority="152" operator="containsText" text="Трактор базы">
      <formula>NOT(ISERROR(SEARCH("Трактор базы",B2431)))</formula>
    </cfRule>
  </conditionalFormatting>
  <conditionalFormatting sqref="B2478">
    <cfRule type="containsText" dxfId="245" priority="140" operator="containsText" text="Трактор базы">
      <formula>NOT(ISERROR(SEARCH("Трактор базы",B2478)))</formula>
    </cfRule>
  </conditionalFormatting>
  <conditionalFormatting sqref="B2462:B2463">
    <cfRule type="containsText" dxfId="244" priority="151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43" priority="149" operator="containsText" text="Газель базы">
      <formula>NOT(ISERROR(SEARCH("Газель базы",B2462)))</formula>
    </cfRule>
    <cfRule type="containsText" dxfId="242" priority="150" operator="containsText" text="Погрузчик базы">
      <formula>NOT(ISERROR(SEARCH("Погрузчик базы",B2462)))</formula>
    </cfRule>
  </conditionalFormatting>
  <conditionalFormatting sqref="B2462:B2463">
    <cfRule type="containsText" dxfId="241" priority="148" operator="containsText" text="Трактор базы">
      <formula>NOT(ISERROR(SEARCH("Трактор базы",B2462)))</formula>
    </cfRule>
  </conditionalFormatting>
  <conditionalFormatting sqref="B2467">
    <cfRule type="containsText" dxfId="240" priority="147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39" priority="145" operator="containsText" text="Газель базы">
      <formula>NOT(ISERROR(SEARCH("Газель базы",B2467)))</formula>
    </cfRule>
    <cfRule type="containsText" dxfId="238" priority="146" operator="containsText" text="Погрузчик базы">
      <formula>NOT(ISERROR(SEARCH("Погрузчик базы",B2467)))</formula>
    </cfRule>
  </conditionalFormatting>
  <conditionalFormatting sqref="B2467">
    <cfRule type="containsText" dxfId="237" priority="144" operator="containsText" text="Трактор базы">
      <formula>NOT(ISERROR(SEARCH("Трактор базы",B2467)))</formula>
    </cfRule>
  </conditionalFormatting>
  <conditionalFormatting sqref="B2478">
    <cfRule type="containsText" dxfId="236" priority="143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35" priority="141" operator="containsText" text="Газель базы">
      <formula>NOT(ISERROR(SEARCH("Газель базы",B2478)))</formula>
    </cfRule>
    <cfRule type="containsText" dxfId="234" priority="142" operator="containsText" text="Погрузчик базы">
      <formula>NOT(ISERROR(SEARCH("Погрузчик базы",B2478)))</formula>
    </cfRule>
  </conditionalFormatting>
  <conditionalFormatting sqref="B2499">
    <cfRule type="containsText" dxfId="233" priority="128" operator="containsText" text="Трактор базы">
      <formula>NOT(ISERROR(SEARCH("Трактор базы",B2499)))</formula>
    </cfRule>
  </conditionalFormatting>
  <conditionalFormatting sqref="B2497">
    <cfRule type="containsText" dxfId="232" priority="139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31" priority="137" operator="containsText" text="Газель базы">
      <formula>NOT(ISERROR(SEARCH("Газель базы",B2497)))</formula>
    </cfRule>
    <cfRule type="containsText" dxfId="230" priority="138" operator="containsText" text="Погрузчик базы">
      <formula>NOT(ISERROR(SEARCH("Погрузчик базы",B2497)))</formula>
    </cfRule>
  </conditionalFormatting>
  <conditionalFormatting sqref="B2497">
    <cfRule type="containsText" dxfId="229" priority="136" operator="containsText" text="Трактор базы">
      <formula>NOT(ISERROR(SEARCH("Трактор базы",B2497)))</formula>
    </cfRule>
  </conditionalFormatting>
  <conditionalFormatting sqref="B2498">
    <cfRule type="containsText" dxfId="228" priority="135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27" priority="133" operator="containsText" text="Газель базы">
      <formula>NOT(ISERROR(SEARCH("Газель базы",B2498)))</formula>
    </cfRule>
    <cfRule type="containsText" dxfId="226" priority="134" operator="containsText" text="Погрузчик базы">
      <formula>NOT(ISERROR(SEARCH("Погрузчик базы",B2498)))</formula>
    </cfRule>
  </conditionalFormatting>
  <conditionalFormatting sqref="B2498">
    <cfRule type="containsText" dxfId="225" priority="132" operator="containsText" text="Трактор базы">
      <formula>NOT(ISERROR(SEARCH("Трактор базы",B2498)))</formula>
    </cfRule>
  </conditionalFormatting>
  <conditionalFormatting sqref="B2499">
    <cfRule type="containsText" dxfId="224" priority="131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23" priority="129" operator="containsText" text="Газель базы">
      <formula>NOT(ISERROR(SEARCH("Газель базы",B2499)))</formula>
    </cfRule>
    <cfRule type="containsText" dxfId="222" priority="130" operator="containsText" text="Погрузчик базы">
      <formula>NOT(ISERROR(SEARCH("Погрузчик базы",B2499)))</formula>
    </cfRule>
  </conditionalFormatting>
  <conditionalFormatting sqref="B2512:B2513">
    <cfRule type="containsText" dxfId="221" priority="102" operator="containsText" text="Трактор базы">
      <formula>NOT(ISERROR(SEARCH("Трактор базы",B2512)))</formula>
    </cfRule>
  </conditionalFormatting>
  <conditionalFormatting sqref="B2500">
    <cfRule type="containsText" dxfId="220" priority="127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19" priority="125" operator="containsText" text="Газель базы">
      <formula>NOT(ISERROR(SEARCH("Газель базы",B2500)))</formula>
    </cfRule>
    <cfRule type="containsText" dxfId="218" priority="126" operator="containsText" text="Погрузчик базы">
      <formula>NOT(ISERROR(SEARCH("Погрузчик базы",B2500)))</formula>
    </cfRule>
  </conditionalFormatting>
  <conditionalFormatting sqref="B2500">
    <cfRule type="containsText" dxfId="217" priority="124" operator="containsText" text="Трактор базы">
      <formula>NOT(ISERROR(SEARCH("Трактор базы",B2500)))</formula>
    </cfRule>
  </conditionalFormatting>
  <conditionalFormatting sqref="B2501">
    <cfRule type="containsText" dxfId="216" priority="123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15" priority="121" operator="containsText" text="Газель базы">
      <formula>NOT(ISERROR(SEARCH("Газель базы",B2501)))</formula>
    </cfRule>
    <cfRule type="containsText" dxfId="214" priority="122" operator="containsText" text="Погрузчик базы">
      <formula>NOT(ISERROR(SEARCH("Погрузчик базы",B2501)))</formula>
    </cfRule>
  </conditionalFormatting>
  <conditionalFormatting sqref="B2501">
    <cfRule type="containsText" dxfId="213" priority="120" operator="containsText" text="Трактор базы">
      <formula>NOT(ISERROR(SEARCH("Трактор базы",B2501)))</formula>
    </cfRule>
  </conditionalFormatting>
  <conditionalFormatting sqref="B2502">
    <cfRule type="containsText" dxfId="212" priority="116" operator="containsText" text="Трактор базы">
      <formula>NOT(ISERROR(SEARCH("Трактор базы",B2502)))</formula>
    </cfRule>
  </conditionalFormatting>
  <conditionalFormatting sqref="B2502">
    <cfRule type="containsText" dxfId="211" priority="119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10" priority="117" operator="containsText" text="Газель базы">
      <formula>NOT(ISERROR(SEARCH("Газель базы",B2502)))</formula>
    </cfRule>
    <cfRule type="containsText" dxfId="209" priority="118" operator="containsText" text="Погрузчик базы">
      <formula>NOT(ISERROR(SEARCH("Погрузчик базы",B2502)))</formula>
    </cfRule>
  </conditionalFormatting>
  <conditionalFormatting sqref="A2503:A2504">
    <cfRule type="containsText" dxfId="208" priority="113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07" priority="115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06" priority="114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205" priority="110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204" priority="112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203" priority="111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02" priority="109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01" priority="107" operator="containsText" text="Газель базы">
      <formula>NOT(ISERROR(SEARCH("Газель базы",B2509)))</formula>
    </cfRule>
    <cfRule type="containsText" dxfId="200" priority="108" operator="containsText" text="Погрузчик базы">
      <formula>NOT(ISERROR(SEARCH("Погрузчик базы",B2509)))</formula>
    </cfRule>
  </conditionalFormatting>
  <conditionalFormatting sqref="B2509">
    <cfRule type="containsText" dxfId="199" priority="106" operator="containsText" text="Трактор базы">
      <formula>NOT(ISERROR(SEARCH("Трактор базы",B2509)))</formula>
    </cfRule>
  </conditionalFormatting>
  <conditionalFormatting sqref="B2512:B2513">
    <cfRule type="containsText" dxfId="198" priority="105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197" priority="103" operator="containsText" text="Газель базы">
      <formula>NOT(ISERROR(SEARCH("Газель базы",B2512)))</formula>
    </cfRule>
    <cfRule type="containsText" dxfId="196" priority="104" operator="containsText" text="Погрузчик базы">
      <formula>NOT(ISERROR(SEARCH("Погрузчик базы",B2512)))</formula>
    </cfRule>
  </conditionalFormatting>
  <conditionalFormatting sqref="E2586">
    <cfRule type="containsText" dxfId="195" priority="101" operator="containsText" text="Выезд с территории">
      <formula>NOT(ISERROR(SEARCH("Выезд с территории",E2586)))</formula>
    </cfRule>
  </conditionalFormatting>
  <conditionalFormatting sqref="A2710">
    <cfRule type="containsText" dxfId="194" priority="98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193" priority="100" operator="containsText" text="Выезд с территории">
      <formula>NOT(ISERROR(SEARCH("Выезд с территории",A2710)))</formula>
    </cfRule>
  </conditionalFormatting>
  <conditionalFormatting sqref="A2710">
    <cfRule type="containsText" dxfId="192" priority="99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191" priority="97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190" priority="95" operator="containsText" text="Газель базы">
      <formula>NOT(ISERROR(SEARCH("Газель базы",B2810)))</formula>
    </cfRule>
    <cfRule type="containsText" dxfId="189" priority="96" operator="containsText" text="Погрузчик базы">
      <formula>NOT(ISERROR(SEARCH("Погрузчик базы",B2810)))</formula>
    </cfRule>
  </conditionalFormatting>
  <conditionalFormatting sqref="B2810:B2811">
    <cfRule type="containsText" dxfId="188" priority="94" operator="containsText" text="Трактор базы">
      <formula>NOT(ISERROR(SEARCH("Трактор базы",B2810)))</formula>
    </cfRule>
  </conditionalFormatting>
  <conditionalFormatting sqref="B2923:B2927">
    <cfRule type="containsText" dxfId="187" priority="90" operator="containsText" text="Трактор базы">
      <formula>NOT(ISERROR(SEARCH("Трактор базы",B2923)))</formula>
    </cfRule>
  </conditionalFormatting>
  <conditionalFormatting sqref="B2923:B2927">
    <cfRule type="containsText" dxfId="186" priority="93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185" priority="91" operator="containsText" text="Газель базы">
      <formula>NOT(ISERROR(SEARCH("Газель базы",B2923)))</formula>
    </cfRule>
    <cfRule type="containsText" dxfId="184" priority="92" operator="containsText" text="Погрузчик базы">
      <formula>NOT(ISERROR(SEARCH("Погрузчик базы",B2923)))</formula>
    </cfRule>
  </conditionalFormatting>
  <conditionalFormatting sqref="A2991">
    <cfRule type="containsText" dxfId="183" priority="89" operator="containsText" text="Выезд с территории">
      <formula>NOT(ISERROR(SEARCH("Выезд с территории",A2991)))</formula>
    </cfRule>
  </conditionalFormatting>
  <conditionalFormatting sqref="A2991">
    <cfRule type="containsText" dxfId="182" priority="88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181" priority="87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180" priority="86" operator="containsText" text="Выезд с территории">
      <formula>NOT(ISERROR(SEARCH("Выезд с территории",B2993)))</formula>
    </cfRule>
  </conditionalFormatting>
  <conditionalFormatting sqref="B2993">
    <cfRule type="containsText" dxfId="179" priority="84" operator="containsText" text="Газель базы">
      <formula>NOT(ISERROR(SEARCH("Газель базы",B2993)))</formula>
    </cfRule>
    <cfRule type="containsText" dxfId="178" priority="85" operator="containsText" text="Погрузчик базы">
      <formula>NOT(ISERROR(SEARCH("Погрузчик базы",B2993)))</formula>
    </cfRule>
  </conditionalFormatting>
  <conditionalFormatting sqref="B2993">
    <cfRule type="containsText" dxfId="177" priority="83" operator="containsText" text="Трактор базы">
      <formula>NOT(ISERROR(SEARCH("Трактор базы",B2993)))</formula>
    </cfRule>
  </conditionalFormatting>
  <conditionalFormatting sqref="B2995">
    <cfRule type="containsText" dxfId="176" priority="79" operator="containsText" text="Трактор базы">
      <formula>NOT(ISERROR(SEARCH("Трактор базы",B2995)))</formula>
    </cfRule>
  </conditionalFormatting>
  <conditionalFormatting sqref="B2995">
    <cfRule type="containsText" dxfId="175" priority="82" operator="containsText" text="Выезд с территории">
      <formula>NOT(ISERROR(SEARCH("Выезд с территории",B2995)))</formula>
    </cfRule>
  </conditionalFormatting>
  <conditionalFormatting sqref="B2995">
    <cfRule type="containsText" dxfId="174" priority="80" operator="containsText" text="Газель базы">
      <formula>NOT(ISERROR(SEARCH("Газель базы",B2995)))</formula>
    </cfRule>
    <cfRule type="containsText" dxfId="173" priority="81" operator="containsText" text="Погрузчик базы">
      <formula>NOT(ISERROR(SEARCH("Погрузчик базы",B2995)))</formula>
    </cfRule>
  </conditionalFormatting>
  <conditionalFormatting sqref="A3008">
    <cfRule type="containsText" dxfId="172" priority="76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171" priority="78" operator="containsText" text="Выезд с территории">
      <formula>NOT(ISERROR(SEARCH("Выезд с территории",A3008)))</formula>
    </cfRule>
  </conditionalFormatting>
  <conditionalFormatting sqref="A3008">
    <cfRule type="containsText" dxfId="170" priority="77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169" priority="73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168" priority="75" operator="containsText" text="Выезд с территории">
      <formula>NOT(ISERROR(SEARCH("Выезд с территории",A3045)))</formula>
    </cfRule>
  </conditionalFormatting>
  <conditionalFormatting sqref="A3045">
    <cfRule type="containsText" dxfId="167" priority="74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166" priority="70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165" priority="72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164" priority="71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163" priority="66" operator="containsText" text="Трактор базы">
      <formula>NOT(ISERROR(SEARCH("Трактор базы",B3150)))</formula>
    </cfRule>
  </conditionalFormatting>
  <conditionalFormatting sqref="B3203">
    <cfRule type="containsText" dxfId="162" priority="58" operator="containsText" text="Трактор базы">
      <formula>NOT(ISERROR(SEARCH("Трактор базы",B3203)))</formula>
    </cfRule>
  </conditionalFormatting>
  <conditionalFormatting sqref="B3150:B3151">
    <cfRule type="containsText" dxfId="161" priority="69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160" priority="67" operator="containsText" text="Газель базы">
      <formula>NOT(ISERROR(SEARCH("Газель базы",B3150)))</formula>
    </cfRule>
    <cfRule type="containsText" dxfId="159" priority="68" operator="containsText" text="Погрузчик базы">
      <formula>NOT(ISERROR(SEARCH("Погрузчик базы",B3150)))</formula>
    </cfRule>
  </conditionalFormatting>
  <conditionalFormatting sqref="B3201">
    <cfRule type="containsText" dxfId="158" priority="62" operator="containsText" text="Трактор базы">
      <formula>NOT(ISERROR(SEARCH("Трактор базы",B3201)))</formula>
    </cfRule>
  </conditionalFormatting>
  <conditionalFormatting sqref="B3201">
    <cfRule type="containsText" dxfId="157" priority="65" operator="containsText" text="Выезд с территории">
      <formula>NOT(ISERROR(SEARCH("Выезд с территории",B3201)))</formula>
    </cfRule>
  </conditionalFormatting>
  <conditionalFormatting sqref="B3201">
    <cfRule type="containsText" dxfId="156" priority="63" operator="containsText" text="Газель базы">
      <formula>NOT(ISERROR(SEARCH("Газель базы",B3201)))</formula>
    </cfRule>
    <cfRule type="containsText" dxfId="155" priority="64" operator="containsText" text="Погрузчик базы">
      <formula>NOT(ISERROR(SEARCH("Погрузчик базы",B3201)))</formula>
    </cfRule>
  </conditionalFormatting>
  <conditionalFormatting sqref="B3203">
    <cfRule type="containsText" dxfId="154" priority="61" operator="containsText" text="Выезд с территории">
      <formula>NOT(ISERROR(SEARCH("Выезд с территории",B3203)))</formula>
    </cfRule>
  </conditionalFormatting>
  <conditionalFormatting sqref="B3203">
    <cfRule type="containsText" dxfId="153" priority="59" operator="containsText" text="Газель базы">
      <formula>NOT(ISERROR(SEARCH("Газель базы",B3203)))</formula>
    </cfRule>
    <cfRule type="containsText" dxfId="152" priority="60" operator="containsText" text="Погрузчик базы">
      <formula>NOT(ISERROR(SEARCH("Погрузчик базы",B3203)))</formula>
    </cfRule>
  </conditionalFormatting>
  <conditionalFormatting sqref="B3227:B3229">
    <cfRule type="containsText" dxfId="151" priority="57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150" priority="55" operator="containsText" text="Газель базы">
      <formula>NOT(ISERROR(SEARCH("Газель базы",B3227)))</formula>
    </cfRule>
    <cfRule type="containsText" dxfId="149" priority="56" operator="containsText" text="Погрузчик базы">
      <formula>NOT(ISERROR(SEARCH("Погрузчик базы",B3227)))</formula>
    </cfRule>
  </conditionalFormatting>
  <conditionalFormatting sqref="B3227:B3229">
    <cfRule type="containsText" dxfId="148" priority="54" operator="containsText" text="Трактор базы">
      <formula>NOT(ISERROR(SEARCH("Трактор базы",B3227)))</formula>
    </cfRule>
  </conditionalFormatting>
  <conditionalFormatting sqref="B3259:B3261">
    <cfRule type="containsText" dxfId="147" priority="53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146" priority="51" operator="containsText" text="Газель базы">
      <formula>NOT(ISERROR(SEARCH("Газель базы",B3259)))</formula>
    </cfRule>
    <cfRule type="containsText" dxfId="145" priority="52" operator="containsText" text="Погрузчик базы">
      <formula>NOT(ISERROR(SEARCH("Погрузчик базы",B3259)))</formula>
    </cfRule>
  </conditionalFormatting>
  <conditionalFormatting sqref="B3259:B3261">
    <cfRule type="containsText" dxfId="144" priority="50" operator="containsText" text="Трактор базы">
      <formula>NOT(ISERROR(SEARCH("Трактор базы",B3259)))</formula>
    </cfRule>
  </conditionalFormatting>
  <conditionalFormatting sqref="A3335:A3336 A3373:A3374">
    <cfRule type="containsText" dxfId="143" priority="44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142" priority="46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141" priority="45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140" priority="41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139" priority="43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138" priority="42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137" priority="40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136" priority="38" operator="containsText" text="Газель базы">
      <formula>NOT(ISERROR(SEARCH("Газель базы",B3364)))</formula>
    </cfRule>
    <cfRule type="containsText" dxfId="135" priority="39" operator="containsText" text="Погрузчик базы">
      <formula>NOT(ISERROR(SEARCH("Погрузчик базы",B3364)))</formula>
    </cfRule>
  </conditionalFormatting>
  <conditionalFormatting sqref="B3364:B3365">
    <cfRule type="containsText" dxfId="134" priority="37" operator="containsText" text="Трактор базы">
      <formula>NOT(ISERROR(SEARCH("Трактор базы",B3364)))</formula>
    </cfRule>
  </conditionalFormatting>
  <conditionalFormatting sqref="A3364">
    <cfRule type="containsText" dxfId="133" priority="36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132" priority="35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131" priority="34" operator="containsText" text="Выезд с территории">
      <formula>NOT(ISERROR(SEARCH("Выезд с территории",A3366)))</formula>
    </cfRule>
  </conditionalFormatting>
  <conditionalFormatting sqref="B3366">
    <cfRule type="containsText" dxfId="130" priority="32" operator="containsText" text="Газель базы">
      <formula>NOT(ISERROR(SEARCH("Газель базы",B3366)))</formula>
    </cfRule>
    <cfRule type="containsText" dxfId="129" priority="33" operator="containsText" text="Погрузчик базы">
      <formula>NOT(ISERROR(SEARCH("Погрузчик базы",B3366)))</formula>
    </cfRule>
  </conditionalFormatting>
  <conditionalFormatting sqref="B3366">
    <cfRule type="containsText" dxfId="128" priority="31" operator="containsText" text="Трактор базы">
      <formula>NOT(ISERROR(SEARCH("Трактор базы",B3366)))</formula>
    </cfRule>
  </conditionalFormatting>
  <conditionalFormatting sqref="A3366">
    <cfRule type="containsText" dxfId="127" priority="30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126" priority="29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125" priority="28" operator="containsText" text="Выезд с территории">
      <formula>NOT(ISERROR(SEARCH("Выезд с территории",B3367)))</formula>
    </cfRule>
  </conditionalFormatting>
  <conditionalFormatting sqref="B3367">
    <cfRule type="containsText" dxfId="124" priority="26" operator="containsText" text="Газель базы">
      <formula>NOT(ISERROR(SEARCH("Газель базы",B3367)))</formula>
    </cfRule>
    <cfRule type="containsText" dxfId="123" priority="27" operator="containsText" text="Погрузчик базы">
      <formula>NOT(ISERROR(SEARCH("Погрузчик базы",B3367)))</formula>
    </cfRule>
  </conditionalFormatting>
  <conditionalFormatting sqref="B3367">
    <cfRule type="containsText" dxfId="122" priority="25" operator="containsText" text="Трактор базы">
      <formula>NOT(ISERROR(SEARCH("Трактор базы",B3367)))</formula>
    </cfRule>
  </conditionalFormatting>
  <conditionalFormatting sqref="A3430:B3430">
    <cfRule type="containsText" dxfId="121" priority="24" operator="containsText" text="Выезд с территории">
      <formula>NOT(ISERROR(SEARCH("Выезд с территории",A3430)))</formula>
    </cfRule>
  </conditionalFormatting>
  <conditionalFormatting sqref="B3430">
    <cfRule type="containsText" dxfId="120" priority="22" operator="containsText" text="Газель базы">
      <formula>NOT(ISERROR(SEARCH("Газель базы",B3430)))</formula>
    </cfRule>
    <cfRule type="containsText" dxfId="119" priority="23" operator="containsText" text="Погрузчик базы">
      <formula>NOT(ISERROR(SEARCH("Погрузчик базы",B3430)))</formula>
    </cfRule>
  </conditionalFormatting>
  <conditionalFormatting sqref="B3430">
    <cfRule type="containsText" dxfId="118" priority="21" operator="containsText" text="Трактор базы">
      <formula>NOT(ISERROR(SEARCH("Трактор базы",B3430)))</formula>
    </cfRule>
  </conditionalFormatting>
  <conditionalFormatting sqref="A3430">
    <cfRule type="containsText" dxfId="117" priority="20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116" priority="19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115" priority="10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114" priority="12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113" priority="11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112" priority="9" operator="containsText" text="Выезд с территории">
      <formula>NOT(ISERROR(SEARCH("Выезд с территории",A3480)))</formula>
    </cfRule>
  </conditionalFormatting>
  <conditionalFormatting sqref="B3480">
    <cfRule type="containsText" dxfId="111" priority="7" operator="containsText" text="Газель базы">
      <formula>NOT(ISERROR(SEARCH("Газель базы",B3480)))</formula>
    </cfRule>
    <cfRule type="containsText" dxfId="110" priority="8" operator="containsText" text="Погрузчик базы">
      <formula>NOT(ISERROR(SEARCH("Погрузчик базы",B3480)))</formula>
    </cfRule>
  </conditionalFormatting>
  <conditionalFormatting sqref="B3480">
    <cfRule type="containsText" dxfId="109" priority="6" operator="containsText" text="Трактор базы">
      <formula>NOT(ISERROR(SEARCH("Трактор базы",B3480)))</formula>
    </cfRule>
  </conditionalFormatting>
  <conditionalFormatting sqref="A3480">
    <cfRule type="containsText" dxfId="108" priority="4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107" priority="5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106" priority="1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105" priority="3" operator="containsText" text="Выезд с территории">
      <formula>NOT(ISERROR(SEARCH("Выезд с территории",A3506)))</formula>
    </cfRule>
  </conditionalFormatting>
  <conditionalFormatting sqref="A3506">
    <cfRule type="containsText" dxfId="104" priority="2" operator="containsText" text="Въезд на второстепенную дорогу">
      <formula>NOT(ISERROR(SEARCH("Въезд на второстепенную дорогу",A3506)))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30"/>
  <sheetViews>
    <sheetView topLeftCell="A219" zoomScale="80" zoomScaleNormal="80" workbookViewId="0">
      <selection activeCell="N206" sqref="N206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s="9" t="s">
        <v>1398</v>
      </c>
      <c r="J2" s="9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s="9" t="s">
        <v>382</v>
      </c>
      <c r="J3" s="9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s="9" t="s">
        <v>367</v>
      </c>
      <c r="J4" s="9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s="9" t="s">
        <v>370</v>
      </c>
      <c r="J5" s="9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s="9" t="s">
        <v>1477</v>
      </c>
      <c r="J6" s="9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s="9" t="s">
        <v>376</v>
      </c>
      <c r="J7" s="9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s="9" t="s">
        <v>379</v>
      </c>
      <c r="J8" s="9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s="9" t="s">
        <v>397</v>
      </c>
      <c r="J9" s="9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s="9" t="s">
        <v>385</v>
      </c>
      <c r="J10" s="9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s="9" t="s">
        <v>388</v>
      </c>
      <c r="J11" s="9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s="9" t="s">
        <v>373</v>
      </c>
      <c r="J12" s="9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s="9" t="s">
        <v>391</v>
      </c>
      <c r="J13" s="9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s="9" t="s">
        <v>394</v>
      </c>
      <c r="J14" s="9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s="9" t="s">
        <v>400</v>
      </c>
      <c r="J15" s="9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s="9" t="s">
        <v>403</v>
      </c>
      <c r="J16" s="9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s="9" t="s">
        <v>406</v>
      </c>
      <c r="J17" s="9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s="9" t="s">
        <v>409</v>
      </c>
      <c r="J18" s="9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s="9" t="s">
        <v>1456</v>
      </c>
      <c r="J19" s="9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s="9" t="s">
        <v>1459</v>
      </c>
      <c r="J20" s="9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s="9" t="s">
        <v>1486</v>
      </c>
      <c r="J21" s="9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s="9" t="s">
        <v>1471</v>
      </c>
      <c r="J22" s="9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s="9" t="s">
        <v>1474</v>
      </c>
      <c r="J23" s="9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s="9" t="s">
        <v>1462</v>
      </c>
      <c r="J24" s="9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s="9" t="s">
        <v>1480</v>
      </c>
      <c r="J25" s="9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s="9" t="s">
        <v>1483</v>
      </c>
      <c r="J26" s="9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s="9" t="s">
        <v>1525</v>
      </c>
      <c r="J27" s="9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s="9" t="s">
        <v>1522</v>
      </c>
      <c r="J28" s="9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s="9" t="s">
        <v>1271</v>
      </c>
      <c r="J29" s="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2956</v>
      </c>
      <c r="I30" s="9" t="s">
        <v>2658</v>
      </c>
      <c r="J30" s="9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2956</v>
      </c>
      <c r="I31" s="9" t="s">
        <v>2661</v>
      </c>
      <c r="J31" s="9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2956</v>
      </c>
      <c r="I32" s="9" t="s">
        <v>2664</v>
      </c>
      <c r="J32" s="9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s="9" t="s">
        <v>2070</v>
      </c>
      <c r="J33" s="9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2956</v>
      </c>
      <c r="I34" s="9" t="s">
        <v>2670</v>
      </c>
      <c r="J34" s="9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2956</v>
      </c>
      <c r="I35" s="9" t="s">
        <v>2676</v>
      </c>
      <c r="J35" s="9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2956</v>
      </c>
      <c r="I36" s="9" t="s">
        <v>2673</v>
      </c>
      <c r="J36" s="9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2956</v>
      </c>
      <c r="I37" s="9" t="s">
        <v>2667</v>
      </c>
      <c r="J37" s="9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s="9" t="s">
        <v>2541</v>
      </c>
      <c r="J38" s="9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2957</v>
      </c>
      <c r="I39" s="9" t="s">
        <v>2697</v>
      </c>
      <c r="J39" s="9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2956</v>
      </c>
      <c r="I40" s="9" t="s">
        <v>2679</v>
      </c>
      <c r="J40" s="9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2957</v>
      </c>
      <c r="I41" s="9" t="s">
        <v>2699</v>
      </c>
      <c r="J41" s="9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2957</v>
      </c>
      <c r="I42" s="9" t="s">
        <v>2701</v>
      </c>
      <c r="J42" s="9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2957</v>
      </c>
      <c r="I43" s="9" t="s">
        <v>2547</v>
      </c>
      <c r="J43" s="9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2957</v>
      </c>
      <c r="I44" s="9" t="s">
        <v>2538</v>
      </c>
      <c r="J44" s="9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2957</v>
      </c>
      <c r="I45" s="9" t="s">
        <v>2535</v>
      </c>
      <c r="J45" s="9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2957</v>
      </c>
      <c r="I46" s="9" t="s">
        <v>2550</v>
      </c>
      <c r="J46" s="9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2956</v>
      </c>
      <c r="I47" s="9" t="s">
        <v>2737</v>
      </c>
      <c r="J47" s="9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2956</v>
      </c>
      <c r="I48" s="9" t="s">
        <v>2758</v>
      </c>
      <c r="J48" s="9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2956</v>
      </c>
      <c r="I49" s="9" t="s">
        <v>2734</v>
      </c>
      <c r="J49" s="9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2956</v>
      </c>
      <c r="I50" s="9" t="s">
        <v>2746</v>
      </c>
      <c r="J50" s="9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2956</v>
      </c>
      <c r="I51" s="9" t="s">
        <v>2731</v>
      </c>
      <c r="J51" s="9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2956</v>
      </c>
      <c r="I52" s="9" t="s">
        <v>2752</v>
      </c>
      <c r="J52" s="9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2956</v>
      </c>
      <c r="I53" s="9" t="s">
        <v>2755</v>
      </c>
      <c r="J53" s="9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2956</v>
      </c>
      <c r="I54" s="9" t="s">
        <v>2749</v>
      </c>
      <c r="J54" s="9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2962</v>
      </c>
      <c r="H55" t="s">
        <v>2956</v>
      </c>
      <c r="I55" s="9" t="s">
        <v>2764</v>
      </c>
      <c r="J55" s="9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2963</v>
      </c>
      <c r="I56" s="9" t="s">
        <v>2767</v>
      </c>
      <c r="J56" s="9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s="9" t="s">
        <v>2743</v>
      </c>
      <c r="J57" s="9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2963</v>
      </c>
      <c r="I58" s="9" t="s">
        <v>2773</v>
      </c>
      <c r="J58" s="9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2962</v>
      </c>
      <c r="H59" t="s">
        <v>2957</v>
      </c>
      <c r="I59" s="9" t="s">
        <v>2791</v>
      </c>
      <c r="J59" s="9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2963</v>
      </c>
      <c r="I60" s="9" t="s">
        <v>2770</v>
      </c>
      <c r="J60" s="9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2962</v>
      </c>
      <c r="H61" t="s">
        <v>2957</v>
      </c>
      <c r="I61" s="9" t="s">
        <v>2779</v>
      </c>
      <c r="J61" s="9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2957</v>
      </c>
      <c r="I62" s="9" t="s">
        <v>2776</v>
      </c>
      <c r="J62" s="9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2962</v>
      </c>
      <c r="H63" t="s">
        <v>2957</v>
      </c>
      <c r="I63" s="9" t="s">
        <v>2785</v>
      </c>
      <c r="J63" s="9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2956</v>
      </c>
      <c r="I64" s="9" t="s">
        <v>2740</v>
      </c>
      <c r="J64" s="9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2962</v>
      </c>
      <c r="H65" t="s">
        <v>2957</v>
      </c>
      <c r="I65" s="9" t="s">
        <v>2782</v>
      </c>
      <c r="J65" s="9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2963</v>
      </c>
      <c r="I66" s="9" t="s">
        <v>2761</v>
      </c>
      <c r="J66" s="9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2962</v>
      </c>
      <c r="H67" t="s">
        <v>2957</v>
      </c>
      <c r="I67" s="9" t="s">
        <v>2788</v>
      </c>
      <c r="J67" s="9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s="9" t="s">
        <v>2082</v>
      </c>
      <c r="J68" s="9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s="9" t="s">
        <v>3946</v>
      </c>
      <c r="J69" s="9" t="s">
        <v>2985</v>
      </c>
      <c r="K69" t="s">
        <v>3947</v>
      </c>
      <c r="L69" t="s">
        <v>3948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s="9" t="s">
        <v>3943</v>
      </c>
      <c r="J70" s="9" t="s">
        <v>2985</v>
      </c>
      <c r="K70" t="s">
        <v>3944</v>
      </c>
      <c r="L70" t="s">
        <v>3945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4233</v>
      </c>
      <c r="H71" t="s">
        <v>1618</v>
      </c>
      <c r="I71" s="9" t="s">
        <v>3955</v>
      </c>
      <c r="J71" s="9" t="s">
        <v>2985</v>
      </c>
      <c r="K71" t="s">
        <v>3956</v>
      </c>
      <c r="L71" t="s">
        <v>3957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s="9" t="s">
        <v>3949</v>
      </c>
      <c r="J72" s="9" t="s">
        <v>2985</v>
      </c>
      <c r="K72" t="s">
        <v>3950</v>
      </c>
      <c r="L72" t="s">
        <v>3951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s="9" t="s">
        <v>3934</v>
      </c>
      <c r="J73" s="9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s="9" t="s">
        <v>3931</v>
      </c>
      <c r="J74" s="9" t="s">
        <v>2985</v>
      </c>
      <c r="K74" t="s">
        <v>3932</v>
      </c>
      <c r="L74" t="s">
        <v>3933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s="9" t="s">
        <v>3940</v>
      </c>
      <c r="J75" s="9" t="s">
        <v>2985</v>
      </c>
      <c r="K75" t="s">
        <v>3941</v>
      </c>
      <c r="L75" t="s">
        <v>3942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s="9" t="s">
        <v>3937</v>
      </c>
      <c r="J76" s="9" t="s">
        <v>2985</v>
      </c>
      <c r="K76" t="s">
        <v>3938</v>
      </c>
      <c r="L76" t="s">
        <v>3939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s="9" t="s">
        <v>3928</v>
      </c>
      <c r="J77" s="9" t="s">
        <v>2985</v>
      </c>
      <c r="K77" t="s">
        <v>3929</v>
      </c>
      <c r="L77" t="s">
        <v>3930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4192</v>
      </c>
      <c r="F78" t="s">
        <v>58</v>
      </c>
      <c r="H78" t="s">
        <v>2936</v>
      </c>
      <c r="I78" s="9" t="s">
        <v>4010</v>
      </c>
      <c r="J78" s="9" t="s">
        <v>2985</v>
      </c>
      <c r="K78" t="s">
        <v>4011</v>
      </c>
      <c r="L78" t="s">
        <v>4012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4192</v>
      </c>
      <c r="F79" t="s">
        <v>58</v>
      </c>
      <c r="I79" s="9" t="s">
        <v>3989</v>
      </c>
      <c r="J79" s="9" t="s">
        <v>2985</v>
      </c>
      <c r="K79" t="s">
        <v>3990</v>
      </c>
      <c r="L79" t="s">
        <v>3991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4192</v>
      </c>
      <c r="F80" t="s">
        <v>58</v>
      </c>
      <c r="H80" t="s">
        <v>2936</v>
      </c>
      <c r="I80" s="9" t="s">
        <v>3992</v>
      </c>
      <c r="J80" s="9" t="s">
        <v>2985</v>
      </c>
      <c r="K80" t="s">
        <v>3993</v>
      </c>
      <c r="L80" t="s">
        <v>3994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4192</v>
      </c>
      <c r="F81" t="s">
        <v>58</v>
      </c>
      <c r="H81" t="s">
        <v>2936</v>
      </c>
      <c r="I81" s="9" t="s">
        <v>3995</v>
      </c>
      <c r="J81" s="9" t="s">
        <v>2985</v>
      </c>
      <c r="K81" t="s">
        <v>3996</v>
      </c>
      <c r="L81" t="s">
        <v>3997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4192</v>
      </c>
      <c r="F82" t="s">
        <v>58</v>
      </c>
      <c r="H82" t="s">
        <v>2936</v>
      </c>
      <c r="I82" s="9" t="s">
        <v>4007</v>
      </c>
      <c r="J82" s="9" t="s">
        <v>2985</v>
      </c>
      <c r="K82" t="s">
        <v>4008</v>
      </c>
      <c r="L82" t="s">
        <v>4009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4192</v>
      </c>
      <c r="F83" t="s">
        <v>58</v>
      </c>
      <c r="H83" t="s">
        <v>2936</v>
      </c>
      <c r="I83" s="9" t="s">
        <v>3971</v>
      </c>
      <c r="J83" s="9" t="s">
        <v>2985</v>
      </c>
      <c r="K83" t="s">
        <v>3972</v>
      </c>
      <c r="L83" t="s">
        <v>3973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4192</v>
      </c>
      <c r="F84" t="s">
        <v>58</v>
      </c>
      <c r="I84" s="9" t="s">
        <v>4004</v>
      </c>
      <c r="J84" s="9" t="s">
        <v>2985</v>
      </c>
      <c r="K84" t="s">
        <v>4005</v>
      </c>
      <c r="L84" t="s">
        <v>4006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4192</v>
      </c>
      <c r="F85" t="s">
        <v>58</v>
      </c>
      <c r="H85" t="s">
        <v>2936</v>
      </c>
      <c r="I85" s="9" t="s">
        <v>3977</v>
      </c>
      <c r="J85" s="9" t="s">
        <v>2985</v>
      </c>
      <c r="K85" t="s">
        <v>3978</v>
      </c>
      <c r="L85" t="s">
        <v>3979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4192</v>
      </c>
      <c r="F86" t="s">
        <v>58</v>
      </c>
      <c r="H86" t="s">
        <v>2936</v>
      </c>
      <c r="I86" s="9" t="s">
        <v>3974</v>
      </c>
      <c r="J86" s="9" t="s">
        <v>2985</v>
      </c>
      <c r="K86" t="s">
        <v>3975</v>
      </c>
      <c r="L86" t="s">
        <v>3976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4192</v>
      </c>
      <c r="F87" t="s">
        <v>58</v>
      </c>
      <c r="H87" t="s">
        <v>2936</v>
      </c>
      <c r="I87" s="9" t="s">
        <v>3968</v>
      </c>
      <c r="J87" s="9" t="s">
        <v>2985</v>
      </c>
      <c r="K87" t="s">
        <v>3969</v>
      </c>
      <c r="L87" t="s">
        <v>3970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4192</v>
      </c>
      <c r="F88" t="s">
        <v>58</v>
      </c>
      <c r="H88" t="s">
        <v>2936</v>
      </c>
      <c r="I88" s="9" t="s">
        <v>3983</v>
      </c>
      <c r="J88" s="9" t="s">
        <v>2985</v>
      </c>
      <c r="K88" t="s">
        <v>3984</v>
      </c>
      <c r="L88" t="s">
        <v>3985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4192</v>
      </c>
      <c r="F89" t="s">
        <v>58</v>
      </c>
      <c r="H89" t="s">
        <v>2936</v>
      </c>
      <c r="I89" s="9" t="s">
        <v>3980</v>
      </c>
      <c r="J89" s="9" t="s">
        <v>2985</v>
      </c>
      <c r="K89" t="s">
        <v>3981</v>
      </c>
      <c r="L89" t="s">
        <v>3982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4192</v>
      </c>
      <c r="F90" t="s">
        <v>58</v>
      </c>
      <c r="H90" t="s">
        <v>1620</v>
      </c>
      <c r="I90" s="9" t="s">
        <v>3965</v>
      </c>
      <c r="J90" s="9" t="s">
        <v>2985</v>
      </c>
      <c r="K90" t="s">
        <v>3966</v>
      </c>
      <c r="L90" t="s">
        <v>3967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4192</v>
      </c>
      <c r="F91" t="s">
        <v>58</v>
      </c>
      <c r="H91" t="s">
        <v>2936</v>
      </c>
      <c r="I91" s="9" t="s">
        <v>4013</v>
      </c>
      <c r="J91" s="9" t="s">
        <v>2985</v>
      </c>
      <c r="K91" t="s">
        <v>4014</v>
      </c>
      <c r="L91" t="s">
        <v>4015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4192</v>
      </c>
      <c r="F92" t="s">
        <v>58</v>
      </c>
      <c r="H92" t="s">
        <v>2936</v>
      </c>
      <c r="I92" s="9" t="s">
        <v>4103</v>
      </c>
      <c r="J92" s="9" t="s">
        <v>2986</v>
      </c>
      <c r="K92" t="s">
        <v>4104</v>
      </c>
      <c r="L92" t="s">
        <v>4105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4192</v>
      </c>
      <c r="F93" t="s">
        <v>58</v>
      </c>
      <c r="I93" s="9" t="s">
        <v>4094</v>
      </c>
      <c r="J93" s="9" t="s">
        <v>2986</v>
      </c>
      <c r="K93" t="s">
        <v>4095</v>
      </c>
      <c r="L93" t="s">
        <v>4096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4192</v>
      </c>
      <c r="F94" t="s">
        <v>58</v>
      </c>
      <c r="H94" t="s">
        <v>2936</v>
      </c>
      <c r="I94" s="9" t="s">
        <v>4097</v>
      </c>
      <c r="J94" s="9" t="s">
        <v>2986</v>
      </c>
      <c r="K94" t="s">
        <v>4098</v>
      </c>
      <c r="L94" t="s">
        <v>4099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4192</v>
      </c>
      <c r="F95" t="s">
        <v>58</v>
      </c>
      <c r="H95" t="s">
        <v>2936</v>
      </c>
      <c r="I95" s="9" t="s">
        <v>4100</v>
      </c>
      <c r="J95" s="9" t="s">
        <v>2986</v>
      </c>
      <c r="K95" t="s">
        <v>4101</v>
      </c>
      <c r="L95" t="s">
        <v>4102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4217</v>
      </c>
      <c r="F96" t="s">
        <v>4211</v>
      </c>
      <c r="H96" t="s">
        <v>2936</v>
      </c>
      <c r="I96" s="9" t="s">
        <v>3603</v>
      </c>
      <c r="J96" s="9" t="s">
        <v>2984</v>
      </c>
      <c r="K96" t="s">
        <v>3604</v>
      </c>
      <c r="L96" t="s">
        <v>3605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4217</v>
      </c>
      <c r="F97" t="s">
        <v>4211</v>
      </c>
      <c r="H97" t="s">
        <v>2936</v>
      </c>
      <c r="I97" s="9" t="s">
        <v>3585</v>
      </c>
      <c r="J97" s="9" t="s">
        <v>2984</v>
      </c>
      <c r="K97" t="s">
        <v>3586</v>
      </c>
      <c r="L97" t="s">
        <v>3587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4217</v>
      </c>
      <c r="F98" t="s">
        <v>4211</v>
      </c>
      <c r="H98" t="s">
        <v>2936</v>
      </c>
      <c r="I98" s="9" t="s">
        <v>3597</v>
      </c>
      <c r="J98" s="9" t="s">
        <v>2984</v>
      </c>
      <c r="K98" t="s">
        <v>3598</v>
      </c>
      <c r="L98" t="s">
        <v>3599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4217</v>
      </c>
      <c r="F99" t="s">
        <v>4211</v>
      </c>
      <c r="H99" t="s">
        <v>2936</v>
      </c>
      <c r="I99" s="9" t="s">
        <v>3570</v>
      </c>
      <c r="J99" s="9" t="s">
        <v>2984</v>
      </c>
      <c r="K99" t="s">
        <v>3571</v>
      </c>
      <c r="L99" t="s">
        <v>3572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4217</v>
      </c>
      <c r="F100" t="s">
        <v>4211</v>
      </c>
      <c r="H100" t="s">
        <v>2936</v>
      </c>
      <c r="I100" s="9" t="s">
        <v>3588</v>
      </c>
      <c r="J100" s="9" t="s">
        <v>2984</v>
      </c>
      <c r="K100" t="s">
        <v>3589</v>
      </c>
      <c r="L100" t="s">
        <v>3590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4217</v>
      </c>
      <c r="F101" t="s">
        <v>4211</v>
      </c>
      <c r="H101" t="s">
        <v>2936</v>
      </c>
      <c r="I101" s="9" t="s">
        <v>3591</v>
      </c>
      <c r="J101" s="9" t="s">
        <v>2984</v>
      </c>
      <c r="K101" t="s">
        <v>3592</v>
      </c>
      <c r="L101" t="s">
        <v>3593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4217</v>
      </c>
      <c r="F102" t="s">
        <v>4211</v>
      </c>
      <c r="H102" t="s">
        <v>2936</v>
      </c>
      <c r="I102" s="9" t="s">
        <v>3600</v>
      </c>
      <c r="J102" s="9" t="s">
        <v>2984</v>
      </c>
      <c r="K102" t="s">
        <v>3601</v>
      </c>
      <c r="L102" t="s">
        <v>3602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4211</v>
      </c>
      <c r="H103" t="s">
        <v>2936</v>
      </c>
      <c r="I103" s="9" t="s">
        <v>3450</v>
      </c>
      <c r="J103" s="9" t="s">
        <v>2983</v>
      </c>
      <c r="K103" t="s">
        <v>3451</v>
      </c>
      <c r="L103" t="s">
        <v>3452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4217</v>
      </c>
      <c r="F104" t="s">
        <v>4211</v>
      </c>
      <c r="H104" t="s">
        <v>2936</v>
      </c>
      <c r="I104" s="9" t="s">
        <v>3606</v>
      </c>
      <c r="J104" s="9" t="s">
        <v>2984</v>
      </c>
      <c r="K104" t="s">
        <v>3607</v>
      </c>
      <c r="L104" t="s">
        <v>3608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4195</v>
      </c>
      <c r="F105" t="s">
        <v>4211</v>
      </c>
      <c r="H105" t="s">
        <v>2936</v>
      </c>
      <c r="I105" s="9" t="s">
        <v>3707</v>
      </c>
      <c r="J105" s="9" t="s">
        <v>2984</v>
      </c>
      <c r="K105" t="s">
        <v>3708</v>
      </c>
      <c r="L105" t="s">
        <v>3709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4217</v>
      </c>
      <c r="F106" t="s">
        <v>4211</v>
      </c>
      <c r="H106" t="s">
        <v>2936</v>
      </c>
      <c r="I106" s="9" t="s">
        <v>3594</v>
      </c>
      <c r="J106" s="9" t="s">
        <v>2984</v>
      </c>
      <c r="K106" t="s">
        <v>3595</v>
      </c>
      <c r="L106" t="s">
        <v>3596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4194</v>
      </c>
      <c r="F107" t="s">
        <v>4211</v>
      </c>
      <c r="I107" s="9" t="s">
        <v>3612</v>
      </c>
      <c r="J107" s="9" t="s">
        <v>2984</v>
      </c>
      <c r="K107" t="s">
        <v>3613</v>
      </c>
      <c r="L107" t="s">
        <v>3614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4195</v>
      </c>
      <c r="F108" t="s">
        <v>4211</v>
      </c>
      <c r="H108" t="s">
        <v>2936</v>
      </c>
      <c r="I108" s="9" t="s">
        <v>3710</v>
      </c>
      <c r="J108" s="9" t="s">
        <v>2984</v>
      </c>
      <c r="K108" t="s">
        <v>3711</v>
      </c>
      <c r="L108" t="s">
        <v>3712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s="9" t="s">
        <v>3375</v>
      </c>
      <c r="J109" s="9" t="s">
        <v>2990</v>
      </c>
      <c r="K109" t="s">
        <v>3376</v>
      </c>
      <c r="L109" t="s">
        <v>3377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4211</v>
      </c>
      <c r="H110" t="s">
        <v>2936</v>
      </c>
      <c r="I110" s="9" t="s">
        <v>3453</v>
      </c>
      <c r="J110" s="9" t="s">
        <v>2983</v>
      </c>
      <c r="K110" t="s">
        <v>3454</v>
      </c>
      <c r="L110" t="s">
        <v>3455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4211</v>
      </c>
      <c r="H111" t="s">
        <v>2936</v>
      </c>
      <c r="I111" s="9" t="s">
        <v>3459</v>
      </c>
      <c r="J111" s="9" t="s">
        <v>2983</v>
      </c>
      <c r="K111" t="s">
        <v>3460</v>
      </c>
      <c r="L111" t="s">
        <v>3461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4211</v>
      </c>
      <c r="I112" s="9" t="s">
        <v>3447</v>
      </c>
      <c r="J112" s="9" t="s">
        <v>2983</v>
      </c>
      <c r="K112" t="s">
        <v>3448</v>
      </c>
      <c r="L112" t="s">
        <v>3449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4217</v>
      </c>
      <c r="F113" t="s">
        <v>4211</v>
      </c>
      <c r="H113" t="s">
        <v>2936</v>
      </c>
      <c r="I113" s="9" t="s">
        <v>3576</v>
      </c>
      <c r="J113" s="9" t="s">
        <v>2984</v>
      </c>
      <c r="K113" t="s">
        <v>3577</v>
      </c>
      <c r="L113" t="s">
        <v>3578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4217</v>
      </c>
      <c r="F114" t="s">
        <v>4211</v>
      </c>
      <c r="H114" t="s">
        <v>2936</v>
      </c>
      <c r="I114" s="9" t="s">
        <v>3579</v>
      </c>
      <c r="J114" s="9" t="s">
        <v>2984</v>
      </c>
      <c r="K114" t="s">
        <v>3580</v>
      </c>
      <c r="L114" t="s">
        <v>3581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4211</v>
      </c>
      <c r="H115" t="s">
        <v>2936</v>
      </c>
      <c r="I115" s="9" t="s">
        <v>3456</v>
      </c>
      <c r="J115" s="9" t="s">
        <v>2983</v>
      </c>
      <c r="K115" t="s">
        <v>3457</v>
      </c>
      <c r="L115" t="s">
        <v>3458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4217</v>
      </c>
      <c r="F116" t="s">
        <v>4211</v>
      </c>
      <c r="H116" t="s">
        <v>2936</v>
      </c>
      <c r="I116" s="9" t="s">
        <v>3573</v>
      </c>
      <c r="J116" s="9" t="s">
        <v>2984</v>
      </c>
      <c r="K116" t="s">
        <v>3574</v>
      </c>
      <c r="L116" t="s">
        <v>3575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4217</v>
      </c>
      <c r="F117" t="s">
        <v>4211</v>
      </c>
      <c r="H117" t="s">
        <v>2936</v>
      </c>
      <c r="I117" s="9" t="s">
        <v>3582</v>
      </c>
      <c r="J117" s="9" t="s">
        <v>2984</v>
      </c>
      <c r="K117" t="s">
        <v>3583</v>
      </c>
      <c r="L117" t="s">
        <v>3584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4217</v>
      </c>
      <c r="F118" t="s">
        <v>4211</v>
      </c>
      <c r="I118" s="9" t="s">
        <v>3567</v>
      </c>
      <c r="J118" s="9" t="s">
        <v>2984</v>
      </c>
      <c r="K118" t="s">
        <v>3568</v>
      </c>
      <c r="L118" t="s">
        <v>3569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4194</v>
      </c>
      <c r="F119" t="s">
        <v>4211</v>
      </c>
      <c r="H119" t="s">
        <v>2936</v>
      </c>
      <c r="I119" s="9" t="s">
        <v>3642</v>
      </c>
      <c r="J119" s="9" t="s">
        <v>2984</v>
      </c>
      <c r="K119" t="s">
        <v>3643</v>
      </c>
      <c r="L119" t="s">
        <v>3644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4194</v>
      </c>
      <c r="F120" t="s">
        <v>4211</v>
      </c>
      <c r="H120" t="s">
        <v>2936</v>
      </c>
      <c r="I120" s="9" t="s">
        <v>3639</v>
      </c>
      <c r="J120" s="9" t="s">
        <v>2984</v>
      </c>
      <c r="K120" t="s">
        <v>3640</v>
      </c>
      <c r="L120" t="s">
        <v>3641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4194</v>
      </c>
      <c r="F121" t="s">
        <v>4211</v>
      </c>
      <c r="H121" t="s">
        <v>2936</v>
      </c>
      <c r="I121" s="9" t="s">
        <v>3636</v>
      </c>
      <c r="J121" s="9" t="s">
        <v>2984</v>
      </c>
      <c r="K121" t="s">
        <v>3637</v>
      </c>
      <c r="L121" t="s">
        <v>3638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s="9" t="s">
        <v>3704</v>
      </c>
      <c r="J122" s="9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4194</v>
      </c>
      <c r="F123" t="s">
        <v>4211</v>
      </c>
      <c r="H123" t="s">
        <v>2936</v>
      </c>
      <c r="I123" s="9" t="s">
        <v>3618</v>
      </c>
      <c r="J123" s="9" t="s">
        <v>2984</v>
      </c>
      <c r="K123" t="s">
        <v>3619</v>
      </c>
      <c r="L123" t="s">
        <v>3620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4195</v>
      </c>
      <c r="F124" t="s">
        <v>4211</v>
      </c>
      <c r="H124" t="s">
        <v>2936</v>
      </c>
      <c r="I124" s="9" t="s">
        <v>3656</v>
      </c>
      <c r="J124" s="9" t="s">
        <v>2984</v>
      </c>
      <c r="K124" t="s">
        <v>3657</v>
      </c>
      <c r="L124" t="s">
        <v>3658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4195</v>
      </c>
      <c r="F125" t="s">
        <v>4211</v>
      </c>
      <c r="I125" s="9" t="s">
        <v>3653</v>
      </c>
      <c r="J125" s="9" t="s">
        <v>2984</v>
      </c>
      <c r="K125" t="s">
        <v>3654</v>
      </c>
      <c r="L125" t="s">
        <v>3655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4195</v>
      </c>
      <c r="F126" t="s">
        <v>4211</v>
      </c>
      <c r="H126" t="s">
        <v>2936</v>
      </c>
      <c r="I126" s="9" t="s">
        <v>3677</v>
      </c>
      <c r="J126" s="9" t="s">
        <v>2984</v>
      </c>
      <c r="K126" t="s">
        <v>3678</v>
      </c>
      <c r="L126" t="s">
        <v>3679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4194</v>
      </c>
      <c r="F127" t="s">
        <v>4211</v>
      </c>
      <c r="H127" t="s">
        <v>2936</v>
      </c>
      <c r="I127" s="9" t="s">
        <v>3633</v>
      </c>
      <c r="J127" s="9" t="s">
        <v>2984</v>
      </c>
      <c r="K127" t="s">
        <v>3634</v>
      </c>
      <c r="L127" t="s">
        <v>3635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4194</v>
      </c>
      <c r="F128" t="s">
        <v>4211</v>
      </c>
      <c r="H128" t="s">
        <v>2936</v>
      </c>
      <c r="I128" s="9" t="s">
        <v>3621</v>
      </c>
      <c r="J128" s="9" t="s">
        <v>2984</v>
      </c>
      <c r="K128" t="s">
        <v>3622</v>
      </c>
      <c r="L128" t="s">
        <v>3623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4194</v>
      </c>
      <c r="F129" t="s">
        <v>87</v>
      </c>
      <c r="I129" s="9" t="s">
        <v>3645</v>
      </c>
      <c r="J129" s="9" t="s">
        <v>2984</v>
      </c>
      <c r="K129" t="s">
        <v>3646</v>
      </c>
      <c r="L129" t="s">
        <v>3647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4195</v>
      </c>
      <c r="F130" t="s">
        <v>4211</v>
      </c>
      <c r="H130" t="s">
        <v>2936</v>
      </c>
      <c r="I130" s="9" t="s">
        <v>3689</v>
      </c>
      <c r="J130" s="9" t="s">
        <v>2984</v>
      </c>
      <c r="K130" t="s">
        <v>3690</v>
      </c>
      <c r="L130" t="s">
        <v>3691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4194</v>
      </c>
      <c r="F131" t="s">
        <v>4211</v>
      </c>
      <c r="H131" t="s">
        <v>2936</v>
      </c>
      <c r="I131" s="9" t="s">
        <v>3627</v>
      </c>
      <c r="J131" s="9" t="s">
        <v>2984</v>
      </c>
      <c r="K131" t="s">
        <v>3628</v>
      </c>
      <c r="L131" t="s">
        <v>3629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4194</v>
      </c>
      <c r="F132" t="s">
        <v>4211</v>
      </c>
      <c r="H132" t="s">
        <v>2936</v>
      </c>
      <c r="I132" s="9" t="s">
        <v>3630</v>
      </c>
      <c r="J132" s="9" t="s">
        <v>2984</v>
      </c>
      <c r="K132" t="s">
        <v>3631</v>
      </c>
      <c r="L132" t="s">
        <v>3632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4194</v>
      </c>
      <c r="F133" t="s">
        <v>4211</v>
      </c>
      <c r="H133" t="s">
        <v>2936</v>
      </c>
      <c r="I133" s="9" t="s">
        <v>3615</v>
      </c>
      <c r="J133" s="9" t="s">
        <v>2984</v>
      </c>
      <c r="K133" t="s">
        <v>3616</v>
      </c>
      <c r="L133" t="s">
        <v>3617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4194</v>
      </c>
      <c r="F134" t="s">
        <v>4211</v>
      </c>
      <c r="H134" t="s">
        <v>2936</v>
      </c>
      <c r="I134" s="9" t="s">
        <v>3624</v>
      </c>
      <c r="J134" s="9" t="s">
        <v>2984</v>
      </c>
      <c r="K134" t="s">
        <v>3625</v>
      </c>
      <c r="L134" t="s">
        <v>3626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4195</v>
      </c>
      <c r="F135" t="s">
        <v>4211</v>
      </c>
      <c r="H135" t="s">
        <v>2936</v>
      </c>
      <c r="I135" s="9" t="s">
        <v>3659</v>
      </c>
      <c r="J135" s="9" t="s">
        <v>2984</v>
      </c>
      <c r="K135" t="s">
        <v>3660</v>
      </c>
      <c r="L135" t="s">
        <v>3661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4195</v>
      </c>
      <c r="F136" t="s">
        <v>4211</v>
      </c>
      <c r="H136" t="s">
        <v>2936</v>
      </c>
      <c r="I136" s="9" t="s">
        <v>3680</v>
      </c>
      <c r="J136" s="9" t="s">
        <v>2984</v>
      </c>
      <c r="K136" t="s">
        <v>3681</v>
      </c>
      <c r="L136" t="s">
        <v>3682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4195</v>
      </c>
      <c r="F137" t="s">
        <v>4211</v>
      </c>
      <c r="H137" t="s">
        <v>2936</v>
      </c>
      <c r="I137" s="9" t="s">
        <v>3686</v>
      </c>
      <c r="J137" s="9" t="s">
        <v>2984</v>
      </c>
      <c r="K137" t="s">
        <v>3687</v>
      </c>
      <c r="L137" t="s">
        <v>3688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4195</v>
      </c>
      <c r="F138" t="s">
        <v>4211</v>
      </c>
      <c r="H138" t="s">
        <v>2936</v>
      </c>
      <c r="I138" s="9" t="s">
        <v>3683</v>
      </c>
      <c r="J138" s="9" t="s">
        <v>2984</v>
      </c>
      <c r="K138" t="s">
        <v>3684</v>
      </c>
      <c r="L138" t="s">
        <v>3685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4195</v>
      </c>
      <c r="F139" t="s">
        <v>4211</v>
      </c>
      <c r="H139" t="s">
        <v>2936</v>
      </c>
      <c r="I139" s="9" t="s">
        <v>3701</v>
      </c>
      <c r="J139" s="9" t="s">
        <v>2984</v>
      </c>
      <c r="K139" t="s">
        <v>3702</v>
      </c>
      <c r="L139" t="s">
        <v>3703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4195</v>
      </c>
      <c r="F140" t="s">
        <v>4211</v>
      </c>
      <c r="H140" t="s">
        <v>2936</v>
      </c>
      <c r="I140" s="9" t="s">
        <v>3695</v>
      </c>
      <c r="J140" s="9" t="s">
        <v>2984</v>
      </c>
      <c r="K140" t="s">
        <v>3696</v>
      </c>
      <c r="L140" t="s">
        <v>3697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4195</v>
      </c>
      <c r="F141" t="s">
        <v>4211</v>
      </c>
      <c r="H141" t="s">
        <v>2936</v>
      </c>
      <c r="I141" s="9" t="s">
        <v>3692</v>
      </c>
      <c r="J141" s="9" t="s">
        <v>2984</v>
      </c>
      <c r="K141" t="s">
        <v>3693</v>
      </c>
      <c r="L141" t="s">
        <v>3694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4195</v>
      </c>
      <c r="F142" t="s">
        <v>4211</v>
      </c>
      <c r="H142" t="s">
        <v>2936</v>
      </c>
      <c r="I142" s="9" t="s">
        <v>3698</v>
      </c>
      <c r="J142" s="9" t="s">
        <v>2984</v>
      </c>
      <c r="K142" t="s">
        <v>3699</v>
      </c>
      <c r="L142" t="s">
        <v>3700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4211</v>
      </c>
      <c r="H143" t="s">
        <v>2936</v>
      </c>
      <c r="I143" s="9" t="s">
        <v>3462</v>
      </c>
      <c r="J143" s="9" t="s">
        <v>2983</v>
      </c>
      <c r="K143" t="s">
        <v>3463</v>
      </c>
      <c r="L143" t="s">
        <v>3464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4195</v>
      </c>
      <c r="F144" t="s">
        <v>4211</v>
      </c>
      <c r="H144" t="s">
        <v>2936</v>
      </c>
      <c r="I144" s="9" t="s">
        <v>3665</v>
      </c>
      <c r="J144" s="9" t="s">
        <v>2984</v>
      </c>
      <c r="K144" t="s">
        <v>3666</v>
      </c>
      <c r="L144" t="s">
        <v>3667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4195</v>
      </c>
      <c r="F145" t="s">
        <v>4211</v>
      </c>
      <c r="H145" t="s">
        <v>2936</v>
      </c>
      <c r="I145" s="9" t="s">
        <v>3662</v>
      </c>
      <c r="J145" s="9" t="s">
        <v>2984</v>
      </c>
      <c r="K145" t="s">
        <v>3663</v>
      </c>
      <c r="L145" t="s">
        <v>3664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4195</v>
      </c>
      <c r="F146" t="s">
        <v>4211</v>
      </c>
      <c r="H146" t="s">
        <v>2936</v>
      </c>
      <c r="I146" s="9" t="s">
        <v>3668</v>
      </c>
      <c r="J146" s="9" t="s">
        <v>2984</v>
      </c>
      <c r="K146" t="s">
        <v>3669</v>
      </c>
      <c r="L146" t="s">
        <v>3670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4195</v>
      </c>
      <c r="F147" t="s">
        <v>4211</v>
      </c>
      <c r="H147" t="s">
        <v>2936</v>
      </c>
      <c r="I147" s="9" t="s">
        <v>3674</v>
      </c>
      <c r="J147" s="9" t="s">
        <v>2984</v>
      </c>
      <c r="K147" t="s">
        <v>3675</v>
      </c>
      <c r="L147" t="s">
        <v>3676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4195</v>
      </c>
      <c r="F148" t="s">
        <v>4211</v>
      </c>
      <c r="H148" t="s">
        <v>2936</v>
      </c>
      <c r="I148" s="9" t="s">
        <v>3671</v>
      </c>
      <c r="J148" s="9" t="s">
        <v>2984</v>
      </c>
      <c r="K148" t="s">
        <v>3672</v>
      </c>
      <c r="L148" t="s">
        <v>3673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s="9" t="s">
        <v>4459</v>
      </c>
      <c r="J149" s="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5093</v>
      </c>
      <c r="H150" t="s">
        <v>2936</v>
      </c>
      <c r="I150" s="9" t="s">
        <v>4474</v>
      </c>
      <c r="J150" s="9" t="s">
        <v>2991</v>
      </c>
      <c r="K150" t="s">
        <v>4475</v>
      </c>
      <c r="L150" t="s">
        <v>4476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5093</v>
      </c>
      <c r="H151" t="s">
        <v>5096</v>
      </c>
      <c r="I151" s="9" t="s">
        <v>4477</v>
      </c>
      <c r="J151" s="9" t="s">
        <v>2991</v>
      </c>
      <c r="K151" t="s">
        <v>4478</v>
      </c>
      <c r="L151" t="s">
        <v>4479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s="9" t="s">
        <v>4471</v>
      </c>
      <c r="J152" s="9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s="9" t="s">
        <v>5086</v>
      </c>
      <c r="J153" s="9" t="s">
        <v>2990</v>
      </c>
      <c r="K153" t="s">
        <v>5087</v>
      </c>
      <c r="L153" t="s">
        <v>5088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5093</v>
      </c>
      <c r="H154" t="s">
        <v>5095</v>
      </c>
      <c r="I154" s="9" t="s">
        <v>4468</v>
      </c>
      <c r="J154" s="9" t="s">
        <v>2991</v>
      </c>
      <c r="K154" t="s">
        <v>4469</v>
      </c>
      <c r="L154" t="s">
        <v>4470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5263</v>
      </c>
      <c r="F155" t="s">
        <v>5093</v>
      </c>
      <c r="I155" s="9" t="s">
        <v>5151</v>
      </c>
      <c r="J155" s="9" t="s">
        <v>2982</v>
      </c>
      <c r="K155" t="s">
        <v>5152</v>
      </c>
      <c r="L155" t="s">
        <v>5153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5263</v>
      </c>
      <c r="F156" t="s">
        <v>5093</v>
      </c>
      <c r="H156" t="s">
        <v>2936</v>
      </c>
      <c r="I156" s="9" t="s">
        <v>5154</v>
      </c>
      <c r="J156" s="9" t="s">
        <v>2982</v>
      </c>
      <c r="K156" t="s">
        <v>5155</v>
      </c>
      <c r="L156" t="s">
        <v>5156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5263</v>
      </c>
      <c r="F157" t="s">
        <v>5093</v>
      </c>
      <c r="H157" t="s">
        <v>2936</v>
      </c>
      <c r="I157" s="9" t="s">
        <v>5157</v>
      </c>
      <c r="J157" s="9" t="s">
        <v>2982</v>
      </c>
      <c r="K157" t="s">
        <v>5158</v>
      </c>
      <c r="L157" t="s">
        <v>5159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5263</v>
      </c>
      <c r="F158" t="s">
        <v>5093</v>
      </c>
      <c r="H158" t="s">
        <v>2936</v>
      </c>
      <c r="I158" s="9" t="s">
        <v>5160</v>
      </c>
      <c r="J158" s="9" t="s">
        <v>2982</v>
      </c>
      <c r="K158" t="s">
        <v>5161</v>
      </c>
      <c r="L158" t="s">
        <v>5162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5263</v>
      </c>
      <c r="F159" t="s">
        <v>5093</v>
      </c>
      <c r="H159" t="s">
        <v>2936</v>
      </c>
      <c r="I159" s="9" t="s">
        <v>5163</v>
      </c>
      <c r="J159" s="9" t="s">
        <v>2982</v>
      </c>
      <c r="K159" t="s">
        <v>5164</v>
      </c>
      <c r="L159" t="s">
        <v>5165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5263</v>
      </c>
      <c r="F160" t="s">
        <v>5093</v>
      </c>
      <c r="H160" t="s">
        <v>2936</v>
      </c>
      <c r="I160" s="9" t="s">
        <v>5166</v>
      </c>
      <c r="J160" s="9" t="s">
        <v>2982</v>
      </c>
      <c r="K160" t="s">
        <v>5167</v>
      </c>
      <c r="L160" t="s">
        <v>5168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5263</v>
      </c>
      <c r="F161" t="s">
        <v>4233</v>
      </c>
      <c r="I161" s="9" t="s">
        <v>5187</v>
      </c>
      <c r="J161" s="9" t="s">
        <v>2985</v>
      </c>
      <c r="K161" t="s">
        <v>5188</v>
      </c>
      <c r="L161" t="s">
        <v>5189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5263</v>
      </c>
      <c r="F162" t="s">
        <v>4233</v>
      </c>
      <c r="H162" t="s">
        <v>2936</v>
      </c>
      <c r="I162" s="9" t="s">
        <v>5190</v>
      </c>
      <c r="J162" s="9" t="s">
        <v>2985</v>
      </c>
      <c r="K162" t="s">
        <v>5191</v>
      </c>
      <c r="L162" t="s">
        <v>5192</v>
      </c>
      <c r="M162" s="3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4">
        <v>46004</v>
      </c>
      <c r="C163" s="6">
        <v>0.39997685185185183</v>
      </c>
      <c r="D163" s="2" t="s">
        <v>289</v>
      </c>
      <c r="E163" t="s">
        <v>6167</v>
      </c>
      <c r="F163" t="s">
        <v>6188</v>
      </c>
      <c r="H163" t="s">
        <v>2936</v>
      </c>
      <c r="I163" s="9" t="s">
        <v>6128</v>
      </c>
      <c r="J163" s="9" t="s">
        <v>5633</v>
      </c>
      <c r="K163" t="s">
        <v>6129</v>
      </c>
      <c r="L163" t="s">
        <v>6130</v>
      </c>
      <c r="M163" s="3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4">
        <v>46004</v>
      </c>
      <c r="C164" s="6">
        <v>0.39961805555555557</v>
      </c>
      <c r="D164" s="2" t="s">
        <v>289</v>
      </c>
      <c r="E164" t="s">
        <v>6167</v>
      </c>
      <c r="F164" t="s">
        <v>6188</v>
      </c>
      <c r="H164" t="s">
        <v>2936</v>
      </c>
      <c r="I164" s="9" t="s">
        <v>6125</v>
      </c>
      <c r="J164" s="9" t="s">
        <v>5633</v>
      </c>
      <c r="K164" t="s">
        <v>6126</v>
      </c>
      <c r="L164" t="s">
        <v>6127</v>
      </c>
      <c r="M164" s="3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4">
        <v>46004</v>
      </c>
      <c r="C165" s="6">
        <v>0.40229166666666666</v>
      </c>
      <c r="D165" s="2" t="s">
        <v>289</v>
      </c>
      <c r="E165" t="s">
        <v>6167</v>
      </c>
      <c r="F165" t="s">
        <v>6188</v>
      </c>
      <c r="H165" t="s">
        <v>2936</v>
      </c>
      <c r="I165" s="9" t="s">
        <v>6134</v>
      </c>
      <c r="J165" s="9" t="s">
        <v>5633</v>
      </c>
      <c r="K165" t="s">
        <v>6135</v>
      </c>
      <c r="L165" t="s">
        <v>6136</v>
      </c>
      <c r="M165" s="3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4">
        <v>46004</v>
      </c>
      <c r="C166" s="6">
        <v>0.40167824074074077</v>
      </c>
      <c r="D166" s="2" t="s">
        <v>289</v>
      </c>
      <c r="E166" t="s">
        <v>6167</v>
      </c>
      <c r="F166" t="s">
        <v>6188</v>
      </c>
      <c r="H166" t="s">
        <v>2936</v>
      </c>
      <c r="I166" s="9" t="s">
        <v>6131</v>
      </c>
      <c r="J166" s="9" t="s">
        <v>5633</v>
      </c>
      <c r="K166" t="s">
        <v>6132</v>
      </c>
      <c r="L166" t="s">
        <v>6133</v>
      </c>
      <c r="M166" s="3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4">
        <v>46004</v>
      </c>
      <c r="C167" s="6">
        <v>0.39643518518518517</v>
      </c>
      <c r="D167" s="2" t="s">
        <v>289</v>
      </c>
      <c r="E167" t="s">
        <v>6167</v>
      </c>
      <c r="F167" t="s">
        <v>6188</v>
      </c>
      <c r="H167" t="s">
        <v>2936</v>
      </c>
      <c r="I167" s="9" t="s">
        <v>6116</v>
      </c>
      <c r="J167" s="9" t="s">
        <v>5633</v>
      </c>
      <c r="K167" t="s">
        <v>6117</v>
      </c>
      <c r="L167" t="s">
        <v>6118</v>
      </c>
      <c r="M167" s="3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4">
        <v>46004</v>
      </c>
      <c r="C168" s="6">
        <v>0.39291666666666669</v>
      </c>
      <c r="D168" s="2" t="s">
        <v>289</v>
      </c>
      <c r="E168" t="s">
        <v>6167</v>
      </c>
      <c r="F168" t="s">
        <v>6188</v>
      </c>
      <c r="H168" t="s">
        <v>2936</v>
      </c>
      <c r="I168" s="9" t="s">
        <v>6113</v>
      </c>
      <c r="J168" s="9" t="s">
        <v>5633</v>
      </c>
      <c r="K168" t="s">
        <v>6114</v>
      </c>
      <c r="L168" t="s">
        <v>6115</v>
      </c>
      <c r="M168" s="3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4">
        <v>46004</v>
      </c>
      <c r="C169" s="6">
        <v>0.3972222222222222</v>
      </c>
      <c r="D169" s="2" t="s">
        <v>289</v>
      </c>
      <c r="E169" t="s">
        <v>6167</v>
      </c>
      <c r="F169" t="s">
        <v>6188</v>
      </c>
      <c r="H169" t="s">
        <v>2936</v>
      </c>
      <c r="I169" s="9" t="s">
        <v>6122</v>
      </c>
      <c r="J169" s="9" t="s">
        <v>5633</v>
      </c>
      <c r="K169" t="s">
        <v>6123</v>
      </c>
      <c r="L169" t="s">
        <v>6124</v>
      </c>
      <c r="M169" s="3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4">
        <v>46004</v>
      </c>
      <c r="C170" s="6">
        <v>0.39685185185185184</v>
      </c>
      <c r="D170" s="2" t="s">
        <v>289</v>
      </c>
      <c r="E170" t="s">
        <v>6167</v>
      </c>
      <c r="F170" t="s">
        <v>6188</v>
      </c>
      <c r="H170" t="s">
        <v>2936</v>
      </c>
      <c r="I170" s="9" t="s">
        <v>6119</v>
      </c>
      <c r="J170" s="9" t="s">
        <v>5633</v>
      </c>
      <c r="K170" t="s">
        <v>6120</v>
      </c>
      <c r="L170" t="s">
        <v>6121</v>
      </c>
      <c r="M170" s="3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4">
        <v>46006</v>
      </c>
      <c r="C171" s="6">
        <v>0.46620370370370373</v>
      </c>
      <c r="D171" s="2" t="s">
        <v>289</v>
      </c>
      <c r="E171" t="s">
        <v>6329</v>
      </c>
      <c r="F171" t="s">
        <v>58</v>
      </c>
      <c r="H171" t="s">
        <v>1620</v>
      </c>
      <c r="I171" s="9" t="s">
        <v>6404</v>
      </c>
      <c r="J171" s="9" t="s">
        <v>6392</v>
      </c>
      <c r="K171" t="s">
        <v>6405</v>
      </c>
      <c r="L171" t="s">
        <v>6406</v>
      </c>
      <c r="M171" s="3" t="str">
        <f>HYPERLINK(Таблица3[[#This Row],[RelativePath]])</f>
        <v>10 Сушилка навес\E33149364_3_20251215T111120Z.jpg</v>
      </c>
    </row>
    <row r="172" spans="1:13" x14ac:dyDescent="0.25">
      <c r="A172" t="s">
        <v>13</v>
      </c>
      <c r="B172" s="4">
        <v>46006</v>
      </c>
      <c r="C172" s="6">
        <v>0.46644675925925927</v>
      </c>
      <c r="D172" s="2" t="s">
        <v>289</v>
      </c>
      <c r="E172" t="s">
        <v>6329</v>
      </c>
      <c r="F172" t="s">
        <v>58</v>
      </c>
      <c r="H172" t="s">
        <v>2936</v>
      </c>
      <c r="I172" s="9" t="s">
        <v>6407</v>
      </c>
      <c r="J172" s="9" t="s">
        <v>6392</v>
      </c>
      <c r="K172" t="s">
        <v>6408</v>
      </c>
      <c r="L172" t="s">
        <v>6409</v>
      </c>
      <c r="M172" s="3" t="str">
        <f>HYPERLINK(Таблица3[[#This Row],[RelativePath]])</f>
        <v>10 Сушилка навес\E33149364_3_20251215T111141Z.jpg</v>
      </c>
    </row>
    <row r="173" spans="1:13" x14ac:dyDescent="0.25">
      <c r="A173" t="s">
        <v>13</v>
      </c>
      <c r="B173" s="4">
        <v>46006</v>
      </c>
      <c r="C173" s="6">
        <v>0.46770833333333334</v>
      </c>
      <c r="D173" s="2" t="s">
        <v>289</v>
      </c>
      <c r="E173" t="s">
        <v>6329</v>
      </c>
      <c r="F173" t="s">
        <v>58</v>
      </c>
      <c r="H173" t="s">
        <v>2936</v>
      </c>
      <c r="I173" s="9" t="s">
        <v>6419</v>
      </c>
      <c r="J173" s="9" t="s">
        <v>6392</v>
      </c>
      <c r="K173" t="s">
        <v>6420</v>
      </c>
      <c r="L173" t="s">
        <v>6421</v>
      </c>
      <c r="M173" s="3" t="str">
        <f>HYPERLINK(Таблица3[[#This Row],[RelativePath]])</f>
        <v>10 Сушилка навес\E33149364_3_20251215T111330Z.jpg</v>
      </c>
    </row>
    <row r="174" spans="1:13" x14ac:dyDescent="0.25">
      <c r="A174" t="s">
        <v>13</v>
      </c>
      <c r="B174" s="4">
        <v>46006</v>
      </c>
      <c r="C174" s="6">
        <v>0.46740740740740738</v>
      </c>
      <c r="D174" s="2" t="s">
        <v>289</v>
      </c>
      <c r="E174" t="s">
        <v>6329</v>
      </c>
      <c r="F174" t="s">
        <v>58</v>
      </c>
      <c r="H174" t="s">
        <v>2936</v>
      </c>
      <c r="I174" s="9" t="s">
        <v>6413</v>
      </c>
      <c r="J174" s="9" t="s">
        <v>6392</v>
      </c>
      <c r="K174" t="s">
        <v>6414</v>
      </c>
      <c r="L174" t="s">
        <v>6415</v>
      </c>
      <c r="M174" s="3" t="str">
        <f>HYPERLINK(Таблица3[[#This Row],[RelativePath]])</f>
        <v>10 Сушилка навес\E33149364_3_20251215T111304Z.jpg</v>
      </c>
    </row>
    <row r="175" spans="1:13" x14ac:dyDescent="0.25">
      <c r="A175" t="s">
        <v>13</v>
      </c>
      <c r="B175" s="4">
        <v>46006</v>
      </c>
      <c r="C175" s="6">
        <v>0.46766203703703701</v>
      </c>
      <c r="D175" s="2" t="s">
        <v>289</v>
      </c>
      <c r="E175" t="s">
        <v>6329</v>
      </c>
      <c r="F175" t="s">
        <v>58</v>
      </c>
      <c r="H175" t="s">
        <v>2936</v>
      </c>
      <c r="I175" s="9" t="s">
        <v>6416</v>
      </c>
      <c r="J175" s="9" t="s">
        <v>6392</v>
      </c>
      <c r="K175" t="s">
        <v>6417</v>
      </c>
      <c r="L175" t="s">
        <v>6418</v>
      </c>
      <c r="M175" s="3" t="str">
        <f>HYPERLINK(Таблица3[[#This Row],[RelativePath]])</f>
        <v>10 Сушилка навес\E33149364_3_20251215T111326Z.jpg</v>
      </c>
    </row>
    <row r="176" spans="1:13" x14ac:dyDescent="0.25">
      <c r="A176" t="s">
        <v>13</v>
      </c>
      <c r="B176" s="4">
        <v>46006</v>
      </c>
      <c r="C176" s="6">
        <v>0.51274305555555555</v>
      </c>
      <c r="D176" s="2" t="s">
        <v>289</v>
      </c>
      <c r="E176" t="s">
        <v>70</v>
      </c>
      <c r="F176" t="s">
        <v>6340</v>
      </c>
      <c r="I176" s="9" t="s">
        <v>6310</v>
      </c>
      <c r="J176" s="9" t="s">
        <v>6309</v>
      </c>
      <c r="K176" t="s">
        <v>6311</v>
      </c>
      <c r="L176" t="s">
        <v>6312</v>
      </c>
      <c r="M176" s="3" t="str">
        <f>HYPERLINK(Таблица3[[#This Row],[RelativePath]])</f>
        <v>4 Крыльцо офиса\K07156189_21_20251215T121821Z.jpg</v>
      </c>
    </row>
    <row r="177" spans="1:13" x14ac:dyDescent="0.25">
      <c r="A177" t="s">
        <v>13</v>
      </c>
      <c r="B177" s="4">
        <v>46006</v>
      </c>
      <c r="C177" s="6">
        <v>0.46807870370370369</v>
      </c>
      <c r="D177" s="2" t="s">
        <v>289</v>
      </c>
      <c r="E177" t="s">
        <v>6329</v>
      </c>
      <c r="F177" t="s">
        <v>58</v>
      </c>
      <c r="H177" t="s">
        <v>2936</v>
      </c>
      <c r="I177" s="9" t="s">
        <v>6422</v>
      </c>
      <c r="J177" s="9" t="s">
        <v>6392</v>
      </c>
      <c r="K177" t="s">
        <v>6423</v>
      </c>
      <c r="L177" t="s">
        <v>6424</v>
      </c>
      <c r="M177" s="3" t="str">
        <f>HYPERLINK(Таблица3[[#This Row],[RelativePath]])</f>
        <v>10 Сушилка навес\E33149364_3_20251215T111402Z.jpg</v>
      </c>
    </row>
    <row r="178" spans="1:13" x14ac:dyDescent="0.25">
      <c r="A178" t="s">
        <v>13</v>
      </c>
      <c r="B178" s="4">
        <v>46006</v>
      </c>
      <c r="C178" s="6">
        <v>0.46834490740740742</v>
      </c>
      <c r="D178" s="2" t="s">
        <v>289</v>
      </c>
      <c r="E178" t="s">
        <v>6329</v>
      </c>
      <c r="F178" t="s">
        <v>58</v>
      </c>
      <c r="H178" t="s">
        <v>2936</v>
      </c>
      <c r="I178" s="9" t="s">
        <v>6425</v>
      </c>
      <c r="J178" s="9" t="s">
        <v>6392</v>
      </c>
      <c r="K178" t="s">
        <v>6426</v>
      </c>
      <c r="L178" t="s">
        <v>6427</v>
      </c>
      <c r="M178" s="3" t="str">
        <f>HYPERLINK(Таблица3[[#This Row],[RelativePath]])</f>
        <v>10 Сушилка навес\E33149364_3_20251215T111425Z.jpg</v>
      </c>
    </row>
    <row r="179" spans="1:13" x14ac:dyDescent="0.25">
      <c r="A179" t="s">
        <v>13</v>
      </c>
      <c r="B179" s="4">
        <v>46006</v>
      </c>
      <c r="C179" s="6">
        <v>0.4692013888888889</v>
      </c>
      <c r="D179" s="2" t="s">
        <v>289</v>
      </c>
      <c r="E179" t="s">
        <v>6329</v>
      </c>
      <c r="F179" t="s">
        <v>58</v>
      </c>
      <c r="H179" t="s">
        <v>2936</v>
      </c>
      <c r="I179" s="9" t="s">
        <v>6428</v>
      </c>
      <c r="J179" s="9" t="s">
        <v>6392</v>
      </c>
      <c r="K179" t="s">
        <v>6429</v>
      </c>
      <c r="L179" t="s">
        <v>6430</v>
      </c>
      <c r="M179" s="3" t="str">
        <f>HYPERLINK(Таблица3[[#This Row],[RelativePath]])</f>
        <v>10 Сушилка навес\E33149364_3_20251215T111539Z.jpg</v>
      </c>
    </row>
    <row r="180" spans="1:13" x14ac:dyDescent="0.25">
      <c r="A180" t="s">
        <v>13</v>
      </c>
      <c r="B180" s="4">
        <v>46006</v>
      </c>
      <c r="C180" s="6">
        <v>0.46927083333333336</v>
      </c>
      <c r="D180" s="2" t="s">
        <v>289</v>
      </c>
      <c r="E180" t="s">
        <v>6329</v>
      </c>
      <c r="F180" t="s">
        <v>58</v>
      </c>
      <c r="H180" t="s">
        <v>2936</v>
      </c>
      <c r="I180" s="9" t="s">
        <v>6431</v>
      </c>
      <c r="J180" s="9" t="s">
        <v>6392</v>
      </c>
      <c r="K180" t="s">
        <v>6432</v>
      </c>
      <c r="L180" t="s">
        <v>6433</v>
      </c>
      <c r="M180" s="3" t="str">
        <f>HYPERLINK(Таблица3[[#This Row],[RelativePath]])</f>
        <v>10 Сушилка навес\E33149364_3_20251215T111545Z.jpg</v>
      </c>
    </row>
    <row r="181" spans="1:13" x14ac:dyDescent="0.25">
      <c r="A181" t="s">
        <v>13</v>
      </c>
      <c r="B181" s="4">
        <v>46006</v>
      </c>
      <c r="C181" s="6">
        <v>0.47002314814814816</v>
      </c>
      <c r="D181" s="2" t="s">
        <v>289</v>
      </c>
      <c r="E181" t="s">
        <v>6329</v>
      </c>
      <c r="F181" t="s">
        <v>58</v>
      </c>
      <c r="H181" t="s">
        <v>2936</v>
      </c>
      <c r="I181" s="9" t="s">
        <v>6434</v>
      </c>
      <c r="J181" s="9" t="s">
        <v>6392</v>
      </c>
      <c r="K181" t="s">
        <v>6435</v>
      </c>
      <c r="L181" t="s">
        <v>6436</v>
      </c>
      <c r="M181" s="3" t="str">
        <f>HYPERLINK(Таблица3[[#This Row],[RelativePath]])</f>
        <v>10 Сушилка навес\E33149364_3_20251215T111650Z.jpg</v>
      </c>
    </row>
    <row r="182" spans="1:13" x14ac:dyDescent="0.25">
      <c r="A182" t="s">
        <v>13</v>
      </c>
      <c r="B182" s="4">
        <v>46006</v>
      </c>
      <c r="C182" s="6">
        <v>0.47033564814814816</v>
      </c>
      <c r="D182" s="2" t="s">
        <v>289</v>
      </c>
      <c r="E182" t="s">
        <v>6329</v>
      </c>
      <c r="F182" t="s">
        <v>58</v>
      </c>
      <c r="H182" t="s">
        <v>2936</v>
      </c>
      <c r="I182" s="9" t="s">
        <v>6437</v>
      </c>
      <c r="J182" s="9" t="s">
        <v>6392</v>
      </c>
      <c r="K182" t="s">
        <v>6438</v>
      </c>
      <c r="L182" t="s">
        <v>6439</v>
      </c>
      <c r="M182" s="3" t="str">
        <f>HYPERLINK(Таблица3[[#This Row],[RelativePath]])</f>
        <v>10 Сушилка навес\E33149364_3_20251215T111717Z.jpg</v>
      </c>
    </row>
    <row r="183" spans="1:13" x14ac:dyDescent="0.25">
      <c r="A183" t="s">
        <v>13</v>
      </c>
      <c r="B183" s="4">
        <v>46006</v>
      </c>
      <c r="C183" s="6">
        <v>0.47162037037037036</v>
      </c>
      <c r="D183" s="2" t="s">
        <v>289</v>
      </c>
      <c r="E183" t="s">
        <v>6329</v>
      </c>
      <c r="F183" t="s">
        <v>58</v>
      </c>
      <c r="H183" t="s">
        <v>2936</v>
      </c>
      <c r="I183" s="9" t="s">
        <v>6443</v>
      </c>
      <c r="J183" s="9" t="s">
        <v>6392</v>
      </c>
      <c r="K183" t="s">
        <v>6444</v>
      </c>
      <c r="L183" t="s">
        <v>6445</v>
      </c>
      <c r="M183" s="3" t="str">
        <f>HYPERLINK(Таблица3[[#This Row],[RelativePath]])</f>
        <v>10 Сушилка навес\E33149364_3_20251215T111908Z.jpg</v>
      </c>
    </row>
    <row r="184" spans="1:13" x14ac:dyDescent="0.25">
      <c r="A184" t="s">
        <v>13</v>
      </c>
      <c r="B184" s="4">
        <v>46006</v>
      </c>
      <c r="C184" s="6">
        <v>0.47537037037037039</v>
      </c>
      <c r="D184" s="2" t="s">
        <v>289</v>
      </c>
      <c r="E184" t="s">
        <v>6329</v>
      </c>
      <c r="F184" t="s">
        <v>58</v>
      </c>
      <c r="H184" t="s">
        <v>6526</v>
      </c>
      <c r="I184" s="9" t="s">
        <v>6446</v>
      </c>
      <c r="J184" s="9" t="s">
        <v>6392</v>
      </c>
      <c r="K184" t="s">
        <v>6447</v>
      </c>
      <c r="L184" t="s">
        <v>6448</v>
      </c>
      <c r="M184" s="3" t="str">
        <f>HYPERLINK(Таблица3[[#This Row],[RelativePath]])</f>
        <v>10 Сушилка навес\E33149364_3_20251215T112432Z.jpg</v>
      </c>
    </row>
    <row r="185" spans="1:13" x14ac:dyDescent="0.25">
      <c r="A185" t="s">
        <v>13</v>
      </c>
      <c r="B185" s="4">
        <v>46006</v>
      </c>
      <c r="C185" s="6">
        <v>0.47547453703703701</v>
      </c>
      <c r="D185" s="2" t="s">
        <v>289</v>
      </c>
      <c r="E185" t="s">
        <v>6329</v>
      </c>
      <c r="F185" t="s">
        <v>58</v>
      </c>
      <c r="H185" t="s">
        <v>2936</v>
      </c>
      <c r="I185" s="9" t="s">
        <v>6449</v>
      </c>
      <c r="J185" s="9" t="s">
        <v>6392</v>
      </c>
      <c r="K185" t="s">
        <v>6450</v>
      </c>
      <c r="L185" t="s">
        <v>6451</v>
      </c>
      <c r="M185" s="3" t="str">
        <f>HYPERLINK(Таблица3[[#This Row],[RelativePath]])</f>
        <v>10 Сушилка навес\E33149364_3_20251215T112441Z.jpg</v>
      </c>
    </row>
    <row r="186" spans="1:13" x14ac:dyDescent="0.25">
      <c r="A186" t="s">
        <v>13</v>
      </c>
      <c r="B186" s="4">
        <v>46006</v>
      </c>
      <c r="C186" s="6">
        <v>0.47672453703703704</v>
      </c>
      <c r="D186" s="2" t="s">
        <v>289</v>
      </c>
      <c r="E186" t="s">
        <v>6329</v>
      </c>
      <c r="F186" t="s">
        <v>58</v>
      </c>
      <c r="H186" t="s">
        <v>2936</v>
      </c>
      <c r="I186" s="9" t="s">
        <v>6452</v>
      </c>
      <c r="J186" s="9" t="s">
        <v>6392</v>
      </c>
      <c r="K186" t="s">
        <v>6453</v>
      </c>
      <c r="L186" t="s">
        <v>6454</v>
      </c>
      <c r="M186" s="3" t="str">
        <f>HYPERLINK(Таблица3[[#This Row],[RelativePath]])</f>
        <v>10 Сушилка навес\E33149364_3_20251215T112629Z.jpg</v>
      </c>
    </row>
    <row r="187" spans="1:13" x14ac:dyDescent="0.25">
      <c r="A187" t="s">
        <v>13</v>
      </c>
      <c r="B187" s="4">
        <v>46006</v>
      </c>
      <c r="C187" s="6">
        <v>0.47729166666666667</v>
      </c>
      <c r="D187" s="2" t="s">
        <v>289</v>
      </c>
      <c r="E187" t="s">
        <v>6329</v>
      </c>
      <c r="F187" t="s">
        <v>58</v>
      </c>
      <c r="H187" t="s">
        <v>2936</v>
      </c>
      <c r="I187" s="9" t="s">
        <v>6455</v>
      </c>
      <c r="J187" s="9" t="s">
        <v>6392</v>
      </c>
      <c r="K187" t="s">
        <v>6456</v>
      </c>
      <c r="L187" t="s">
        <v>6457</v>
      </c>
      <c r="M187" s="3" t="str">
        <f>HYPERLINK(Таблица3[[#This Row],[RelativePath]])</f>
        <v>10 Сушилка навес\E33149364_3_20251215T112718Z.jpg</v>
      </c>
    </row>
    <row r="188" spans="1:13" x14ac:dyDescent="0.25">
      <c r="A188" t="s">
        <v>13</v>
      </c>
      <c r="B188" s="4">
        <v>46006</v>
      </c>
      <c r="C188" s="6">
        <v>0.47780092592592593</v>
      </c>
      <c r="D188" s="2" t="s">
        <v>289</v>
      </c>
      <c r="E188" t="s">
        <v>6329</v>
      </c>
      <c r="F188" t="s">
        <v>58</v>
      </c>
      <c r="H188" t="s">
        <v>1620</v>
      </c>
      <c r="I188" s="9" t="s">
        <v>6458</v>
      </c>
      <c r="J188" s="9" t="s">
        <v>6392</v>
      </c>
      <c r="K188" t="s">
        <v>6459</v>
      </c>
      <c r="L188" t="s">
        <v>6460</v>
      </c>
      <c r="M188" s="3" t="str">
        <f>HYPERLINK(Таблица3[[#This Row],[RelativePath]])</f>
        <v>10 Сушилка навес\E33149364_3_20251215T112802Z.jpg</v>
      </c>
    </row>
    <row r="189" spans="1:13" x14ac:dyDescent="0.25">
      <c r="A189" t="s">
        <v>13</v>
      </c>
      <c r="B189" s="4">
        <v>46006</v>
      </c>
      <c r="C189" s="6">
        <v>0.61089120370370376</v>
      </c>
      <c r="D189" s="2" t="s">
        <v>289</v>
      </c>
      <c r="E189" t="s">
        <v>6527</v>
      </c>
      <c r="F189" t="s">
        <v>1099</v>
      </c>
      <c r="G189">
        <v>2</v>
      </c>
      <c r="I189" s="9" t="s">
        <v>6479</v>
      </c>
      <c r="J189" s="9" t="s">
        <v>6392</v>
      </c>
      <c r="K189" t="s">
        <v>6480</v>
      </c>
      <c r="L189" t="s">
        <v>6481</v>
      </c>
      <c r="M189" s="3" t="str">
        <f>HYPERLINK(Таблица3[[#This Row],[RelativePath]])</f>
        <v>10 Сушилка навес\E33149364_3_20251215T143941Z.jpg</v>
      </c>
    </row>
    <row r="190" spans="1:13" x14ac:dyDescent="0.25">
      <c r="A190" t="s">
        <v>13</v>
      </c>
      <c r="B190" s="4">
        <v>46006</v>
      </c>
      <c r="C190" s="6">
        <v>0.47047453703703701</v>
      </c>
      <c r="D190" s="2" t="s">
        <v>289</v>
      </c>
      <c r="E190" t="s">
        <v>6329</v>
      </c>
      <c r="F190" t="s">
        <v>58</v>
      </c>
      <c r="H190" t="s">
        <v>2936</v>
      </c>
      <c r="I190" s="9" t="s">
        <v>6440</v>
      </c>
      <c r="J190" s="9" t="s">
        <v>6392</v>
      </c>
      <c r="K190" t="s">
        <v>6441</v>
      </c>
      <c r="L190" t="s">
        <v>6442</v>
      </c>
      <c r="M190" s="3" t="str">
        <f>HYPERLINK(Таблица3[[#This Row],[RelativePath]])</f>
        <v>10 Сушилка навес\E33149364_3_20251215T111729Z.jpg</v>
      </c>
    </row>
    <row r="191" spans="1:13" x14ac:dyDescent="0.25">
      <c r="A191" t="s">
        <v>13</v>
      </c>
      <c r="B191" s="4">
        <v>46006</v>
      </c>
      <c r="C191" s="6">
        <v>0.46650462962962963</v>
      </c>
      <c r="D191" s="2" t="s">
        <v>289</v>
      </c>
      <c r="E191" t="s">
        <v>6329</v>
      </c>
      <c r="F191" t="s">
        <v>58</v>
      </c>
      <c r="H191" t="s">
        <v>2936</v>
      </c>
      <c r="I191" s="9" t="s">
        <v>6410</v>
      </c>
      <c r="J191" s="9" t="s">
        <v>6392</v>
      </c>
      <c r="K191" t="s">
        <v>6411</v>
      </c>
      <c r="L191" t="s">
        <v>6412</v>
      </c>
      <c r="M191" s="3" t="str">
        <f>HYPERLINK(Таблица3[[#This Row],[RelativePath]])</f>
        <v>10 Сушилка навес\E33149364_3_20251215T111146Z.jpg</v>
      </c>
    </row>
    <row r="192" spans="1:13" x14ac:dyDescent="0.25">
      <c r="A192" t="s">
        <v>13</v>
      </c>
      <c r="B192" s="4">
        <v>46006</v>
      </c>
      <c r="C192" s="6">
        <v>0.47806712962962961</v>
      </c>
      <c r="D192" s="2" t="s">
        <v>289</v>
      </c>
      <c r="E192" t="s">
        <v>6329</v>
      </c>
      <c r="F192" t="s">
        <v>58</v>
      </c>
      <c r="H192" t="s">
        <v>2936</v>
      </c>
      <c r="I192" s="9" t="s">
        <v>6461</v>
      </c>
      <c r="J192" s="9" t="s">
        <v>6392</v>
      </c>
      <c r="K192" t="s">
        <v>6462</v>
      </c>
      <c r="L192" t="s">
        <v>6463</v>
      </c>
      <c r="M192" s="3" t="str">
        <f>HYPERLINK(Таблица3[[#This Row],[RelativePath]])</f>
        <v>10 Сушилка навес\E33149364_3_20251215T112825Z.jpg</v>
      </c>
    </row>
    <row r="193" spans="1:13" x14ac:dyDescent="0.25">
      <c r="A193" t="s">
        <v>13</v>
      </c>
      <c r="B193" s="4">
        <v>46006</v>
      </c>
      <c r="C193" s="6">
        <v>0.4783101851851852</v>
      </c>
      <c r="D193" s="2" t="s">
        <v>289</v>
      </c>
      <c r="E193" t="s">
        <v>6329</v>
      </c>
      <c r="F193" t="s">
        <v>58</v>
      </c>
      <c r="H193" t="s">
        <v>2936</v>
      </c>
      <c r="I193" s="9" t="s">
        <v>6464</v>
      </c>
      <c r="J193" s="9" t="s">
        <v>6392</v>
      </c>
      <c r="K193" t="s">
        <v>6465</v>
      </c>
      <c r="L193" t="s">
        <v>6466</v>
      </c>
      <c r="M193" s="3" t="str">
        <f>HYPERLINK(Таблица3[[#This Row],[RelativePath]])</f>
        <v>10 Сушилка навес\E33149364_3_20251215T112846Z.jpg</v>
      </c>
    </row>
    <row r="194" spans="1:13" x14ac:dyDescent="0.25">
      <c r="A194" t="s">
        <v>13</v>
      </c>
      <c r="B194" s="4">
        <v>46006</v>
      </c>
      <c r="C194" s="6">
        <v>0.47834490740740743</v>
      </c>
      <c r="D194" s="2" t="s">
        <v>289</v>
      </c>
      <c r="E194" t="s">
        <v>6329</v>
      </c>
      <c r="F194" t="s">
        <v>58</v>
      </c>
      <c r="H194" t="s">
        <v>2936</v>
      </c>
      <c r="I194" s="9" t="s">
        <v>6467</v>
      </c>
      <c r="J194" s="9" t="s">
        <v>6392</v>
      </c>
      <c r="K194" t="s">
        <v>6468</v>
      </c>
      <c r="L194" t="s">
        <v>6469</v>
      </c>
      <c r="M194" s="3" t="str">
        <f>HYPERLINK(Таблица3[[#This Row],[RelativePath]])</f>
        <v>10 Сушилка навес\E33149364_3_20251215T112849Z.jpg</v>
      </c>
    </row>
    <row r="195" spans="1:13" x14ac:dyDescent="0.25">
      <c r="A195" t="s">
        <v>14</v>
      </c>
      <c r="B195" s="4">
        <v>46007</v>
      </c>
      <c r="C195" s="6">
        <v>0.45142361111111112</v>
      </c>
      <c r="D195" s="2" t="s">
        <v>289</v>
      </c>
      <c r="E195" t="s">
        <v>6656</v>
      </c>
      <c r="F195" t="s">
        <v>6657</v>
      </c>
      <c r="I195" s="9" t="s">
        <v>6548</v>
      </c>
      <c r="J195" s="9" t="s">
        <v>6309</v>
      </c>
      <c r="K195" t="s">
        <v>6549</v>
      </c>
      <c r="L195" t="s">
        <v>6550</v>
      </c>
      <c r="M195" s="3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4">
        <v>46016</v>
      </c>
      <c r="C196" s="6">
        <v>0.50189814814814815</v>
      </c>
      <c r="D196" s="2" t="s">
        <v>289</v>
      </c>
      <c r="E196" t="s">
        <v>70</v>
      </c>
      <c r="F196" t="s">
        <v>58</v>
      </c>
      <c r="H196" t="s">
        <v>2936</v>
      </c>
      <c r="I196" s="9" t="s">
        <v>7511</v>
      </c>
      <c r="J196" s="9" t="s">
        <v>6392</v>
      </c>
      <c r="K196" t="s">
        <v>7512</v>
      </c>
      <c r="L196" t="s">
        <v>7513</v>
      </c>
      <c r="M196" s="3" t="str">
        <f>HYPERLINK(Таблица3[[#This Row],[RelativePath]])</f>
        <v>10 Сушилка навес\E33149364_3_20251225T120244Z.jpg</v>
      </c>
    </row>
    <row r="197" spans="1:13" x14ac:dyDescent="0.25">
      <c r="A197" t="s">
        <v>16</v>
      </c>
      <c r="B197" s="4">
        <v>46016</v>
      </c>
      <c r="C197" s="6">
        <v>0.50423611111111111</v>
      </c>
      <c r="D197" s="2" t="s">
        <v>289</v>
      </c>
      <c r="E197" t="s">
        <v>70</v>
      </c>
      <c r="F197" t="s">
        <v>58</v>
      </c>
      <c r="H197" t="s">
        <v>2936</v>
      </c>
      <c r="I197" s="9" t="s">
        <v>7514</v>
      </c>
      <c r="J197" s="9" t="s">
        <v>6392</v>
      </c>
      <c r="K197" t="s">
        <v>7515</v>
      </c>
      <c r="L197" t="s">
        <v>7516</v>
      </c>
      <c r="M197" s="3" t="str">
        <f>HYPERLINK(Таблица3[[#This Row],[RelativePath]])</f>
        <v>10 Сушилка навес\E33149364_3_20251225T120606Z.jpg</v>
      </c>
    </row>
    <row r="198" spans="1:13" x14ac:dyDescent="0.25">
      <c r="A198" t="s">
        <v>16</v>
      </c>
      <c r="B198" s="4">
        <v>46016</v>
      </c>
      <c r="C198" s="6">
        <v>0.50168981481481478</v>
      </c>
      <c r="D198" s="2" t="s">
        <v>289</v>
      </c>
      <c r="E198" t="s">
        <v>70</v>
      </c>
      <c r="F198" t="s">
        <v>58</v>
      </c>
      <c r="H198" t="s">
        <v>2936</v>
      </c>
      <c r="I198" s="9" t="s">
        <v>7508</v>
      </c>
      <c r="J198" s="9" t="s">
        <v>6392</v>
      </c>
      <c r="K198" t="s">
        <v>7509</v>
      </c>
      <c r="L198" t="s">
        <v>7510</v>
      </c>
      <c r="M198" s="3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4">
        <v>46016</v>
      </c>
      <c r="C199" s="6">
        <v>0.50045138888888885</v>
      </c>
      <c r="D199" s="2" t="s">
        <v>289</v>
      </c>
      <c r="E199" t="s">
        <v>70</v>
      </c>
      <c r="F199" t="s">
        <v>58</v>
      </c>
      <c r="H199" t="s">
        <v>1618</v>
      </c>
      <c r="I199" s="9" t="s">
        <v>7502</v>
      </c>
      <c r="J199" s="9" t="s">
        <v>6392</v>
      </c>
      <c r="K199" t="s">
        <v>7503</v>
      </c>
      <c r="L199" t="s">
        <v>7504</v>
      </c>
      <c r="M199" s="3" t="str">
        <f>HYPERLINK(Таблица3[[#This Row],[RelativePath]])</f>
        <v>10 Сушилка навес\E33149364_3_20251225T120039Z.jpg</v>
      </c>
    </row>
    <row r="200" spans="1:13" x14ac:dyDescent="0.25">
      <c r="A200" t="s">
        <v>16</v>
      </c>
      <c r="B200" s="4">
        <v>46016</v>
      </c>
      <c r="C200" s="6">
        <v>0.50079861111111112</v>
      </c>
      <c r="D200" s="2" t="s">
        <v>289</v>
      </c>
      <c r="E200" t="s">
        <v>70</v>
      </c>
      <c r="F200" t="s">
        <v>58</v>
      </c>
      <c r="H200" t="s">
        <v>2936</v>
      </c>
      <c r="I200" s="9" t="s">
        <v>7505</v>
      </c>
      <c r="J200" s="9" t="s">
        <v>6392</v>
      </c>
      <c r="K200" t="s">
        <v>7506</v>
      </c>
      <c r="L200" t="s">
        <v>7507</v>
      </c>
      <c r="M200" s="3" t="str">
        <f>HYPERLINK(Таблица3[[#This Row],[RelativePath]])</f>
        <v>10 Сушилка навес\E33149364_3_20251225T120109Z.jpg</v>
      </c>
    </row>
    <row r="201" spans="1:13" x14ac:dyDescent="0.25">
      <c r="A201" t="s">
        <v>17</v>
      </c>
      <c r="B201" s="4">
        <v>46017</v>
      </c>
      <c r="C201" s="6">
        <v>0.40768518518518521</v>
      </c>
      <c r="D201" s="2" t="s">
        <v>289</v>
      </c>
      <c r="E201" t="s">
        <v>2927</v>
      </c>
      <c r="F201" t="s">
        <v>7169</v>
      </c>
      <c r="H201" t="s">
        <v>2936</v>
      </c>
      <c r="I201" s="9" t="s">
        <v>7825</v>
      </c>
      <c r="J201" s="9" t="s">
        <v>2990</v>
      </c>
      <c r="K201" t="s">
        <v>7826</v>
      </c>
      <c r="L201" t="s">
        <v>7827</v>
      </c>
      <c r="M201" s="3" t="str">
        <f>HYPERLINK(Таблица3[[#This Row],[RelativePath]])</f>
        <v>3 Въезд на базу\E33149364_8_20251226T094704Z.jpg</v>
      </c>
    </row>
    <row r="202" spans="1:13" x14ac:dyDescent="0.25">
      <c r="A202" t="s">
        <v>17</v>
      </c>
      <c r="B202" s="4">
        <v>46017</v>
      </c>
      <c r="C202" s="6">
        <v>0.40766203703703702</v>
      </c>
      <c r="D202" s="2" t="s">
        <v>289</v>
      </c>
      <c r="E202" t="s">
        <v>2927</v>
      </c>
      <c r="F202" t="s">
        <v>7169</v>
      </c>
      <c r="H202" t="s">
        <v>2936</v>
      </c>
      <c r="I202" s="9" t="s">
        <v>7822</v>
      </c>
      <c r="J202" s="9" t="s">
        <v>2990</v>
      </c>
      <c r="K202" t="s">
        <v>7823</v>
      </c>
      <c r="L202" t="s">
        <v>7824</v>
      </c>
      <c r="M202" s="3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4">
        <v>46017</v>
      </c>
      <c r="C203" s="6">
        <v>0.40710648148148149</v>
      </c>
      <c r="D203" s="2" t="s">
        <v>289</v>
      </c>
      <c r="E203" t="s">
        <v>2927</v>
      </c>
      <c r="F203" t="s">
        <v>7169</v>
      </c>
      <c r="I203" s="9" t="s">
        <v>7819</v>
      </c>
      <c r="J203" s="9" t="s">
        <v>2990</v>
      </c>
      <c r="K203" t="s">
        <v>7820</v>
      </c>
      <c r="L203" t="s">
        <v>7821</v>
      </c>
      <c r="M203" s="3" t="str">
        <f>HYPERLINK(Таблица3[[#This Row],[RelativePath]])</f>
        <v>3 Въезд на базу\E33149364_8_20251226T094614Z.jpg</v>
      </c>
    </row>
    <row r="204" spans="1:13" x14ac:dyDescent="0.25">
      <c r="A204" t="s">
        <v>13</v>
      </c>
      <c r="B204" s="4">
        <v>46020</v>
      </c>
      <c r="C204" s="6">
        <v>0.64688657407407413</v>
      </c>
      <c r="D204" s="2" t="s">
        <v>289</v>
      </c>
      <c r="E204" t="s">
        <v>8352</v>
      </c>
      <c r="F204" t="s">
        <v>1621</v>
      </c>
      <c r="I204" s="9" t="s">
        <v>8228</v>
      </c>
      <c r="J204" s="9" t="s">
        <v>6392</v>
      </c>
      <c r="K204" t="s">
        <v>8229</v>
      </c>
      <c r="L204" t="s">
        <v>8230</v>
      </c>
      <c r="M204" s="3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4">
        <v>46035</v>
      </c>
      <c r="C205" s="6">
        <v>0.41223379629629631</v>
      </c>
      <c r="D205" s="2" t="s">
        <v>289</v>
      </c>
      <c r="E205" t="s">
        <v>9187</v>
      </c>
      <c r="F205" t="s">
        <v>9188</v>
      </c>
      <c r="I205" s="9" t="s">
        <v>8979</v>
      </c>
      <c r="J205" s="9" t="s">
        <v>8976</v>
      </c>
      <c r="K205" t="s">
        <v>8980</v>
      </c>
      <c r="L205" t="s">
        <v>8981</v>
      </c>
      <c r="M205" s="3" t="str">
        <f>HYPERLINK(Таблица3[[#This Row],[RelativePath]])</f>
        <v>3 Въезд на базу\E33149364_8_20260113T095337Z.jpg</v>
      </c>
    </row>
    <row r="206" spans="1:13" x14ac:dyDescent="0.25">
      <c r="A206" t="s">
        <v>14</v>
      </c>
      <c r="B206" s="4">
        <v>46035</v>
      </c>
      <c r="C206" s="6">
        <v>0.41230324074074076</v>
      </c>
      <c r="D206" s="2" t="s">
        <v>289</v>
      </c>
      <c r="E206" t="s">
        <v>9187</v>
      </c>
      <c r="F206" t="s">
        <v>9188</v>
      </c>
      <c r="H206" t="s">
        <v>2936</v>
      </c>
      <c r="I206" s="9" t="s">
        <v>8982</v>
      </c>
      <c r="J206" s="9" t="s">
        <v>8976</v>
      </c>
      <c r="K206" t="s">
        <v>8983</v>
      </c>
      <c r="L206" t="s">
        <v>8984</v>
      </c>
      <c r="M206" s="3" t="str">
        <f>HYPERLINK(Таблица3[[#This Row],[RelativePath]])</f>
        <v>3 Въезд на базу\E33149364_8_20260113T095343Z.jpg</v>
      </c>
    </row>
    <row r="207" spans="1:13" x14ac:dyDescent="0.25">
      <c r="A207" t="s">
        <v>17</v>
      </c>
      <c r="B207" s="4">
        <v>46038</v>
      </c>
      <c r="C207" s="6">
        <v>0.39223379629629629</v>
      </c>
      <c r="D207" s="2" t="s">
        <v>289</v>
      </c>
      <c r="E207" t="s">
        <v>9521</v>
      </c>
      <c r="F207" t="s">
        <v>2944</v>
      </c>
      <c r="I207" s="9" t="s">
        <v>9507</v>
      </c>
      <c r="J207" s="9" t="s">
        <v>2985</v>
      </c>
      <c r="K207" t="s">
        <v>9508</v>
      </c>
      <c r="L207" t="s">
        <v>9509</v>
      </c>
      <c r="M207" s="3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4">
        <v>46045</v>
      </c>
      <c r="C208" s="6">
        <v>0.45423611111111112</v>
      </c>
      <c r="D208" s="2" t="s">
        <v>289</v>
      </c>
      <c r="E208" t="s">
        <v>8352</v>
      </c>
      <c r="F208" t="s">
        <v>58</v>
      </c>
      <c r="H208" t="s">
        <v>2936</v>
      </c>
      <c r="I208" s="9" t="s">
        <v>10380</v>
      </c>
      <c r="J208" s="9" t="s">
        <v>2993</v>
      </c>
      <c r="K208" t="s">
        <v>10381</v>
      </c>
      <c r="L208" t="s">
        <v>10382</v>
      </c>
      <c r="M208" s="3" t="str">
        <f>HYPERLINK(Таблица3[[#This Row],[RelativePath]])</f>
        <v>9 Ангар пилорама\E33149364_1_20260123T105406Z.jpg</v>
      </c>
    </row>
    <row r="209" spans="1:13" x14ac:dyDescent="0.25">
      <c r="A209" t="s">
        <v>17</v>
      </c>
      <c r="B209" s="4">
        <v>46045</v>
      </c>
      <c r="C209" s="6">
        <v>0.450625</v>
      </c>
      <c r="D209" s="2" t="s">
        <v>289</v>
      </c>
      <c r="E209" t="s">
        <v>8352</v>
      </c>
      <c r="F209" t="s">
        <v>58</v>
      </c>
      <c r="I209" s="9" t="s">
        <v>10377</v>
      </c>
      <c r="J209" s="9" t="s">
        <v>2993</v>
      </c>
      <c r="K209" t="s">
        <v>10378</v>
      </c>
      <c r="L209" t="s">
        <v>10379</v>
      </c>
      <c r="M209" s="3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4">
        <v>46045</v>
      </c>
      <c r="C210" s="6">
        <v>0.59203703703703703</v>
      </c>
      <c r="D210" s="2" t="s">
        <v>289</v>
      </c>
      <c r="E210" t="s">
        <v>8352</v>
      </c>
      <c r="F210" t="s">
        <v>58</v>
      </c>
      <c r="H210" t="s">
        <v>10443</v>
      </c>
      <c r="I210" s="9" t="s">
        <v>10394</v>
      </c>
      <c r="J210" s="9" t="s">
        <v>2985</v>
      </c>
      <c r="K210" t="s">
        <v>10395</v>
      </c>
      <c r="L210" t="s">
        <v>10396</v>
      </c>
      <c r="M210" s="3" t="str">
        <f>HYPERLINK(Таблица3[[#This Row],[RelativePath]])</f>
        <v>10 Сушилка навес\E33149364_3_20260123T141232Z.jpg</v>
      </c>
    </row>
    <row r="211" spans="1:13" x14ac:dyDescent="0.25">
      <c r="A211" t="s">
        <v>16</v>
      </c>
      <c r="B211" s="4">
        <v>46051</v>
      </c>
      <c r="C211" s="6">
        <v>0.47359953703703705</v>
      </c>
      <c r="D211" s="2" t="s">
        <v>289</v>
      </c>
      <c r="E211" t="s">
        <v>10884</v>
      </c>
      <c r="F211" t="s">
        <v>2929</v>
      </c>
      <c r="G211">
        <v>1</v>
      </c>
      <c r="H211" t="s">
        <v>2936</v>
      </c>
      <c r="I211" s="9" t="s">
        <v>10659</v>
      </c>
      <c r="J211" s="9" t="s">
        <v>2989</v>
      </c>
      <c r="K211" t="s">
        <v>10660</v>
      </c>
      <c r="L211" t="s">
        <v>10661</v>
      </c>
      <c r="M211" s="3" t="str">
        <f>HYPERLINK(Таблица3[[#This Row],[RelativePath]])</f>
        <v>2 Пилорама поката\E33149364_7_20260129T112159Z.jpg</v>
      </c>
    </row>
    <row r="212" spans="1:13" x14ac:dyDescent="0.25">
      <c r="A212" t="s">
        <v>16</v>
      </c>
      <c r="B212" s="4">
        <v>46051</v>
      </c>
      <c r="C212" s="6">
        <v>0.4737615740740741</v>
      </c>
      <c r="D212" s="2" t="s">
        <v>289</v>
      </c>
      <c r="E212" t="s">
        <v>10884</v>
      </c>
      <c r="F212" t="s">
        <v>2929</v>
      </c>
      <c r="G212">
        <v>1</v>
      </c>
      <c r="H212" t="s">
        <v>2936</v>
      </c>
      <c r="I212" s="9" t="s">
        <v>10662</v>
      </c>
      <c r="J212" s="9" t="s">
        <v>2989</v>
      </c>
      <c r="K212" t="s">
        <v>10663</v>
      </c>
      <c r="L212" t="s">
        <v>10664</v>
      </c>
      <c r="M212" s="3" t="str">
        <f>HYPERLINK(Таблица3[[#This Row],[RelativePath]])</f>
        <v>2 Пилорама поката\E33149364_7_20260129T112213Z.jpg</v>
      </c>
    </row>
    <row r="213" spans="1:13" x14ac:dyDescent="0.25">
      <c r="A213" t="s">
        <v>16</v>
      </c>
      <c r="B213" s="4">
        <v>46051</v>
      </c>
      <c r="C213" s="6">
        <v>0.47310185185185183</v>
      </c>
      <c r="D213" s="2" t="s">
        <v>289</v>
      </c>
      <c r="E213" t="s">
        <v>10884</v>
      </c>
      <c r="F213" t="s">
        <v>2929</v>
      </c>
      <c r="G213">
        <v>1</v>
      </c>
      <c r="I213" s="9" t="s">
        <v>10653</v>
      </c>
      <c r="J213" s="9" t="s">
        <v>2989</v>
      </c>
      <c r="K213" t="s">
        <v>10654</v>
      </c>
      <c r="L213" t="s">
        <v>10655</v>
      </c>
      <c r="M213" s="3" t="str">
        <f>HYPERLINK(Таблица3[[#This Row],[RelativePath]])</f>
        <v>2 Пилорама поката\E33149364_7_20260129T112116Z.jpg</v>
      </c>
    </row>
    <row r="214" spans="1:13" x14ac:dyDescent="0.25">
      <c r="A214" t="s">
        <v>16</v>
      </c>
      <c r="B214" s="4">
        <v>46051</v>
      </c>
      <c r="C214" s="6">
        <v>0.47327546296296297</v>
      </c>
      <c r="D214" s="2" t="s">
        <v>289</v>
      </c>
      <c r="E214" t="s">
        <v>10884</v>
      </c>
      <c r="F214" t="s">
        <v>2929</v>
      </c>
      <c r="G214">
        <v>1</v>
      </c>
      <c r="H214" t="s">
        <v>2936</v>
      </c>
      <c r="I214" s="9" t="s">
        <v>10656</v>
      </c>
      <c r="J214" s="9" t="s">
        <v>2989</v>
      </c>
      <c r="K214" t="s">
        <v>10657</v>
      </c>
      <c r="L214" t="s">
        <v>10658</v>
      </c>
      <c r="M214" s="3" t="str">
        <f>HYPERLINK(Таблица3[[#This Row],[RelativePath]])</f>
        <v>2 Пилорама поката\E33149364_7_20260129T112131Z.jpg</v>
      </c>
    </row>
    <row r="215" spans="1:13" x14ac:dyDescent="0.25">
      <c r="A215" t="s">
        <v>17</v>
      </c>
      <c r="B215" s="4">
        <v>46052</v>
      </c>
      <c r="C215" s="6">
        <v>0.38341435185185185</v>
      </c>
      <c r="D215" s="2" t="s">
        <v>289</v>
      </c>
      <c r="E215" t="s">
        <v>70</v>
      </c>
      <c r="F215" t="s">
        <v>11007</v>
      </c>
      <c r="H215" t="s">
        <v>2936</v>
      </c>
      <c r="I215" s="9" t="s">
        <v>10965</v>
      </c>
      <c r="J215" s="9" t="s">
        <v>2985</v>
      </c>
      <c r="K215" t="s">
        <v>10966</v>
      </c>
      <c r="L215" t="s">
        <v>10967</v>
      </c>
      <c r="M215" s="3" t="str">
        <f>HYPERLINK(Таблица3[[#This Row],[RelativePath]])</f>
        <v>10 Сушилка навес\E33149364_3_20260130T091207Z.jpg</v>
      </c>
    </row>
    <row r="216" spans="1:13" x14ac:dyDescent="0.25">
      <c r="A216" t="s">
        <v>17</v>
      </c>
      <c r="B216" s="4">
        <v>46052</v>
      </c>
      <c r="C216" s="6">
        <v>0.38377314814814817</v>
      </c>
      <c r="D216" s="2" t="s">
        <v>289</v>
      </c>
      <c r="E216" t="s">
        <v>70</v>
      </c>
      <c r="F216" t="s">
        <v>11007</v>
      </c>
      <c r="H216" t="s">
        <v>2936</v>
      </c>
      <c r="I216" s="9" t="s">
        <v>10968</v>
      </c>
      <c r="J216" s="9" t="s">
        <v>2985</v>
      </c>
      <c r="K216" t="s">
        <v>10969</v>
      </c>
      <c r="L216" t="s">
        <v>10970</v>
      </c>
      <c r="M216" s="3" t="str">
        <f>HYPERLINK(Таблица3[[#This Row],[RelativePath]])</f>
        <v>10 Сушилка навес\E33149364_3_20260130T091238Z.jpg</v>
      </c>
    </row>
    <row r="217" spans="1:13" x14ac:dyDescent="0.25">
      <c r="A217" t="s">
        <v>17</v>
      </c>
      <c r="B217" s="4">
        <v>46052</v>
      </c>
      <c r="C217" s="6">
        <v>0.3832638888888889</v>
      </c>
      <c r="D217" s="2" t="s">
        <v>289</v>
      </c>
      <c r="E217" t="s">
        <v>70</v>
      </c>
      <c r="F217" t="s">
        <v>11007</v>
      </c>
      <c r="H217" t="s">
        <v>2936</v>
      </c>
      <c r="I217" s="9" t="s">
        <v>10962</v>
      </c>
      <c r="J217" s="9" t="s">
        <v>2985</v>
      </c>
      <c r="K217" t="s">
        <v>10963</v>
      </c>
      <c r="L217" t="s">
        <v>10964</v>
      </c>
      <c r="M217" s="3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4">
        <v>46052</v>
      </c>
      <c r="C218" s="6">
        <v>0.38785879629629627</v>
      </c>
      <c r="D218" s="2" t="s">
        <v>289</v>
      </c>
      <c r="E218" t="s">
        <v>70</v>
      </c>
      <c r="F218" t="s">
        <v>5093</v>
      </c>
      <c r="I218" s="9" t="s">
        <v>10911</v>
      </c>
      <c r="J218" s="9" t="s">
        <v>2991</v>
      </c>
      <c r="K218" t="s">
        <v>10912</v>
      </c>
      <c r="L218" t="s">
        <v>10913</v>
      </c>
      <c r="M218" s="3" t="str">
        <f>HYPERLINK(Таблица3[[#This Row],[RelativePath]])</f>
        <v>4 Крыльцо офиса\K07156189_21_20260130T091831Z.jpg</v>
      </c>
    </row>
    <row r="219" spans="1:13" x14ac:dyDescent="0.25">
      <c r="A219" t="s">
        <v>17</v>
      </c>
      <c r="B219" s="4">
        <v>46052</v>
      </c>
      <c r="C219" s="6">
        <v>0.38319444444444445</v>
      </c>
      <c r="D219" s="2" t="s">
        <v>289</v>
      </c>
      <c r="E219" t="s">
        <v>70</v>
      </c>
      <c r="F219" t="s">
        <v>11007</v>
      </c>
      <c r="I219" s="9" t="s">
        <v>10959</v>
      </c>
      <c r="J219" s="9" t="s">
        <v>2985</v>
      </c>
      <c r="K219" t="s">
        <v>10960</v>
      </c>
      <c r="L219" t="s">
        <v>10961</v>
      </c>
      <c r="M219" s="3" t="str">
        <f>HYPERLINK(Таблица3[[#This Row],[RelativePath]])</f>
        <v>10 Сушилка навес\E33149364_3_20260130T091148Z.jpg</v>
      </c>
    </row>
    <row r="220" spans="1:13" x14ac:dyDescent="0.25">
      <c r="A220" t="s">
        <v>18</v>
      </c>
      <c r="B220" s="4">
        <v>46053</v>
      </c>
      <c r="C220" s="6">
        <v>0.50087962962962962</v>
      </c>
      <c r="D220" s="2" t="s">
        <v>289</v>
      </c>
      <c r="E220" t="s">
        <v>11124</v>
      </c>
      <c r="F220" t="s">
        <v>7167</v>
      </c>
      <c r="G220">
        <v>1</v>
      </c>
      <c r="I220" s="9" t="s">
        <v>11097</v>
      </c>
      <c r="J220" s="9" t="s">
        <v>2985</v>
      </c>
      <c r="K220" t="s">
        <v>11098</v>
      </c>
      <c r="L220" t="s">
        <v>11099</v>
      </c>
      <c r="M220" s="3" t="str">
        <f>HYPERLINK(Таблица3[[#This Row],[RelativePath]])</f>
        <v>10 Сушилка навес\E33149364_3_20260131T120116Z.jpg</v>
      </c>
    </row>
    <row r="221" spans="1:13" x14ac:dyDescent="0.25">
      <c r="A221" t="s">
        <v>18</v>
      </c>
      <c r="B221" s="4">
        <v>46053</v>
      </c>
      <c r="C221" s="6">
        <v>0.49983796296296296</v>
      </c>
      <c r="D221" s="2" t="s">
        <v>289</v>
      </c>
      <c r="E221" t="s">
        <v>11124</v>
      </c>
      <c r="F221" t="s">
        <v>7167</v>
      </c>
      <c r="G221">
        <v>1</v>
      </c>
      <c r="I221" s="9" t="s">
        <v>11094</v>
      </c>
      <c r="J221" s="9" t="s">
        <v>2985</v>
      </c>
      <c r="K221" t="s">
        <v>11095</v>
      </c>
      <c r="L221" t="s">
        <v>11096</v>
      </c>
      <c r="M221" s="3" t="str">
        <f>HYPERLINK(Таблица3[[#This Row],[RelativePath]])</f>
        <v>10 Сушилка навес\E33149364_3_20260131T115946Z.jpg</v>
      </c>
    </row>
    <row r="222" spans="1:13" x14ac:dyDescent="0.25">
      <c r="A222" t="s">
        <v>18</v>
      </c>
      <c r="B222" s="4">
        <v>46053</v>
      </c>
      <c r="C222" s="6">
        <v>0.50236111111111115</v>
      </c>
      <c r="D222" s="2" t="s">
        <v>289</v>
      </c>
      <c r="E222" t="s">
        <v>11124</v>
      </c>
      <c r="F222" t="s">
        <v>7167</v>
      </c>
      <c r="G222">
        <v>1</v>
      </c>
      <c r="I222" s="9" t="s">
        <v>11100</v>
      </c>
      <c r="J222" s="9" t="s">
        <v>2985</v>
      </c>
      <c r="K222" t="s">
        <v>11101</v>
      </c>
      <c r="L222" t="s">
        <v>11102</v>
      </c>
      <c r="M222" s="3" t="str">
        <f>HYPERLINK(Таблица3[[#This Row],[RelativePath]])</f>
        <v>10 Сушилка навес\E33149364_3_20260131T120324Z.jpg</v>
      </c>
    </row>
    <row r="223" spans="1:13" x14ac:dyDescent="0.25">
      <c r="A223" t="s">
        <v>18</v>
      </c>
      <c r="B223" s="4">
        <v>46053</v>
      </c>
      <c r="C223" s="6">
        <v>0.50494212962962959</v>
      </c>
      <c r="D223" s="2" t="s">
        <v>289</v>
      </c>
      <c r="E223" t="s">
        <v>11124</v>
      </c>
      <c r="F223" t="s">
        <v>7167</v>
      </c>
      <c r="G223">
        <v>1</v>
      </c>
      <c r="I223" s="9" t="s">
        <v>11106</v>
      </c>
      <c r="J223" s="9" t="s">
        <v>2985</v>
      </c>
      <c r="K223" t="s">
        <v>11107</v>
      </c>
      <c r="L223" t="s">
        <v>11108</v>
      </c>
      <c r="M223" s="3" t="str">
        <f>HYPERLINK(Таблица3[[#This Row],[RelativePath]])</f>
        <v>10 Сушилка навес\E33149364_3_20260131T120707Z.jpg</v>
      </c>
    </row>
    <row r="224" spans="1:13" x14ac:dyDescent="0.25">
      <c r="A224" t="s">
        <v>18</v>
      </c>
      <c r="B224" s="4">
        <v>46053</v>
      </c>
      <c r="C224" s="6">
        <v>0.50332175925925926</v>
      </c>
      <c r="D224" s="2" t="s">
        <v>289</v>
      </c>
      <c r="E224" t="s">
        <v>11124</v>
      </c>
      <c r="F224" t="s">
        <v>7167</v>
      </c>
      <c r="G224">
        <v>1</v>
      </c>
      <c r="I224" s="9" t="s">
        <v>11103</v>
      </c>
      <c r="J224" s="9" t="s">
        <v>2985</v>
      </c>
      <c r="K224" t="s">
        <v>11104</v>
      </c>
      <c r="L224" t="s">
        <v>11105</v>
      </c>
      <c r="M224" s="3" t="str">
        <f>HYPERLINK(Таблица3[[#This Row],[RelativePath]])</f>
        <v>10 Сушилка навес\E33149364_3_20260131T120447Z.jpg</v>
      </c>
    </row>
    <row r="225" spans="1:13" x14ac:dyDescent="0.25">
      <c r="A225" t="s">
        <v>18</v>
      </c>
      <c r="B225" s="4">
        <v>46053</v>
      </c>
      <c r="C225" s="6">
        <v>0.49864583333333334</v>
      </c>
      <c r="D225" s="2" t="s">
        <v>289</v>
      </c>
      <c r="E225" t="s">
        <v>11124</v>
      </c>
      <c r="F225" t="s">
        <v>7167</v>
      </c>
      <c r="G225">
        <v>1</v>
      </c>
      <c r="I225" s="9" t="s">
        <v>11091</v>
      </c>
      <c r="J225" s="9" t="s">
        <v>2985</v>
      </c>
      <c r="K225" t="s">
        <v>11092</v>
      </c>
      <c r="L225" t="s">
        <v>11093</v>
      </c>
      <c r="M225" s="3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4">
        <v>46053</v>
      </c>
      <c r="C226" s="6">
        <v>0.49449074074074073</v>
      </c>
      <c r="D226" s="2" t="s">
        <v>289</v>
      </c>
      <c r="E226" t="s">
        <v>11124</v>
      </c>
      <c r="F226" t="s">
        <v>7167</v>
      </c>
      <c r="G226">
        <v>1</v>
      </c>
      <c r="I226" s="9" t="s">
        <v>11079</v>
      </c>
      <c r="J226" s="9" t="s">
        <v>2985</v>
      </c>
      <c r="K226" t="s">
        <v>11080</v>
      </c>
      <c r="L226" t="s">
        <v>11081</v>
      </c>
      <c r="M226" s="3" t="str">
        <f>HYPERLINK(Таблица3[[#This Row],[RelativePath]])</f>
        <v>10 Сушилка навес\E33149364_3_20260131T115204Z.jpg</v>
      </c>
    </row>
    <row r="227" spans="1:13" x14ac:dyDescent="0.25">
      <c r="A227" t="s">
        <v>18</v>
      </c>
      <c r="B227" s="4">
        <v>46053</v>
      </c>
      <c r="C227" s="6">
        <v>0.49326388888888889</v>
      </c>
      <c r="D227" s="2" t="s">
        <v>289</v>
      </c>
      <c r="E227" t="s">
        <v>11124</v>
      </c>
      <c r="F227" t="s">
        <v>7167</v>
      </c>
      <c r="G227">
        <v>1</v>
      </c>
      <c r="I227" s="9" t="s">
        <v>11076</v>
      </c>
      <c r="J227" s="9" t="s">
        <v>2985</v>
      </c>
      <c r="K227" t="s">
        <v>11077</v>
      </c>
      <c r="L227" t="s">
        <v>11078</v>
      </c>
      <c r="M227" s="3" t="str">
        <f>HYPERLINK(Таблица3[[#This Row],[RelativePath]])</f>
        <v>10 Сушилка навес\E33149364_3_20260131T115018Z.jpg</v>
      </c>
    </row>
    <row r="228" spans="1:13" x14ac:dyDescent="0.25">
      <c r="A228" t="s">
        <v>18</v>
      </c>
      <c r="B228" s="4">
        <v>46053</v>
      </c>
      <c r="C228" s="6">
        <v>0.49556712962962962</v>
      </c>
      <c r="D228" s="2" t="s">
        <v>289</v>
      </c>
      <c r="E228" t="s">
        <v>11124</v>
      </c>
      <c r="F228" t="s">
        <v>7167</v>
      </c>
      <c r="G228">
        <v>1</v>
      </c>
      <c r="I228" s="9" t="s">
        <v>11082</v>
      </c>
      <c r="J228" s="9" t="s">
        <v>2985</v>
      </c>
      <c r="K228" t="s">
        <v>11083</v>
      </c>
      <c r="L228" t="s">
        <v>11084</v>
      </c>
      <c r="M228" s="3" t="str">
        <f>HYPERLINK(Таблица3[[#This Row],[RelativePath]])</f>
        <v>10 Сушилка навес\E33149364_3_20260131T115337Z.jpg</v>
      </c>
    </row>
    <row r="229" spans="1:13" x14ac:dyDescent="0.25">
      <c r="A229" t="s">
        <v>18</v>
      </c>
      <c r="B229" s="4">
        <v>46053</v>
      </c>
      <c r="C229" s="6">
        <v>0.49760416666666668</v>
      </c>
      <c r="D229" s="2" t="s">
        <v>289</v>
      </c>
      <c r="E229" t="s">
        <v>11124</v>
      </c>
      <c r="F229" t="s">
        <v>7167</v>
      </c>
      <c r="G229">
        <v>1</v>
      </c>
      <c r="I229" s="9" t="s">
        <v>11088</v>
      </c>
      <c r="J229" s="9" t="s">
        <v>2985</v>
      </c>
      <c r="K229" t="s">
        <v>11089</v>
      </c>
      <c r="L229" t="s">
        <v>11090</v>
      </c>
      <c r="M229" s="3" t="str">
        <f>HYPERLINK(Таблица3[[#This Row],[RelativePath]])</f>
        <v>10 Сушилка навес\E33149364_3_20260131T115633Z.jpg</v>
      </c>
    </row>
    <row r="230" spans="1:13" x14ac:dyDescent="0.25">
      <c r="A230" t="s">
        <v>18</v>
      </c>
      <c r="B230" s="4">
        <v>46053</v>
      </c>
      <c r="C230" s="6">
        <v>0.49659722222222225</v>
      </c>
      <c r="D230" s="2" t="s">
        <v>289</v>
      </c>
      <c r="E230" t="s">
        <v>11124</v>
      </c>
      <c r="F230" t="s">
        <v>7167</v>
      </c>
      <c r="G230">
        <v>1</v>
      </c>
      <c r="I230" s="9" t="s">
        <v>11085</v>
      </c>
      <c r="J230" s="9" t="s">
        <v>2985</v>
      </c>
      <c r="K230" t="s">
        <v>11086</v>
      </c>
      <c r="L230" t="s">
        <v>11087</v>
      </c>
      <c r="M230" s="3" t="str">
        <f>HYPERLINK(Таблица3[[#This Row],[RelativePath]])</f>
        <v>10 Сушилка навес\E33149364_3_20260131T115506Z.jpg</v>
      </c>
    </row>
  </sheetData>
  <phoneticPr fontId="2" type="noConversion"/>
  <conditionalFormatting sqref="E231:E252 D2:E230">
    <cfRule type="containsText" dxfId="75" priority="7" operator="containsText" text="Выезд с территории">
      <formula>NOT(ISERROR(SEARCH("Выезд с территории",D2)))</formula>
    </cfRule>
  </conditionalFormatting>
  <conditionalFormatting sqref="D2:D230">
    <cfRule type="containsText" dxfId="74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0">
    <cfRule type="containsText" dxfId="73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52">
    <cfRule type="containsText" dxfId="72" priority="2" operator="containsText" text="Газель базы">
      <formula>NOT(ISERROR(SEARCH("Газель базы",E2)))</formula>
    </cfRule>
    <cfRule type="containsText" dxfId="71" priority="3" operator="containsText" text="Погрузчик базы">
      <formula>NOT(ISERROR(SEARCH("Погрузчик базы",E2)))</formula>
    </cfRule>
  </conditionalFormatting>
  <conditionalFormatting sqref="E2:E252">
    <cfRule type="containsText" dxfId="7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36"/>
  <sheetViews>
    <sheetView topLeftCell="A115" zoomScale="80" zoomScaleNormal="80" workbookViewId="0">
      <selection activeCell="E131" sqref="E131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43.14062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8.4257812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0.51984953703703707</v>
      </c>
      <c r="D2" s="7" t="s">
        <v>62</v>
      </c>
      <c r="E2" t="s">
        <v>56</v>
      </c>
      <c r="F2" t="s">
        <v>53</v>
      </c>
      <c r="G2">
        <v>3</v>
      </c>
      <c r="I2" s="9" t="s">
        <v>29</v>
      </c>
      <c r="J2" s="9" t="s">
        <v>2981</v>
      </c>
      <c r="K2" t="s">
        <v>3109</v>
      </c>
      <c r="L2" t="s">
        <v>3110</v>
      </c>
      <c r="M2" s="3" t="str">
        <f>HYPERLINK(СторонТрансп[[#This Row],[RelativePath]])</f>
        <v>1 Ангар Склад 2 въезд\E33149364_6_20251110T122835Z.jpg</v>
      </c>
    </row>
    <row r="3" spans="1:13" x14ac:dyDescent="0.25">
      <c r="A3" t="s">
        <v>13</v>
      </c>
      <c r="B3" s="4">
        <v>45971</v>
      </c>
      <c r="C3" s="6">
        <v>0.5006018518518518</v>
      </c>
      <c r="D3" s="7" t="s">
        <v>91</v>
      </c>
      <c r="E3" t="s">
        <v>56</v>
      </c>
      <c r="F3" t="s">
        <v>51</v>
      </c>
      <c r="I3" s="9" t="s">
        <v>28</v>
      </c>
      <c r="J3" s="9" t="s">
        <v>2981</v>
      </c>
      <c r="K3" t="s">
        <v>3107</v>
      </c>
      <c r="L3" t="s">
        <v>3108</v>
      </c>
      <c r="M3" s="3" t="str">
        <f>HYPERLINK(СторонТрансп[[#This Row],[RelativePath]])</f>
        <v>1 Ангар Склад 2 въезд\E33149364_6_20251110T120052Z.jpg</v>
      </c>
    </row>
    <row r="4" spans="1:13" x14ac:dyDescent="0.25">
      <c r="A4" t="s">
        <v>13</v>
      </c>
      <c r="B4" s="4">
        <v>45971</v>
      </c>
      <c r="C4" s="6">
        <v>0.50054398148148149</v>
      </c>
      <c r="D4" s="7" t="s">
        <v>91</v>
      </c>
      <c r="E4" t="s">
        <v>56</v>
      </c>
      <c r="F4" t="s">
        <v>51</v>
      </c>
      <c r="I4" s="9" t="s">
        <v>27</v>
      </c>
      <c r="J4" s="9" t="s">
        <v>2981</v>
      </c>
      <c r="K4" t="s">
        <v>3105</v>
      </c>
      <c r="L4" t="s">
        <v>3106</v>
      </c>
      <c r="M4" s="3" t="str">
        <f>HYPERLINK(СторонТрансп[[#This Row],[RelativePath]])</f>
        <v>1 Ангар Склад 2 въезд\E33149364_6_20251110T120047Z.jpg</v>
      </c>
    </row>
    <row r="5" spans="1:13" x14ac:dyDescent="0.25">
      <c r="A5" t="s">
        <v>14</v>
      </c>
      <c r="B5" s="4">
        <v>45972</v>
      </c>
      <c r="C5" s="6">
        <v>0.44353009259259257</v>
      </c>
      <c r="D5" s="7" t="s">
        <v>472</v>
      </c>
      <c r="E5" t="s">
        <v>67</v>
      </c>
      <c r="F5" t="s">
        <v>468</v>
      </c>
      <c r="I5" s="9" t="s">
        <v>415</v>
      </c>
      <c r="J5" s="9" t="s">
        <v>2982</v>
      </c>
      <c r="K5" t="s">
        <v>416</v>
      </c>
      <c r="L5" t="s">
        <v>417</v>
      </c>
      <c r="M5" s="3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4">
        <v>45972</v>
      </c>
      <c r="C6" s="6">
        <v>0.45118055555555553</v>
      </c>
      <c r="D6" s="7" t="s">
        <v>89</v>
      </c>
      <c r="E6" t="s">
        <v>63</v>
      </c>
      <c r="F6" t="s">
        <v>51</v>
      </c>
      <c r="I6" s="9" t="s">
        <v>36</v>
      </c>
      <c r="J6" s="9" t="s">
        <v>2981</v>
      </c>
      <c r="K6" t="s">
        <v>3123</v>
      </c>
      <c r="L6" t="s">
        <v>3124</v>
      </c>
      <c r="M6" s="3" t="str">
        <f>HYPERLINK(СторонТрансп[[#This Row],[RelativePath]])</f>
        <v>1 Ангар Склад 2 въезд\E33149364_6_20251111T104942Z.jpg</v>
      </c>
    </row>
    <row r="7" spans="1:13" x14ac:dyDescent="0.25">
      <c r="A7" t="s">
        <v>14</v>
      </c>
      <c r="B7" s="4">
        <v>45972</v>
      </c>
      <c r="C7" s="6">
        <v>0.45136574074074076</v>
      </c>
      <c r="D7" s="7" t="s">
        <v>64</v>
      </c>
      <c r="E7" t="s">
        <v>63</v>
      </c>
      <c r="F7" t="s">
        <v>51</v>
      </c>
      <c r="I7" s="9" t="s">
        <v>37</v>
      </c>
      <c r="J7" s="9" t="s">
        <v>2981</v>
      </c>
      <c r="K7" t="s">
        <v>3125</v>
      </c>
      <c r="L7" t="s">
        <v>3126</v>
      </c>
      <c r="M7" s="3" t="str">
        <f>HYPERLINK(СторонТрансп[[#This Row],[RelativePath]])</f>
        <v>1 Ангар Склад 2 въезд\E33149364_6_20251111T104958Z.jpg</v>
      </c>
    </row>
    <row r="8" spans="1:13" x14ac:dyDescent="0.25">
      <c r="A8" t="s">
        <v>14</v>
      </c>
      <c r="B8" s="4">
        <v>45972</v>
      </c>
      <c r="C8" s="6">
        <v>0.48476851851851854</v>
      </c>
      <c r="D8" s="7" t="s">
        <v>62</v>
      </c>
      <c r="E8" t="s">
        <v>63</v>
      </c>
      <c r="F8" t="s">
        <v>58</v>
      </c>
      <c r="I8" s="9" t="s">
        <v>38</v>
      </c>
      <c r="J8" s="9" t="s">
        <v>2981</v>
      </c>
      <c r="K8" t="s">
        <v>3127</v>
      </c>
      <c r="L8" t="s">
        <v>3128</v>
      </c>
      <c r="M8" s="3" t="str">
        <f>HYPERLINK(СторонТрансп[[#This Row],[RelativePath]])</f>
        <v>1 Ангар Склад 2 въезд\E33149364_6_20251111T113804Z.jpg</v>
      </c>
    </row>
    <row r="9" spans="1:13" x14ac:dyDescent="0.25">
      <c r="A9" t="s">
        <v>14</v>
      </c>
      <c r="B9" s="4">
        <v>45972</v>
      </c>
      <c r="C9" s="6">
        <v>0.39128472222222221</v>
      </c>
      <c r="D9" s="7" t="s">
        <v>91</v>
      </c>
      <c r="E9" t="s">
        <v>67</v>
      </c>
      <c r="F9" t="s">
        <v>51</v>
      </c>
      <c r="I9" s="9" t="s">
        <v>33</v>
      </c>
      <c r="J9" s="9" t="s">
        <v>2981</v>
      </c>
      <c r="K9" t="s">
        <v>3117</v>
      </c>
      <c r="L9" t="s">
        <v>3118</v>
      </c>
      <c r="M9" s="3" t="str">
        <f>HYPERLINK(СторонТрансп[[#This Row],[RelativePath]])</f>
        <v>1 Ангар Склад 2 въезд\E33149364_6_20251111T092327Z.jpg</v>
      </c>
    </row>
    <row r="10" spans="1:13" x14ac:dyDescent="0.25">
      <c r="A10" t="s">
        <v>14</v>
      </c>
      <c r="B10" s="4">
        <v>45972</v>
      </c>
      <c r="C10" s="6">
        <v>0.44765046296296296</v>
      </c>
      <c r="D10" s="7" t="s">
        <v>62</v>
      </c>
      <c r="E10" t="s">
        <v>67</v>
      </c>
      <c r="F10" t="s">
        <v>468</v>
      </c>
      <c r="I10" s="9" t="s">
        <v>34</v>
      </c>
      <c r="J10" s="9" t="s">
        <v>2981</v>
      </c>
      <c r="K10" t="s">
        <v>3119</v>
      </c>
      <c r="L10" t="s">
        <v>3120</v>
      </c>
      <c r="M10" s="3" t="str">
        <f>HYPERLINK(СторонТрансп[[#This Row],[RelativePath]])</f>
        <v>1 Ангар Склад 2 въезд\E33149364_6_20251111T104437Z.jpg</v>
      </c>
    </row>
    <row r="11" spans="1:13" x14ac:dyDescent="0.25">
      <c r="A11" t="s">
        <v>14</v>
      </c>
      <c r="B11" s="4">
        <v>45972</v>
      </c>
      <c r="C11" s="6">
        <v>0.44944444444444442</v>
      </c>
      <c r="D11" s="7" t="s">
        <v>91</v>
      </c>
      <c r="E11" t="s">
        <v>63</v>
      </c>
      <c r="F11" t="s">
        <v>51</v>
      </c>
      <c r="I11" s="9" t="s">
        <v>35</v>
      </c>
      <c r="J11" s="9" t="s">
        <v>2981</v>
      </c>
      <c r="K11" t="s">
        <v>3121</v>
      </c>
      <c r="L11" t="s">
        <v>3122</v>
      </c>
      <c r="M11" s="3" t="str">
        <f>HYPERLINK(СторонТрансп[[#This Row],[RelativePath]])</f>
        <v>1 Ангар Склад 2 въезд\E33149364_6_20251111T104712Z.jpg</v>
      </c>
    </row>
    <row r="12" spans="1:13" x14ac:dyDescent="0.25">
      <c r="A12" t="s">
        <v>15</v>
      </c>
      <c r="B12" s="4">
        <v>45973</v>
      </c>
      <c r="C12" s="6">
        <v>0.71020833333333333</v>
      </c>
      <c r="D12" s="7" t="s">
        <v>62</v>
      </c>
      <c r="E12" t="s">
        <v>66</v>
      </c>
      <c r="F12" t="s">
        <v>69</v>
      </c>
      <c r="I12" s="9" t="s">
        <v>42</v>
      </c>
      <c r="J12" s="9" t="s">
        <v>2981</v>
      </c>
      <c r="K12" t="s">
        <v>3135</v>
      </c>
      <c r="L12" t="s">
        <v>3136</v>
      </c>
      <c r="M12" s="3" t="str">
        <f>HYPERLINK(СторонТрансп[[#This Row],[RelativePath]])</f>
        <v>1 Ангар Склад 2 въезд\E33149364_6_20251112T170242Z.jpg</v>
      </c>
    </row>
    <row r="13" spans="1:13" x14ac:dyDescent="0.25">
      <c r="A13" t="s">
        <v>15</v>
      </c>
      <c r="B13" s="4">
        <v>45973</v>
      </c>
      <c r="C13" s="6">
        <v>0.67682870370370374</v>
      </c>
      <c r="D13" s="7" t="s">
        <v>91</v>
      </c>
      <c r="E13" t="s">
        <v>66</v>
      </c>
      <c r="F13" t="s">
        <v>68</v>
      </c>
      <c r="I13" s="9" t="s">
        <v>41</v>
      </c>
      <c r="J13" s="9" t="s">
        <v>2981</v>
      </c>
      <c r="K13" t="s">
        <v>3133</v>
      </c>
      <c r="L13" t="s">
        <v>3134</v>
      </c>
      <c r="M13" s="3" t="str">
        <f>HYPERLINK(СторонТрансп[[#This Row],[RelativePath]])</f>
        <v>1 Ангар Склад 2 въезд\E33149364_6_20251112T161438Z.jpg</v>
      </c>
    </row>
    <row r="14" spans="1:13" x14ac:dyDescent="0.25">
      <c r="A14" t="s">
        <v>17</v>
      </c>
      <c r="B14" s="4">
        <v>45975</v>
      </c>
      <c r="C14" s="6">
        <v>0.56293981481481481</v>
      </c>
      <c r="D14" s="7" t="s">
        <v>62</v>
      </c>
      <c r="E14" t="s">
        <v>66</v>
      </c>
      <c r="F14" t="s">
        <v>51</v>
      </c>
      <c r="I14" s="9" t="s">
        <v>81</v>
      </c>
      <c r="J14" s="9" t="s">
        <v>2981</v>
      </c>
      <c r="K14" t="s">
        <v>3171</v>
      </c>
      <c r="L14" t="s">
        <v>3172</v>
      </c>
      <c r="M14" s="3" t="str">
        <f>HYPERLINK(СторонТрансп[[#This Row],[RelativePath]])</f>
        <v>1 Ангар Склад 2 въезд\E33149364_6_20251114T133038Z.jpg</v>
      </c>
    </row>
    <row r="15" spans="1:13" x14ac:dyDescent="0.25">
      <c r="A15" t="s">
        <v>17</v>
      </c>
      <c r="B15" s="4">
        <v>45975</v>
      </c>
      <c r="C15" s="6">
        <v>0.56123842592592588</v>
      </c>
      <c r="D15" s="7" t="s">
        <v>89</v>
      </c>
      <c r="E15" t="s">
        <v>66</v>
      </c>
      <c r="F15" t="s">
        <v>88</v>
      </c>
      <c r="G15">
        <v>1</v>
      </c>
      <c r="I15" s="9" t="s">
        <v>80</v>
      </c>
      <c r="J15" s="9" t="s">
        <v>2981</v>
      </c>
      <c r="K15" t="s">
        <v>3169</v>
      </c>
      <c r="L15" t="s">
        <v>3170</v>
      </c>
      <c r="M15" s="3" t="str">
        <f>HYPERLINK(СторонТрансп[[#This Row],[RelativePath]])</f>
        <v>1 Ангар Склад 2 въезд\E33149364_6_20251114T132811Z.jpg</v>
      </c>
    </row>
    <row r="16" spans="1:13" x14ac:dyDescent="0.25">
      <c r="A16" t="s">
        <v>17</v>
      </c>
      <c r="B16" s="4">
        <v>45975</v>
      </c>
      <c r="C16" s="6">
        <v>0.57406250000000003</v>
      </c>
      <c r="D16" s="7" t="s">
        <v>62</v>
      </c>
      <c r="E16" t="s">
        <v>66</v>
      </c>
      <c r="F16" t="s">
        <v>51</v>
      </c>
      <c r="I16" s="9" t="s">
        <v>83</v>
      </c>
      <c r="J16" s="9" t="s">
        <v>2981</v>
      </c>
      <c r="K16" t="s">
        <v>3175</v>
      </c>
      <c r="L16" t="s">
        <v>3176</v>
      </c>
      <c r="M16" s="3" t="str">
        <f>HYPERLINK(СторонТрансп[[#This Row],[RelativePath]])</f>
        <v>1 Ангар Склад 2 въезд\E33149364_6_20251114T134639Z.jpg</v>
      </c>
    </row>
    <row r="17" spans="1:13" x14ac:dyDescent="0.25">
      <c r="A17" t="s">
        <v>17</v>
      </c>
      <c r="B17" s="4">
        <v>45975</v>
      </c>
      <c r="C17" s="6">
        <v>0.57114583333333335</v>
      </c>
      <c r="D17" s="7" t="s">
        <v>89</v>
      </c>
      <c r="E17" t="s">
        <v>66</v>
      </c>
      <c r="F17" t="s">
        <v>88</v>
      </c>
      <c r="G17">
        <v>1</v>
      </c>
      <c r="I17" s="9" t="s">
        <v>82</v>
      </c>
      <c r="J17" s="9" t="s">
        <v>2981</v>
      </c>
      <c r="K17" t="s">
        <v>3173</v>
      </c>
      <c r="L17" t="s">
        <v>3174</v>
      </c>
      <c r="M17" s="3" t="str">
        <f>HYPERLINK(СторонТрансп[[#This Row],[RelativePath]])</f>
        <v>1 Ангар Склад 2 въезд\E33149364_6_20251114T134227Z.jpg</v>
      </c>
    </row>
    <row r="18" spans="1:13" x14ac:dyDescent="0.25">
      <c r="A18" t="s">
        <v>17</v>
      </c>
      <c r="B18" s="4">
        <v>45975</v>
      </c>
      <c r="C18" s="6">
        <v>0.54204861111111113</v>
      </c>
      <c r="D18" s="7" t="s">
        <v>62</v>
      </c>
      <c r="E18" t="s">
        <v>66</v>
      </c>
      <c r="F18" t="s">
        <v>51</v>
      </c>
      <c r="I18" s="9" t="s">
        <v>77</v>
      </c>
      <c r="J18" s="9" t="s">
        <v>2981</v>
      </c>
      <c r="K18" t="s">
        <v>3163</v>
      </c>
      <c r="L18" t="s">
        <v>3164</v>
      </c>
      <c r="M18" s="3" t="str">
        <f>HYPERLINK(СторонТрансп[[#This Row],[RelativePath]])</f>
        <v>1 Ангар Склад 2 въезд\E33149364_6_20251114T130033Z.jpg</v>
      </c>
    </row>
    <row r="19" spans="1:13" x14ac:dyDescent="0.25">
      <c r="A19" t="s">
        <v>17</v>
      </c>
      <c r="B19" s="4">
        <v>45975</v>
      </c>
      <c r="C19" s="6">
        <v>0.53960648148148149</v>
      </c>
      <c r="D19" s="7" t="s">
        <v>89</v>
      </c>
      <c r="E19" t="s">
        <v>66</v>
      </c>
      <c r="F19" t="s">
        <v>88</v>
      </c>
      <c r="G19">
        <v>1</v>
      </c>
      <c r="I19" s="9" t="s">
        <v>75</v>
      </c>
      <c r="J19" s="9" t="s">
        <v>2981</v>
      </c>
      <c r="K19" t="s">
        <v>3159</v>
      </c>
      <c r="L19" t="s">
        <v>3160</v>
      </c>
      <c r="M19" s="3" t="str">
        <f>HYPERLINK(СторонТрансп[[#This Row],[RelativePath]])</f>
        <v>1 Ангар Склад 2 въезд\E33149364_6_20251114T125702Z.jpg</v>
      </c>
    </row>
    <row r="20" spans="1:13" x14ac:dyDescent="0.25">
      <c r="A20" t="s">
        <v>17</v>
      </c>
      <c r="B20" s="4">
        <v>45975</v>
      </c>
      <c r="C20" s="6">
        <v>0.55299768518518522</v>
      </c>
      <c r="D20" s="7" t="s">
        <v>62</v>
      </c>
      <c r="E20" t="s">
        <v>66</v>
      </c>
      <c r="F20" t="s">
        <v>51</v>
      </c>
      <c r="I20" s="9" t="s">
        <v>79</v>
      </c>
      <c r="J20" s="9" t="s">
        <v>2981</v>
      </c>
      <c r="K20" t="s">
        <v>3167</v>
      </c>
      <c r="L20" t="s">
        <v>3168</v>
      </c>
      <c r="M20" s="3" t="str">
        <f>HYPERLINK(СторонТрансп[[#This Row],[RelativePath]])</f>
        <v>1 Ангар Склад 2 въезд\E33149364_6_20251114T131619Z.jpg</v>
      </c>
    </row>
    <row r="21" spans="1:13" x14ac:dyDescent="0.25">
      <c r="A21" t="s">
        <v>17</v>
      </c>
      <c r="B21" s="4">
        <v>45975</v>
      </c>
      <c r="C21" s="6">
        <v>0.55090277777777774</v>
      </c>
      <c r="D21" s="7" t="s">
        <v>89</v>
      </c>
      <c r="E21" t="s">
        <v>66</v>
      </c>
      <c r="F21" t="s">
        <v>88</v>
      </c>
      <c r="G21">
        <v>1</v>
      </c>
      <c r="I21" s="9" t="s">
        <v>78</v>
      </c>
      <c r="J21" s="9" t="s">
        <v>2981</v>
      </c>
      <c r="K21" t="s">
        <v>3165</v>
      </c>
      <c r="L21" t="s">
        <v>3166</v>
      </c>
      <c r="M21" s="3" t="str">
        <f>HYPERLINK(СторонТрансп[[#This Row],[RelativePath]])</f>
        <v>1 Ангар Склад 2 въезд\E33149364_6_20251114T131318Z.jpg</v>
      </c>
    </row>
    <row r="22" spans="1:13" x14ac:dyDescent="0.25">
      <c r="A22" t="s">
        <v>18</v>
      </c>
      <c r="B22" s="4">
        <v>45976</v>
      </c>
      <c r="C22" s="6">
        <v>0.62281249999999999</v>
      </c>
      <c r="D22" s="7" t="s">
        <v>91</v>
      </c>
      <c r="E22" t="s">
        <v>2002</v>
      </c>
      <c r="I22" s="9" t="s">
        <v>1112</v>
      </c>
      <c r="J22" s="9" t="s">
        <v>2981</v>
      </c>
      <c r="K22" t="s">
        <v>3187</v>
      </c>
      <c r="L22" t="s">
        <v>3188</v>
      </c>
      <c r="M22" s="3" t="str">
        <f>HYPERLINK(СторонТрансп[[#This Row],[RelativePath]])</f>
        <v>1 Ангар Склад 2 въезд\E33149364_6_20251115T145651Z.jpg</v>
      </c>
    </row>
    <row r="23" spans="1:13" x14ac:dyDescent="0.25">
      <c r="A23" t="s">
        <v>18</v>
      </c>
      <c r="B23" s="4">
        <v>45976</v>
      </c>
      <c r="C23" s="6">
        <v>0.64368055555555559</v>
      </c>
      <c r="D23" s="7" t="s">
        <v>62</v>
      </c>
      <c r="E23" t="s">
        <v>2002</v>
      </c>
      <c r="I23" s="9" t="s">
        <v>1114</v>
      </c>
      <c r="J23" s="9" t="s">
        <v>2981</v>
      </c>
      <c r="K23" t="s">
        <v>3191</v>
      </c>
      <c r="L23" t="s">
        <v>3192</v>
      </c>
      <c r="M23" s="3" t="str">
        <f>HYPERLINK(СторонТрансп[[#This Row],[RelativePath]])</f>
        <v>1 Ангар Склад 2 въезд\E33149364_6_20251115T152654Z.jpg</v>
      </c>
    </row>
    <row r="24" spans="1:13" x14ac:dyDescent="0.25">
      <c r="A24" t="s">
        <v>18</v>
      </c>
      <c r="B24" s="4">
        <v>45976</v>
      </c>
      <c r="C24" s="6">
        <v>0.63765046296296302</v>
      </c>
      <c r="D24" s="7" t="s">
        <v>62</v>
      </c>
      <c r="E24" t="s">
        <v>56</v>
      </c>
      <c r="F24" t="s">
        <v>200</v>
      </c>
      <c r="I24" s="9" t="s">
        <v>2003</v>
      </c>
      <c r="J24" s="9" t="s">
        <v>2981</v>
      </c>
      <c r="K24" t="s">
        <v>3193</v>
      </c>
      <c r="L24" t="s">
        <v>3194</v>
      </c>
      <c r="M24" s="3" t="str">
        <f>HYPERLINK(СторонТрансп[[#This Row],[RelativePath]])</f>
        <v>1 Ангар Склад 2 въезд\E33149364_6_20251115T151813Z.jpg</v>
      </c>
    </row>
    <row r="25" spans="1:13" x14ac:dyDescent="0.25">
      <c r="A25" t="s">
        <v>18</v>
      </c>
      <c r="B25" s="4">
        <v>45976</v>
      </c>
      <c r="C25" s="6">
        <v>0.43630787037037039</v>
      </c>
      <c r="D25" s="7" t="s">
        <v>91</v>
      </c>
      <c r="E25" t="s">
        <v>56</v>
      </c>
      <c r="F25" t="s">
        <v>2000</v>
      </c>
      <c r="I25" s="9" t="s">
        <v>1108</v>
      </c>
      <c r="J25" s="9" t="s">
        <v>2981</v>
      </c>
      <c r="K25" t="s">
        <v>3179</v>
      </c>
      <c r="L25" t="s">
        <v>3180</v>
      </c>
      <c r="M25" s="3" t="str">
        <f>HYPERLINK(СторонТрансп[[#This Row],[RelativePath]])</f>
        <v>1 Ангар Склад 2 въезд\E33149364_6_20251115T102817Z.jpg</v>
      </c>
    </row>
    <row r="26" spans="1:13" x14ac:dyDescent="0.25">
      <c r="A26" t="s">
        <v>18</v>
      </c>
      <c r="B26" s="4">
        <v>45976</v>
      </c>
      <c r="C26" s="6">
        <v>0.46813657407407405</v>
      </c>
      <c r="D26" s="7" t="s">
        <v>91</v>
      </c>
      <c r="E26" t="s">
        <v>2001</v>
      </c>
      <c r="I26" s="9" t="s">
        <v>1110</v>
      </c>
      <c r="J26" s="9" t="s">
        <v>2981</v>
      </c>
      <c r="K26" t="s">
        <v>3183</v>
      </c>
      <c r="L26" t="s">
        <v>3184</v>
      </c>
      <c r="M26" s="3" t="str">
        <f>HYPERLINK(СторонТрансп[[#This Row],[RelativePath]])</f>
        <v>1 Ангар Склад 2 въезд\E33149364_6_20251115T111407Z.jpg</v>
      </c>
    </row>
    <row r="27" spans="1:13" x14ac:dyDescent="0.25">
      <c r="A27" t="s">
        <v>18</v>
      </c>
      <c r="B27" s="4">
        <v>45976</v>
      </c>
      <c r="C27" s="6">
        <v>0.49760416666666668</v>
      </c>
      <c r="D27" s="7" t="s">
        <v>62</v>
      </c>
      <c r="E27" t="s">
        <v>2001</v>
      </c>
      <c r="I27" s="9" t="s">
        <v>1111</v>
      </c>
      <c r="J27" s="9" t="s">
        <v>2981</v>
      </c>
      <c r="K27" t="s">
        <v>3185</v>
      </c>
      <c r="L27" t="s">
        <v>3186</v>
      </c>
      <c r="M27" s="3" t="str">
        <f>HYPERLINK(СторонТрансп[[#This Row],[RelativePath]])</f>
        <v>1 Ангар Склад 2 въезд\E33149364_6_20251115T115633Z.jpg</v>
      </c>
    </row>
    <row r="28" spans="1:13" x14ac:dyDescent="0.25">
      <c r="A28" t="s">
        <v>14</v>
      </c>
      <c r="B28" s="4">
        <v>45979</v>
      </c>
      <c r="C28" s="6">
        <v>0.60865740740740737</v>
      </c>
      <c r="D28" s="7" t="s">
        <v>62</v>
      </c>
      <c r="E28" t="s">
        <v>2923</v>
      </c>
      <c r="F28" t="s">
        <v>58</v>
      </c>
      <c r="I28" s="9" t="s">
        <v>2054</v>
      </c>
      <c r="J28" s="9" t="s">
        <v>2981</v>
      </c>
      <c r="K28" t="s">
        <v>3205</v>
      </c>
      <c r="L28" t="s">
        <v>3206</v>
      </c>
      <c r="M28" s="3" t="str">
        <f>HYPERLINK(СторонТрансп[[#This Row],[RelativePath]])</f>
        <v>1 Ангар Склад 2 въезд\E33149364_6_20251118T143628Z.jpg</v>
      </c>
    </row>
    <row r="29" spans="1:13" x14ac:dyDescent="0.25">
      <c r="A29" t="s">
        <v>14</v>
      </c>
      <c r="B29" s="4">
        <v>45979</v>
      </c>
      <c r="C29" s="6">
        <v>0.43486111111111109</v>
      </c>
      <c r="D29" s="7" t="s">
        <v>62</v>
      </c>
      <c r="E29" t="s">
        <v>2920</v>
      </c>
      <c r="F29" t="s">
        <v>2922</v>
      </c>
      <c r="I29" s="9" t="s">
        <v>2053</v>
      </c>
      <c r="J29" s="9" t="s">
        <v>2981</v>
      </c>
      <c r="K29" t="s">
        <v>3203</v>
      </c>
      <c r="L29" t="s">
        <v>3204</v>
      </c>
      <c r="M29" s="3" t="str">
        <f>HYPERLINK(СторонТрансп[[#This Row],[RelativePath]])</f>
        <v>1 Ангар Склад 2 въезд\E33149364_6_20251118T102612Z.jpg</v>
      </c>
    </row>
    <row r="30" spans="1:13" x14ac:dyDescent="0.25">
      <c r="A30" t="s">
        <v>14</v>
      </c>
      <c r="B30" s="4">
        <v>45979</v>
      </c>
      <c r="C30" s="6">
        <v>0.43164351851851851</v>
      </c>
      <c r="D30" s="7" t="s">
        <v>64</v>
      </c>
      <c r="E30" t="s">
        <v>2920</v>
      </c>
      <c r="F30" t="s">
        <v>2921</v>
      </c>
      <c r="I30" s="9" t="s">
        <v>2052</v>
      </c>
      <c r="J30" s="9" t="s">
        <v>2981</v>
      </c>
      <c r="K30" t="s">
        <v>3201</v>
      </c>
      <c r="L30" t="s">
        <v>3202</v>
      </c>
      <c r="M30" s="3" t="str">
        <f>HYPERLINK(СторонТрансп[[#This Row],[RelativePath]])</f>
        <v>1 Ангар Склад 2 въезд\E33149364_6_20251118T102134Z.jpg</v>
      </c>
    </row>
    <row r="31" spans="1:13" x14ac:dyDescent="0.25">
      <c r="A31" t="s">
        <v>15</v>
      </c>
      <c r="B31" s="4">
        <v>45980</v>
      </c>
      <c r="C31" s="6">
        <v>0.49490740740740741</v>
      </c>
      <c r="D31" s="7" t="s">
        <v>62</v>
      </c>
      <c r="E31" t="s">
        <v>2002</v>
      </c>
      <c r="I31" s="9" t="s">
        <v>2058</v>
      </c>
      <c r="J31" s="9" t="s">
        <v>2981</v>
      </c>
      <c r="K31" t="s">
        <v>3213</v>
      </c>
      <c r="L31" t="s">
        <v>3214</v>
      </c>
      <c r="M31" s="3" t="str">
        <f>HYPERLINK(СторонТрансп[[#This Row],[RelativePath]])</f>
        <v>1 Ангар Склад 2 въезд\E33149364_6_20251119T115240Z.jpg</v>
      </c>
    </row>
    <row r="32" spans="1:13" x14ac:dyDescent="0.25">
      <c r="A32" t="s">
        <v>15</v>
      </c>
      <c r="B32" s="4">
        <v>45980</v>
      </c>
      <c r="C32" s="6">
        <v>0.49100694444444443</v>
      </c>
      <c r="D32" s="7" t="s">
        <v>91</v>
      </c>
      <c r="E32" t="s">
        <v>2002</v>
      </c>
      <c r="I32" s="9" t="s">
        <v>2057</v>
      </c>
      <c r="J32" s="9" t="s">
        <v>2981</v>
      </c>
      <c r="K32" t="s">
        <v>3211</v>
      </c>
      <c r="L32" t="s">
        <v>3212</v>
      </c>
      <c r="M32" s="3" t="str">
        <f>HYPERLINK(СторонТрансп[[#This Row],[RelativePath]])</f>
        <v>1 Ангар Склад 2 въезд\E33149364_6_20251119T114703Z.jpg</v>
      </c>
    </row>
    <row r="33" spans="1:13" x14ac:dyDescent="0.25">
      <c r="A33" t="s">
        <v>15</v>
      </c>
      <c r="B33" s="4">
        <v>45987</v>
      </c>
      <c r="C33" s="6">
        <v>0.45245370370370369</v>
      </c>
      <c r="D33" s="7" t="s">
        <v>91</v>
      </c>
      <c r="E33" t="s">
        <v>4192</v>
      </c>
      <c r="F33" t="s">
        <v>58</v>
      </c>
      <c r="I33" s="9" t="s">
        <v>3231</v>
      </c>
      <c r="J33" s="9" t="s">
        <v>2981</v>
      </c>
      <c r="K33" t="s">
        <v>3232</v>
      </c>
      <c r="L33" t="s">
        <v>3233</v>
      </c>
      <c r="M33" s="3" t="str">
        <f>HYPERLINK(СторонТрансп[[#This Row],[RelativePath]])</f>
        <v>1 Ангар Склад 2 въезд\E33149364_6_20251126T105132Z.jpg</v>
      </c>
    </row>
    <row r="34" spans="1:13" x14ac:dyDescent="0.25">
      <c r="A34" t="s">
        <v>15</v>
      </c>
      <c r="B34" s="4">
        <v>45987</v>
      </c>
      <c r="C34" s="6">
        <v>0.45469907407407406</v>
      </c>
      <c r="D34" s="7" t="s">
        <v>62</v>
      </c>
      <c r="E34" t="s">
        <v>4192</v>
      </c>
      <c r="F34" t="s">
        <v>58</v>
      </c>
      <c r="I34" s="9" t="s">
        <v>3234</v>
      </c>
      <c r="J34" s="9" t="s">
        <v>2981</v>
      </c>
      <c r="K34" t="s">
        <v>3235</v>
      </c>
      <c r="L34" t="s">
        <v>3236</v>
      </c>
      <c r="M34" s="3" t="str">
        <f>HYPERLINK(СторонТрансп[[#This Row],[RelativePath]])</f>
        <v>1 Ангар Склад 2 въезд\E33149364_6_20251126T105446Z.jpg</v>
      </c>
    </row>
    <row r="35" spans="1:13" x14ac:dyDescent="0.25">
      <c r="A35" t="s">
        <v>15</v>
      </c>
      <c r="B35" s="4">
        <v>45987</v>
      </c>
      <c r="C35" s="6">
        <v>0.43335648148148148</v>
      </c>
      <c r="D35" s="7" t="s">
        <v>4190</v>
      </c>
      <c r="E35" t="s">
        <v>4192</v>
      </c>
      <c r="F35" t="s">
        <v>51</v>
      </c>
      <c r="I35" s="9" t="s">
        <v>3225</v>
      </c>
      <c r="J35" s="9" t="s">
        <v>2981</v>
      </c>
      <c r="K35" t="s">
        <v>3226</v>
      </c>
      <c r="L35" t="s">
        <v>3227</v>
      </c>
      <c r="M35" s="3" t="str">
        <f>HYPERLINK(СторонТрансп[[#This Row],[RelativePath]])</f>
        <v>1 Ангар Склад 2 въезд\E33149364_6_20251126T102402Z.jpg</v>
      </c>
    </row>
    <row r="36" spans="1:13" x14ac:dyDescent="0.25">
      <c r="A36" t="s">
        <v>15</v>
      </c>
      <c r="B36" s="4">
        <v>45987</v>
      </c>
      <c r="C36" s="6">
        <v>0.45240740740740742</v>
      </c>
      <c r="D36" s="7" t="s">
        <v>85</v>
      </c>
      <c r="E36" t="s">
        <v>4192</v>
      </c>
      <c r="F36" t="s">
        <v>58</v>
      </c>
      <c r="I36" s="9" t="s">
        <v>3228</v>
      </c>
      <c r="J36" s="9" t="s">
        <v>2981</v>
      </c>
      <c r="K36" t="s">
        <v>3229</v>
      </c>
      <c r="L36" t="s">
        <v>3230</v>
      </c>
      <c r="M36" s="3" t="str">
        <f>HYPERLINK(СторонТрансп[[#This Row],[RelativePath]])</f>
        <v>1 Ангар Склад 2 въезд\E33149364_6_20251126T105128Z.jpg</v>
      </c>
    </row>
    <row r="37" spans="1:13" x14ac:dyDescent="0.25">
      <c r="A37" t="s">
        <v>16</v>
      </c>
      <c r="B37" s="4">
        <v>45988</v>
      </c>
      <c r="C37" s="6">
        <v>0.54246527777777775</v>
      </c>
      <c r="D37" s="7" t="s">
        <v>85</v>
      </c>
      <c r="E37" t="s">
        <v>4191</v>
      </c>
      <c r="I37" s="9" t="s">
        <v>3240</v>
      </c>
      <c r="J37" s="9" t="s">
        <v>2981</v>
      </c>
      <c r="K37" t="s">
        <v>3241</v>
      </c>
      <c r="L37" t="s">
        <v>3242</v>
      </c>
      <c r="M37" s="3" t="str">
        <f>HYPERLINK(СторонТрансп[[#This Row],[RelativePath]])</f>
        <v>1 Ангар Склад 2 въезд\E33149364_6_20251127T130109Z.jpg</v>
      </c>
    </row>
    <row r="38" spans="1:13" x14ac:dyDescent="0.25">
      <c r="A38" t="s">
        <v>16</v>
      </c>
      <c r="B38" s="4">
        <v>45988</v>
      </c>
      <c r="C38" s="6">
        <v>0.50150462962962961</v>
      </c>
      <c r="D38" s="7" t="s">
        <v>4190</v>
      </c>
      <c r="E38" t="s">
        <v>4191</v>
      </c>
      <c r="I38" s="9" t="s">
        <v>3237</v>
      </c>
      <c r="J38" s="9" t="s">
        <v>2981</v>
      </c>
      <c r="K38" t="s">
        <v>3238</v>
      </c>
      <c r="L38" t="s">
        <v>3239</v>
      </c>
      <c r="M38" s="3" t="str">
        <f>HYPERLINK(СторонТрансп[[#This Row],[RelativePath]])</f>
        <v>1 Ангар Склад 2 въезд\E33149364_6_20251127T120210Z.jpg</v>
      </c>
    </row>
    <row r="39" spans="1:13" x14ac:dyDescent="0.25">
      <c r="A39" t="s">
        <v>17</v>
      </c>
      <c r="B39" s="4">
        <v>45989</v>
      </c>
      <c r="C39" s="6">
        <v>0.50700231481481484</v>
      </c>
      <c r="D39" s="7" t="s">
        <v>85</v>
      </c>
      <c r="E39" t="s">
        <v>4193</v>
      </c>
      <c r="I39" s="9" t="s">
        <v>3246</v>
      </c>
      <c r="J39" s="9" t="s">
        <v>2981</v>
      </c>
      <c r="K39" t="s">
        <v>3247</v>
      </c>
      <c r="L39" t="s">
        <v>3248</v>
      </c>
      <c r="M39" s="3" t="str">
        <f>HYPERLINK(СторонТрансп[[#This Row],[RelativePath]])</f>
        <v>1 Ангар Склад 2 въезд\E33149364_6_20251128T121005Z.jpg</v>
      </c>
    </row>
    <row r="40" spans="1:13" x14ac:dyDescent="0.25">
      <c r="A40" t="s">
        <v>17</v>
      </c>
      <c r="B40" s="4">
        <v>45989</v>
      </c>
      <c r="C40" s="6">
        <v>0.45510416666666664</v>
      </c>
      <c r="D40" s="7" t="s">
        <v>64</v>
      </c>
      <c r="E40" t="s">
        <v>4193</v>
      </c>
      <c r="I40" s="9" t="s">
        <v>3243</v>
      </c>
      <c r="J40" s="9" t="s">
        <v>2981</v>
      </c>
      <c r="K40" t="s">
        <v>3244</v>
      </c>
      <c r="L40" t="s">
        <v>3245</v>
      </c>
      <c r="M40" s="3" t="str">
        <f>HYPERLINK(СторонТрансп[[#This Row],[RelativePath]])</f>
        <v>1 Ангар Склад 2 въезд\E33149364_6_20251128T105521Z.jpg</v>
      </c>
    </row>
    <row r="41" spans="1:13" x14ac:dyDescent="0.25">
      <c r="A41" t="s">
        <v>18</v>
      </c>
      <c r="B41" s="4">
        <v>45990</v>
      </c>
      <c r="C41" s="6">
        <v>0.70343750000000005</v>
      </c>
      <c r="D41" s="7" t="s">
        <v>91</v>
      </c>
      <c r="E41" t="s">
        <v>4194</v>
      </c>
      <c r="F41" t="s">
        <v>4196</v>
      </c>
      <c r="H41" t="s">
        <v>4197</v>
      </c>
      <c r="I41" s="9" t="s">
        <v>3255</v>
      </c>
      <c r="J41" s="9" t="s">
        <v>2981</v>
      </c>
      <c r="K41" t="s">
        <v>3256</v>
      </c>
      <c r="L41" t="s">
        <v>3257</v>
      </c>
      <c r="M41" s="3" t="str">
        <f>HYPERLINK(СторонТрансп[[#This Row],[RelativePath]])</f>
        <v>1 Ангар Склад 2 въезд\E33149364_6_20251129T165257Z.jpg</v>
      </c>
    </row>
    <row r="42" spans="1:13" x14ac:dyDescent="0.25">
      <c r="A42" t="s">
        <v>18</v>
      </c>
      <c r="B42" s="4">
        <v>45990</v>
      </c>
      <c r="C42" s="6">
        <v>0.73475694444444439</v>
      </c>
      <c r="D42" s="7" t="s">
        <v>62</v>
      </c>
      <c r="E42" t="s">
        <v>4194</v>
      </c>
      <c r="F42" t="s">
        <v>4196</v>
      </c>
      <c r="I42" s="9" t="s">
        <v>3258</v>
      </c>
      <c r="J42" s="9" t="s">
        <v>2981</v>
      </c>
      <c r="K42" t="s">
        <v>3259</v>
      </c>
      <c r="L42" t="s">
        <v>3260</v>
      </c>
      <c r="M42" s="3" t="str">
        <f>HYPERLINK(СторонТрансп[[#This Row],[RelativePath]])</f>
        <v>1 Ангар Склад 2 въезд\E33149364_6_20251129T173803Z.jpg</v>
      </c>
    </row>
    <row r="43" spans="1:13" x14ac:dyDescent="0.25">
      <c r="A43" t="s">
        <v>18</v>
      </c>
      <c r="B43" s="4">
        <v>45990</v>
      </c>
      <c r="C43" s="6">
        <v>0.53762731481481485</v>
      </c>
      <c r="D43" s="7" t="s">
        <v>91</v>
      </c>
      <c r="E43" t="s">
        <v>4194</v>
      </c>
      <c r="F43" t="s">
        <v>51</v>
      </c>
      <c r="I43" s="9" t="s">
        <v>3249</v>
      </c>
      <c r="J43" s="9" t="s">
        <v>2981</v>
      </c>
      <c r="K43" t="s">
        <v>3250</v>
      </c>
      <c r="L43" t="s">
        <v>3251</v>
      </c>
      <c r="M43" s="3" t="str">
        <f>HYPERLINK(СторонТрансп[[#This Row],[RelativePath]])</f>
        <v>1 Ангар Склад 2 въезд\E33149364_6_20251129T125411Z.jpg</v>
      </c>
    </row>
    <row r="44" spans="1:13" x14ac:dyDescent="0.25">
      <c r="A44" t="s">
        <v>18</v>
      </c>
      <c r="B44" s="4">
        <v>45990</v>
      </c>
      <c r="C44" s="6">
        <v>0.64861111111111114</v>
      </c>
      <c r="D44" s="7" t="s">
        <v>91</v>
      </c>
      <c r="E44" t="s">
        <v>4195</v>
      </c>
      <c r="F44" t="s">
        <v>51</v>
      </c>
      <c r="I44" s="9" t="s">
        <v>3252</v>
      </c>
      <c r="J44" s="9" t="s">
        <v>2981</v>
      </c>
      <c r="K44" t="s">
        <v>3253</v>
      </c>
      <c r="L44" t="s">
        <v>3254</v>
      </c>
      <c r="M44" s="3" t="str">
        <f>HYPERLINK(СторонТрансп[[#This Row],[RelativePath]])</f>
        <v>1 Ангар Склад 2 въезд\E33149364_6_20251129T153400Z.jpg</v>
      </c>
    </row>
    <row r="45" spans="1:13" x14ac:dyDescent="0.25">
      <c r="A45" t="s">
        <v>13</v>
      </c>
      <c r="B45" s="4">
        <v>45992</v>
      </c>
      <c r="C45" s="6">
        <v>0.87302083333333336</v>
      </c>
      <c r="D45" s="7" t="s">
        <v>62</v>
      </c>
      <c r="E45" t="s">
        <v>4194</v>
      </c>
      <c r="F45" t="s">
        <v>51</v>
      </c>
      <c r="H45" t="s">
        <v>5075</v>
      </c>
      <c r="I45" s="9" t="s">
        <v>4405</v>
      </c>
      <c r="J45" s="9" t="s">
        <v>2981</v>
      </c>
      <c r="K45" t="s">
        <v>4406</v>
      </c>
      <c r="L45" t="s">
        <v>4407</v>
      </c>
      <c r="M45" s="3" t="str">
        <f>HYPERLINK(СторонТрансп[[#This Row],[RelativePath]])</f>
        <v>1 Ангар Склад 2 въезд\E33149364_6_20251201T205709Z.jpg</v>
      </c>
    </row>
    <row r="46" spans="1:13" x14ac:dyDescent="0.25">
      <c r="A46" t="s">
        <v>13</v>
      </c>
      <c r="B46" s="4">
        <v>45992</v>
      </c>
      <c r="C46" s="6">
        <v>0.86784722222222221</v>
      </c>
      <c r="D46" s="7" t="s">
        <v>91</v>
      </c>
      <c r="E46" t="s">
        <v>4194</v>
      </c>
      <c r="F46" t="s">
        <v>1609</v>
      </c>
      <c r="H46" t="s">
        <v>5074</v>
      </c>
      <c r="I46" s="9" t="s">
        <v>4402</v>
      </c>
      <c r="J46" s="9" t="s">
        <v>2981</v>
      </c>
      <c r="K46" t="s">
        <v>4403</v>
      </c>
      <c r="L46" t="s">
        <v>4404</v>
      </c>
      <c r="M46" s="3" t="str">
        <f>HYPERLINK(СторонТрансп[[#This Row],[RelativePath]])</f>
        <v>1 Ангар Склад 2 въезд\E33149364_6_20251201T204942Z.jpg</v>
      </c>
    </row>
    <row r="47" spans="1:13" x14ac:dyDescent="0.25">
      <c r="A47" t="s">
        <v>22</v>
      </c>
      <c r="B47" s="4">
        <v>45998</v>
      </c>
      <c r="C47" s="6">
        <v>0.67327546296296292</v>
      </c>
      <c r="D47" s="7" t="s">
        <v>62</v>
      </c>
      <c r="E47" t="s">
        <v>5259</v>
      </c>
      <c r="F47" t="s">
        <v>5260</v>
      </c>
      <c r="H47" t="s">
        <v>5261</v>
      </c>
      <c r="I47" s="9" t="s">
        <v>5146</v>
      </c>
      <c r="J47" s="9" t="s">
        <v>2981</v>
      </c>
      <c r="K47" t="s">
        <v>5301</v>
      </c>
      <c r="L47" t="s">
        <v>5147</v>
      </c>
      <c r="M47" s="3" t="str">
        <f>HYPERLINK(СторонТрансп[[#This Row],[RelativePath]])</f>
        <v>1 Ангар Склад 2 въезд\E33149364_6_20251207T160931Z.jpg</v>
      </c>
    </row>
    <row r="48" spans="1:13" x14ac:dyDescent="0.25">
      <c r="A48" t="s">
        <v>22</v>
      </c>
      <c r="B48" s="4">
        <v>45998</v>
      </c>
      <c r="C48" s="6">
        <v>0.57973379629629629</v>
      </c>
      <c r="D48" s="7" t="s">
        <v>91</v>
      </c>
      <c r="E48" t="s">
        <v>5259</v>
      </c>
      <c r="F48" t="s">
        <v>51</v>
      </c>
      <c r="I48" s="9" t="s">
        <v>5144</v>
      </c>
      <c r="J48" s="9" t="s">
        <v>2981</v>
      </c>
      <c r="K48" t="s">
        <v>5300</v>
      </c>
      <c r="L48" t="s">
        <v>5145</v>
      </c>
      <c r="M48" s="3" t="str">
        <f>HYPERLINK(СторонТрансп[[#This Row],[RelativePath]])</f>
        <v>1 Ангар Склад 2 въезд\E33149364_6_20251207T135449Z.jpg</v>
      </c>
    </row>
    <row r="49" spans="1:13" x14ac:dyDescent="0.25">
      <c r="A49" t="s">
        <v>13</v>
      </c>
      <c r="B49" s="4">
        <v>45999</v>
      </c>
      <c r="C49" s="6">
        <v>0.66584490740740743</v>
      </c>
      <c r="D49" s="7" t="s">
        <v>85</v>
      </c>
      <c r="E49" t="s">
        <v>4193</v>
      </c>
      <c r="F49" t="s">
        <v>5076</v>
      </c>
      <c r="I49" s="9" t="s">
        <v>5274</v>
      </c>
      <c r="J49" s="9" t="s">
        <v>2981</v>
      </c>
      <c r="K49" t="s">
        <v>5303</v>
      </c>
      <c r="L49" t="s">
        <v>5275</v>
      </c>
      <c r="M49" s="3" t="str">
        <f>HYPERLINK(СторонТрансп[[#This Row],[RelativePath]])</f>
        <v>1 Ангар Склад 2 въезд\E33149364_6_20251208T155849Z.jpg</v>
      </c>
    </row>
    <row r="50" spans="1:13" x14ac:dyDescent="0.25">
      <c r="A50" t="s">
        <v>13</v>
      </c>
      <c r="B50" s="4">
        <v>45999</v>
      </c>
      <c r="C50" s="6">
        <v>0.59879629629629627</v>
      </c>
      <c r="D50" s="7" t="s">
        <v>64</v>
      </c>
      <c r="E50" t="s">
        <v>4193</v>
      </c>
      <c r="F50" t="s">
        <v>5076</v>
      </c>
      <c r="I50" s="9" t="s">
        <v>5272</v>
      </c>
      <c r="J50" s="9" t="s">
        <v>2981</v>
      </c>
      <c r="K50" t="s">
        <v>5302</v>
      </c>
      <c r="L50" t="s">
        <v>5273</v>
      </c>
      <c r="M50" s="3" t="str">
        <f>HYPERLINK(СторонТрансп[[#This Row],[RelativePath]])</f>
        <v>1 Ангар Склад 2 въезд\E33149364_6_20251208T142216Z.jpg</v>
      </c>
    </row>
    <row r="51" spans="1:13" x14ac:dyDescent="0.25">
      <c r="A51" t="s">
        <v>14</v>
      </c>
      <c r="B51" s="4">
        <v>46000</v>
      </c>
      <c r="C51" s="6">
        <v>0.51658564814814811</v>
      </c>
      <c r="D51" s="7" t="s">
        <v>3019</v>
      </c>
      <c r="E51" t="s">
        <v>5505</v>
      </c>
      <c r="F51" t="s">
        <v>51</v>
      </c>
      <c r="I51" s="9" t="s">
        <v>5490</v>
      </c>
      <c r="J51" s="9" t="s">
        <v>2981</v>
      </c>
      <c r="K51" t="s">
        <v>5491</v>
      </c>
      <c r="L51" t="s">
        <v>5492</v>
      </c>
      <c r="M51" s="3" t="str">
        <f>HYPERLINK(СторонТрансп[[#This Row],[RelativePath]])</f>
        <v>1 Ангар Склад 2 въезд\E33149364_6_20251209T122353Z.jpg</v>
      </c>
    </row>
    <row r="52" spans="1:13" x14ac:dyDescent="0.25">
      <c r="A52" t="s">
        <v>14</v>
      </c>
      <c r="B52" s="4">
        <v>46000</v>
      </c>
      <c r="C52" s="6">
        <v>0.6348611111111111</v>
      </c>
      <c r="D52" s="7" t="s">
        <v>64</v>
      </c>
      <c r="E52" t="s">
        <v>4193</v>
      </c>
      <c r="F52" t="s">
        <v>5076</v>
      </c>
      <c r="I52" s="9" t="s">
        <v>5493</v>
      </c>
      <c r="J52" s="9" t="s">
        <v>2981</v>
      </c>
      <c r="K52" t="s">
        <v>5494</v>
      </c>
      <c r="L52" t="s">
        <v>5495</v>
      </c>
      <c r="M52" s="3" t="str">
        <f>HYPERLINK(СторонТрансп[[#This Row],[RelativePath]])</f>
        <v>1 Ангар Склад 2 въезд\E33149364_6_20251209T151412Z.jpg</v>
      </c>
    </row>
    <row r="53" spans="1:13" x14ac:dyDescent="0.25">
      <c r="A53" t="s">
        <v>14</v>
      </c>
      <c r="B53" s="4">
        <v>46000</v>
      </c>
      <c r="C53" s="6">
        <v>0.69473379629629628</v>
      </c>
      <c r="D53" s="7" t="s">
        <v>85</v>
      </c>
      <c r="E53" t="s">
        <v>4193</v>
      </c>
      <c r="F53" t="s">
        <v>5076</v>
      </c>
      <c r="I53" s="9" t="s">
        <v>5496</v>
      </c>
      <c r="J53" s="9" t="s">
        <v>2981</v>
      </c>
      <c r="K53" t="s">
        <v>5497</v>
      </c>
      <c r="L53" t="s">
        <v>5498</v>
      </c>
      <c r="M53" s="3" t="str">
        <f>HYPERLINK(СторонТрансп[[#This Row],[RelativePath]])</f>
        <v>1 Ангар Склад 2 въезд\E33149364_6_20251209T164025Z.jpg</v>
      </c>
    </row>
    <row r="54" spans="1:13" x14ac:dyDescent="0.25">
      <c r="A54" t="s">
        <v>14</v>
      </c>
      <c r="B54" s="4">
        <v>46000</v>
      </c>
      <c r="C54" s="6">
        <v>0.42645833333333333</v>
      </c>
      <c r="D54" s="7" t="s">
        <v>64</v>
      </c>
      <c r="E54" t="s">
        <v>4193</v>
      </c>
      <c r="F54" t="s">
        <v>5076</v>
      </c>
      <c r="I54" s="9" t="s">
        <v>5481</v>
      </c>
      <c r="J54" s="9" t="s">
        <v>2981</v>
      </c>
      <c r="K54" t="s">
        <v>5482</v>
      </c>
      <c r="L54" t="s">
        <v>5483</v>
      </c>
      <c r="M54" s="3" t="str">
        <f>HYPERLINK(СторонТрансп[[#This Row],[RelativePath]])</f>
        <v>1 Ангар Склад 2 въезд\E33149364_6_20251209T101406Z.jpg</v>
      </c>
    </row>
    <row r="55" spans="1:13" x14ac:dyDescent="0.25">
      <c r="A55" t="s">
        <v>14</v>
      </c>
      <c r="B55" s="4">
        <v>46000</v>
      </c>
      <c r="C55" s="6">
        <v>0.47930555555555554</v>
      </c>
      <c r="D55" s="7" t="s">
        <v>85</v>
      </c>
      <c r="E55" t="s">
        <v>4193</v>
      </c>
      <c r="F55" t="s">
        <v>5076</v>
      </c>
      <c r="I55" s="9" t="s">
        <v>5484</v>
      </c>
      <c r="J55" s="9" t="s">
        <v>2981</v>
      </c>
      <c r="K55" t="s">
        <v>5485</v>
      </c>
      <c r="L55" t="s">
        <v>5486</v>
      </c>
      <c r="M55" s="3" t="str">
        <f>HYPERLINK(СторонТрансп[[#This Row],[RelativePath]])</f>
        <v>1 Ангар Склад 2 въезд\E33149364_6_20251209T113012Z.jpg</v>
      </c>
    </row>
    <row r="56" spans="1:13" x14ac:dyDescent="0.25">
      <c r="A56" t="s">
        <v>14</v>
      </c>
      <c r="B56" s="4">
        <v>46000</v>
      </c>
      <c r="C56" s="6">
        <v>0.510625</v>
      </c>
      <c r="D56" s="7" t="s">
        <v>91</v>
      </c>
      <c r="E56" t="s">
        <v>5505</v>
      </c>
      <c r="F56" t="s">
        <v>51</v>
      </c>
      <c r="I56" s="9" t="s">
        <v>5487</v>
      </c>
      <c r="J56" s="9" t="s">
        <v>2981</v>
      </c>
      <c r="K56" t="s">
        <v>5488</v>
      </c>
      <c r="L56" t="s">
        <v>5489</v>
      </c>
      <c r="M56" s="3" t="str">
        <f>HYPERLINK(СторонТрансп[[#This Row],[RelativePath]])</f>
        <v>1 Ангар Склад 2 въезд\E33149364_6_20251209T121518Z.jpg</v>
      </c>
    </row>
    <row r="57" spans="1:13" x14ac:dyDescent="0.25">
      <c r="A57" t="s">
        <v>15</v>
      </c>
      <c r="B57" s="4">
        <v>46001</v>
      </c>
      <c r="C57" s="6">
        <v>0.63895833333333329</v>
      </c>
      <c r="D57" s="7" t="s">
        <v>85</v>
      </c>
      <c r="E57" t="s">
        <v>4193</v>
      </c>
      <c r="F57" t="s">
        <v>5076</v>
      </c>
      <c r="I57" s="9" t="s">
        <v>5502</v>
      </c>
      <c r="J57" s="9" t="s">
        <v>2981</v>
      </c>
      <c r="K57" t="s">
        <v>5503</v>
      </c>
      <c r="L57" t="s">
        <v>5504</v>
      </c>
      <c r="M57" s="3" t="str">
        <f>HYPERLINK(СторонТрансп[[#This Row],[RelativePath]])</f>
        <v>1 Ангар Склад 2 въезд\E33149364_6_20251210T152006Z.jpg</v>
      </c>
    </row>
    <row r="58" spans="1:13" x14ac:dyDescent="0.25">
      <c r="A58" t="s">
        <v>15</v>
      </c>
      <c r="B58" s="4">
        <v>46001</v>
      </c>
      <c r="C58" s="6">
        <v>0.53234953703703702</v>
      </c>
      <c r="D58" s="7" t="s">
        <v>64</v>
      </c>
      <c r="E58" t="s">
        <v>4193</v>
      </c>
      <c r="F58" t="s">
        <v>5076</v>
      </c>
      <c r="I58" s="9" t="s">
        <v>5499</v>
      </c>
      <c r="J58" s="9" t="s">
        <v>2981</v>
      </c>
      <c r="K58" t="s">
        <v>5500</v>
      </c>
      <c r="L58" t="s">
        <v>5501</v>
      </c>
      <c r="M58" s="3" t="str">
        <f>HYPERLINK(СторонТрансп[[#This Row],[RelativePath]])</f>
        <v>1 Ангар Склад 2 въезд\E33149364_6_20251210T124635Z.jpg</v>
      </c>
    </row>
    <row r="59" spans="1:13" x14ac:dyDescent="0.25">
      <c r="A59" t="s">
        <v>18</v>
      </c>
      <c r="B59" s="4">
        <v>46004</v>
      </c>
      <c r="C59" s="6">
        <v>0.53726851851851853</v>
      </c>
      <c r="D59" s="7" t="s">
        <v>3019</v>
      </c>
      <c r="E59" t="s">
        <v>6165</v>
      </c>
      <c r="F59" t="s">
        <v>51</v>
      </c>
      <c r="I59" s="9" t="s">
        <v>6035</v>
      </c>
      <c r="J59" s="9" t="s">
        <v>2981</v>
      </c>
      <c r="K59" t="s">
        <v>6036</v>
      </c>
      <c r="L59" t="s">
        <v>6037</v>
      </c>
      <c r="M59" s="3" t="str">
        <f>HYPERLINK(СторонТрансп[[#This Row],[RelativePath]])</f>
        <v>1 Ангар Склад 2 въезд\E33149364_6_20251213T125340Z.jpg</v>
      </c>
    </row>
    <row r="60" spans="1:13" x14ac:dyDescent="0.25">
      <c r="A60" t="s">
        <v>18</v>
      </c>
      <c r="B60" s="4">
        <v>46004</v>
      </c>
      <c r="C60" s="6">
        <v>0.53954861111111108</v>
      </c>
      <c r="D60" s="7" t="s">
        <v>91</v>
      </c>
      <c r="E60" t="s">
        <v>6167</v>
      </c>
      <c r="F60" t="s">
        <v>58</v>
      </c>
      <c r="I60" s="9" t="s">
        <v>6038</v>
      </c>
      <c r="J60" s="9" t="s">
        <v>2981</v>
      </c>
      <c r="K60" t="s">
        <v>6039</v>
      </c>
      <c r="L60" t="s">
        <v>6040</v>
      </c>
      <c r="M60" s="3" t="str">
        <f>HYPERLINK(СторонТрансп[[#This Row],[RelativePath]])</f>
        <v>1 Ангар Склад 2 въезд\E33149364_6_20251213T125657Z.jpg</v>
      </c>
    </row>
    <row r="61" spans="1:13" x14ac:dyDescent="0.25">
      <c r="A61" t="s">
        <v>18</v>
      </c>
      <c r="B61" s="4">
        <v>46004</v>
      </c>
      <c r="C61" s="6">
        <v>0.56135416666666671</v>
      </c>
      <c r="D61" s="7" t="s">
        <v>62</v>
      </c>
      <c r="E61" t="s">
        <v>6167</v>
      </c>
      <c r="F61" t="s">
        <v>6168</v>
      </c>
      <c r="H61" t="s">
        <v>6169</v>
      </c>
      <c r="I61" s="9" t="s">
        <v>6041</v>
      </c>
      <c r="J61" s="9" t="s">
        <v>2981</v>
      </c>
      <c r="K61" t="s">
        <v>6042</v>
      </c>
      <c r="L61" t="s">
        <v>6043</v>
      </c>
      <c r="M61" s="3" t="str">
        <f>HYPERLINK(СторонТрансп[[#This Row],[RelativePath]])</f>
        <v>1 Ангар Склад 2 въезд\E33149364_6_20251213T132821Z.jpg</v>
      </c>
    </row>
    <row r="62" spans="1:13" x14ac:dyDescent="0.25">
      <c r="A62" t="s">
        <v>18</v>
      </c>
      <c r="B62" s="4">
        <v>46004</v>
      </c>
      <c r="C62" s="6">
        <v>0.53692129629629626</v>
      </c>
      <c r="D62" s="7" t="s">
        <v>62</v>
      </c>
      <c r="E62" t="s">
        <v>6166</v>
      </c>
      <c r="F62" t="s">
        <v>51</v>
      </c>
      <c r="I62" s="9" t="s">
        <v>6032</v>
      </c>
      <c r="J62" s="9" t="s">
        <v>2981</v>
      </c>
      <c r="K62" t="s">
        <v>6033</v>
      </c>
      <c r="L62" t="s">
        <v>6034</v>
      </c>
      <c r="M62" s="3" t="str">
        <f>HYPERLINK(СторонТрансп[[#This Row],[RelativePath]])</f>
        <v>1 Ангар Склад 2 въезд\E33149364_6_20251213T125310Z.jpg</v>
      </c>
    </row>
    <row r="63" spans="1:13" x14ac:dyDescent="0.25">
      <c r="A63" t="s">
        <v>18</v>
      </c>
      <c r="B63" s="4">
        <v>46004</v>
      </c>
      <c r="C63" s="6">
        <v>0.41039351851851852</v>
      </c>
      <c r="D63" s="7" t="s">
        <v>62</v>
      </c>
      <c r="E63" t="s">
        <v>6167</v>
      </c>
      <c r="F63" t="s">
        <v>58</v>
      </c>
      <c r="H63" t="s">
        <v>6164</v>
      </c>
      <c r="I63" s="9" t="s">
        <v>6023</v>
      </c>
      <c r="J63" s="9" t="s">
        <v>2981</v>
      </c>
      <c r="K63" t="s">
        <v>6024</v>
      </c>
      <c r="L63" t="s">
        <v>6025</v>
      </c>
      <c r="M63" s="3" t="str">
        <f>HYPERLINK(СторонТрансп[[#This Row],[RelativePath]])</f>
        <v>1 Ангар Склад 2 въезд\E33149364_6_20251213T095058Z.jpg</v>
      </c>
    </row>
    <row r="64" spans="1:13" x14ac:dyDescent="0.25">
      <c r="A64" t="s">
        <v>18</v>
      </c>
      <c r="B64" s="4">
        <v>46004</v>
      </c>
      <c r="C64" s="6">
        <v>0.52951388888888884</v>
      </c>
      <c r="D64" s="7" t="s">
        <v>91</v>
      </c>
      <c r="E64" t="s">
        <v>6166</v>
      </c>
      <c r="F64" t="s">
        <v>51</v>
      </c>
      <c r="I64" s="9" t="s">
        <v>6026</v>
      </c>
      <c r="J64" s="9" t="s">
        <v>2981</v>
      </c>
      <c r="K64" t="s">
        <v>6027</v>
      </c>
      <c r="L64" t="s">
        <v>6028</v>
      </c>
      <c r="M64" s="3" t="str">
        <f>HYPERLINK(СторонТрансп[[#This Row],[RelativePath]])</f>
        <v>1 Ангар Склад 2 въезд\E33149364_6_20251213T124230Z.jpg</v>
      </c>
    </row>
    <row r="65" spans="1:13" x14ac:dyDescent="0.25">
      <c r="A65" t="s">
        <v>18</v>
      </c>
      <c r="B65" s="4">
        <v>46004</v>
      </c>
      <c r="C65" s="6">
        <v>0.52979166666666666</v>
      </c>
      <c r="D65" s="7" t="s">
        <v>91</v>
      </c>
      <c r="E65" t="s">
        <v>6165</v>
      </c>
      <c r="F65" t="s">
        <v>51</v>
      </c>
      <c r="I65" s="9" t="s">
        <v>6029</v>
      </c>
      <c r="J65" s="9" t="s">
        <v>2981</v>
      </c>
      <c r="K65" t="s">
        <v>6030</v>
      </c>
      <c r="L65" t="s">
        <v>6031</v>
      </c>
      <c r="M65" s="3" t="str">
        <f>HYPERLINK(СторонТрансп[[#This Row],[RelativePath]])</f>
        <v>1 Ангар Склад 2 въезд\E33149364_6_20251213T124254Z.jpg</v>
      </c>
    </row>
    <row r="66" spans="1:13" x14ac:dyDescent="0.25">
      <c r="A66" t="s">
        <v>13</v>
      </c>
      <c r="B66" s="4">
        <v>46006</v>
      </c>
      <c r="C66" s="6">
        <v>0.48192129629629632</v>
      </c>
      <c r="D66" s="7" t="s">
        <v>85</v>
      </c>
      <c r="E66" t="s">
        <v>6329</v>
      </c>
      <c r="F66" t="s">
        <v>58</v>
      </c>
      <c r="H66" t="s">
        <v>2936</v>
      </c>
      <c r="I66" s="9" t="s">
        <v>6269</v>
      </c>
      <c r="J66" s="9" t="s">
        <v>2981</v>
      </c>
      <c r="K66" t="s">
        <v>6270</v>
      </c>
      <c r="L66" t="s">
        <v>6271</v>
      </c>
      <c r="M66" s="3" t="str">
        <f>HYPERLINK(СторонТрансп[[#This Row],[RelativePath]])</f>
        <v>1 Ангар Склад 2 въезд\E33149364_6_20251215T113358Z.jpg</v>
      </c>
    </row>
    <row r="67" spans="1:13" x14ac:dyDescent="0.25">
      <c r="A67" t="s">
        <v>13</v>
      </c>
      <c r="B67" s="4">
        <v>46006</v>
      </c>
      <c r="C67" s="6">
        <v>0.54327546296296292</v>
      </c>
      <c r="D67" s="7" t="s">
        <v>85</v>
      </c>
      <c r="E67" t="s">
        <v>4193</v>
      </c>
      <c r="F67" t="s">
        <v>5076</v>
      </c>
      <c r="I67" s="9" t="s">
        <v>6278</v>
      </c>
      <c r="J67" s="9" t="s">
        <v>2981</v>
      </c>
      <c r="K67" t="s">
        <v>6279</v>
      </c>
      <c r="L67" t="s">
        <v>6280</v>
      </c>
      <c r="M67" s="3" t="str">
        <f>HYPERLINK(СторонТрансп[[#This Row],[RelativePath]])</f>
        <v>1 Ангар Склад 2 въезд\E33149364_6_20251215T130219Z.jpg</v>
      </c>
    </row>
    <row r="68" spans="1:13" x14ac:dyDescent="0.25">
      <c r="A68" t="s">
        <v>13</v>
      </c>
      <c r="B68" s="4">
        <v>46006</v>
      </c>
      <c r="C68" s="6">
        <v>0.48171296296296295</v>
      </c>
      <c r="D68" s="7" t="s">
        <v>85</v>
      </c>
      <c r="E68" t="s">
        <v>6329</v>
      </c>
      <c r="F68" t="s">
        <v>58</v>
      </c>
      <c r="H68" t="s">
        <v>1620</v>
      </c>
      <c r="I68" s="9" t="s">
        <v>6266</v>
      </c>
      <c r="J68" s="9" t="s">
        <v>2981</v>
      </c>
      <c r="K68" t="s">
        <v>6267</v>
      </c>
      <c r="L68" t="s">
        <v>6268</v>
      </c>
      <c r="M68" s="3" t="str">
        <f>HYPERLINK(СторонТрансп[[#This Row],[RelativePath]])</f>
        <v>1 Ангар Склад 2 въезд\E33149364_6_20251215T113340Z.jpg</v>
      </c>
    </row>
    <row r="69" spans="1:13" x14ac:dyDescent="0.25">
      <c r="A69" t="s">
        <v>13</v>
      </c>
      <c r="B69" s="4">
        <v>46006</v>
      </c>
      <c r="C69" s="6">
        <v>0.43730324074074073</v>
      </c>
      <c r="D69" s="7" t="s">
        <v>64</v>
      </c>
      <c r="E69" t="s">
        <v>4193</v>
      </c>
      <c r="F69" t="s">
        <v>5076</v>
      </c>
      <c r="I69" s="9" t="s">
        <v>6263</v>
      </c>
      <c r="J69" s="9" t="s">
        <v>2981</v>
      </c>
      <c r="K69" t="s">
        <v>6264</v>
      </c>
      <c r="L69" t="s">
        <v>6265</v>
      </c>
      <c r="M69" s="3" t="str">
        <f>HYPERLINK(СторонТрансп[[#This Row],[RelativePath]])</f>
        <v>1 Ангар Склад 2 въезд\E33149364_6_20251215T102943Z.jpg</v>
      </c>
    </row>
    <row r="70" spans="1:13" x14ac:dyDescent="0.25">
      <c r="A70" t="s">
        <v>13</v>
      </c>
      <c r="B70" s="4">
        <v>46006</v>
      </c>
      <c r="C70" s="6">
        <v>0.46148148148148149</v>
      </c>
      <c r="D70" s="7" t="s">
        <v>91</v>
      </c>
      <c r="E70" t="s">
        <v>6329</v>
      </c>
      <c r="F70" t="s">
        <v>51</v>
      </c>
      <c r="I70" s="9" t="s">
        <v>6343</v>
      </c>
      <c r="J70" s="9" t="s">
        <v>2981</v>
      </c>
      <c r="K70" t="s">
        <v>6344</v>
      </c>
      <c r="L70" t="s">
        <v>6345</v>
      </c>
      <c r="M70" s="3" t="str">
        <f>HYPERLINK(СторонТрансп[[#This Row],[RelativePath]])</f>
        <v>1 Ангар Склад 2 въезд\E33149364_6_20251215T110432Z.jpg</v>
      </c>
    </row>
    <row r="71" spans="1:13" x14ac:dyDescent="0.25">
      <c r="A71" t="s">
        <v>14</v>
      </c>
      <c r="B71" s="4">
        <v>46007</v>
      </c>
      <c r="C71" s="6">
        <v>0.49627314814814816</v>
      </c>
      <c r="D71" s="7" t="s">
        <v>64</v>
      </c>
      <c r="E71" t="s">
        <v>4193</v>
      </c>
      <c r="F71" t="s">
        <v>5076</v>
      </c>
      <c r="I71" s="9" t="s">
        <v>6539</v>
      </c>
      <c r="J71" s="9" t="s">
        <v>2981</v>
      </c>
      <c r="K71" t="s">
        <v>6540</v>
      </c>
      <c r="L71" t="s">
        <v>6541</v>
      </c>
      <c r="M71" s="3" t="str">
        <f>HYPERLINK(СторонТрансп[[#This Row],[RelativePath]])</f>
        <v>1 Ангар Склад 2 въезд\E33149364_6_20251216T115438Z.jpg</v>
      </c>
    </row>
    <row r="72" spans="1:13" x14ac:dyDescent="0.25">
      <c r="A72" t="s">
        <v>14</v>
      </c>
      <c r="B72" s="4">
        <v>46007</v>
      </c>
      <c r="C72" s="6">
        <v>0.58416666666666661</v>
      </c>
      <c r="D72" s="7" t="s">
        <v>85</v>
      </c>
      <c r="E72" t="s">
        <v>4193</v>
      </c>
      <c r="F72" t="s">
        <v>5076</v>
      </c>
      <c r="I72" s="9" t="s">
        <v>6542</v>
      </c>
      <c r="J72" s="9" t="s">
        <v>2981</v>
      </c>
      <c r="K72" t="s">
        <v>6543</v>
      </c>
      <c r="L72" t="s">
        <v>6544</v>
      </c>
      <c r="M72" s="3" t="str">
        <f>HYPERLINK(СторонТрансп[[#This Row],[RelativePath]])</f>
        <v>1 Ангар Склад 2 въезд\E33149364_6_20251216T140112Z.jpg</v>
      </c>
    </row>
    <row r="73" spans="1:13" x14ac:dyDescent="0.25">
      <c r="A73" t="s">
        <v>14</v>
      </c>
      <c r="B73" s="4">
        <v>46007</v>
      </c>
      <c r="C73" s="6">
        <v>0.4475810185185185</v>
      </c>
      <c r="D73" s="7" t="s">
        <v>91</v>
      </c>
      <c r="E73" t="s">
        <v>6656</v>
      </c>
      <c r="F73" t="s">
        <v>51</v>
      </c>
      <c r="I73" s="9" t="s">
        <v>6533</v>
      </c>
      <c r="J73" s="9" t="s">
        <v>2981</v>
      </c>
      <c r="K73" t="s">
        <v>6534</v>
      </c>
      <c r="L73" t="s">
        <v>6535</v>
      </c>
      <c r="M73" s="3" t="str">
        <f>HYPERLINK(СторонТрансп[[#This Row],[RelativePath]])</f>
        <v>1 Ангар Склад 2 въезд\E33149364_6_20251216T104431Z.jpg</v>
      </c>
    </row>
    <row r="74" spans="1:13" x14ac:dyDescent="0.25">
      <c r="A74" t="s">
        <v>14</v>
      </c>
      <c r="B74" s="4">
        <v>46007</v>
      </c>
      <c r="C74" s="6">
        <v>0.46203703703703702</v>
      </c>
      <c r="D74" s="7" t="s">
        <v>62</v>
      </c>
      <c r="E74" t="s">
        <v>6656</v>
      </c>
      <c r="F74" t="s">
        <v>6657</v>
      </c>
      <c r="I74" s="9" t="s">
        <v>6536</v>
      </c>
      <c r="J74" s="9" t="s">
        <v>2981</v>
      </c>
      <c r="K74" t="s">
        <v>6537</v>
      </c>
      <c r="L74" t="s">
        <v>6538</v>
      </c>
      <c r="M74" s="3" t="str">
        <f>HYPERLINK(СторонТрансп[[#This Row],[RelativePath]])</f>
        <v>1 Ангар Склад 2 въезд\E33149364_6_20251216T110520Z.jpg</v>
      </c>
    </row>
    <row r="75" spans="1:13" x14ac:dyDescent="0.25">
      <c r="A75" t="s">
        <v>16</v>
      </c>
      <c r="B75" s="4">
        <v>46009</v>
      </c>
      <c r="C75" s="6">
        <v>0.61517361111111113</v>
      </c>
      <c r="D75" s="7" t="s">
        <v>85</v>
      </c>
      <c r="E75" t="s">
        <v>4193</v>
      </c>
      <c r="F75" t="s">
        <v>5076</v>
      </c>
      <c r="I75" s="9" t="s">
        <v>6679</v>
      </c>
      <c r="J75" s="9" t="s">
        <v>2981</v>
      </c>
      <c r="K75" t="s">
        <v>6680</v>
      </c>
      <c r="L75" t="s">
        <v>6681</v>
      </c>
      <c r="M75" s="3" t="str">
        <f>HYPERLINK(СторонТрансп[[#This Row],[RelativePath]])</f>
        <v>1 Ангар Склад 2 въезд\E33149364_6_20251218T144551Z.jpg</v>
      </c>
    </row>
    <row r="76" spans="1:13" x14ac:dyDescent="0.25">
      <c r="A76" t="s">
        <v>16</v>
      </c>
      <c r="B76" s="4">
        <v>46009</v>
      </c>
      <c r="C76" s="6">
        <v>0.51199074074074069</v>
      </c>
      <c r="D76" s="7" t="s">
        <v>64</v>
      </c>
      <c r="E76" t="s">
        <v>4193</v>
      </c>
      <c r="F76" t="s">
        <v>5076</v>
      </c>
      <c r="I76" s="9" t="s">
        <v>6667</v>
      </c>
      <c r="J76" s="9" t="s">
        <v>2981</v>
      </c>
      <c r="K76" t="s">
        <v>6668</v>
      </c>
      <c r="L76" t="s">
        <v>6669</v>
      </c>
      <c r="M76" s="3" t="str">
        <f>HYPERLINK(СторонТрансп[[#This Row],[RelativePath]])</f>
        <v>1 Ангар Склад 2 въезд\E33149364_6_20251218T121716Z.jpg</v>
      </c>
    </row>
    <row r="77" spans="1:13" x14ac:dyDescent="0.25">
      <c r="A77" t="s">
        <v>13</v>
      </c>
      <c r="B77" s="4">
        <v>46013</v>
      </c>
      <c r="C77" s="6">
        <v>0.55439814814814814</v>
      </c>
      <c r="D77" s="7" t="s">
        <v>85</v>
      </c>
      <c r="E77" t="s">
        <v>4193</v>
      </c>
      <c r="F77" t="s">
        <v>5076</v>
      </c>
      <c r="I77" s="9" t="s">
        <v>7245</v>
      </c>
      <c r="J77" s="9" t="s">
        <v>2981</v>
      </c>
      <c r="K77" t="s">
        <v>7246</v>
      </c>
      <c r="L77" t="s">
        <v>7247</v>
      </c>
      <c r="M77" s="3" t="str">
        <f>HYPERLINK(СторонТрансп[[#This Row],[RelativePath]])</f>
        <v>1 Ангар Склад 2 въезд\E33149364_6_20251222T131820Z.jpg</v>
      </c>
    </row>
    <row r="78" spans="1:13" x14ac:dyDescent="0.25">
      <c r="A78" t="s">
        <v>13</v>
      </c>
      <c r="B78" s="4">
        <v>46013</v>
      </c>
      <c r="C78" s="6">
        <v>0.46493055555555557</v>
      </c>
      <c r="D78" s="7" t="s">
        <v>64</v>
      </c>
      <c r="E78" t="s">
        <v>4193</v>
      </c>
      <c r="F78" t="s">
        <v>5076</v>
      </c>
      <c r="I78" s="9" t="s">
        <v>7242</v>
      </c>
      <c r="J78" s="9" t="s">
        <v>2981</v>
      </c>
      <c r="K78" t="s">
        <v>7243</v>
      </c>
      <c r="L78" t="s">
        <v>7244</v>
      </c>
      <c r="M78" s="3" t="str">
        <f>HYPERLINK(СторонТрансп[[#This Row],[RelativePath]])</f>
        <v>1 Ангар Склад 2 въезд\E33149364_6_20251222T110930Z.jpg</v>
      </c>
    </row>
    <row r="79" spans="1:13" x14ac:dyDescent="0.25">
      <c r="A79" t="s">
        <v>14</v>
      </c>
      <c r="B79" s="4">
        <v>46014</v>
      </c>
      <c r="C79" s="6">
        <v>0.81598379629629625</v>
      </c>
      <c r="D79" s="7" t="s">
        <v>62</v>
      </c>
      <c r="E79" t="s">
        <v>7410</v>
      </c>
      <c r="F79" t="s">
        <v>51</v>
      </c>
      <c r="I79" s="9" t="s">
        <v>7251</v>
      </c>
      <c r="J79" s="9" t="s">
        <v>2981</v>
      </c>
      <c r="K79" t="s">
        <v>7252</v>
      </c>
      <c r="L79" t="s">
        <v>7253</v>
      </c>
      <c r="M79" s="3" t="str">
        <f>HYPERLINK(СторонТрансп[[#This Row],[RelativePath]])</f>
        <v>1 Ангар Склад 2 въезд\E33149364_6_20251223T193501Z.jpg</v>
      </c>
    </row>
    <row r="80" spans="1:13" x14ac:dyDescent="0.25">
      <c r="A80" t="s">
        <v>14</v>
      </c>
      <c r="B80" s="4">
        <v>46014</v>
      </c>
      <c r="C80" s="6">
        <v>0.75899305555555552</v>
      </c>
      <c r="D80" s="7" t="s">
        <v>91</v>
      </c>
      <c r="E80" t="s">
        <v>7410</v>
      </c>
      <c r="F80" t="s">
        <v>60</v>
      </c>
      <c r="I80" s="9" t="s">
        <v>7248</v>
      </c>
      <c r="J80" s="9" t="s">
        <v>2981</v>
      </c>
      <c r="K80" t="s">
        <v>7249</v>
      </c>
      <c r="L80" t="s">
        <v>7250</v>
      </c>
      <c r="M80" s="3" t="str">
        <f>HYPERLINK(СторонТрансп[[#This Row],[RelativePath]])</f>
        <v>1 Ангар Склад 2 въезд\E33149364_6_20251223T181257Z.jpg</v>
      </c>
    </row>
    <row r="81" spans="1:13" x14ac:dyDescent="0.25">
      <c r="A81" t="s">
        <v>15</v>
      </c>
      <c r="B81" s="4">
        <v>46015</v>
      </c>
      <c r="C81" s="6">
        <v>0.88572916666666668</v>
      </c>
      <c r="D81" s="7" t="s">
        <v>91</v>
      </c>
      <c r="E81" t="s">
        <v>7706</v>
      </c>
      <c r="F81" t="s">
        <v>60</v>
      </c>
      <c r="I81" s="9" t="s">
        <v>7421</v>
      </c>
      <c r="J81" s="9" t="s">
        <v>2981</v>
      </c>
      <c r="K81" t="s">
        <v>7422</v>
      </c>
      <c r="L81" t="s">
        <v>7423</v>
      </c>
      <c r="M81" s="3" t="str">
        <f>HYPERLINK(СторонТрансп[[#This Row],[RelativePath]])</f>
        <v>1 Ангар Склад 2 въезд\E33149364_6_20251224T211527Z.jpg</v>
      </c>
    </row>
    <row r="82" spans="1:13" x14ac:dyDescent="0.25">
      <c r="A82" t="s">
        <v>16</v>
      </c>
      <c r="B82" s="4">
        <v>46016</v>
      </c>
      <c r="C82" s="6">
        <v>0.62315972222222227</v>
      </c>
      <c r="D82" s="7" t="s">
        <v>62</v>
      </c>
      <c r="E82" t="s">
        <v>4193</v>
      </c>
      <c r="F82" t="s">
        <v>4240</v>
      </c>
      <c r="I82" s="9" t="s">
        <v>7436</v>
      </c>
      <c r="J82" s="9" t="s">
        <v>2981</v>
      </c>
      <c r="K82" t="s">
        <v>7437</v>
      </c>
      <c r="L82" t="s">
        <v>7438</v>
      </c>
      <c r="M82" s="3" t="str">
        <f>HYPERLINK(СторонТрансп[[#This Row],[RelativePath]])</f>
        <v>1 Ангар Склад 2 въезд\E33149364_6_20251225T145721Z.jpg</v>
      </c>
    </row>
    <row r="83" spans="1:13" x14ac:dyDescent="0.25">
      <c r="A83" t="s">
        <v>16</v>
      </c>
      <c r="B83" s="4">
        <v>46016</v>
      </c>
      <c r="C83" s="6">
        <v>0.51089120370370367</v>
      </c>
      <c r="D83" s="7" t="s">
        <v>91</v>
      </c>
      <c r="E83" t="s">
        <v>4193</v>
      </c>
      <c r="F83" t="s">
        <v>51</v>
      </c>
      <c r="I83" s="9" t="s">
        <v>7430</v>
      </c>
      <c r="J83" s="9" t="s">
        <v>2981</v>
      </c>
      <c r="K83" t="s">
        <v>7431</v>
      </c>
      <c r="L83" t="s">
        <v>7432</v>
      </c>
      <c r="M83" s="3" t="str">
        <f>HYPERLINK(СторонТрансп[[#This Row],[RelativePath]])</f>
        <v>1 Ангар Склад 2 въезд\E33149364_6_20251225T121541Z.jpg</v>
      </c>
    </row>
    <row r="84" spans="1:13" x14ac:dyDescent="0.25">
      <c r="A84" t="s">
        <v>16</v>
      </c>
      <c r="B84" s="4">
        <v>46016</v>
      </c>
      <c r="C84" s="6">
        <v>0.49247685185185186</v>
      </c>
      <c r="D84" s="7" t="s">
        <v>62</v>
      </c>
      <c r="E84" t="s">
        <v>7706</v>
      </c>
      <c r="F84" t="s">
        <v>51</v>
      </c>
      <c r="I84" s="9" t="s">
        <v>7424</v>
      </c>
      <c r="J84" s="9" t="s">
        <v>2981</v>
      </c>
      <c r="K84" t="s">
        <v>7425</v>
      </c>
      <c r="L84" t="s">
        <v>7426</v>
      </c>
      <c r="M84" s="3" t="str">
        <f>HYPERLINK(СторонТрансп[[#This Row],[RelativePath]])</f>
        <v>1 Ангар Склад 2 въезд\E33149364_6_20251225T114910Z.jpg</v>
      </c>
    </row>
    <row r="85" spans="1:13" x14ac:dyDescent="0.25">
      <c r="A85" t="s">
        <v>17</v>
      </c>
      <c r="B85" s="4">
        <v>46017</v>
      </c>
      <c r="C85" s="6">
        <v>0.49219907407407409</v>
      </c>
      <c r="D85" s="7" t="s">
        <v>62</v>
      </c>
      <c r="E85" t="s">
        <v>4193</v>
      </c>
      <c r="F85" t="s">
        <v>5076</v>
      </c>
      <c r="I85" s="9" t="s">
        <v>7726</v>
      </c>
      <c r="J85" s="9" t="s">
        <v>2981</v>
      </c>
      <c r="K85" t="s">
        <v>7727</v>
      </c>
      <c r="L85" t="s">
        <v>7728</v>
      </c>
      <c r="M85" s="3" t="str">
        <f>HYPERLINK(СторонТрансп[[#This Row],[RelativePath]])</f>
        <v>1 Ангар Склад 2 въезд\E33149364_6_20251226T114846Z.jpg</v>
      </c>
    </row>
    <row r="86" spans="1:13" x14ac:dyDescent="0.25">
      <c r="A86" t="s">
        <v>17</v>
      </c>
      <c r="B86" s="4">
        <v>46017</v>
      </c>
      <c r="C86" s="6">
        <v>0.41902777777777778</v>
      </c>
      <c r="D86" s="7" t="s">
        <v>91</v>
      </c>
      <c r="E86" t="s">
        <v>4193</v>
      </c>
      <c r="F86" t="s">
        <v>5076</v>
      </c>
      <c r="I86" s="9" t="s">
        <v>7723</v>
      </c>
      <c r="J86" s="9" t="s">
        <v>2981</v>
      </c>
      <c r="K86" t="s">
        <v>7724</v>
      </c>
      <c r="L86" t="s">
        <v>7725</v>
      </c>
      <c r="M86" s="3" t="str">
        <f>HYPERLINK(СторонТрансп[[#This Row],[RelativePath]])</f>
        <v>1 Ангар Склад 2 въезд\E33149364_6_20251226T100324Z.jpg</v>
      </c>
    </row>
    <row r="87" spans="1:13" x14ac:dyDescent="0.25">
      <c r="A87" t="s">
        <v>18</v>
      </c>
      <c r="B87" s="4">
        <v>46018</v>
      </c>
      <c r="C87" s="6">
        <v>0.59091435185185182</v>
      </c>
      <c r="D87" s="7" t="s">
        <v>91</v>
      </c>
      <c r="E87" t="s">
        <v>6329</v>
      </c>
      <c r="F87" t="s">
        <v>5076</v>
      </c>
      <c r="I87" s="9" t="s">
        <v>7896</v>
      </c>
      <c r="J87" s="9" t="s">
        <v>2981</v>
      </c>
      <c r="K87" t="s">
        <v>7897</v>
      </c>
      <c r="L87" t="s">
        <v>7898</v>
      </c>
      <c r="M87" s="3" t="str">
        <f>HYPERLINK(СторонТрансп[[#This Row],[RelativePath]])</f>
        <v>1 Ангар Склад 2 въезд\E33149364_6_20251227T141055Z.jpg</v>
      </c>
    </row>
    <row r="88" spans="1:13" x14ac:dyDescent="0.25">
      <c r="A88" t="s">
        <v>18</v>
      </c>
      <c r="B88" s="4">
        <v>46018</v>
      </c>
      <c r="C88" s="6">
        <v>0.61064814814814816</v>
      </c>
      <c r="D88" s="7" t="s">
        <v>62</v>
      </c>
      <c r="E88" t="s">
        <v>6329</v>
      </c>
      <c r="F88" t="s">
        <v>5076</v>
      </c>
      <c r="I88" s="9" t="s">
        <v>7899</v>
      </c>
      <c r="J88" s="9" t="s">
        <v>2981</v>
      </c>
      <c r="K88" t="s">
        <v>7900</v>
      </c>
      <c r="L88" t="s">
        <v>7901</v>
      </c>
      <c r="M88" s="3" t="str">
        <f>HYPERLINK(СторонТрансп[[#This Row],[RelativePath]])</f>
        <v>1 Ангар Склад 2 въезд\E33149364_6_20251227T143920Z.jpg</v>
      </c>
    </row>
    <row r="89" spans="1:13" x14ac:dyDescent="0.25">
      <c r="A89" t="s">
        <v>18</v>
      </c>
      <c r="B89" s="4">
        <v>46018</v>
      </c>
      <c r="C89" s="6">
        <v>0.43266203703703704</v>
      </c>
      <c r="D89" s="7" t="s">
        <v>64</v>
      </c>
      <c r="E89" t="s">
        <v>4193</v>
      </c>
      <c r="F89" t="s">
        <v>5076</v>
      </c>
      <c r="I89" s="9" t="s">
        <v>7890</v>
      </c>
      <c r="J89" s="9" t="s">
        <v>2981</v>
      </c>
      <c r="K89" t="s">
        <v>7891</v>
      </c>
      <c r="L89" t="s">
        <v>7892</v>
      </c>
      <c r="M89" s="3" t="str">
        <f>HYPERLINK(СторонТрансп[[#This Row],[RelativePath]])</f>
        <v>1 Ангар Склад 2 въезд\E33149364_6_20251227T102302Z.jpg</v>
      </c>
    </row>
    <row r="90" spans="1:13" x14ac:dyDescent="0.25">
      <c r="A90" t="s">
        <v>18</v>
      </c>
      <c r="B90" s="4">
        <v>46018</v>
      </c>
      <c r="C90" s="6">
        <v>0.58099537037037041</v>
      </c>
      <c r="D90" s="7" t="s">
        <v>85</v>
      </c>
      <c r="E90" t="s">
        <v>4193</v>
      </c>
      <c r="F90" t="s">
        <v>5076</v>
      </c>
      <c r="I90" s="9" t="s">
        <v>7893</v>
      </c>
      <c r="J90" s="9" t="s">
        <v>2981</v>
      </c>
      <c r="K90" t="s">
        <v>7894</v>
      </c>
      <c r="L90" t="s">
        <v>7895</v>
      </c>
      <c r="M90" s="3" t="str">
        <f>HYPERLINK(СторонТрансп[[#This Row],[RelativePath]])</f>
        <v>1 Ангар Склад 2 въезд\E33149364_6_20251227T135638Z.jpg</v>
      </c>
    </row>
    <row r="91" spans="1:13" x14ac:dyDescent="0.25">
      <c r="A91" t="s">
        <v>22</v>
      </c>
      <c r="B91" s="4">
        <v>46019</v>
      </c>
      <c r="C91" s="6">
        <v>0.64039351851851856</v>
      </c>
      <c r="D91" s="7" t="s">
        <v>85</v>
      </c>
      <c r="E91" t="s">
        <v>4193</v>
      </c>
      <c r="F91" t="s">
        <v>5076</v>
      </c>
      <c r="I91" s="9" t="s">
        <v>7917</v>
      </c>
      <c r="J91" s="9" t="s">
        <v>2981</v>
      </c>
      <c r="K91" t="s">
        <v>7918</v>
      </c>
      <c r="L91" t="s">
        <v>7919</v>
      </c>
      <c r="M91" s="3" t="str">
        <f>HYPERLINK(СторонТрансп[[#This Row],[RelativePath]])</f>
        <v>1 Ангар Склад 2 въезд\E33149364_6_20251228T152210Z.jpg</v>
      </c>
    </row>
    <row r="92" spans="1:13" x14ac:dyDescent="0.25">
      <c r="A92" t="s">
        <v>22</v>
      </c>
      <c r="B92" s="4">
        <v>46019</v>
      </c>
      <c r="C92" s="6">
        <v>0.66840277777777779</v>
      </c>
      <c r="D92" s="7" t="s">
        <v>91</v>
      </c>
      <c r="E92" t="s">
        <v>8041</v>
      </c>
      <c r="I92" s="9" t="s">
        <v>7920</v>
      </c>
      <c r="J92" s="9" t="s">
        <v>2981</v>
      </c>
      <c r="K92" t="s">
        <v>7921</v>
      </c>
      <c r="L92" t="s">
        <v>7922</v>
      </c>
      <c r="M92" s="3" t="str">
        <f>HYPERLINK(СторонТрансп[[#This Row],[RelativePath]])</f>
        <v>1 Ангар Склад 2 въезд\E33149364_6_20251228T160230Z.jpg</v>
      </c>
    </row>
    <row r="93" spans="1:13" x14ac:dyDescent="0.25">
      <c r="A93" t="s">
        <v>22</v>
      </c>
      <c r="B93" s="4">
        <v>46019</v>
      </c>
      <c r="C93" s="6">
        <v>0.66979166666666667</v>
      </c>
      <c r="D93" s="7" t="s">
        <v>62</v>
      </c>
      <c r="E93" t="s">
        <v>8041</v>
      </c>
      <c r="I93" s="9" t="s">
        <v>7923</v>
      </c>
      <c r="J93" s="9" t="s">
        <v>2981</v>
      </c>
      <c r="K93" t="s">
        <v>7924</v>
      </c>
      <c r="L93" t="s">
        <v>7925</v>
      </c>
      <c r="M93" s="3" t="str">
        <f>HYPERLINK(СторонТрансп[[#This Row],[RelativePath]])</f>
        <v>1 Ангар Склад 2 въезд\E33149364_6_20251228T160430Z.jpg</v>
      </c>
    </row>
    <row r="94" spans="1:13" x14ac:dyDescent="0.25">
      <c r="A94" t="s">
        <v>22</v>
      </c>
      <c r="B94" s="4">
        <v>46019</v>
      </c>
      <c r="C94" s="6">
        <v>0.50267361111111108</v>
      </c>
      <c r="D94" s="7" t="s">
        <v>91</v>
      </c>
      <c r="E94" t="s">
        <v>4193</v>
      </c>
      <c r="F94" t="s">
        <v>5076</v>
      </c>
      <c r="I94" s="9" t="s">
        <v>7902</v>
      </c>
      <c r="J94" s="9" t="s">
        <v>2981</v>
      </c>
      <c r="K94" t="s">
        <v>7903</v>
      </c>
      <c r="L94" t="s">
        <v>7904</v>
      </c>
      <c r="M94" s="3" t="str">
        <f>HYPERLINK(СторонТрансп[[#This Row],[RelativePath]])</f>
        <v>1 Ангар Склад 2 въезд\E33149364_6_20251228T120351Z.jpg</v>
      </c>
    </row>
    <row r="95" spans="1:13" x14ac:dyDescent="0.25">
      <c r="A95" t="s">
        <v>22</v>
      </c>
      <c r="B95" s="4">
        <v>46019</v>
      </c>
      <c r="C95" s="6">
        <v>0.50665509259259256</v>
      </c>
      <c r="D95" s="7" t="s">
        <v>62</v>
      </c>
      <c r="E95" t="s">
        <v>4193</v>
      </c>
      <c r="F95" t="s">
        <v>5076</v>
      </c>
      <c r="I95" s="9" t="s">
        <v>7905</v>
      </c>
      <c r="J95" s="9" t="s">
        <v>2981</v>
      </c>
      <c r="K95" t="s">
        <v>7906</v>
      </c>
      <c r="L95" t="s">
        <v>7907</v>
      </c>
      <c r="M95" s="3" t="str">
        <f>HYPERLINK(СторонТрансп[[#This Row],[RelativePath]])</f>
        <v>1 Ангар Склад 2 въезд\E33149364_6_20251228T120935Z.jpg</v>
      </c>
    </row>
    <row r="96" spans="1:13" x14ac:dyDescent="0.25">
      <c r="A96" t="s">
        <v>22</v>
      </c>
      <c r="B96" s="4">
        <v>46019</v>
      </c>
      <c r="C96" s="6">
        <v>0.50702546296296291</v>
      </c>
      <c r="D96" s="7" t="s">
        <v>64</v>
      </c>
      <c r="E96" t="s">
        <v>4193</v>
      </c>
      <c r="F96" t="s">
        <v>5076</v>
      </c>
      <c r="I96" s="9" t="s">
        <v>7911</v>
      </c>
      <c r="J96" s="9" t="s">
        <v>2981</v>
      </c>
      <c r="K96" t="s">
        <v>7912</v>
      </c>
      <c r="L96" t="s">
        <v>7913</v>
      </c>
      <c r="M96" s="3" t="str">
        <f>HYPERLINK(СторонТрансп[[#This Row],[RelativePath]])</f>
        <v>1 Ангар Склад 2 въезд\E33149364_6_20251228T121007Z.jpg</v>
      </c>
    </row>
    <row r="97" spans="1:13" x14ac:dyDescent="0.25">
      <c r="A97" t="s">
        <v>18</v>
      </c>
      <c r="B97" s="4">
        <v>46025</v>
      </c>
      <c r="C97" s="6">
        <v>0.68744212962962958</v>
      </c>
      <c r="D97" s="7" t="s">
        <v>62</v>
      </c>
      <c r="E97" t="s">
        <v>8483</v>
      </c>
      <c r="I97" s="9" t="s">
        <v>8378</v>
      </c>
      <c r="J97" s="9" t="s">
        <v>2981</v>
      </c>
      <c r="K97" t="s">
        <v>8379</v>
      </c>
      <c r="L97" t="s">
        <v>8380</v>
      </c>
      <c r="M97" s="3" t="str">
        <f>HYPERLINK(СторонТрансп[[#This Row],[RelativePath]])</f>
        <v>1 Ангар Склад 2 въезд\E33149364_6_20260103T162955Z.jpg</v>
      </c>
    </row>
    <row r="98" spans="1:13" x14ac:dyDescent="0.25">
      <c r="A98" t="s">
        <v>18</v>
      </c>
      <c r="B98" s="4">
        <v>46025</v>
      </c>
      <c r="C98" s="6">
        <v>0.6738425925925926</v>
      </c>
      <c r="D98" s="7" t="s">
        <v>91</v>
      </c>
      <c r="E98" t="s">
        <v>8483</v>
      </c>
      <c r="I98" s="9" t="s">
        <v>8375</v>
      </c>
      <c r="J98" s="9" t="s">
        <v>2981</v>
      </c>
      <c r="K98" t="s">
        <v>8376</v>
      </c>
      <c r="L98" t="s">
        <v>8377</v>
      </c>
      <c r="M98" s="3" t="str">
        <f>HYPERLINK(СторонТрансп[[#This Row],[RelativePath]])</f>
        <v>1 Ангар Склад 2 въезд\E33149364_6_20260103T161020Z.jpg</v>
      </c>
    </row>
    <row r="99" spans="1:13" x14ac:dyDescent="0.25">
      <c r="A99" t="s">
        <v>14</v>
      </c>
      <c r="B99" s="4">
        <v>46028</v>
      </c>
      <c r="C99" s="6">
        <v>0.5905555555555555</v>
      </c>
      <c r="D99" s="7" t="s">
        <v>62</v>
      </c>
      <c r="E99" t="s">
        <v>8799</v>
      </c>
      <c r="I99" s="9" t="s">
        <v>8511</v>
      </c>
      <c r="J99" s="9" t="s">
        <v>2981</v>
      </c>
      <c r="K99" t="s">
        <v>8512</v>
      </c>
      <c r="L99" t="s">
        <v>8513</v>
      </c>
      <c r="M99" s="3" t="str">
        <f>HYPERLINK(СторонТрансп[[#This Row],[RelativePath]])</f>
        <v>1 Ангар Склад 2 въезд\E33149364_6_20260106T141024Z.jpg</v>
      </c>
    </row>
    <row r="100" spans="1:13" x14ac:dyDescent="0.25">
      <c r="A100" t="s">
        <v>14</v>
      </c>
      <c r="B100" s="4">
        <v>46028</v>
      </c>
      <c r="C100" s="6">
        <v>0.58434027777777775</v>
      </c>
      <c r="D100" s="7" t="s">
        <v>91</v>
      </c>
      <c r="E100" t="s">
        <v>8799</v>
      </c>
      <c r="I100" s="9" t="s">
        <v>8508</v>
      </c>
      <c r="J100" s="9" t="s">
        <v>2981</v>
      </c>
      <c r="K100" t="s">
        <v>8509</v>
      </c>
      <c r="L100" t="s">
        <v>8510</v>
      </c>
      <c r="M100" s="3" t="str">
        <f>HYPERLINK(СторонТрансп[[#This Row],[RelativePath]])</f>
        <v>1 Ангар Склад 2 въезд\E33149364_6_20260106T140127Z.jpg</v>
      </c>
    </row>
    <row r="101" spans="1:13" x14ac:dyDescent="0.25">
      <c r="A101" t="s">
        <v>16</v>
      </c>
      <c r="B101" s="4">
        <v>46030</v>
      </c>
      <c r="C101" s="6">
        <v>0.74912037037037038</v>
      </c>
      <c r="D101" s="7" t="s">
        <v>62</v>
      </c>
      <c r="E101" t="s">
        <v>8352</v>
      </c>
      <c r="I101" s="9" t="s">
        <v>8520</v>
      </c>
      <c r="J101" s="9" t="s">
        <v>2981</v>
      </c>
      <c r="K101" t="s">
        <v>8521</v>
      </c>
      <c r="L101" t="s">
        <v>8522</v>
      </c>
      <c r="M101" s="3" t="str">
        <f>HYPERLINK(СторонТрансп[[#This Row],[RelativePath]])</f>
        <v>1 Ангар Склад 2 въезд\E33149364_6_20260108T175844Z.jpg</v>
      </c>
    </row>
    <row r="102" spans="1:13" x14ac:dyDescent="0.25">
      <c r="A102" t="s">
        <v>16</v>
      </c>
      <c r="B102" s="4">
        <v>46030</v>
      </c>
      <c r="C102" s="6">
        <v>0.74810185185185185</v>
      </c>
      <c r="D102" s="7" t="s">
        <v>91</v>
      </c>
      <c r="E102" t="s">
        <v>8352</v>
      </c>
      <c r="I102" s="9" t="s">
        <v>8517</v>
      </c>
      <c r="J102" s="9" t="s">
        <v>2981</v>
      </c>
      <c r="K102" t="s">
        <v>8518</v>
      </c>
      <c r="L102" t="s">
        <v>8519</v>
      </c>
      <c r="M102" s="3" t="str">
        <f>HYPERLINK(СторонТрансп[[#This Row],[RelativePath]])</f>
        <v>1 Ангар Склад 2 въезд\E33149364_6_20260108T175716Z.jpg</v>
      </c>
    </row>
    <row r="103" spans="1:13" x14ac:dyDescent="0.25">
      <c r="A103" t="s">
        <v>17</v>
      </c>
      <c r="B103" s="4">
        <v>46031</v>
      </c>
      <c r="C103" s="6">
        <v>0.67459490740740746</v>
      </c>
      <c r="D103" s="7" t="s">
        <v>62</v>
      </c>
      <c r="E103" t="s">
        <v>8800</v>
      </c>
      <c r="I103" s="9" t="s">
        <v>8526</v>
      </c>
      <c r="J103" s="9" t="s">
        <v>2981</v>
      </c>
      <c r="K103" t="s">
        <v>8527</v>
      </c>
      <c r="L103" t="s">
        <v>8528</v>
      </c>
      <c r="M103" s="3" t="str">
        <f>HYPERLINK(СторонТрансп[[#This Row],[RelativePath]])</f>
        <v>1 Ангар Склад 2 въезд\E33149364_6_20260109T161125Z.jpg</v>
      </c>
    </row>
    <row r="104" spans="1:13" x14ac:dyDescent="0.25">
      <c r="A104" t="s">
        <v>17</v>
      </c>
      <c r="B104" s="4">
        <v>46031</v>
      </c>
      <c r="C104" s="6">
        <v>0.66922453703703699</v>
      </c>
      <c r="D104" s="7" t="s">
        <v>91</v>
      </c>
      <c r="E104" t="s">
        <v>8800</v>
      </c>
      <c r="I104" s="9" t="s">
        <v>8523</v>
      </c>
      <c r="J104" s="9" t="s">
        <v>2981</v>
      </c>
      <c r="K104" t="s">
        <v>8524</v>
      </c>
      <c r="L104" t="s">
        <v>8525</v>
      </c>
      <c r="M104" s="3" t="str">
        <f>HYPERLINK(СторонТрансп[[#This Row],[RelativePath]])</f>
        <v>1 Ангар Склад 2 въезд\E33149364_6_20260109T160341Z.jpg</v>
      </c>
    </row>
    <row r="105" spans="1:13" x14ac:dyDescent="0.25">
      <c r="A105" t="s">
        <v>18</v>
      </c>
      <c r="B105" s="4">
        <v>46032</v>
      </c>
      <c r="C105" s="6">
        <v>0.54745370370370372</v>
      </c>
      <c r="D105" s="7" t="s">
        <v>91</v>
      </c>
      <c r="E105" t="s">
        <v>8802</v>
      </c>
      <c r="I105" s="9" t="s">
        <v>8538</v>
      </c>
      <c r="J105" s="9" t="s">
        <v>2981</v>
      </c>
      <c r="K105" t="s">
        <v>8539</v>
      </c>
      <c r="L105" t="s">
        <v>8540</v>
      </c>
      <c r="M105" s="3" t="str">
        <f>HYPERLINK(СторонТрансп[[#This Row],[RelativePath]])</f>
        <v>1 Ангар Склад 2 въезд\E33149364_6_20260110T130820Z.jpg</v>
      </c>
    </row>
    <row r="106" spans="1:13" x14ac:dyDescent="0.25">
      <c r="A106" t="s">
        <v>18</v>
      </c>
      <c r="B106" s="4">
        <v>46032</v>
      </c>
      <c r="C106" s="6">
        <v>0.69012731481481482</v>
      </c>
      <c r="D106" s="7" t="s">
        <v>62</v>
      </c>
      <c r="E106" t="s">
        <v>8802</v>
      </c>
      <c r="I106" s="9" t="s">
        <v>8541</v>
      </c>
      <c r="J106" s="9" t="s">
        <v>2981</v>
      </c>
      <c r="K106" t="s">
        <v>8542</v>
      </c>
      <c r="L106" t="s">
        <v>8543</v>
      </c>
      <c r="M106" s="3" t="str">
        <f>HYPERLINK(СторонТрансп[[#This Row],[RelativePath]])</f>
        <v>1 Ангар Склад 2 въезд\E33149364_6_20260110T163347Z.jpg</v>
      </c>
    </row>
    <row r="107" spans="1:13" x14ac:dyDescent="0.25">
      <c r="A107" t="s">
        <v>18</v>
      </c>
      <c r="B107" s="4">
        <v>46032</v>
      </c>
      <c r="C107" s="6">
        <v>0.71297453703703706</v>
      </c>
      <c r="D107" s="7" t="s">
        <v>62</v>
      </c>
      <c r="E107" t="s">
        <v>8801</v>
      </c>
      <c r="I107" s="9" t="s">
        <v>8544</v>
      </c>
      <c r="J107" s="9" t="s">
        <v>2981</v>
      </c>
      <c r="K107" t="s">
        <v>8545</v>
      </c>
      <c r="L107" t="s">
        <v>8546</v>
      </c>
      <c r="M107" s="3" t="str">
        <f>HYPERLINK(СторонТрансп[[#This Row],[RelativePath]])</f>
        <v>1 Ангар Склад 2 въезд\E33149364_6_20260110T170641Z.jpg</v>
      </c>
    </row>
    <row r="108" spans="1:13" x14ac:dyDescent="0.25">
      <c r="A108" t="s">
        <v>18</v>
      </c>
      <c r="B108" s="4">
        <v>46032</v>
      </c>
      <c r="C108" s="6">
        <v>0.52962962962962967</v>
      </c>
      <c r="D108" s="7" t="s">
        <v>91</v>
      </c>
      <c r="E108" t="s">
        <v>8801</v>
      </c>
      <c r="I108" s="9" t="s">
        <v>8529</v>
      </c>
      <c r="J108" s="9" t="s">
        <v>2981</v>
      </c>
      <c r="K108" t="s">
        <v>8530</v>
      </c>
      <c r="L108" t="s">
        <v>8531</v>
      </c>
      <c r="M108" s="3" t="str">
        <f>HYPERLINK(СторонТрансп[[#This Row],[RelativePath]])</f>
        <v>1 Ангар Склад 2 въезд\E33149364_6_20260110T124240Z.jpg</v>
      </c>
    </row>
    <row r="109" spans="1:13" x14ac:dyDescent="0.25">
      <c r="A109" t="s">
        <v>18</v>
      </c>
      <c r="B109" s="4">
        <v>46032</v>
      </c>
      <c r="C109" s="6">
        <v>0.54556712962962961</v>
      </c>
      <c r="D109" s="7" t="s">
        <v>62</v>
      </c>
      <c r="E109" t="s">
        <v>8801</v>
      </c>
      <c r="I109" s="9" t="s">
        <v>8532</v>
      </c>
      <c r="J109" s="9" t="s">
        <v>2981</v>
      </c>
      <c r="K109" t="s">
        <v>8533</v>
      </c>
      <c r="L109" t="s">
        <v>8534</v>
      </c>
      <c r="M109" s="3" t="str">
        <f>HYPERLINK(СторонТрансп[[#This Row],[RelativePath]])</f>
        <v>1 Ангар Склад 2 въезд\E33149364_6_20260110T130537Z.jpg</v>
      </c>
    </row>
    <row r="110" spans="1:13" x14ac:dyDescent="0.25">
      <c r="A110" t="s">
        <v>18</v>
      </c>
      <c r="B110" s="4">
        <v>46032</v>
      </c>
      <c r="C110" s="6">
        <v>0.54728009259259258</v>
      </c>
      <c r="D110" s="7" t="s">
        <v>91</v>
      </c>
      <c r="E110" t="s">
        <v>8801</v>
      </c>
      <c r="I110" s="9" t="s">
        <v>8535</v>
      </c>
      <c r="J110" s="9" t="s">
        <v>2981</v>
      </c>
      <c r="K110" t="s">
        <v>8536</v>
      </c>
      <c r="L110" t="s">
        <v>8537</v>
      </c>
      <c r="M110" s="3" t="str">
        <f>HYPERLINK(СторонТрансп[[#This Row],[RelativePath]])</f>
        <v>1 Ангар Склад 2 въезд\E33149364_6_20260110T130805Z.jpg</v>
      </c>
    </row>
    <row r="111" spans="1:13" x14ac:dyDescent="0.25">
      <c r="A111" t="s">
        <v>22</v>
      </c>
      <c r="B111" s="4">
        <v>46033</v>
      </c>
      <c r="C111" s="6">
        <v>0.78712962962962962</v>
      </c>
      <c r="D111" s="7" t="s">
        <v>62</v>
      </c>
      <c r="E111" t="s">
        <v>8800</v>
      </c>
      <c r="I111" s="9" t="s">
        <v>8553</v>
      </c>
      <c r="J111" s="9" t="s">
        <v>2981</v>
      </c>
      <c r="K111" t="s">
        <v>8554</v>
      </c>
      <c r="L111" t="s">
        <v>8555</v>
      </c>
      <c r="M111" s="3" t="str">
        <f>HYPERLINK(СторонТрансп[[#This Row],[RelativePath]])</f>
        <v>1 Ангар Склад 2 въезд\E33149364_6_20260111T185328Z.jpg</v>
      </c>
    </row>
    <row r="112" spans="1:13" x14ac:dyDescent="0.25">
      <c r="A112" t="s">
        <v>22</v>
      </c>
      <c r="B112" s="4">
        <v>46033</v>
      </c>
      <c r="C112" s="6">
        <v>0.78604166666666664</v>
      </c>
      <c r="D112" s="7" t="s">
        <v>91</v>
      </c>
      <c r="E112" t="s">
        <v>8800</v>
      </c>
      <c r="I112" s="9" t="s">
        <v>8550</v>
      </c>
      <c r="J112" s="9" t="s">
        <v>2981</v>
      </c>
      <c r="K112" t="s">
        <v>8551</v>
      </c>
      <c r="L112" t="s">
        <v>8552</v>
      </c>
      <c r="M112" s="3" t="str">
        <f>HYPERLINK(СторонТрансп[[#This Row],[RelativePath]])</f>
        <v>1 Ангар Склад 2 въезд\E33149364_6_20260111T185154Z.jpg</v>
      </c>
    </row>
    <row r="113" spans="1:13" x14ac:dyDescent="0.25">
      <c r="A113" t="s">
        <v>14</v>
      </c>
      <c r="B113" s="4">
        <v>46035</v>
      </c>
      <c r="C113" s="6">
        <v>0.41261574074074076</v>
      </c>
      <c r="D113" s="7" t="s">
        <v>62</v>
      </c>
      <c r="E113" t="s">
        <v>9187</v>
      </c>
      <c r="F113" t="s">
        <v>9188</v>
      </c>
      <c r="I113" s="9" t="s">
        <v>8858</v>
      </c>
      <c r="J113" s="9" t="s">
        <v>2981</v>
      </c>
      <c r="K113" t="s">
        <v>8859</v>
      </c>
      <c r="L113" t="s">
        <v>8860</v>
      </c>
      <c r="M113" s="3" t="str">
        <f>HYPERLINK(СторонТрансп[[#This Row],[RelativePath]])</f>
        <v>1 Ангар Склад 2 въезд\E33149364_6_20260113T095410Z.jpg</v>
      </c>
    </row>
    <row r="114" spans="1:13" x14ac:dyDescent="0.25">
      <c r="A114" t="s">
        <v>14</v>
      </c>
      <c r="B114" s="4">
        <v>46035</v>
      </c>
      <c r="C114" s="6">
        <v>0.41101851851851851</v>
      </c>
      <c r="D114" s="7" t="s">
        <v>91</v>
      </c>
      <c r="E114" t="s">
        <v>9187</v>
      </c>
      <c r="F114" t="s">
        <v>51</v>
      </c>
      <c r="I114" s="9" t="s">
        <v>8855</v>
      </c>
      <c r="J114" s="9" t="s">
        <v>2981</v>
      </c>
      <c r="K114" t="s">
        <v>8856</v>
      </c>
      <c r="L114" t="s">
        <v>8857</v>
      </c>
      <c r="M114" s="3" t="str">
        <f>HYPERLINK(СторонТрансп[[#This Row],[RelativePath]])</f>
        <v>1 Ангар Склад 2 въезд\E33149364_6_20260113T095152Z.jpg</v>
      </c>
    </row>
    <row r="115" spans="1:13" x14ac:dyDescent="0.25">
      <c r="A115" t="s">
        <v>15</v>
      </c>
      <c r="B115" s="4">
        <v>46036</v>
      </c>
      <c r="C115" s="6">
        <v>0.70822916666666669</v>
      </c>
      <c r="D115" s="7" t="s">
        <v>62</v>
      </c>
      <c r="E115" t="s">
        <v>4193</v>
      </c>
      <c r="F115" t="s">
        <v>5076</v>
      </c>
      <c r="I115" s="9" t="s">
        <v>9246</v>
      </c>
      <c r="J115" s="9" t="s">
        <v>2981</v>
      </c>
      <c r="K115" t="s">
        <v>9247</v>
      </c>
      <c r="L115" t="s">
        <v>9248</v>
      </c>
      <c r="M115" s="3" t="str">
        <f>HYPERLINK(СторонТрансп[[#This Row],[RelativePath]])</f>
        <v>1 Ангар Склад 2 въезд\E33149364_6_20260114T165951Z.jpg</v>
      </c>
    </row>
    <row r="116" spans="1:13" x14ac:dyDescent="0.25">
      <c r="A116" t="s">
        <v>15</v>
      </c>
      <c r="B116" s="4">
        <v>46036</v>
      </c>
      <c r="C116" s="6">
        <v>0.4987152777777778</v>
      </c>
      <c r="D116" s="7" t="s">
        <v>91</v>
      </c>
      <c r="E116" t="s">
        <v>4193</v>
      </c>
      <c r="F116" t="s">
        <v>5076</v>
      </c>
      <c r="I116" s="9" t="s">
        <v>9243</v>
      </c>
      <c r="J116" s="9" t="s">
        <v>2981</v>
      </c>
      <c r="K116" t="s">
        <v>9244</v>
      </c>
      <c r="L116" t="s">
        <v>9245</v>
      </c>
      <c r="M116" s="3" t="str">
        <f>HYPERLINK(СторонТрансп[[#This Row],[RelativePath]])</f>
        <v>1 Ангар Склад 2 въезд\E33149364_6_20260114T115809Z.jpg</v>
      </c>
    </row>
    <row r="117" spans="1:13" x14ac:dyDescent="0.25">
      <c r="A117" t="s">
        <v>17</v>
      </c>
      <c r="B117" s="4">
        <v>46038</v>
      </c>
      <c r="C117" s="6">
        <v>0.41836805555555556</v>
      </c>
      <c r="D117" s="7" t="s">
        <v>62</v>
      </c>
      <c r="E117" t="s">
        <v>8352</v>
      </c>
      <c r="F117" t="s">
        <v>2944</v>
      </c>
      <c r="H117" t="s">
        <v>9336</v>
      </c>
      <c r="I117" s="9" t="s">
        <v>9252</v>
      </c>
      <c r="J117" s="9" t="s">
        <v>2981</v>
      </c>
      <c r="K117" t="s">
        <v>9253</v>
      </c>
      <c r="L117" t="s">
        <v>9254</v>
      </c>
      <c r="M117" s="3" t="str">
        <f>HYPERLINK(СторонТрансп[[#This Row],[RelativePath]])</f>
        <v>1 Ангар Склад 2 въезд\E33149364_6_20260116T100227Z.jpg</v>
      </c>
    </row>
    <row r="118" spans="1:13" x14ac:dyDescent="0.25">
      <c r="A118" t="s">
        <v>18</v>
      </c>
      <c r="B118" s="4">
        <v>46039</v>
      </c>
      <c r="C118" s="6">
        <v>0.63754629629629633</v>
      </c>
      <c r="D118" s="7" t="s">
        <v>91</v>
      </c>
      <c r="E118" t="s">
        <v>6656</v>
      </c>
      <c r="F118" t="s">
        <v>51</v>
      </c>
      <c r="I118" s="9" t="s">
        <v>9600</v>
      </c>
      <c r="J118" s="9" t="s">
        <v>2981</v>
      </c>
      <c r="K118" t="s">
        <v>9601</v>
      </c>
      <c r="L118" t="s">
        <v>9602</v>
      </c>
      <c r="M118" s="3" t="str">
        <f>HYPERLINK(СторонТрансп[[#This Row],[RelativePath]])</f>
        <v>1 Ангар Склад 2 въезд\E33149364_6_20260117T151804Z.jpg</v>
      </c>
    </row>
    <row r="119" spans="1:13" x14ac:dyDescent="0.25">
      <c r="A119" t="s">
        <v>18</v>
      </c>
      <c r="B119" s="4">
        <v>46039</v>
      </c>
      <c r="C119" s="6">
        <v>0.6466319444444445</v>
      </c>
      <c r="D119" s="7" t="s">
        <v>62</v>
      </c>
      <c r="E119" t="s">
        <v>9683</v>
      </c>
      <c r="I119" s="9" t="s">
        <v>9603</v>
      </c>
      <c r="J119" s="9" t="s">
        <v>2981</v>
      </c>
      <c r="K119" t="s">
        <v>9604</v>
      </c>
      <c r="L119" t="s">
        <v>9605</v>
      </c>
      <c r="M119" s="3" t="str">
        <f>HYPERLINK(СторонТрансп[[#This Row],[RelativePath]])</f>
        <v>1 Ангар Склад 2 въезд\E33149364_6_20260117T153109Z.jpg</v>
      </c>
    </row>
    <row r="120" spans="1:13" x14ac:dyDescent="0.25">
      <c r="A120" t="s">
        <v>18</v>
      </c>
      <c r="B120" s="4">
        <v>46039</v>
      </c>
      <c r="C120" s="6">
        <v>0.65831018518518514</v>
      </c>
      <c r="D120" s="7" t="s">
        <v>62</v>
      </c>
      <c r="E120" t="s">
        <v>6656</v>
      </c>
      <c r="F120" t="s">
        <v>9684</v>
      </c>
      <c r="I120" s="9" t="s">
        <v>9606</v>
      </c>
      <c r="J120" s="9" t="s">
        <v>2981</v>
      </c>
      <c r="K120" t="s">
        <v>9607</v>
      </c>
      <c r="L120" t="s">
        <v>9608</v>
      </c>
      <c r="M120" s="3" t="str">
        <f>HYPERLINK(СторонТрансп[[#This Row],[RelativePath]])</f>
        <v>1 Ангар Склад 2 въезд\E33149364_6_20260117T154758Z.jpg</v>
      </c>
    </row>
    <row r="121" spans="1:13" x14ac:dyDescent="0.25">
      <c r="A121" t="s">
        <v>18</v>
      </c>
      <c r="B121" s="4">
        <v>46039</v>
      </c>
      <c r="C121" s="6">
        <v>0.59502314814814816</v>
      </c>
      <c r="D121" s="7" t="s">
        <v>91</v>
      </c>
      <c r="E121" t="s">
        <v>6656</v>
      </c>
      <c r="F121" t="s">
        <v>51</v>
      </c>
      <c r="I121" s="9" t="s">
        <v>9591</v>
      </c>
      <c r="J121" s="9" t="s">
        <v>2981</v>
      </c>
      <c r="K121" t="s">
        <v>9592</v>
      </c>
      <c r="L121" t="s">
        <v>9593</v>
      </c>
      <c r="M121" s="3" t="str">
        <f>HYPERLINK(СторонТрансп[[#This Row],[RelativePath]])</f>
        <v>1 Ангар Склад 2 въезд\E33149364_6_20260117T141650Z.jpg</v>
      </c>
    </row>
    <row r="122" spans="1:13" x14ac:dyDescent="0.25">
      <c r="A122" t="s">
        <v>18</v>
      </c>
      <c r="B122" s="4">
        <v>46039</v>
      </c>
      <c r="C122" s="6">
        <v>0.61209490740740746</v>
      </c>
      <c r="D122" s="7" t="s">
        <v>62</v>
      </c>
      <c r="E122" t="s">
        <v>6656</v>
      </c>
      <c r="F122" t="s">
        <v>4240</v>
      </c>
      <c r="I122" s="9" t="s">
        <v>9594</v>
      </c>
      <c r="J122" s="9" t="s">
        <v>2981</v>
      </c>
      <c r="K122" t="s">
        <v>9595</v>
      </c>
      <c r="L122" t="s">
        <v>9596</v>
      </c>
      <c r="M122" s="3" t="str">
        <f>HYPERLINK(СторонТрансп[[#This Row],[RelativePath]])</f>
        <v>1 Ангар Склад 2 въезд\E33149364_6_20260117T144125Z.jpg</v>
      </c>
    </row>
    <row r="123" spans="1:13" x14ac:dyDescent="0.25">
      <c r="A123" t="s">
        <v>18</v>
      </c>
      <c r="B123" s="4">
        <v>46039</v>
      </c>
      <c r="C123" s="6">
        <v>0.61331018518518521</v>
      </c>
      <c r="D123" s="7" t="s">
        <v>91</v>
      </c>
      <c r="E123" t="s">
        <v>9683</v>
      </c>
      <c r="I123" s="9" t="s">
        <v>9597</v>
      </c>
      <c r="J123" s="9" t="s">
        <v>2981</v>
      </c>
      <c r="K123" t="s">
        <v>9598</v>
      </c>
      <c r="L123" t="s">
        <v>9599</v>
      </c>
      <c r="M123" s="3" t="str">
        <f>HYPERLINK(СторонТрансп[[#This Row],[RelativePath]])</f>
        <v>1 Ангар Склад 2 въезд\E33149364_6_20260117T144310Z.jpg</v>
      </c>
    </row>
    <row r="124" spans="1:13" x14ac:dyDescent="0.25">
      <c r="A124" t="s">
        <v>16</v>
      </c>
      <c r="B124" s="4">
        <v>46044</v>
      </c>
      <c r="C124" s="6">
        <v>0.93010416666666662</v>
      </c>
      <c r="D124" s="7" t="s">
        <v>91</v>
      </c>
      <c r="E124" t="s">
        <v>10164</v>
      </c>
      <c r="F124" t="s">
        <v>60</v>
      </c>
      <c r="I124" s="9" t="s">
        <v>10158</v>
      </c>
      <c r="J124" s="9" t="s">
        <v>2981</v>
      </c>
      <c r="K124" t="s">
        <v>10159</v>
      </c>
      <c r="L124" t="s">
        <v>10160</v>
      </c>
      <c r="M124" s="3" t="str">
        <f>HYPERLINK(СторонТрансп[[#This Row],[RelativePath]])</f>
        <v>1 Ангар Склад 2 въезд\E33149364_6_20260122T221921Z.jpg</v>
      </c>
    </row>
    <row r="125" spans="1:13" x14ac:dyDescent="0.25">
      <c r="A125" t="s">
        <v>16</v>
      </c>
      <c r="B125" s="4">
        <v>46044</v>
      </c>
      <c r="C125" s="6">
        <v>0.6736805555555555</v>
      </c>
      <c r="D125" s="7" t="s">
        <v>62</v>
      </c>
      <c r="E125" t="s">
        <v>4193</v>
      </c>
      <c r="F125" t="s">
        <v>5076</v>
      </c>
      <c r="I125" s="9" t="s">
        <v>9933</v>
      </c>
      <c r="J125" s="9" t="s">
        <v>2981</v>
      </c>
      <c r="K125" t="s">
        <v>9934</v>
      </c>
      <c r="L125" t="s">
        <v>9935</v>
      </c>
      <c r="M125" s="3" t="str">
        <f>HYPERLINK(СторонТрансп[[#This Row],[RelativePath]])</f>
        <v>1 Ангар Склад 2 въезд\E33149364_6_20260122T161006Z.jpg</v>
      </c>
    </row>
    <row r="126" spans="1:13" x14ac:dyDescent="0.25">
      <c r="A126" t="s">
        <v>16</v>
      </c>
      <c r="B126" s="4">
        <v>46044</v>
      </c>
      <c r="C126" s="6">
        <v>0.50423611111111111</v>
      </c>
      <c r="D126" s="7" t="s">
        <v>91</v>
      </c>
      <c r="E126" t="s">
        <v>4193</v>
      </c>
      <c r="F126" t="s">
        <v>5076</v>
      </c>
      <c r="I126" s="9" t="s">
        <v>9930</v>
      </c>
      <c r="J126" s="9" t="s">
        <v>2981</v>
      </c>
      <c r="K126" t="s">
        <v>9931</v>
      </c>
      <c r="L126" t="s">
        <v>9932</v>
      </c>
      <c r="M126" s="3" t="str">
        <f>HYPERLINK(СторонТрансп[[#This Row],[RelativePath]])</f>
        <v>1 Ангар Склад 2 въезд\E33149364_6_20260122T120606Z.jpg</v>
      </c>
    </row>
    <row r="127" spans="1:13" x14ac:dyDescent="0.25">
      <c r="A127" t="s">
        <v>17</v>
      </c>
      <c r="B127" s="4">
        <v>46045</v>
      </c>
      <c r="C127" s="6">
        <v>0.45699074074074075</v>
      </c>
      <c r="D127" s="7" t="s">
        <v>62</v>
      </c>
      <c r="E127" t="s">
        <v>10165</v>
      </c>
      <c r="F127" t="s">
        <v>10167</v>
      </c>
      <c r="G127">
        <v>1</v>
      </c>
      <c r="I127" s="9" t="s">
        <v>10149</v>
      </c>
      <c r="J127" s="9" t="s">
        <v>2981</v>
      </c>
      <c r="K127" t="s">
        <v>10150</v>
      </c>
      <c r="L127" t="s">
        <v>10151</v>
      </c>
      <c r="M127" s="3" t="str">
        <f>HYPERLINK(СторонТрансп[[#This Row],[RelativePath]])</f>
        <v>1 Ангар Склад 2 въезд\E33149364_6_20260123T105804Z.jpg</v>
      </c>
    </row>
    <row r="128" spans="1:13" x14ac:dyDescent="0.25">
      <c r="A128" t="s">
        <v>17</v>
      </c>
      <c r="B128" s="4">
        <v>46045</v>
      </c>
      <c r="C128" s="6">
        <v>0.51879629629629631</v>
      </c>
      <c r="D128" s="7" t="s">
        <v>62</v>
      </c>
      <c r="E128" t="s">
        <v>10166</v>
      </c>
      <c r="I128" s="9" t="s">
        <v>10152</v>
      </c>
      <c r="J128" s="9" t="s">
        <v>2981</v>
      </c>
      <c r="K128" t="s">
        <v>10153</v>
      </c>
      <c r="L128" t="s">
        <v>10154</v>
      </c>
      <c r="M128" s="3" t="str">
        <f>HYPERLINK(СторонТрансп[[#This Row],[RelativePath]])</f>
        <v>1 Ангар Склад 2 въезд\E33149364_6_20260123T122704Z.jpg</v>
      </c>
    </row>
    <row r="129" spans="1:13" x14ac:dyDescent="0.25">
      <c r="A129" t="s">
        <v>17</v>
      </c>
      <c r="B129" s="4">
        <v>46045</v>
      </c>
      <c r="C129" s="6">
        <v>0.59809027777777779</v>
      </c>
      <c r="D129" s="7" t="s">
        <v>62</v>
      </c>
      <c r="E129" t="s">
        <v>9520</v>
      </c>
      <c r="F129" t="s">
        <v>58</v>
      </c>
      <c r="H129" t="s">
        <v>9336</v>
      </c>
      <c r="I129" s="9" t="s">
        <v>10155</v>
      </c>
      <c r="J129" s="9" t="s">
        <v>2981</v>
      </c>
      <c r="K129" t="s">
        <v>10156</v>
      </c>
      <c r="L129" t="s">
        <v>10157</v>
      </c>
      <c r="M129" s="3" t="str">
        <f>HYPERLINK(СторонТрансп[[#This Row],[RelativePath]])</f>
        <v>1 Ангар Склад 2 въезд\E33149364_6_20260123T142115Z.jpg</v>
      </c>
    </row>
    <row r="130" spans="1:13" x14ac:dyDescent="0.25">
      <c r="A130" t="s">
        <v>17</v>
      </c>
      <c r="B130" s="4">
        <v>46045</v>
      </c>
      <c r="C130" s="6">
        <v>1.7141203703703704E-2</v>
      </c>
      <c r="D130" s="7" t="s">
        <v>62</v>
      </c>
      <c r="E130" t="s">
        <v>10164</v>
      </c>
      <c r="F130" t="s">
        <v>51</v>
      </c>
      <c r="I130" s="9" t="s">
        <v>10161</v>
      </c>
      <c r="J130" s="9" t="s">
        <v>2981</v>
      </c>
      <c r="K130" t="s">
        <v>10162</v>
      </c>
      <c r="L130" t="s">
        <v>10163</v>
      </c>
      <c r="M130" s="3" t="str">
        <f>HYPERLINK(СторонТрансп[[#This Row],[RelativePath]])</f>
        <v>1 Ангар Склад 2 въезд\E33149364_6_20260123T002441Z.jpg</v>
      </c>
    </row>
    <row r="131" spans="1:13" x14ac:dyDescent="0.25">
      <c r="A131" t="s">
        <v>17</v>
      </c>
      <c r="B131" s="4">
        <v>46045</v>
      </c>
      <c r="C131" s="6">
        <v>4.701388888888889E-2</v>
      </c>
      <c r="D131" s="7" t="s">
        <v>91</v>
      </c>
      <c r="E131" t="s">
        <v>10165</v>
      </c>
      <c r="F131" t="s">
        <v>60</v>
      </c>
      <c r="I131" s="9" t="s">
        <v>10143</v>
      </c>
      <c r="J131" s="9" t="s">
        <v>2981</v>
      </c>
      <c r="K131" t="s">
        <v>10144</v>
      </c>
      <c r="L131" t="s">
        <v>10145</v>
      </c>
      <c r="M131" s="3" t="str">
        <f>HYPERLINK(СторонТрансп[[#This Row],[RelativePath]])</f>
        <v>1 Ангар Склад 2 въезд\E33149364_6_20260123T010742Z.jpg</v>
      </c>
    </row>
    <row r="132" spans="1:13" x14ac:dyDescent="0.25">
      <c r="A132" t="s">
        <v>17</v>
      </c>
      <c r="B132" s="4">
        <v>46045</v>
      </c>
      <c r="C132" s="6">
        <v>0.44885416666666667</v>
      </c>
      <c r="D132" s="7" t="s">
        <v>91</v>
      </c>
      <c r="E132" t="s">
        <v>10166</v>
      </c>
      <c r="I132" s="9" t="s">
        <v>10146</v>
      </c>
      <c r="J132" s="9" t="s">
        <v>2981</v>
      </c>
      <c r="K132" t="s">
        <v>10147</v>
      </c>
      <c r="L132" t="s">
        <v>10148</v>
      </c>
      <c r="M132" s="3" t="str">
        <f>HYPERLINK(СторонТрансп[[#This Row],[RelativePath]])</f>
        <v>1 Ангар Склад 2 въезд\E33149364_6_20260123T104621Z.jpg</v>
      </c>
    </row>
    <row r="133" spans="1:13" x14ac:dyDescent="0.25">
      <c r="A133" t="s">
        <v>16</v>
      </c>
      <c r="B133" s="4">
        <v>46051</v>
      </c>
      <c r="C133" s="6">
        <v>0.4944560185185185</v>
      </c>
      <c r="D133" s="7" t="s">
        <v>62</v>
      </c>
      <c r="E133" t="s">
        <v>10884</v>
      </c>
      <c r="F133" t="s">
        <v>58</v>
      </c>
      <c r="G133">
        <v>4</v>
      </c>
      <c r="H133" t="s">
        <v>9336</v>
      </c>
      <c r="I133" s="9" t="s">
        <v>10719</v>
      </c>
      <c r="J133" s="9" t="s">
        <v>2981</v>
      </c>
      <c r="K133" t="s">
        <v>10720</v>
      </c>
      <c r="L133" t="s">
        <v>10721</v>
      </c>
      <c r="M133" s="3" t="str">
        <f>HYPERLINK(СторонТрансп[[#This Row],[RelativePath]])</f>
        <v>1 Ангар Склад 2 въезд\E33149364_6_20260129T115201Z.jpg</v>
      </c>
    </row>
    <row r="134" spans="1:13" x14ac:dyDescent="0.25">
      <c r="A134" t="s">
        <v>18</v>
      </c>
      <c r="B134" s="4">
        <v>46053</v>
      </c>
      <c r="C134" s="6">
        <v>0.7240509259259259</v>
      </c>
      <c r="D134" s="7" t="s">
        <v>91</v>
      </c>
      <c r="E134" t="s">
        <v>11125</v>
      </c>
      <c r="I134" s="9" t="s">
        <v>11016</v>
      </c>
      <c r="J134" s="9" t="s">
        <v>2981</v>
      </c>
      <c r="K134" t="s">
        <v>11017</v>
      </c>
      <c r="L134" t="s">
        <v>11018</v>
      </c>
      <c r="M134" s="3" t="str">
        <f>HYPERLINK(СторонТрансп[[#This Row],[RelativePath]])</f>
        <v>1 Ангар Склад 2 въезд\E33149364_6_20260131T172238Z.jpg</v>
      </c>
    </row>
    <row r="135" spans="1:13" x14ac:dyDescent="0.25">
      <c r="A135" t="s">
        <v>18</v>
      </c>
      <c r="B135" s="4">
        <v>46053</v>
      </c>
      <c r="C135" s="6">
        <v>0.5067476851851852</v>
      </c>
      <c r="D135" s="7" t="s">
        <v>62</v>
      </c>
      <c r="E135" t="s">
        <v>11124</v>
      </c>
      <c r="F135" t="s">
        <v>53</v>
      </c>
      <c r="G135">
        <v>11</v>
      </c>
      <c r="I135" s="9" t="s">
        <v>11013</v>
      </c>
      <c r="J135" s="9" t="s">
        <v>2981</v>
      </c>
      <c r="K135" t="s">
        <v>11014</v>
      </c>
      <c r="L135" t="s">
        <v>11015</v>
      </c>
      <c r="M135" s="3" t="str">
        <f>HYPERLINK(СторонТрансп[[#This Row],[RelativePath]])</f>
        <v>1 Ангар Склад 2 въезд\E33149364_6_20260131T120943Z.jpg</v>
      </c>
    </row>
    <row r="136" spans="1:13" x14ac:dyDescent="0.25">
      <c r="A136" t="s">
        <v>18</v>
      </c>
      <c r="B136" s="4">
        <v>46053</v>
      </c>
      <c r="C136" s="6">
        <v>0.48749999999999999</v>
      </c>
      <c r="D136" s="7" t="s">
        <v>91</v>
      </c>
      <c r="E136" t="s">
        <v>11124</v>
      </c>
      <c r="I136" s="9" t="s">
        <v>11010</v>
      </c>
      <c r="J136" s="9" t="s">
        <v>2981</v>
      </c>
      <c r="K136" t="s">
        <v>11011</v>
      </c>
      <c r="L136" t="s">
        <v>11012</v>
      </c>
      <c r="M136" s="3" t="str">
        <f>HYPERLINK(СторонТрансп[[#This Row],[RelativePath]])</f>
        <v>1 Ангар Склад 2 въезд\E33149364_6_20260131T114200Z.jpg</v>
      </c>
    </row>
  </sheetData>
  <conditionalFormatting sqref="E137:E158 D2:E136">
    <cfRule type="containsText" dxfId="69" priority="6" operator="containsText" text="Выезд с территории">
      <formula>NOT(ISERROR(SEARCH("Выезд с территории",D2)))</formula>
    </cfRule>
  </conditionalFormatting>
  <conditionalFormatting sqref="D2:D136">
    <cfRule type="containsText" dxfId="68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6">
    <cfRule type="containsText" dxfId="67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58">
    <cfRule type="containsText" dxfId="66" priority="2" operator="containsText" text="Газель базы">
      <formula>NOT(ISERROR(SEARCH("Газель базы",E2)))</formula>
    </cfRule>
    <cfRule type="containsText" dxfId="65" priority="3" operator="containsText" text="Погрузчик базы">
      <formula>NOT(ISERROR(SEARCH("Погрузчик базы",E2)))</formula>
    </cfRule>
  </conditionalFormatting>
  <conditionalFormatting sqref="E2:E158">
    <cfRule type="containsText" dxfId="64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2026-02-04T00:22:41Z</dcterms:modified>
</cp:coreProperties>
</file>