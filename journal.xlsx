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90359FFB-9A70-4D99-ACC3-88F90EBF1E2F}" xr6:coauthVersionLast="47" xr6:coauthVersionMax="47" xr10:uidLastSave="{00000000-0000-0000-0000-000000000000}"/>
  <bookViews>
    <workbookView xWindow="-120" yWindow="-120" windowWidth="20730" windowHeight="11040" firstSheet="10" activeTab="14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14 На гаражи" sheetId="41" r:id="rId14"/>
    <sheet name="СпрСобытий" sheetId="20" r:id="rId15"/>
    <sheet name="19 Хронометраж" sheetId="40" r:id="rId16"/>
    <sheet name="Загрузка" sheetId="37" r:id="rId17"/>
    <sheet name="Стороний транспорт" sheetId="38" r:id="rId18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кран'!$A$1:$L$239</definedName>
    <definedName name="ExternalData_1" localSheetId="12" hidden="1">'13 Склад хол'!$A$1:$L$203</definedName>
    <definedName name="ExternalData_1" localSheetId="13" hidden="1">'14 На гаражи'!$A$1:$L$31</definedName>
    <definedName name="ExternalData_1" localSheetId="15" hidden="1">'19 Хронометраж'!$A$1:$L$39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офиса'!$A$1:$L$232</definedName>
    <definedName name="ExternalData_1" localSheetId="4" hidden="1">'5 Крыльцо общага'!$A$1:$L$353</definedName>
    <definedName name="ExternalData_1" localSheetId="5" hidden="1">'6 Площадка 1 общага'!$A$1:$L$198</definedName>
    <definedName name="ExternalData_1" localSheetId="6" hidden="1">'7 Площадка 2 бетонщики'!$A$1:$L$315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6" hidden="1">Загрузка!$A$1:$L$255</definedName>
    <definedName name="ExternalData_1" localSheetId="17" hidden="1">'Стороний транспорт'!$A$1:$L$157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9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0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1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2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3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4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5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6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7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8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<sst xmlns="http://schemas.openxmlformats.org/spreadsheetml/2006/main" count="53734" uniqueCount="12934">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</sst>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20" fontId="0" fillId="0" borderId="0" xfId="0" applyNumberForma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974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924"/>
    <tableColumn id="8" xr3:uid="{7C2AA400-8F21-45B7-B47D-9CF2CFB5DD00}" uniqueName="8" name="Дата" queryTableFieldId="19" dataDxfId="923"/>
    <tableColumn id="9" xr3:uid="{7CB7ABF0-C98D-49E4-A494-985A43D5F40F}" uniqueName="9" name="Время" queryTableFieldId="20" dataDxfId="922"/>
    <tableColumn id="5" xr3:uid="{613A944B-9245-4C6D-9CCE-5037AD552DED}" uniqueName="5" name="Событие" queryTableFieldId="27" dataDxfId="973"/>
    <tableColumn id="7" xr3:uid="{FFEA85A5-3527-4483-91CE-57F760AB9F33}" uniqueName="7" name="Объект" queryTableFieldId="29" dataDxfId="972"/>
    <tableColumn id="10" xr3:uid="{A2E2C27E-C1B2-4B74-A427-E1854B0E2C76}" uniqueName="10" name="Груз" queryTableFieldId="30" dataDxfId="97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970"/>
    <tableColumn id="4" xr3:uid="{B2B57637-8A7D-4C5F-A6F8-E38F3EA43620}" uniqueName="4" name="Name" queryTableFieldId="14" dataDxfId="969"/>
    <tableColumn id="1" xr3:uid="{79275791-6385-434B-9F1B-8BDC003824A7}" uniqueName="1" name="Folder Path" queryTableFieldId="11" dataDxfId="96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92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96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920"/>
    <tableColumn id="8" xr3:uid="{40827FD9-94EC-4CF6-B212-59CF3E913897}" uniqueName="8" name="Дата" queryTableFieldId="19" dataDxfId="919"/>
    <tableColumn id="9" xr3:uid="{1F8E8ADE-5BFB-4171-9A0A-859E22042D3B}" uniqueName="9" name="Время" queryTableFieldId="20" dataDxfId="918"/>
    <tableColumn id="5" xr3:uid="{9D19F2E1-3C70-4F2F-8ED7-6D41C17A9366}" uniqueName="5" name="Событие" queryTableFieldId="27" dataDxfId="966"/>
    <tableColumn id="7" xr3:uid="{8C8CC69A-BA0A-4417-AE7D-B89E26F69F9B}" uniqueName="7" name="Объект" queryTableFieldId="29" dataDxfId="965"/>
    <tableColumn id="10" xr3:uid="{375C36FB-077D-4AA3-B6F7-74ACE46C2638}" uniqueName="10" name="Груз" queryTableFieldId="30" dataDxfId="96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963"/>
    <tableColumn id="4" xr3:uid="{4A5BB282-D54C-4C68-A1D9-B3A819F9FCF6}" uniqueName="4" name="Name" queryTableFieldId="14" dataDxfId="962"/>
    <tableColumn id="1" xr3:uid="{7BD19058-41FF-4EFE-8283-68501A5B1623}" uniqueName="1" name="Folder Path" queryTableFieldId="11" dataDxfId="96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91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874"/>
    <tableColumn id="8" xr3:uid="{B651DAE5-1AB7-4761-9820-CB58DA0D9C46}" uniqueName="8" name="Дата" queryTableFieldId="19" dataDxfId="873"/>
    <tableColumn id="9" xr3:uid="{22B6AE73-6E8B-4F81-B85C-3D141AD4D773}" uniqueName="9" name="Время" queryTableFieldId="20" dataDxfId="872"/>
    <tableColumn id="5" xr3:uid="{CB5AF0FF-A861-4F29-BFD9-751A47066C68}" uniqueName="5" name="Событие" queryTableFieldId="27" dataDxfId="960"/>
    <tableColumn id="7" xr3:uid="{63916370-0910-4B95-ABB4-D88865AA9E43}" uniqueName="7" name="Объект" queryTableFieldId="29" dataDxfId="959"/>
    <tableColumn id="10" xr3:uid="{DDC7656E-7390-4778-A2CE-EEC7AC518263}" uniqueName="10" name="Груз" queryTableFieldId="30" dataDxfId="95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57"/>
    <tableColumn id="4" xr3:uid="{96665EED-E1B8-437C-869A-35CB5BA419D3}" uniqueName="4" name="Name" queryTableFieldId="14" dataDxfId="956"/>
    <tableColumn id="1" xr3:uid="{1F225BD8-B59D-4058-9D99-17124C1F38FB}" uniqueName="1" name="Folder Path" queryTableFieldId="11" dataDxfId="95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7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32" tableType="queryTable" totalsRowShown="0">
  <tableColumns count="13">
    <tableColumn id="11" xr3:uid="{F25D1388-C4DF-49FB-9BF5-0132CEDCCAEA}" uniqueName="11" name="День нед" queryTableFieldId="39" dataDxfId="849"/>
    <tableColumn id="8" xr3:uid="{9EDCCA26-9FD6-4F66-9134-186F89CA663B}" uniqueName="8" name="Дата" queryTableFieldId="19" dataDxfId="848"/>
    <tableColumn id="9" xr3:uid="{FB005DB9-8D3C-48A5-94F1-246606C665DD}" uniqueName="9" name="Время" queryTableFieldId="20" dataDxfId="847"/>
    <tableColumn id="5" xr3:uid="{6D19407C-64CF-4FC5-95E7-163AA12EB226}" uniqueName="5" name="Событие" queryTableFieldId="27" dataDxfId="846"/>
    <tableColumn id="7" xr3:uid="{007BF834-0BCB-4416-8941-11DA4EDFCE5B}" uniqueName="7" name="Объект" queryTableFieldId="29" dataDxfId="845"/>
    <tableColumn id="10" xr3:uid="{E896F002-4451-441D-B0CB-52AD69A6E5C3}" uniqueName="10" name="Груз" queryTableFieldId="30" dataDxfId="84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843"/>
    <tableColumn id="4" xr3:uid="{9F6560FA-27F8-4BE9-BA58-3B0E40F582E5}" uniqueName="4" name="Name" queryTableFieldId="14" dataDxfId="842"/>
    <tableColumn id="1" xr3:uid="{44892CD0-9118-4535-9434-E49462140346}" uniqueName="1" name="Folder Path" queryTableFieldId="11" dataDxfId="84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84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53" tableType="queryTable" totalsRowShown="0">
  <tableColumns count="13">
    <tableColumn id="11" xr3:uid="{390CB009-E9E0-4C0F-93C3-AF6B408B816B}" uniqueName="11" name="День нед" queryTableFieldId="39" dataDxfId="916"/>
    <tableColumn id="8" xr3:uid="{E0A1C296-A368-479C-9A74-85306B3C03D4}" uniqueName="8" name="Дата" queryTableFieldId="19" dataDxfId="915"/>
    <tableColumn id="9" xr3:uid="{86401298-83EB-49D3-ACBA-E743586F5CCB}" uniqueName="9" name="Время" queryTableFieldId="20" dataDxfId="914"/>
    <tableColumn id="5" xr3:uid="{FFB4F03A-A400-4544-A729-2375A1F7D5E8}" uniqueName="5" name="Событие" queryTableFieldId="27" dataDxfId="913"/>
    <tableColumn id="7" xr3:uid="{D96DCF3C-D325-4D0C-94A1-DBE97CC5C9DC}" uniqueName="7" name="Объект" queryTableFieldId="29" dataDxfId="912"/>
    <tableColumn id="10" xr3:uid="{76D99262-42F5-447E-95AC-9C2A84BF344C}" uniqueName="10" name="Груз" queryTableFieldId="30" dataDxfId="91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10"/>
    <tableColumn id="4" xr3:uid="{D16AEB37-7A8A-406F-8ED7-B8D53BAA9BD9}" uniqueName="4" name="Name" queryTableFieldId="14" dataDxfId="909"/>
    <tableColumn id="1" xr3:uid="{1746BE5F-089A-476F-AE8D-5F2B27E9AEEA}" uniqueName="1" name="Folder Path" queryTableFieldId="11" dataDxfId="90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0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98" tableType="queryTable" totalsRowShown="0">
  <tableColumns count="13">
    <tableColumn id="11" xr3:uid="{45D23538-AB74-404E-8577-E2B7A36436AF}" uniqueName="11" name="День нед" queryTableFieldId="39" dataDxfId="834"/>
    <tableColumn id="8" xr3:uid="{40B01B94-168F-4547-A2BC-AA7F91350AB3}" uniqueName="8" name="Дата" queryTableFieldId="19" dataDxfId="833"/>
    <tableColumn id="9" xr3:uid="{A2C94EFB-3081-4BA9-85C2-DFF0455AFA43}" uniqueName="9" name="Время" queryTableFieldId="20" dataDxfId="832"/>
    <tableColumn id="5" xr3:uid="{244D3D34-C9EC-4B9C-BE81-12A0C0BB4342}" uniqueName="5" name="Событие" queryTableFieldId="27" dataDxfId="831"/>
    <tableColumn id="7" xr3:uid="{C449A112-E8A8-4956-B85C-2BA12316F170}" uniqueName="7" name="Объект" queryTableFieldId="29" dataDxfId="830"/>
    <tableColumn id="10" xr3:uid="{C8411557-C312-4542-93DA-DF5949399E11}" uniqueName="10" name="Груз" queryTableFieldId="30" dataDxfId="829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828"/>
    <tableColumn id="4" xr3:uid="{6A396D44-0898-4737-A4C1-8D6D40981793}" uniqueName="4" name="Name" queryTableFieldId="14" dataDxfId="827"/>
    <tableColumn id="1" xr3:uid="{328F21C9-48B9-4081-9B8C-BBD168BD38D1}" uniqueName="1" name="Folder Path" queryTableFieldId="11" dataDxfId="826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825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15" tableType="queryTable" totalsRowShown="0">
  <tableColumns count="13">
    <tableColumn id="11" xr3:uid="{2311EAC9-4673-4BE2-ADB0-E8CEB0BD9945}" uniqueName="11" name="День нед" queryTableFieldId="39" dataDxfId="906"/>
    <tableColumn id="8" xr3:uid="{F1C9804A-F8E7-4755-B717-859265C587A2}" uniqueName="8" name="Дата" queryTableFieldId="19" dataDxfId="905"/>
    <tableColumn id="9" xr3:uid="{1C2BA522-8D4F-4713-849C-1F60357B476E}" uniqueName="9" name="Время" queryTableFieldId="20" dataDxfId="904"/>
    <tableColumn id="5" xr3:uid="{6E084A00-DC62-4E93-8ABC-4651FD4D2408}" uniqueName="5" name="Событие" queryTableFieldId="27" dataDxfId="903"/>
    <tableColumn id="7" xr3:uid="{C9F6EF14-DBE7-4655-9D20-5B253923C11E}" uniqueName="7" name="Объект" queryTableFieldId="29" dataDxfId="902"/>
    <tableColumn id="10" xr3:uid="{0ADEC0F9-9FE9-4E92-BD38-0B8CDDE1BDBD}" uniqueName="10" name="Груз" queryTableFieldId="30" dataDxfId="90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00"/>
    <tableColumn id="4" xr3:uid="{FE606B6B-0A78-44A2-B44F-54FBA553BAD6}" uniqueName="4" name="Name" queryTableFieldId="14" dataDxfId="899"/>
    <tableColumn id="1" xr3:uid="{34274AB2-665A-4EF1-8C79-4944C9C122A7}" uniqueName="1" name="Folder Path" queryTableFieldId="11" dataDxfId="89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89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892"/>
    <tableColumn id="8" xr3:uid="{0D9F5C4C-70B0-46E2-9E29-649E206B6616}" uniqueName="8" name="Дата" queryTableFieldId="19" dataDxfId="891"/>
    <tableColumn id="9" xr3:uid="{7C8561D4-BD7D-493F-BC95-213F2D55F3FD}" uniqueName="9" name="Время" queryTableFieldId="20" dataDxfId="890"/>
    <tableColumn id="5" xr3:uid="{E48795B2-2732-4E4A-81E8-B1585581420B}" uniqueName="5" name="Событие" queryTableFieldId="27" dataDxfId="954"/>
    <tableColumn id="7" xr3:uid="{F684EE24-0636-4EC2-AB94-A65EA5355534}" uniqueName="7" name="Объект" queryTableFieldId="29" dataDxfId="953"/>
    <tableColumn id="10" xr3:uid="{0C1B5273-277F-4438-B52D-9F868AD13DEE}" uniqueName="10" name="Груз" queryTableFieldId="30" dataDxfId="95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51"/>
    <tableColumn id="4" xr3:uid="{729433F6-F4FD-435B-851D-D34CC9060068}" uniqueName="4" name="Name" queryTableFieldId="14" dataDxfId="950"/>
    <tableColumn id="1" xr3:uid="{7A9B9B80-B872-4A82-9D9D-98A75E20F89B}" uniqueName="1" name="Folder Path" queryTableFieldId="11" dataDxfId="94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8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896"/>
    <tableColumn id="8" xr3:uid="{1A2A3B97-F602-468E-8AD3-5DD492638A71}" uniqueName="8" name="Дата" queryTableFieldId="19" dataDxfId="895"/>
    <tableColumn id="9" xr3:uid="{E8725BDD-FF6C-47C3-9100-825160B93721}" uniqueName="9" name="Время" queryTableFieldId="20" dataDxfId="894"/>
    <tableColumn id="5" xr3:uid="{F68EB906-7F6F-4765-A5C8-9B40064179BE}" uniqueName="5" name="Событие" queryTableFieldId="27" dataDxfId="948"/>
    <tableColumn id="7" xr3:uid="{812FE0F9-0D7E-497C-893A-B104BA069155}" uniqueName="7" name="Объект" queryTableFieldId="29" dataDxfId="947"/>
    <tableColumn id="10" xr3:uid="{1679E688-A047-4936-9EBC-9BDCFEA4CD95}" uniqueName="10" name="Груз" queryTableFieldId="30" dataDxfId="94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45"/>
    <tableColumn id="4" xr3:uid="{F9F7F55E-2CCF-4A6B-892F-1C76C0668832}" uniqueName="4" name="Name" queryTableFieldId="14" dataDxfId="944"/>
    <tableColumn id="1" xr3:uid="{0AF9B05B-8D0E-4B8A-81D0-358A18429CE8}" uniqueName="1" name="Folder Path" queryTableFieldId="11" dataDxfId="94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89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888"/>
    <tableColumn id="8" xr3:uid="{FBEC9ECA-BD5C-442E-BB86-7CCAEF9464D2}" uniqueName="8" name="Дата" queryTableFieldId="19" dataDxfId="887"/>
    <tableColumn id="9" xr3:uid="{68242AF7-BC60-4380-843B-35A6CC4A66E6}" uniqueName="9" name="Время" queryTableFieldId="20" dataDxfId="886"/>
    <tableColumn id="5" xr3:uid="{C98BCFD6-9DE9-4A28-B769-F5737933429D}" uniqueName="5" name="Событие" queryTableFieldId="27" dataDxfId="942"/>
    <tableColumn id="7" xr3:uid="{4D44F8D4-93A4-4851-894E-AC8CDD93BD71}" uniqueName="7" name="Объект" queryTableFieldId="29" dataDxfId="941"/>
    <tableColumn id="10" xr3:uid="{0A838B00-A88A-40EE-A542-7E8E08968D89}" uniqueName="10" name="Груз" queryTableFieldId="30" dataDxfId="94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39"/>
    <tableColumn id="4" xr3:uid="{4FA2E248-D5A3-4824-875F-C328FA9AC2F9}" uniqueName="4" name="Name" queryTableFieldId="14" dataDxfId="938"/>
    <tableColumn id="1" xr3:uid="{B01A6B83-82C4-4172-AD5B-D2AF410DBE1B}" uniqueName="1" name="Folder Path" queryTableFieldId="11" dataDxfId="93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8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824"/>
    <tableColumn id="8" xr3:uid="{C788117B-4896-492B-97B3-B2502F0537D8}" uniqueName="8" name="Дата" queryTableFieldId="19" dataDxfId="823"/>
    <tableColumn id="9" xr3:uid="{E3EF5757-6705-492A-BD76-A47D414757C0}" uniqueName="9" name="Время" queryTableFieldId="20" dataDxfId="822"/>
    <tableColumn id="5" xr3:uid="{EF049B28-F832-4F3D-AB4F-3C396920BF5B}" uniqueName="5" name="Событие" queryTableFieldId="27" dataDxfId="936"/>
    <tableColumn id="7" xr3:uid="{DDB63E42-2809-4377-A568-A326109989E9}" uniqueName="7" name="Объект" queryTableFieldId="29" dataDxfId="935"/>
    <tableColumn id="10" xr3:uid="{A4FCF3D3-582A-4DEF-8FB8-9D050C82517D}" uniqueName="10" name="Груз" queryTableFieldId="30" dataDxfId="93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33"/>
    <tableColumn id="4" xr3:uid="{DA63B8EC-3587-40B4-A86A-92B91C78723D}" uniqueName="4" name="Name" queryTableFieldId="14" dataDxfId="932"/>
    <tableColumn id="1" xr3:uid="{360C7476-DEC6-4377-8E95-D472C6673B12}" uniqueName="1" name="Folder Path" queryTableFieldId="11" dataDxfId="93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2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39" tableType="queryTable" totalsRowShown="0">
  <tableColumns count="13">
    <tableColumn id="11" xr3:uid="{C40005DE-8CA6-428A-9DF2-E715CC943F02}" uniqueName="11" name="День нед" queryTableFieldId="39" dataDxfId="859"/>
    <tableColumn id="8" xr3:uid="{55C75F47-F14F-483C-9C7A-95288D9463D6}" uniqueName="8" name="Дата" queryTableFieldId="19" dataDxfId="858"/>
    <tableColumn id="9" xr3:uid="{79D3981C-638A-4D64-BACB-D64D85DAC855}" uniqueName="9" name="Время" queryTableFieldId="20" dataDxfId="857"/>
    <tableColumn id="5" xr3:uid="{B0B848B5-29B2-4292-89A5-7DE5A2F72D15}" uniqueName="5" name="Событие" queryTableFieldId="27" dataDxfId="856"/>
    <tableColumn id="7" xr3:uid="{A9E0C8AC-2336-4969-BC3E-110E6C33529C}" uniqueName="7" name="Объект" queryTableFieldId="29" dataDxfId="855"/>
    <tableColumn id="10" xr3:uid="{F8691CA5-2689-452F-9550-C52E06B35BD6}" uniqueName="10" name="Груз" queryTableFieldId="30" dataDxfId="85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53"/>
    <tableColumn id="4" xr3:uid="{E9716AC2-8439-4E67-8698-BA6CD84F7B9C}" uniqueName="4" name="Name" queryTableFieldId="14" dataDxfId="852"/>
    <tableColumn id="1" xr3:uid="{9AB30DEC-91E3-4633-A156-B937B586CECB}" uniqueName="1" name="Folder Path" queryTableFieldId="11" dataDxfId="85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5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03" tableType="queryTable" totalsRowShown="0">
  <tableColumns count="13">
    <tableColumn id="11" xr3:uid="{B21CFC33-55C8-4073-BBD2-E0A5154A10D6}" uniqueName="11" name="День нед" queryTableFieldId="39" dataDxfId="884"/>
    <tableColumn id="8" xr3:uid="{004370C0-0D3C-4162-A392-32C741C3A58B}" uniqueName="8" name="Дата" queryTableFieldId="19" dataDxfId="883"/>
    <tableColumn id="9" xr3:uid="{6537DA5E-247D-44FB-ACE3-933B3C9B9408}" uniqueName="9" name="Время" queryTableFieldId="20" dataDxfId="882"/>
    <tableColumn id="5" xr3:uid="{4FA9309D-407E-48C1-B1F9-C33DEA7645B1}" uniqueName="5" name="Событие" queryTableFieldId="27" dataDxfId="881"/>
    <tableColumn id="7" xr3:uid="{76E54E9E-D730-4C99-9BF5-96E9384FF63C}" uniqueName="7" name="Объект" queryTableFieldId="29" dataDxfId="880"/>
    <tableColumn id="10" xr3:uid="{B9F78DE2-7938-486B-9BE2-F824D0E7A6C4}" uniqueName="10" name="Груз" queryTableFieldId="30" dataDxfId="87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878"/>
    <tableColumn id="4" xr3:uid="{921D28C1-5761-48A7-B447-6A4446F87545}" uniqueName="4" name="Name" queryTableFieldId="14" dataDxfId="877"/>
    <tableColumn id="1" xr3:uid="{F1A648C1-8DB5-4DEF-B011-BD85E17FCAA3}" uniqueName="1" name="Folder Path" queryTableFieldId="11" dataDxfId="87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75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1" tableType="queryTable" totalsRowShown="0">
  <tableColumns count="13">
    <tableColumn id="11" xr3:uid="{326CF8DE-8E4F-4540-A010-20CF489342A6}" uniqueName="11" name="День нед" queryTableFieldId="39" dataDxfId="870"/>
    <tableColumn id="8" xr3:uid="{B803C26B-EDF7-4F4B-99B7-759FDE206BB4}" uniqueName="8" name="Дата" queryTableFieldId="19" dataDxfId="869"/>
    <tableColumn id="9" xr3:uid="{691C5FBB-50CD-4B8E-845B-069A5BEF4054}" uniqueName="9" name="Время" queryTableFieldId="20" dataDxfId="868"/>
    <tableColumn id="5" xr3:uid="{963AEB35-E363-4027-9FA3-EA15F072700D}" uniqueName="5" name="Событие" queryTableFieldId="27" dataDxfId="867"/>
    <tableColumn id="7" xr3:uid="{9C2F1BAF-3932-43E9-9155-EA713BB0011D}" uniqueName="7" name="Объект" queryTableFieldId="29" dataDxfId="866"/>
    <tableColumn id="10" xr3:uid="{5D4CEE63-A195-4AD7-9985-38CAADCF8E9D}" uniqueName="10" name="Груз" queryTableFieldId="30" dataDxfId="865"/>
    <tableColumn id="13" xr3:uid="{7298E84C-ACAB-4631-8905-CF20AC72E0EA}" uniqueName="13" name="Кол-во" queryTableFieldId="31" dataDxfId="864"/>
    <tableColumn id="14" xr3:uid="{7C8EF3A5-15A6-4571-8EB7-C981C6BEB025}" uniqueName="14" name="Примечание" queryTableFieldId="32" dataDxfId="863"/>
    <tableColumn id="4" xr3:uid="{D4638119-06B9-4DD4-899F-6281EFBF2A28}" uniqueName="4" name="Name" queryTableFieldId="14" dataDxfId="862"/>
    <tableColumn id="1" xr3:uid="{53F21A0B-EBC8-48C0-B8DE-B46C5D45C7AE}" uniqueName="1" name="Folder Path" queryTableFieldId="11" dataDxfId="86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86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109" totalsRowShown="0">
  <autoFilter ref="A1:G4109" xr:uid="{803833C3-A4ED-4039-95A7-46694D1CE00F}">
    <filterColumn colId="6">
      <filters>
        <filter val="На гаражи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839"/>
    <tableColumn id="8" xr3:uid="{60928C38-9593-43BD-B23F-A707A8BA6BF4}" uniqueName="8" name="Дата" queryTableFieldId="19" dataDxfId="838"/>
    <tableColumn id="9" xr3:uid="{9E5D4465-E1ED-428A-B708-C10ADDB65305}" uniqueName="9" name="Время" queryTableFieldId="20" dataDxfId="837"/>
    <tableColumn id="5" xr3:uid="{A9911CA3-0E83-4156-B13A-725D5483CB80}" uniqueName="5" name="Событие" queryTableFieldId="27" dataDxfId="930"/>
    <tableColumn id="7" xr3:uid="{22ACAF1F-F285-43EB-B67C-1DAA0609E04C}" uniqueName="7" name="Объект" queryTableFieldId="29" dataDxfId="929"/>
    <tableColumn id="10" xr3:uid="{8E679C38-5159-496B-8534-CDFA63A95BDF}" uniqueName="10" name="Груз" queryTableFieldId="30" dataDxfId="928"/>
    <tableColumn id="13" xr3:uid="{A06491EC-5198-4E5F-9576-1A3B2FF455BF}" uniqueName="13" name="Кол-во" queryTableFieldId="31" dataDxfId="836"/>
    <tableColumn id="14" xr3:uid="{881B0B85-064A-4D8F-922A-E2F2D20FE30E}" uniqueName="14" name="Примечание" queryTableFieldId="32" dataDxfId="927"/>
    <tableColumn id="4" xr3:uid="{83859021-3431-4733-9E28-9475D80139E8}" uniqueName="4" name="Name" queryTableFieldId="14" dataDxfId="926"/>
    <tableColumn id="1" xr3:uid="{F6AD7BBE-7CE0-4E30-97C2-B8AA8EFFB52B}" uniqueName="1" name="Folder Path" queryTableFieldId="11" dataDxfId="92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35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55" tableType="queryTable" totalsRowShown="0">
  <autoFilter ref="A1:M255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57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820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819" priority="21" operator="notContains" text="порожний">
      <formula>ISERROR(SEARCH("порожний",F2))</formula>
    </cfRule>
  </conditionalFormatting>
  <conditionalFormatting sqref="E2:E265">
    <cfRule type="containsText" dxfId="818" priority="12" operator="containsText" text="Газель базы">
      <formula>NOT(ISERROR(SEARCH("Газель базы",E2)))</formula>
    </cfRule>
    <cfRule type="containsText" dxfId="817" priority="13" operator="containsText" text="Погрузчик базы">
      <formula>NOT(ISERROR(SEARCH("Погрузчик базы",E2)))</formula>
    </cfRule>
  </conditionalFormatting>
  <conditionalFormatting sqref="E2:E265">
    <cfRule type="containsText" dxfId="816" priority="11" operator="containsText" text="Трактор базы">
      <formula>NOT(ISERROR(SEARCH("Трактор базы",E2)))</formula>
    </cfRule>
  </conditionalFormatting>
  <conditionalFormatting sqref="A2:C251">
    <cfRule type="expression" dxfId="815" priority="9">
      <formula>$A2="пн"</formula>
    </cfRule>
  </conditionalFormatting>
  <conditionalFormatting sqref="A2:C253">
    <cfRule type="expression" dxfId="814" priority="3">
      <formula>$A2="вс"</formula>
    </cfRule>
    <cfRule type="expression" dxfId="813" priority="4">
      <formula>$A2="сб"</formula>
    </cfRule>
    <cfRule type="expression" dxfId="812" priority="5">
      <formula>$A2="пт"</formula>
    </cfRule>
    <cfRule type="expression" dxfId="811" priority="6">
      <formula>$A2="чт"</formula>
    </cfRule>
    <cfRule type="expression" dxfId="810" priority="7">
      <formula>$A2="ср"</formula>
    </cfRule>
    <cfRule type="expression" dxfId="809" priority="8">
      <formula>$A2="вт"</formula>
    </cfRule>
  </conditionalFormatting>
  <conditionalFormatting sqref="D2:D262">
    <cfRule type="containsText" dxfId="8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06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05" priority="13" operator="notContains" text="порожний">
      <formula>ISERROR(SEARCH("порожний",F2))</formula>
    </cfRule>
  </conditionalFormatting>
  <conditionalFormatting sqref="E2:E293">
    <cfRule type="containsText" dxfId="804" priority="11" operator="containsText" text="Газель базы">
      <formula>NOT(ISERROR(SEARCH("Газель базы",E2)))</formula>
    </cfRule>
    <cfRule type="containsText" dxfId="803" priority="12" operator="containsText" text="Погрузчик базы">
      <formula>NOT(ISERROR(SEARCH("Погрузчик базы",E2)))</formula>
    </cfRule>
  </conditionalFormatting>
  <conditionalFormatting sqref="E2:E293">
    <cfRule type="containsText" dxfId="802" priority="10" operator="containsText" text="Трактор базы">
      <formula>NOT(ISERROR(SEARCH("Трактор базы",E2)))</formula>
    </cfRule>
  </conditionalFormatting>
  <conditionalFormatting sqref="A2:C279">
    <cfRule type="expression" dxfId="801" priority="9">
      <formula>$A2="пн"</formula>
    </cfRule>
  </conditionalFormatting>
  <conditionalFormatting sqref="A2:C281">
    <cfRule type="expression" dxfId="800" priority="3">
      <formula>$A2="вс"</formula>
    </cfRule>
    <cfRule type="expression" dxfId="799" priority="4">
      <formula>$A2="сб"</formula>
    </cfRule>
    <cfRule type="expression" dxfId="798" priority="5">
      <formula>$A2="пт"</formula>
    </cfRule>
    <cfRule type="expression" dxfId="797" priority="6">
      <formula>$A2="чт"</formula>
    </cfRule>
    <cfRule type="expression" dxfId="796" priority="7">
      <formula>$A2="ср"</formula>
    </cfRule>
    <cfRule type="expression" dxfId="795" priority="8">
      <formula>$A2="вт"</formula>
    </cfRule>
  </conditionalFormatting>
  <conditionalFormatting sqref="D2:D290">
    <cfRule type="containsText" dxfId="7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7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792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791" priority="13" operator="notContains" text="порожний">
      <formula>ISERROR(SEARCH("порожний",F2))</formula>
    </cfRule>
  </conditionalFormatting>
  <conditionalFormatting sqref="E2:E175">
    <cfRule type="containsText" dxfId="790" priority="11" operator="containsText" text="Газель базы">
      <formula>NOT(ISERROR(SEARCH("Газель базы",E2)))</formula>
    </cfRule>
    <cfRule type="containsText" dxfId="789" priority="12" operator="containsText" text="Погрузчик базы">
      <formula>NOT(ISERROR(SEARCH("Погрузчик базы",E2)))</formula>
    </cfRule>
  </conditionalFormatting>
  <conditionalFormatting sqref="E2:E175">
    <cfRule type="containsText" dxfId="788" priority="10" operator="containsText" text="Трактор базы">
      <formula>NOT(ISERROR(SEARCH("Трактор базы",E2)))</formula>
    </cfRule>
  </conditionalFormatting>
  <conditionalFormatting sqref="A2:C161">
    <cfRule type="expression" dxfId="787" priority="9">
      <formula>$A2="пн"</formula>
    </cfRule>
  </conditionalFormatting>
  <conditionalFormatting sqref="A2:C163">
    <cfRule type="expression" dxfId="786" priority="3">
      <formula>$A2="вс"</formula>
    </cfRule>
    <cfRule type="expression" dxfId="785" priority="4">
      <formula>$A2="сб"</formula>
    </cfRule>
    <cfRule type="expression" dxfId="784" priority="5">
      <formula>$A2="пт"</formula>
    </cfRule>
    <cfRule type="expression" dxfId="783" priority="6">
      <formula>$A2="чт"</formula>
    </cfRule>
    <cfRule type="expression" dxfId="782" priority="7">
      <formula>$A2="ср"</formula>
    </cfRule>
    <cfRule type="expression" dxfId="781" priority="8">
      <formula>$A2="вт"</formula>
    </cfRule>
  </conditionalFormatting>
  <conditionalFormatting sqref="D2:D172">
    <cfRule type="containsText" dxfId="7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7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32"/>
  <sheetViews>
    <sheetView zoomScale="90" zoomScaleNormal="90" workbookViewId="0">
      <pane ySplit="1" topLeftCell="A218" activePane="bottomLeft" state="frozen"/>
      <selection pane="bottomLeft" activeCell="E229" sqref="E22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10" t="s">
        <v>4</v>
      </c>
      <c r="E2" s="10" t="s">
        <v>8</v>
      </c>
      <c r="F2" s="10"/>
      <c r="H2" s="10" t="s">
        <v>5</v>
      </c>
      <c r="I2" s="10" t="s">
        <v>291</v>
      </c>
      <c r="J2" s="10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10" t="s">
        <v>4</v>
      </c>
      <c r="E3" s="10" t="s">
        <v>8</v>
      </c>
      <c r="F3" s="10"/>
      <c r="H3" s="10" t="s">
        <v>6</v>
      </c>
      <c r="I3" s="10" t="s">
        <v>295</v>
      </c>
      <c r="J3" s="10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10" t="s">
        <v>4</v>
      </c>
      <c r="E4" s="10" t="s">
        <v>8</v>
      </c>
      <c r="F4" s="10"/>
      <c r="H4" s="10" t="s">
        <v>5</v>
      </c>
      <c r="I4" s="10" t="s">
        <v>298</v>
      </c>
      <c r="J4" s="10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10" t="s">
        <v>4</v>
      </c>
      <c r="E5" s="10" t="s">
        <v>8</v>
      </c>
      <c r="F5" s="10"/>
      <c r="H5" s="10" t="s">
        <v>6</v>
      </c>
      <c r="I5" s="10" t="s">
        <v>301</v>
      </c>
      <c r="J5" s="10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10" t="s">
        <v>4</v>
      </c>
      <c r="E6" s="10" t="s">
        <v>8</v>
      </c>
      <c r="F6" s="10"/>
      <c r="H6" s="10" t="s">
        <v>331</v>
      </c>
      <c r="I6" s="10" t="s">
        <v>304</v>
      </c>
      <c r="J6" s="10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10" t="s">
        <v>4</v>
      </c>
      <c r="E7" s="10" t="s">
        <v>8</v>
      </c>
      <c r="F7" s="10"/>
      <c r="H7" s="10" t="s">
        <v>331</v>
      </c>
      <c r="I7" s="10" t="s">
        <v>307</v>
      </c>
      <c r="J7" s="10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10" t="s">
        <v>4</v>
      </c>
      <c r="E8" s="10" t="s">
        <v>8</v>
      </c>
      <c r="F8" s="10"/>
      <c r="H8" s="10" t="s">
        <v>332</v>
      </c>
      <c r="I8" s="10" t="s">
        <v>310</v>
      </c>
      <c r="J8" s="10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10" t="s">
        <v>4</v>
      </c>
      <c r="E9" s="10" t="s">
        <v>8</v>
      </c>
      <c r="F9" s="10"/>
      <c r="H9" s="10" t="s">
        <v>6</v>
      </c>
      <c r="I9" s="10" t="s">
        <v>313</v>
      </c>
      <c r="J9" s="10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10" t="s">
        <v>4</v>
      </c>
      <c r="E10" s="10" t="s">
        <v>8</v>
      </c>
      <c r="F10" s="10"/>
      <c r="H10" s="10" t="s">
        <v>5</v>
      </c>
      <c r="I10" s="10" t="s">
        <v>316</v>
      </c>
      <c r="J10" s="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10" t="s">
        <v>4</v>
      </c>
      <c r="E11" s="10" t="s">
        <v>8</v>
      </c>
      <c r="F11" s="10"/>
      <c r="H11" s="10" t="s">
        <v>331</v>
      </c>
      <c r="I11" s="10" t="s">
        <v>319</v>
      </c>
      <c r="J11" s="10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10" t="s">
        <v>4</v>
      </c>
      <c r="E12" s="10" t="s">
        <v>8</v>
      </c>
      <c r="F12" s="10"/>
      <c r="H12" s="10" t="s">
        <v>6</v>
      </c>
      <c r="I12" s="10" t="s">
        <v>322</v>
      </c>
      <c r="J12" s="10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10" t="s">
        <v>4</v>
      </c>
      <c r="E13" s="10" t="s">
        <v>8</v>
      </c>
      <c r="F13" s="10"/>
      <c r="H13" s="10" t="s">
        <v>5</v>
      </c>
      <c r="I13" s="10" t="s">
        <v>325</v>
      </c>
      <c r="J13" s="10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10" t="s">
        <v>4</v>
      </c>
      <c r="E14" s="10" t="s">
        <v>8</v>
      </c>
      <c r="F14" s="10"/>
      <c r="H14" s="10" t="s">
        <v>6</v>
      </c>
      <c r="I14" s="10" t="s">
        <v>328</v>
      </c>
      <c r="J14" s="10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10" t="s">
        <v>4</v>
      </c>
      <c r="E15" s="10" t="s">
        <v>8</v>
      </c>
      <c r="F15" s="10"/>
      <c r="H15" s="10" t="s">
        <v>2009</v>
      </c>
      <c r="I15" s="10" t="s">
        <v>1238</v>
      </c>
      <c r="J15" s="10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10" t="s">
        <v>1606</v>
      </c>
      <c r="E16" s="10" t="s">
        <v>56</v>
      </c>
      <c r="F16" s="10" t="s">
        <v>2010</v>
      </c>
      <c r="G16">
        <v>1</v>
      </c>
      <c r="H16" s="10"/>
      <c r="I16" s="10" t="s">
        <v>1241</v>
      </c>
      <c r="J16" s="10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10" t="s">
        <v>1094</v>
      </c>
      <c r="E17" s="10" t="s">
        <v>70</v>
      </c>
      <c r="F17" s="10" t="s">
        <v>2010</v>
      </c>
      <c r="H17" s="10" t="s">
        <v>2011</v>
      </c>
      <c r="I17" s="10" t="s">
        <v>1244</v>
      </c>
      <c r="J17" s="10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10" t="s">
        <v>2012</v>
      </c>
      <c r="E18" s="10" t="s">
        <v>70</v>
      </c>
      <c r="F18" s="10" t="s">
        <v>2010</v>
      </c>
      <c r="H18" s="10" t="s">
        <v>2011</v>
      </c>
      <c r="I18" s="10" t="s">
        <v>1247</v>
      </c>
      <c r="J18" s="10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10" t="s">
        <v>650</v>
      </c>
      <c r="E19" s="10" t="s">
        <v>70</v>
      </c>
      <c r="F19" s="10" t="s">
        <v>2010</v>
      </c>
      <c r="H19" s="10"/>
      <c r="I19" s="10" t="s">
        <v>1250</v>
      </c>
      <c r="J19" s="10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10" t="s">
        <v>1606</v>
      </c>
      <c r="E20" s="10" t="s">
        <v>2001</v>
      </c>
      <c r="F20" s="10"/>
      <c r="H20" s="10"/>
      <c r="I20" s="10" t="s">
        <v>1253</v>
      </c>
      <c r="J20" s="1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10" t="s">
        <v>650</v>
      </c>
      <c r="E21" s="10" t="s">
        <v>2001</v>
      </c>
      <c r="F21" s="10"/>
      <c r="H21" s="10"/>
      <c r="I21" s="10" t="s">
        <v>1256</v>
      </c>
      <c r="J21" s="10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10" t="s">
        <v>1606</v>
      </c>
      <c r="E22" s="10" t="s">
        <v>2002</v>
      </c>
      <c r="F22" s="10"/>
      <c r="H22" s="10"/>
      <c r="I22" s="10" t="s">
        <v>1259</v>
      </c>
      <c r="J22" s="10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10" t="s">
        <v>1606</v>
      </c>
      <c r="E23" s="10" t="s">
        <v>70</v>
      </c>
      <c r="F23" s="10" t="s">
        <v>2010</v>
      </c>
      <c r="H23" s="10"/>
      <c r="I23" s="10" t="s">
        <v>1262</v>
      </c>
      <c r="J23" s="10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10" t="s">
        <v>4</v>
      </c>
      <c r="E24" s="10" t="s">
        <v>8</v>
      </c>
      <c r="F24" s="10"/>
      <c r="H24" s="10"/>
      <c r="I24" s="10" t="s">
        <v>1265</v>
      </c>
      <c r="J24" s="10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10" t="s">
        <v>2013</v>
      </c>
      <c r="E25" s="10" t="s">
        <v>56</v>
      </c>
      <c r="F25" s="10"/>
      <c r="H25" s="10"/>
      <c r="I25" s="10" t="s">
        <v>1268</v>
      </c>
      <c r="J25" s="10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10" t="s">
        <v>289</v>
      </c>
      <c r="E26" s="10" t="s">
        <v>56</v>
      </c>
      <c r="F26" s="10" t="s">
        <v>200</v>
      </c>
      <c r="H26" s="10"/>
      <c r="I26" s="10" t="s">
        <v>1271</v>
      </c>
      <c r="J26" s="10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10" t="s">
        <v>650</v>
      </c>
      <c r="E27" s="10" t="s">
        <v>2002</v>
      </c>
      <c r="F27" s="10"/>
      <c r="H27" s="10"/>
      <c r="I27" s="10" t="s">
        <v>1274</v>
      </c>
      <c r="J27" s="10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10" t="s">
        <v>650</v>
      </c>
      <c r="E28" s="10" t="s">
        <v>56</v>
      </c>
      <c r="F28" s="10" t="s">
        <v>200</v>
      </c>
      <c r="H28" s="10"/>
      <c r="I28" s="10" t="s">
        <v>1277</v>
      </c>
      <c r="J28" s="10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10" t="s">
        <v>4</v>
      </c>
      <c r="E29" s="10" t="s">
        <v>8</v>
      </c>
      <c r="F29" s="10"/>
      <c r="H29" s="10"/>
      <c r="I29" s="10" t="s">
        <v>1280</v>
      </c>
      <c r="J29" s="10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10" t="s">
        <v>4</v>
      </c>
      <c r="E30" s="10" t="s">
        <v>8</v>
      </c>
      <c r="F30" s="10"/>
      <c r="H30" s="10" t="s">
        <v>1625</v>
      </c>
      <c r="I30" s="10" t="s">
        <v>1283</v>
      </c>
      <c r="J30" s="1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10" t="s">
        <v>4</v>
      </c>
      <c r="E31" s="10" t="s">
        <v>8</v>
      </c>
      <c r="F31" s="10"/>
      <c r="H31" s="10" t="s">
        <v>2009</v>
      </c>
      <c r="I31" s="10" t="s">
        <v>1286</v>
      </c>
      <c r="J31" s="10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10" t="s">
        <v>4</v>
      </c>
      <c r="E32" s="10" t="s">
        <v>8</v>
      </c>
      <c r="F32" s="10"/>
      <c r="H32" s="10" t="s">
        <v>2004</v>
      </c>
      <c r="I32" s="10" t="s">
        <v>1289</v>
      </c>
      <c r="J32" s="10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10" t="s">
        <v>4</v>
      </c>
      <c r="E33" s="10" t="s">
        <v>8</v>
      </c>
      <c r="F33" s="10"/>
      <c r="H33" s="10" t="s">
        <v>1625</v>
      </c>
      <c r="I33" s="10" t="s">
        <v>1292</v>
      </c>
      <c r="J33" s="10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10" t="s">
        <v>2004</v>
      </c>
      <c r="E34" s="10"/>
      <c r="F34" s="10"/>
      <c r="H34" s="10"/>
      <c r="I34" s="10" t="s">
        <v>2133</v>
      </c>
      <c r="J34" s="10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10" t="s">
        <v>4</v>
      </c>
      <c r="E35" s="10" t="s">
        <v>2927</v>
      </c>
      <c r="F35" s="10" t="s">
        <v>58</v>
      </c>
      <c r="H35" s="10"/>
      <c r="I35" s="10" t="s">
        <v>2136</v>
      </c>
      <c r="J35" s="10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10" t="s">
        <v>4</v>
      </c>
      <c r="E36" s="10" t="s">
        <v>8</v>
      </c>
      <c r="F36" s="10"/>
      <c r="H36" s="10" t="s">
        <v>2931</v>
      </c>
      <c r="I36" s="10" t="s">
        <v>2139</v>
      </c>
      <c r="J36" s="10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10" t="s">
        <v>2004</v>
      </c>
      <c r="E37" s="10"/>
      <c r="F37" s="10"/>
      <c r="H37" s="10"/>
      <c r="I37" s="10" t="s">
        <v>2142</v>
      </c>
      <c r="J37" s="10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10" t="s">
        <v>2004</v>
      </c>
      <c r="E38" s="10"/>
      <c r="F38" s="10"/>
      <c r="H38" s="10"/>
      <c r="I38" s="10" t="s">
        <v>2145</v>
      </c>
      <c r="J38" s="10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10" t="s">
        <v>2004</v>
      </c>
      <c r="E39" s="10"/>
      <c r="F39" s="10"/>
      <c r="H39" s="10"/>
      <c r="I39" s="10" t="s">
        <v>2148</v>
      </c>
      <c r="J39" s="10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10" t="s">
        <v>2004</v>
      </c>
      <c r="E40" s="10"/>
      <c r="F40" s="10"/>
      <c r="H40" s="10"/>
      <c r="I40" s="10" t="s">
        <v>2151</v>
      </c>
      <c r="J40" s="1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10" t="s">
        <v>4</v>
      </c>
      <c r="E41" s="10" t="s">
        <v>8</v>
      </c>
      <c r="F41" s="10"/>
      <c r="H41" s="10"/>
      <c r="I41" s="10" t="s">
        <v>3381</v>
      </c>
      <c r="J41" s="10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10" t="s">
        <v>4</v>
      </c>
      <c r="E42" s="10" t="s">
        <v>70</v>
      </c>
      <c r="F42" s="10" t="s">
        <v>58</v>
      </c>
      <c r="H42" s="10"/>
      <c r="I42" s="10" t="s">
        <v>3384</v>
      </c>
      <c r="J42" s="10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10" t="s">
        <v>4</v>
      </c>
      <c r="E43" s="10" t="s">
        <v>70</v>
      </c>
      <c r="F43" s="10" t="s">
        <v>51</v>
      </c>
      <c r="H43" s="10"/>
      <c r="I43" s="10" t="s">
        <v>3387</v>
      </c>
      <c r="J43" s="10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10" t="s">
        <v>4</v>
      </c>
      <c r="E44" s="10" t="s">
        <v>8</v>
      </c>
      <c r="F44" s="10"/>
      <c r="H44" s="10"/>
      <c r="I44" s="10" t="s">
        <v>3390</v>
      </c>
      <c r="J44" s="10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10" t="s">
        <v>4</v>
      </c>
      <c r="E45" s="10" t="s">
        <v>8</v>
      </c>
      <c r="F45" s="10"/>
      <c r="H45" s="10"/>
      <c r="I45" s="10" t="s">
        <v>3393</v>
      </c>
      <c r="J45" s="10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10" t="s">
        <v>4</v>
      </c>
      <c r="E46" s="10" t="s">
        <v>8</v>
      </c>
      <c r="F46" s="10"/>
      <c r="H46" s="10"/>
      <c r="I46" s="10" t="s">
        <v>3396</v>
      </c>
      <c r="J46" s="10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10" t="s">
        <v>4</v>
      </c>
      <c r="E47" s="10" t="s">
        <v>8</v>
      </c>
      <c r="F47" s="10"/>
      <c r="H47" s="10"/>
      <c r="I47" s="10" t="s">
        <v>3399</v>
      </c>
      <c r="J47" s="10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10" t="s">
        <v>4</v>
      </c>
      <c r="E48" s="10" t="s">
        <v>4194</v>
      </c>
      <c r="F48" s="10" t="s">
        <v>4196</v>
      </c>
      <c r="H48" s="10" t="s">
        <v>4205</v>
      </c>
      <c r="I48" s="10" t="s">
        <v>3402</v>
      </c>
      <c r="J48" s="10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10" t="s">
        <v>650</v>
      </c>
      <c r="E49" s="10" t="s">
        <v>55</v>
      </c>
      <c r="F49" s="10" t="s">
        <v>51</v>
      </c>
      <c r="H49" s="10"/>
      <c r="I49" s="10" t="s">
        <v>4264</v>
      </c>
      <c r="J49" s="10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10" t="s">
        <v>1606</v>
      </c>
      <c r="E50" s="10" t="s">
        <v>55</v>
      </c>
      <c r="F50" s="10" t="s">
        <v>51</v>
      </c>
      <c r="H50" s="10"/>
      <c r="I50" s="10" t="s">
        <v>4267</v>
      </c>
      <c r="J50" s="1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10" t="s">
        <v>290</v>
      </c>
      <c r="E51" s="10" t="s">
        <v>4194</v>
      </c>
      <c r="F51" s="10" t="s">
        <v>5093</v>
      </c>
      <c r="H51" s="10"/>
      <c r="I51" s="10" t="s">
        <v>4450</v>
      </c>
      <c r="J51" s="10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10" t="s">
        <v>290</v>
      </c>
      <c r="E52" s="10" t="s">
        <v>4194</v>
      </c>
      <c r="F52" s="10" t="s">
        <v>5093</v>
      </c>
      <c r="H52" s="10"/>
      <c r="I52" s="10" t="s">
        <v>4453</v>
      </c>
      <c r="J52" s="10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10" t="s">
        <v>650</v>
      </c>
      <c r="E53" s="10" t="s">
        <v>4194</v>
      </c>
      <c r="F53" s="10"/>
      <c r="H53" s="10"/>
      <c r="I53" s="10" t="s">
        <v>4456</v>
      </c>
      <c r="J53" s="10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10" t="s">
        <v>289</v>
      </c>
      <c r="E54" s="10" t="s">
        <v>70</v>
      </c>
      <c r="F54" s="10" t="s">
        <v>5093</v>
      </c>
      <c r="H54" s="10" t="s">
        <v>5094</v>
      </c>
      <c r="I54" s="10" t="s">
        <v>4459</v>
      </c>
      <c r="J54" s="10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10" t="s">
        <v>290</v>
      </c>
      <c r="E55" s="10" t="s">
        <v>70</v>
      </c>
      <c r="F55" s="10" t="s">
        <v>5093</v>
      </c>
      <c r="H55" s="10" t="s">
        <v>5094</v>
      </c>
      <c r="I55" s="10" t="s">
        <v>5090</v>
      </c>
      <c r="J55" s="10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10" t="s">
        <v>650</v>
      </c>
      <c r="E56" s="10" t="s">
        <v>70</v>
      </c>
      <c r="F56" s="10"/>
      <c r="H56" s="10"/>
      <c r="I56" s="10" t="s">
        <v>4462</v>
      </c>
      <c r="J56" s="10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10" t="s">
        <v>2004</v>
      </c>
      <c r="E57" s="10" t="s">
        <v>8</v>
      </c>
      <c r="F57" s="10"/>
      <c r="H57" s="10"/>
      <c r="I57" s="10" t="s">
        <v>4465</v>
      </c>
      <c r="J57" s="10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10" t="s">
        <v>289</v>
      </c>
      <c r="E58" s="10" t="s">
        <v>70</v>
      </c>
      <c r="F58" s="10" t="s">
        <v>5093</v>
      </c>
      <c r="H58" s="10" t="s">
        <v>5095</v>
      </c>
      <c r="I58" s="10" t="s">
        <v>4468</v>
      </c>
      <c r="J58" s="10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10" t="s">
        <v>289</v>
      </c>
      <c r="E59" s="10" t="s">
        <v>70</v>
      </c>
      <c r="F59" s="10" t="s">
        <v>5093</v>
      </c>
      <c r="H59" s="10" t="s">
        <v>2936</v>
      </c>
      <c r="I59" s="10" t="s">
        <v>4471</v>
      </c>
      <c r="J59" s="10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10" t="s">
        <v>289</v>
      </c>
      <c r="E60" s="10" t="s">
        <v>70</v>
      </c>
      <c r="F60" s="10" t="s">
        <v>5093</v>
      </c>
      <c r="H60" s="10" t="s">
        <v>2936</v>
      </c>
      <c r="I60" s="10" t="s">
        <v>4474</v>
      </c>
      <c r="J60" s="1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10" t="s">
        <v>289</v>
      </c>
      <c r="E61" s="10" t="s">
        <v>70</v>
      </c>
      <c r="F61" s="10" t="s">
        <v>5093</v>
      </c>
      <c r="H61" s="10" t="s">
        <v>5096</v>
      </c>
      <c r="I61" s="10" t="s">
        <v>4477</v>
      </c>
      <c r="J61" s="10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10" t="s">
        <v>650</v>
      </c>
      <c r="E62" s="10" t="s">
        <v>70</v>
      </c>
      <c r="F62" s="10"/>
      <c r="H62" s="10"/>
      <c r="I62" s="10" t="s">
        <v>4480</v>
      </c>
      <c r="J62" s="10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10" t="s">
        <v>4</v>
      </c>
      <c r="E63" s="10" t="s">
        <v>8</v>
      </c>
      <c r="F63" s="10"/>
      <c r="H63" s="10"/>
      <c r="I63" s="10" t="s">
        <v>4483</v>
      </c>
      <c r="J63" s="10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10" t="s">
        <v>2004</v>
      </c>
      <c r="E64" s="10" t="s">
        <v>8</v>
      </c>
      <c r="F64" s="10"/>
      <c r="H64" s="10"/>
      <c r="I64" s="10" t="s">
        <v>4486</v>
      </c>
      <c r="J64" s="10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10" t="s">
        <v>4</v>
      </c>
      <c r="E65" s="10" t="s">
        <v>8</v>
      </c>
      <c r="F65" s="10"/>
      <c r="H65" s="10"/>
      <c r="I65" s="10" t="s">
        <v>5226</v>
      </c>
      <c r="J65" s="10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10" t="s">
        <v>2004</v>
      </c>
      <c r="E66" s="10" t="s">
        <v>8</v>
      </c>
      <c r="F66" s="10"/>
      <c r="H66" s="10"/>
      <c r="I66" s="10" t="s">
        <v>5297</v>
      </c>
      <c r="J66" s="10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10" t="s">
        <v>290</v>
      </c>
      <c r="E67" s="10" t="s">
        <v>5505</v>
      </c>
      <c r="F67" s="10" t="s">
        <v>6173</v>
      </c>
      <c r="H67" s="10"/>
      <c r="I67" s="10" t="s">
        <v>5696</v>
      </c>
      <c r="J67" s="10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10" t="s">
        <v>290</v>
      </c>
      <c r="E68" s="10" t="s">
        <v>5505</v>
      </c>
      <c r="F68" s="10" t="s">
        <v>6173</v>
      </c>
      <c r="H68" s="10" t="s">
        <v>2936</v>
      </c>
      <c r="I68" s="10" t="s">
        <v>5699</v>
      </c>
      <c r="J68" s="10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10" t="s">
        <v>290</v>
      </c>
      <c r="E69" s="10" t="s">
        <v>5505</v>
      </c>
      <c r="F69" s="10" t="s">
        <v>6173</v>
      </c>
      <c r="H69" s="10" t="s">
        <v>2936</v>
      </c>
      <c r="I69" s="10" t="s">
        <v>5702</v>
      </c>
      <c r="J69" s="10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10" t="s">
        <v>2004</v>
      </c>
      <c r="E70" s="10" t="s">
        <v>8</v>
      </c>
      <c r="F70" s="10"/>
      <c r="H70" s="10"/>
      <c r="I70" s="10" t="s">
        <v>5705</v>
      </c>
      <c r="J70" s="1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10" t="s">
        <v>4</v>
      </c>
      <c r="E71" s="10" t="s">
        <v>8</v>
      </c>
      <c r="F71" s="10"/>
      <c r="H71" s="10"/>
      <c r="I71" s="10" t="s">
        <v>5828</v>
      </c>
      <c r="J71" s="10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10" t="s">
        <v>4</v>
      </c>
      <c r="E72" s="10" t="s">
        <v>8</v>
      </c>
      <c r="F72" s="10"/>
      <c r="H72" s="10"/>
      <c r="I72" s="10" t="s">
        <v>5831</v>
      </c>
      <c r="J72" s="10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10" t="s">
        <v>4</v>
      </c>
      <c r="E73" s="10" t="s">
        <v>8</v>
      </c>
      <c r="F73" s="10"/>
      <c r="H73" s="10"/>
      <c r="I73" s="10" t="s">
        <v>5834</v>
      </c>
      <c r="J73" s="10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10" t="s">
        <v>1606</v>
      </c>
      <c r="E74" s="10" t="s">
        <v>55</v>
      </c>
      <c r="F74" s="10" t="s">
        <v>51</v>
      </c>
      <c r="H74" s="10"/>
      <c r="I74" s="10" t="s">
        <v>5837</v>
      </c>
      <c r="J74" s="10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10" t="s">
        <v>4</v>
      </c>
      <c r="E75" s="10" t="s">
        <v>6167</v>
      </c>
      <c r="F75" s="10" t="s">
        <v>58</v>
      </c>
      <c r="H75" s="10"/>
      <c r="I75" s="10" t="s">
        <v>6044</v>
      </c>
      <c r="J75" s="10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10" t="s">
        <v>4</v>
      </c>
      <c r="E76" s="10" t="s">
        <v>6167</v>
      </c>
      <c r="F76" s="10" t="s">
        <v>58</v>
      </c>
      <c r="H76" s="10" t="s">
        <v>4205</v>
      </c>
      <c r="I76" s="10" t="s">
        <v>6047</v>
      </c>
      <c r="J76" s="10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10" t="s">
        <v>1606</v>
      </c>
      <c r="E77" s="10" t="s">
        <v>6166</v>
      </c>
      <c r="F77" s="10" t="s">
        <v>51</v>
      </c>
      <c r="H77" s="10"/>
      <c r="I77" s="10" t="s">
        <v>6050</v>
      </c>
      <c r="J77" s="10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10" t="s">
        <v>1606</v>
      </c>
      <c r="E78" s="10" t="s">
        <v>6165</v>
      </c>
      <c r="F78" s="10" t="s">
        <v>51</v>
      </c>
      <c r="H78" s="10"/>
      <c r="I78" s="10" t="s">
        <v>6053</v>
      </c>
      <c r="J78" s="10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10" t="s">
        <v>650</v>
      </c>
      <c r="E79" s="10" t="s">
        <v>6166</v>
      </c>
      <c r="F79" s="10" t="s">
        <v>51</v>
      </c>
      <c r="H79" s="10"/>
      <c r="I79" s="10" t="s">
        <v>6056</v>
      </c>
      <c r="J79" s="10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10" t="s">
        <v>650</v>
      </c>
      <c r="E80" s="10" t="s">
        <v>6165</v>
      </c>
      <c r="F80" s="10" t="s">
        <v>51</v>
      </c>
      <c r="H80" s="10"/>
      <c r="I80" s="10" t="s">
        <v>6059</v>
      </c>
      <c r="J80" s="1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10" t="s">
        <v>1606</v>
      </c>
      <c r="E81" s="10" t="s">
        <v>6167</v>
      </c>
      <c r="F81" s="10" t="s">
        <v>58</v>
      </c>
      <c r="H81" s="10"/>
      <c r="I81" s="10" t="s">
        <v>6062</v>
      </c>
      <c r="J81" s="10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10" t="s">
        <v>6174</v>
      </c>
      <c r="E82" s="10" t="s">
        <v>6167</v>
      </c>
      <c r="F82" s="10" t="s">
        <v>58</v>
      </c>
      <c r="H82" s="10"/>
      <c r="I82" s="10" t="s">
        <v>6161</v>
      </c>
      <c r="J82" s="10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10" t="s">
        <v>2004</v>
      </c>
      <c r="E83" s="10" t="s">
        <v>8</v>
      </c>
      <c r="F83" s="10"/>
      <c r="H83" s="10"/>
      <c r="I83" s="10" t="s">
        <v>6201</v>
      </c>
      <c r="J83" s="10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10" t="s">
        <v>4</v>
      </c>
      <c r="E84" s="10" t="s">
        <v>8</v>
      </c>
      <c r="F84" s="10"/>
      <c r="H84" s="10"/>
      <c r="I84" s="10" t="s">
        <v>6346</v>
      </c>
      <c r="J84" s="10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10" t="s">
        <v>289</v>
      </c>
      <c r="E85" s="10" t="s">
        <v>70</v>
      </c>
      <c r="F85" s="10" t="s">
        <v>6342</v>
      </c>
      <c r="H85" s="10"/>
      <c r="I85" s="10" t="s">
        <v>6310</v>
      </c>
      <c r="J85" s="10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10" t="s">
        <v>1606</v>
      </c>
      <c r="E86" s="10" t="s">
        <v>6656</v>
      </c>
      <c r="F86" s="10" t="s">
        <v>51</v>
      </c>
      <c r="H86" s="10"/>
      <c r="I86" s="10" t="s">
        <v>6545</v>
      </c>
      <c r="J86" s="10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10" t="s">
        <v>289</v>
      </c>
      <c r="E87" s="10" t="s">
        <v>6656</v>
      </c>
      <c r="F87" s="10" t="s">
        <v>6657</v>
      </c>
      <c r="H87" s="10"/>
      <c r="I87" s="10" t="s">
        <v>6548</v>
      </c>
      <c r="J87" s="10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10" t="s">
        <v>4</v>
      </c>
      <c r="E88" s="10" t="s">
        <v>6867</v>
      </c>
      <c r="F88" s="10"/>
      <c r="H88" s="10"/>
      <c r="I88" s="10" t="s">
        <v>6703</v>
      </c>
      <c r="J88" s="10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10" t="s">
        <v>650</v>
      </c>
      <c r="E89" s="10" t="s">
        <v>6190</v>
      </c>
      <c r="F89" s="10" t="s">
        <v>51</v>
      </c>
      <c r="H89" s="10"/>
      <c r="I89" s="10" t="s">
        <v>6706</v>
      </c>
      <c r="J89" s="10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10" t="s">
        <v>1606</v>
      </c>
      <c r="E90" s="10" t="s">
        <v>6190</v>
      </c>
      <c r="F90" s="10" t="s">
        <v>51</v>
      </c>
      <c r="H90" s="10"/>
      <c r="I90" s="10" t="s">
        <v>6709</v>
      </c>
      <c r="J90" s="1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10" t="s">
        <v>2004</v>
      </c>
      <c r="E91" s="10" t="s">
        <v>8</v>
      </c>
      <c r="F91" s="10"/>
      <c r="H91" s="10"/>
      <c r="I91" s="10" t="s">
        <v>6905</v>
      </c>
      <c r="J91" s="10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10" t="s">
        <v>2004</v>
      </c>
      <c r="E92" s="10" t="s">
        <v>8</v>
      </c>
      <c r="F92" s="10"/>
      <c r="H92" s="10"/>
      <c r="I92" s="10" t="s">
        <v>6908</v>
      </c>
      <c r="J92" s="10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10" t="s">
        <v>2004</v>
      </c>
      <c r="E93" s="10" t="s">
        <v>8</v>
      </c>
      <c r="F93" s="10"/>
      <c r="H93" s="10"/>
      <c r="I93" s="10" t="s">
        <v>7184</v>
      </c>
      <c r="J93" s="10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10" t="s">
        <v>2004</v>
      </c>
      <c r="E94" s="10" t="s">
        <v>8</v>
      </c>
      <c r="F94" s="10"/>
      <c r="H94" s="10"/>
      <c r="I94" s="10" t="s">
        <v>7227</v>
      </c>
      <c r="J94" s="10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10" t="s">
        <v>1606</v>
      </c>
      <c r="E95" s="10" t="s">
        <v>7410</v>
      </c>
      <c r="F95" s="10" t="s">
        <v>60</v>
      </c>
      <c r="H95" s="10"/>
      <c r="I95" s="10" t="s">
        <v>7230</v>
      </c>
      <c r="J95" s="10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10" t="s">
        <v>4216</v>
      </c>
      <c r="E96" s="10" t="s">
        <v>7410</v>
      </c>
      <c r="F96" s="10" t="s">
        <v>60</v>
      </c>
      <c r="H96" s="10"/>
      <c r="I96" s="10" t="s">
        <v>7233</v>
      </c>
      <c r="J96" s="10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10" t="s">
        <v>290</v>
      </c>
      <c r="E97" s="10" t="s">
        <v>7410</v>
      </c>
      <c r="F97" s="10" t="s">
        <v>60</v>
      </c>
      <c r="H97" s="10"/>
      <c r="I97" s="10" t="s">
        <v>7236</v>
      </c>
      <c r="J97" s="10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10" t="s">
        <v>650</v>
      </c>
      <c r="E98" s="10" t="s">
        <v>7410</v>
      </c>
      <c r="F98" s="10" t="s">
        <v>51</v>
      </c>
      <c r="H98" s="10"/>
      <c r="I98" s="10" t="s">
        <v>7239</v>
      </c>
      <c r="J98" s="10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10" t="s">
        <v>2004</v>
      </c>
      <c r="E99" s="10" t="s">
        <v>8</v>
      </c>
      <c r="F99" s="10"/>
      <c r="H99" s="10"/>
      <c r="I99" s="10" t="s">
        <v>7568</v>
      </c>
      <c r="J99" s="10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10" t="s">
        <v>1606</v>
      </c>
      <c r="E100" s="10" t="s">
        <v>7706</v>
      </c>
      <c r="F100" s="10" t="s">
        <v>60</v>
      </c>
      <c r="H100" s="10"/>
      <c r="I100" s="10" t="s">
        <v>7571</v>
      </c>
      <c r="J100" s="1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10" t="s">
        <v>6171</v>
      </c>
      <c r="E101" s="10" t="s">
        <v>7706</v>
      </c>
      <c r="F101" s="10" t="s">
        <v>60</v>
      </c>
      <c r="H101" s="10"/>
      <c r="I101" s="10" t="s">
        <v>7574</v>
      </c>
      <c r="J101" s="10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10" t="s">
        <v>650</v>
      </c>
      <c r="E102" s="10" t="s">
        <v>7706</v>
      </c>
      <c r="F102" s="10" t="s">
        <v>51</v>
      </c>
      <c r="H102" s="10"/>
      <c r="I102" s="10" t="s">
        <v>7577</v>
      </c>
      <c r="J102" s="10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10" t="s">
        <v>2004</v>
      </c>
      <c r="E103" s="10" t="s">
        <v>8</v>
      </c>
      <c r="F103" s="10"/>
      <c r="H103" s="10"/>
      <c r="I103" s="10" t="s">
        <v>7580</v>
      </c>
      <c r="J103" s="10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10" t="s">
        <v>2004</v>
      </c>
      <c r="E104" s="10" t="s">
        <v>8</v>
      </c>
      <c r="F104" s="10"/>
      <c r="H104" s="10"/>
      <c r="I104" s="10" t="s">
        <v>7828</v>
      </c>
      <c r="J104" s="10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10" t="s">
        <v>8042</v>
      </c>
      <c r="E105" s="10" t="s">
        <v>6656</v>
      </c>
      <c r="F105" s="10" t="s">
        <v>5076</v>
      </c>
      <c r="H105" s="10"/>
      <c r="I105" s="10" t="s">
        <v>7992</v>
      </c>
      <c r="J105" s="10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10" t="s">
        <v>4</v>
      </c>
      <c r="E106" s="10" t="s">
        <v>6656</v>
      </c>
      <c r="F106" s="10" t="s">
        <v>5076</v>
      </c>
      <c r="H106" s="10" t="s">
        <v>8043</v>
      </c>
      <c r="I106" s="10" t="s">
        <v>7995</v>
      </c>
      <c r="J106" s="10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10" t="s">
        <v>4</v>
      </c>
      <c r="E107" s="10" t="s">
        <v>4193</v>
      </c>
      <c r="F107" s="10" t="s">
        <v>5076</v>
      </c>
      <c r="H107" s="10"/>
      <c r="I107" s="10" t="s">
        <v>7998</v>
      </c>
      <c r="J107" s="10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10" t="s">
        <v>4</v>
      </c>
      <c r="E108" s="10" t="s">
        <v>8</v>
      </c>
      <c r="F108" s="10"/>
      <c r="H108" s="10" t="s">
        <v>8044</v>
      </c>
      <c r="I108" s="10" t="s">
        <v>8001</v>
      </c>
      <c r="J108" s="10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10" t="s">
        <v>650</v>
      </c>
      <c r="E109" s="10" t="s">
        <v>6190</v>
      </c>
      <c r="F109" s="10" t="s">
        <v>51</v>
      </c>
      <c r="H109" s="10"/>
      <c r="I109" s="10" t="s">
        <v>8004</v>
      </c>
      <c r="J109" s="10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10" t="s">
        <v>1606</v>
      </c>
      <c r="E110" s="10" t="s">
        <v>8041</v>
      </c>
      <c r="F110" s="10"/>
      <c r="H110" s="10"/>
      <c r="I110" s="10" t="s">
        <v>8007</v>
      </c>
      <c r="J110" s="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10" t="s">
        <v>650</v>
      </c>
      <c r="E111" s="10" t="s">
        <v>8041</v>
      </c>
      <c r="F111" s="10"/>
      <c r="H111" s="10"/>
      <c r="I111" s="10" t="s">
        <v>8010</v>
      </c>
      <c r="J111" s="10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10" t="s">
        <v>1606</v>
      </c>
      <c r="E112" s="10" t="s">
        <v>6190</v>
      </c>
      <c r="F112" s="10"/>
      <c r="H112" s="10"/>
      <c r="I112" s="10" t="s">
        <v>8013</v>
      </c>
      <c r="J112" s="10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10" t="s">
        <v>4</v>
      </c>
      <c r="E113" s="10" t="s">
        <v>1607</v>
      </c>
      <c r="F113" s="10" t="s">
        <v>8330</v>
      </c>
      <c r="H113" s="10"/>
      <c r="I113" s="10" t="s">
        <v>8090</v>
      </c>
      <c r="J113" s="10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10" t="s">
        <v>4</v>
      </c>
      <c r="E114" s="10" t="s">
        <v>8</v>
      </c>
      <c r="F114" s="10"/>
      <c r="H114" s="10"/>
      <c r="I114" s="10" t="s">
        <v>8093</v>
      </c>
      <c r="J114" s="10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10" t="s">
        <v>2004</v>
      </c>
      <c r="E115" s="10" t="s">
        <v>8</v>
      </c>
      <c r="F115" s="10"/>
      <c r="H115" s="10"/>
      <c r="I115" s="10" t="s">
        <v>8096</v>
      </c>
      <c r="J115" s="10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10" t="s">
        <v>2004</v>
      </c>
      <c r="E116" s="10" t="s">
        <v>8</v>
      </c>
      <c r="F116" s="10"/>
      <c r="H116" s="10"/>
      <c r="I116" s="10" t="s">
        <v>8099</v>
      </c>
      <c r="J116" s="10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10" t="s">
        <v>2004</v>
      </c>
      <c r="E117" s="10" t="s">
        <v>8</v>
      </c>
      <c r="F117" s="10"/>
      <c r="H117" s="10"/>
      <c r="I117" s="10" t="s">
        <v>8102</v>
      </c>
      <c r="J117" s="10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10" t="s">
        <v>2004</v>
      </c>
      <c r="E118" s="10" t="s">
        <v>8</v>
      </c>
      <c r="F118" s="10"/>
      <c r="H118" s="10"/>
      <c r="I118" s="10" t="s">
        <v>8105</v>
      </c>
      <c r="J118" s="10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10" t="s">
        <v>2004</v>
      </c>
      <c r="E119" s="10" t="s">
        <v>8</v>
      </c>
      <c r="F119" s="10"/>
      <c r="H119" s="10"/>
      <c r="I119" s="10" t="s">
        <v>8402</v>
      </c>
      <c r="J119" s="10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10" t="s">
        <v>2004</v>
      </c>
      <c r="E120" s="10" t="s">
        <v>8</v>
      </c>
      <c r="F120" s="10"/>
      <c r="H120" s="10"/>
      <c r="I120" s="10" t="s">
        <v>8405</v>
      </c>
      <c r="J120" s="1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10" t="s">
        <v>2004</v>
      </c>
      <c r="E121" s="10" t="s">
        <v>8</v>
      </c>
      <c r="F121" s="10"/>
      <c r="H121" s="10"/>
      <c r="I121" s="10" t="s">
        <v>8408</v>
      </c>
      <c r="J121" s="10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10" t="s">
        <v>2004</v>
      </c>
      <c r="E122" s="10" t="s">
        <v>8</v>
      </c>
      <c r="F122" s="10"/>
      <c r="H122" s="10"/>
      <c r="I122" s="10" t="s">
        <v>8640</v>
      </c>
      <c r="J122" s="10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10" t="s">
        <v>4</v>
      </c>
      <c r="E123" s="10" t="s">
        <v>8</v>
      </c>
      <c r="F123" s="10"/>
      <c r="H123" s="10"/>
      <c r="I123" s="10" t="s">
        <v>8643</v>
      </c>
      <c r="J123" s="10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10" t="s">
        <v>4</v>
      </c>
      <c r="E124" s="10" t="s">
        <v>8</v>
      </c>
      <c r="F124" s="10"/>
      <c r="H124" s="10"/>
      <c r="I124" s="10" t="s">
        <v>8646</v>
      </c>
      <c r="J124" s="10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10" t="s">
        <v>4</v>
      </c>
      <c r="E125" s="10" t="s">
        <v>8</v>
      </c>
      <c r="F125" s="10"/>
      <c r="H125" s="10"/>
      <c r="I125" s="10" t="s">
        <v>8649</v>
      </c>
      <c r="J125" s="10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10" t="s">
        <v>4</v>
      </c>
      <c r="E126" s="10" t="s">
        <v>1607</v>
      </c>
      <c r="F126" s="10"/>
      <c r="H126" s="10"/>
      <c r="I126" s="10" t="s">
        <v>8652</v>
      </c>
      <c r="J126" s="10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10" t="s">
        <v>4</v>
      </c>
      <c r="E127" s="10" t="s">
        <v>8803</v>
      </c>
      <c r="F127" s="10"/>
      <c r="H127" s="10"/>
      <c r="I127" s="10" t="s">
        <v>8655</v>
      </c>
      <c r="J127" s="10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10" t="s">
        <v>4</v>
      </c>
      <c r="E128" s="10" t="s">
        <v>8803</v>
      </c>
      <c r="F128" s="10"/>
      <c r="H128" s="10"/>
      <c r="I128" s="10" t="s">
        <v>8658</v>
      </c>
      <c r="J128" s="10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10" t="s">
        <v>1606</v>
      </c>
      <c r="E129" s="10" t="s">
        <v>8801</v>
      </c>
      <c r="F129" s="10"/>
      <c r="H129" s="10"/>
      <c r="I129" s="10" t="s">
        <v>8661</v>
      </c>
      <c r="J129" s="10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10" t="s">
        <v>1606</v>
      </c>
      <c r="E130" s="10" t="s">
        <v>8802</v>
      </c>
      <c r="F130" s="10"/>
      <c r="H130" s="10"/>
      <c r="I130" s="10" t="s">
        <v>8664</v>
      </c>
      <c r="J130" s="1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10" t="s">
        <v>650</v>
      </c>
      <c r="E131" s="10" t="s">
        <v>8802</v>
      </c>
      <c r="F131" s="10"/>
      <c r="H131" s="10"/>
      <c r="I131" s="10" t="s">
        <v>8667</v>
      </c>
      <c r="J131" s="10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10" t="s">
        <v>650</v>
      </c>
      <c r="E132" s="10" t="s">
        <v>8801</v>
      </c>
      <c r="F132" s="10"/>
      <c r="H132" s="10"/>
      <c r="I132" s="10" t="s">
        <v>8670</v>
      </c>
      <c r="J132" s="10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10" t="s">
        <v>2004</v>
      </c>
      <c r="E133" s="10" t="s">
        <v>8</v>
      </c>
      <c r="F133" s="10"/>
      <c r="H133" s="10"/>
      <c r="I133" s="10" t="s">
        <v>8673</v>
      </c>
      <c r="J133" s="10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10" t="s">
        <v>4</v>
      </c>
      <c r="E134" s="10" t="s">
        <v>8804</v>
      </c>
      <c r="F134" s="10"/>
      <c r="H134" s="10"/>
      <c r="I134" s="10" t="s">
        <v>8676</v>
      </c>
      <c r="J134" s="10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10" t="s">
        <v>2004</v>
      </c>
      <c r="E135" s="10" t="s">
        <v>8</v>
      </c>
      <c r="F135" s="10"/>
      <c r="H135" s="10"/>
      <c r="I135" s="10" t="s">
        <v>6161</v>
      </c>
      <c r="J135" s="10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10" t="s">
        <v>2004</v>
      </c>
      <c r="E136" s="10" t="s">
        <v>8</v>
      </c>
      <c r="F136" s="10"/>
      <c r="H136" s="10"/>
      <c r="I136" s="10" t="s">
        <v>7998</v>
      </c>
      <c r="J136" s="10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10" t="s">
        <v>4</v>
      </c>
      <c r="E137" s="10" t="s">
        <v>8803</v>
      </c>
      <c r="F137" s="10"/>
      <c r="H137" s="10"/>
      <c r="I137" s="10" t="s">
        <v>8988</v>
      </c>
      <c r="J137" s="10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10" t="s">
        <v>4</v>
      </c>
      <c r="E138" s="10" t="s">
        <v>8803</v>
      </c>
      <c r="F138" s="10"/>
      <c r="H138" s="10"/>
      <c r="I138" s="10" t="s">
        <v>8991</v>
      </c>
      <c r="J138" s="10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10" t="s">
        <v>4</v>
      </c>
      <c r="E139" s="10" t="s">
        <v>8803</v>
      </c>
      <c r="F139" s="10"/>
      <c r="H139" s="10"/>
      <c r="I139" s="10" t="s">
        <v>9255</v>
      </c>
      <c r="J139" s="10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10" t="s">
        <v>4</v>
      </c>
      <c r="E140" s="10" t="s">
        <v>8803</v>
      </c>
      <c r="F140" s="10"/>
      <c r="H140" s="10"/>
      <c r="I140" s="10" t="s">
        <v>9352</v>
      </c>
      <c r="J140" s="1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10" t="s">
        <v>4</v>
      </c>
      <c r="E141" s="10" t="s">
        <v>9367</v>
      </c>
      <c r="F141" s="10"/>
      <c r="H141" s="10"/>
      <c r="I141" s="10" t="s">
        <v>9355</v>
      </c>
      <c r="J141" s="10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10" t="s">
        <v>158</v>
      </c>
      <c r="E142" s="10" t="s">
        <v>5480</v>
      </c>
      <c r="F142" s="10" t="s">
        <v>528</v>
      </c>
      <c r="H142" s="10"/>
      <c r="I142" s="10" t="s">
        <v>9358</v>
      </c>
      <c r="J142" s="10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10" t="s">
        <v>158</v>
      </c>
      <c r="E143" s="10" t="s">
        <v>5480</v>
      </c>
      <c r="F143" s="10" t="s">
        <v>528</v>
      </c>
      <c r="H143" s="10" t="s">
        <v>2936</v>
      </c>
      <c r="I143" s="10" t="s">
        <v>9361</v>
      </c>
      <c r="J143" s="10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10" t="s">
        <v>4</v>
      </c>
      <c r="E144" s="10" t="s">
        <v>9368</v>
      </c>
      <c r="F144" s="10"/>
      <c r="H144" s="10"/>
      <c r="I144" s="10" t="s">
        <v>9364</v>
      </c>
      <c r="J144" s="10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10" t="s">
        <v>4</v>
      </c>
      <c r="E145" s="10" t="s">
        <v>8803</v>
      </c>
      <c r="F145" s="10"/>
      <c r="H145" s="10"/>
      <c r="I145" s="10" t="s">
        <v>9633</v>
      </c>
      <c r="J145" s="10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10" t="s">
        <v>2004</v>
      </c>
      <c r="E146" s="10" t="s">
        <v>8</v>
      </c>
      <c r="F146" s="10"/>
      <c r="H146" s="10"/>
      <c r="I146" s="10" t="s">
        <v>9636</v>
      </c>
      <c r="J146" s="10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10" t="s">
        <v>4</v>
      </c>
      <c r="E147" s="10" t="s">
        <v>8803</v>
      </c>
      <c r="F147" s="10"/>
      <c r="H147" s="10"/>
      <c r="I147" s="10" t="s">
        <v>9726</v>
      </c>
      <c r="J147" s="10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10" t="s">
        <v>4</v>
      </c>
      <c r="E148" s="10" t="s">
        <v>8803</v>
      </c>
      <c r="F148" s="10"/>
      <c r="H148" s="10"/>
      <c r="I148" s="10" t="s">
        <v>9729</v>
      </c>
      <c r="J148" s="10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10" t="s">
        <v>4</v>
      </c>
      <c r="E149" s="10" t="s">
        <v>8803</v>
      </c>
      <c r="F149" s="10"/>
      <c r="H149" s="10"/>
      <c r="I149" s="10" t="s">
        <v>9732</v>
      </c>
      <c r="J149" s="10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10" t="s">
        <v>4</v>
      </c>
      <c r="E150" s="10" t="s">
        <v>8803</v>
      </c>
      <c r="F150" s="10"/>
      <c r="H150" s="10"/>
      <c r="I150" s="10" t="s">
        <v>10122</v>
      </c>
      <c r="J150" s="1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10" t="s">
        <v>4</v>
      </c>
      <c r="E151" s="10" t="s">
        <v>8803</v>
      </c>
      <c r="F151" s="10"/>
      <c r="H151" s="10"/>
      <c r="I151" s="10" t="s">
        <v>9960</v>
      </c>
      <c r="J151" s="10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10" t="s">
        <v>4</v>
      </c>
      <c r="E152" s="10" t="s">
        <v>8803</v>
      </c>
      <c r="F152" s="10"/>
      <c r="H152" s="10"/>
      <c r="I152" s="10" t="s">
        <v>9963</v>
      </c>
      <c r="J152" s="10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10" t="s">
        <v>4</v>
      </c>
      <c r="E153" s="10" t="s">
        <v>8803</v>
      </c>
      <c r="F153" s="10"/>
      <c r="H153" s="10"/>
      <c r="I153" s="10" t="s">
        <v>9966</v>
      </c>
      <c r="J153" s="10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10" t="s">
        <v>4</v>
      </c>
      <c r="E154" s="10" t="s">
        <v>10164</v>
      </c>
      <c r="F154" s="10"/>
      <c r="H154" s="10"/>
      <c r="I154" s="10" t="s">
        <v>10186</v>
      </c>
      <c r="J154" s="10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10" t="s">
        <v>4</v>
      </c>
      <c r="E155" s="10" t="s">
        <v>10164</v>
      </c>
      <c r="F155" s="10"/>
      <c r="H155" s="10" t="s">
        <v>10280</v>
      </c>
      <c r="I155" s="10" t="s">
        <v>10268</v>
      </c>
      <c r="J155" s="10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10" t="s">
        <v>4</v>
      </c>
      <c r="E156" s="10" t="s">
        <v>10164</v>
      </c>
      <c r="F156" s="10"/>
      <c r="H156" s="10" t="s">
        <v>10280</v>
      </c>
      <c r="I156" s="10" t="s">
        <v>10271</v>
      </c>
      <c r="J156" s="10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10" t="s">
        <v>1606</v>
      </c>
      <c r="E157" s="10" t="s">
        <v>10165</v>
      </c>
      <c r="F157" s="10" t="s">
        <v>60</v>
      </c>
      <c r="H157" s="10"/>
      <c r="I157" s="10" t="s">
        <v>10274</v>
      </c>
      <c r="J157" s="10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10" t="s">
        <v>4</v>
      </c>
      <c r="E158" s="10" t="s">
        <v>8803</v>
      </c>
      <c r="F158" s="10"/>
      <c r="H158" s="10"/>
      <c r="I158" s="10" t="s">
        <v>10277</v>
      </c>
      <c r="J158" s="10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10" t="s">
        <v>2004</v>
      </c>
      <c r="E159" s="10" t="s">
        <v>8</v>
      </c>
      <c r="F159" s="10"/>
      <c r="H159" s="10"/>
      <c r="I159" s="10" t="s">
        <v>10494</v>
      </c>
      <c r="J159" s="10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10" t="s">
        <v>2004</v>
      </c>
      <c r="E160" s="10" t="s">
        <v>8</v>
      </c>
      <c r="F160" s="10"/>
      <c r="H160" s="10"/>
      <c r="I160" s="10" t="s">
        <v>10497</v>
      </c>
      <c r="J160" s="1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10" t="s">
        <v>2004</v>
      </c>
      <c r="E161" s="10" t="s">
        <v>8</v>
      </c>
      <c r="F161" s="10"/>
      <c r="H161" s="10"/>
      <c r="I161" s="10" t="s">
        <v>10540</v>
      </c>
      <c r="J161" s="10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10" t="s">
        <v>2004</v>
      </c>
      <c r="E162" s="10" t="s">
        <v>8</v>
      </c>
      <c r="F162" s="10"/>
      <c r="H162" s="10"/>
      <c r="I162" s="10" t="s">
        <v>10543</v>
      </c>
      <c r="J162" s="10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10" t="s">
        <v>4</v>
      </c>
      <c r="E163" s="10" t="s">
        <v>10886</v>
      </c>
      <c r="F163" s="10"/>
      <c r="H163" s="10"/>
      <c r="I163" s="10" t="s">
        <v>10710</v>
      </c>
      <c r="J163" s="10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10" t="s">
        <v>4</v>
      </c>
      <c r="E164" s="10" t="s">
        <v>8803</v>
      </c>
      <c r="F164" s="10"/>
      <c r="H164" s="10"/>
      <c r="I164" s="10" t="s">
        <v>10713</v>
      </c>
      <c r="J164" s="10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10" t="s">
        <v>4</v>
      </c>
      <c r="E165" s="10" t="s">
        <v>70</v>
      </c>
      <c r="F165" s="10" t="s">
        <v>5093</v>
      </c>
      <c r="H165" s="10"/>
      <c r="I165" s="10" t="s">
        <v>10908</v>
      </c>
      <c r="J165" s="10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10" t="s">
        <v>289</v>
      </c>
      <c r="E166" s="10" t="s">
        <v>70</v>
      </c>
      <c r="F166" s="10" t="s">
        <v>5093</v>
      </c>
      <c r="H166" s="10"/>
      <c r="I166" s="10" t="s">
        <v>10911</v>
      </c>
      <c r="J166" s="10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10" t="s">
        <v>2004</v>
      </c>
      <c r="E167" s="10" t="s">
        <v>8</v>
      </c>
      <c r="F167" s="10"/>
      <c r="H167" s="10"/>
      <c r="I167" s="10" t="s">
        <v>11028</v>
      </c>
      <c r="J167" s="10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10" t="s">
        <v>2004</v>
      </c>
      <c r="E168" s="10" t="s">
        <v>8</v>
      </c>
      <c r="F168" s="10"/>
      <c r="H168" s="10"/>
      <c r="I168" s="10" t="s">
        <v>11031</v>
      </c>
      <c r="J168" s="10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10" t="s">
        <v>4</v>
      </c>
      <c r="E169" s="10" t="s">
        <v>8803</v>
      </c>
      <c r="F169" s="10"/>
      <c r="H169" s="10"/>
      <c r="I169" s="10" t="s">
        <v>11187</v>
      </c>
      <c r="J169" s="10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10" t="s">
        <v>289</v>
      </c>
      <c r="E170" s="10" t="s">
        <v>6190</v>
      </c>
      <c r="F170" s="10" t="s">
        <v>11413</v>
      </c>
      <c r="H170" s="10"/>
      <c r="I170" s="10" t="s">
        <v>11190</v>
      </c>
      <c r="J170" s="10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10" t="s">
        <v>650</v>
      </c>
      <c r="E171" s="10" t="s">
        <v>6190</v>
      </c>
      <c r="F171" s="10" t="s">
        <v>11413</v>
      </c>
      <c r="H171" s="10"/>
      <c r="I171" s="10" t="s">
        <v>11193</v>
      </c>
      <c r="J171" s="10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10" t="s">
        <v>1606</v>
      </c>
      <c r="E172" s="10" t="s">
        <v>6190</v>
      </c>
      <c r="F172" s="10"/>
      <c r="H172" s="10"/>
      <c r="I172" s="10" t="s">
        <v>11196</v>
      </c>
      <c r="J172" s="10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10" t="s">
        <v>4</v>
      </c>
      <c r="E173" s="10" t="s">
        <v>8803</v>
      </c>
      <c r="F173" s="10"/>
      <c r="H173" s="10"/>
      <c r="I173" s="10" t="s">
        <v>11472</v>
      </c>
      <c r="J173" s="10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10" t="s">
        <v>4</v>
      </c>
      <c r="E174" s="10" t="s">
        <v>8803</v>
      </c>
      <c r="F174" s="10"/>
      <c r="H174" s="10"/>
      <c r="I174" s="10" t="s">
        <v>11475</v>
      </c>
      <c r="J174" s="10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10" t="s">
        <v>4</v>
      </c>
      <c r="E175" s="10" t="s">
        <v>8803</v>
      </c>
      <c r="F175" s="10"/>
      <c r="H175" s="10"/>
      <c r="I175" s="10" t="s">
        <v>11478</v>
      </c>
      <c r="J175" s="10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10" t="s">
        <v>4</v>
      </c>
      <c r="E176" s="10" t="s">
        <v>8</v>
      </c>
      <c r="F176" s="10"/>
      <c r="H176" s="10"/>
      <c r="I176" s="10" t="s">
        <v>11670</v>
      </c>
      <c r="J176" s="10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10" t="s">
        <v>2004</v>
      </c>
      <c r="E177" s="10" t="s">
        <v>8</v>
      </c>
      <c r="F177" s="10"/>
      <c r="H177" s="10"/>
      <c r="I177" s="10" t="s">
        <v>11673</v>
      </c>
      <c r="J177" s="10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10" t="s">
        <v>4</v>
      </c>
      <c r="E178" s="10" t="s">
        <v>8803</v>
      </c>
      <c r="F178" s="10"/>
      <c r="H178" s="10"/>
      <c r="I178" s="10" t="s">
        <v>11876</v>
      </c>
      <c r="J178" s="10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10" t="s">
        <v>11957</v>
      </c>
      <c r="E179" s="10" t="s">
        <v>11958</v>
      </c>
      <c r="F179" s="10" t="s">
        <v>5076</v>
      </c>
      <c r="H179" s="10"/>
      <c r="I179" s="10" t="s">
        <v>11879</v>
      </c>
      <c r="J179" s="10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10" t="s">
        <v>62</v>
      </c>
      <c r="E180" s="10" t="s">
        <v>11958</v>
      </c>
      <c r="F180" s="10" t="s">
        <v>5076</v>
      </c>
      <c r="H180" s="10"/>
      <c r="I180" s="10" t="s">
        <v>11882</v>
      </c>
      <c r="J180" s="10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10" t="s">
        <v>11957</v>
      </c>
      <c r="E181" s="10" t="s">
        <v>4193</v>
      </c>
      <c r="F181" s="10" t="s">
        <v>5076</v>
      </c>
      <c r="H181" s="10"/>
      <c r="I181" s="10" t="s">
        <v>11885</v>
      </c>
      <c r="J181" s="10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10" t="s">
        <v>62</v>
      </c>
      <c r="E182" s="10" t="s">
        <v>4193</v>
      </c>
      <c r="F182" s="10" t="s">
        <v>5076</v>
      </c>
      <c r="H182" s="10"/>
      <c r="I182" s="10" t="s">
        <v>11888</v>
      </c>
      <c r="J182" s="10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10" t="s">
        <v>1606</v>
      </c>
      <c r="E183" s="10" t="s">
        <v>70</v>
      </c>
      <c r="F183" s="10" t="s">
        <v>5076</v>
      </c>
      <c r="H183" s="10"/>
      <c r="I183" s="10" t="s">
        <v>11891</v>
      </c>
      <c r="J183" s="10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10" t="s">
        <v>11957</v>
      </c>
      <c r="E184" s="10" t="s">
        <v>70</v>
      </c>
      <c r="F184" s="10"/>
      <c r="H184" s="10"/>
      <c r="I184" s="10" t="s">
        <v>11894</v>
      </c>
      <c r="J184" s="10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10" t="s">
        <v>11959</v>
      </c>
      <c r="E185" s="10" t="s">
        <v>70</v>
      </c>
      <c r="F185" s="10" t="s">
        <v>9339</v>
      </c>
      <c r="H185" s="10"/>
      <c r="I185" s="10" t="s">
        <v>11897</v>
      </c>
      <c r="J185" s="10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10" t="s">
        <v>650</v>
      </c>
      <c r="E186" s="10" t="s">
        <v>70</v>
      </c>
      <c r="F186" s="10" t="s">
        <v>9339</v>
      </c>
      <c r="H186" s="10"/>
      <c r="I186" s="10" t="s">
        <v>11900</v>
      </c>
      <c r="J186" s="10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s="10" t="s">
        <v>290</v>
      </c>
      <c r="E187" s="10" t="s">
        <v>12013</v>
      </c>
      <c r="F187" s="10" t="s">
        <v>1622</v>
      </c>
      <c r="G187">
        <v>2</v>
      </c>
      <c r="H187" s="10"/>
      <c r="I187" s="10" t="s">
        <v>11977</v>
      </c>
      <c r="J187" s="10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s="10" t="s">
        <v>12017</v>
      </c>
      <c r="E188" s="10" t="s">
        <v>12014</v>
      </c>
      <c r="F188" s="10"/>
      <c r="H188" s="10"/>
      <c r="I188" s="10" t="s">
        <v>11980</v>
      </c>
      <c r="J188" s="10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s="10" t="s">
        <v>12015</v>
      </c>
      <c r="E189" s="10" t="s">
        <v>12014</v>
      </c>
      <c r="F189" s="10"/>
      <c r="H189" s="10"/>
      <c r="I189" s="10" t="s">
        <v>11983</v>
      </c>
      <c r="J189" s="10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s="10" t="s">
        <v>4</v>
      </c>
      <c r="E190" s="10" t="s">
        <v>12016</v>
      </c>
      <c r="F190" s="10"/>
      <c r="H190" s="10"/>
      <c r="I190" s="10" t="s">
        <v>11986</v>
      </c>
      <c r="J190" s="10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s="10" t="s">
        <v>12017</v>
      </c>
      <c r="E191" s="10" t="s">
        <v>12014</v>
      </c>
      <c r="F191" s="10"/>
      <c r="H191" s="10"/>
      <c r="I191" s="10" t="s">
        <v>11989</v>
      </c>
      <c r="J191" s="10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s="10" t="s">
        <v>62</v>
      </c>
      <c r="E192" s="10" t="s">
        <v>12014</v>
      </c>
      <c r="F192" s="10"/>
      <c r="H192" s="10"/>
      <c r="I192" s="10" t="s">
        <v>11992</v>
      </c>
      <c r="J192" s="10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  <row r="193" spans="1:13" x14ac:dyDescent="0.25">
      <c r="A193" s="2" t="s">
        <v>22</v>
      </c>
      <c r="B193" s="4">
        <v>46068</v>
      </c>
      <c r="C193" s="5">
        <v>0.65759259259259262</v>
      </c>
      <c r="D193" s="10" t="s">
        <v>2004</v>
      </c>
      <c r="E193" s="10" t="s">
        <v>8</v>
      </c>
      <c r="F193" s="10"/>
      <c r="H193" s="10"/>
      <c r="I193" s="10" t="s">
        <v>12037</v>
      </c>
      <c r="J193" s="10" t="s">
        <v>2991</v>
      </c>
      <c r="K193" t="s">
        <v>12038</v>
      </c>
      <c r="L193" t="s">
        <v>12039</v>
      </c>
      <c r="M193" s="3" t="str">
        <f>HYPERLINK(склад2въезд13[[#This Row],[RelativePath]])</f>
        <v>4 Крыльцо офиса\K07156189_21_20260215T154656Z.jpg</v>
      </c>
    </row>
    <row r="194" spans="1:13" x14ac:dyDescent="0.25">
      <c r="A194" s="2" t="s">
        <v>13</v>
      </c>
      <c r="B194" s="4">
        <v>46069</v>
      </c>
      <c r="C194" s="5">
        <v>0.60898148148148146</v>
      </c>
      <c r="D194" s="10" t="s">
        <v>2004</v>
      </c>
      <c r="E194" s="10" t="s">
        <v>8</v>
      </c>
      <c r="F194" s="10"/>
      <c r="H194" s="10"/>
      <c r="I194" s="10" t="s">
        <v>12257</v>
      </c>
      <c r="J194" s="10" t="s">
        <v>2991</v>
      </c>
      <c r="K194" t="s">
        <v>12258</v>
      </c>
      <c r="L194" t="s">
        <v>12259</v>
      </c>
      <c r="M194" s="3" t="str">
        <f>HYPERLINK(склад2въезд13[[#This Row],[RelativePath]])</f>
        <v>4 Крыльцо офиса\K07156189_21_20260216T143656Z.jpg</v>
      </c>
    </row>
    <row r="195" spans="1:13" x14ac:dyDescent="0.25">
      <c r="A195" s="2" t="s">
        <v>14</v>
      </c>
      <c r="B195" s="4">
        <v>46070</v>
      </c>
      <c r="C195" s="5">
        <v>0.43868055555555557</v>
      </c>
      <c r="D195" s="10" t="s">
        <v>12370</v>
      </c>
      <c r="E195" s="10" t="s">
        <v>86</v>
      </c>
      <c r="F195" s="10"/>
      <c r="H195" s="10"/>
      <c r="I195" s="10" t="s">
        <v>12260</v>
      </c>
      <c r="J195" s="10" t="s">
        <v>2991</v>
      </c>
      <c r="K195" t="s">
        <v>12261</v>
      </c>
      <c r="L195" t="s">
        <v>12262</v>
      </c>
      <c r="M195" s="3" t="str">
        <f>HYPERLINK(склад2въезд13[[#This Row],[RelativePath]])</f>
        <v>4 Крыльцо офиса\K07156189_21_20260217T103142Z.jpg</v>
      </c>
    </row>
    <row r="196" spans="1:13" x14ac:dyDescent="0.25">
      <c r="A196" s="2" t="s">
        <v>14</v>
      </c>
      <c r="B196" s="4">
        <v>46070</v>
      </c>
      <c r="C196" s="5">
        <v>0.44383101851851853</v>
      </c>
      <c r="D196" s="10" t="s">
        <v>12370</v>
      </c>
      <c r="E196" s="10" t="s">
        <v>86</v>
      </c>
      <c r="F196" s="10"/>
      <c r="H196" s="10"/>
      <c r="I196" s="10" t="s">
        <v>12263</v>
      </c>
      <c r="J196" s="10" t="s">
        <v>2991</v>
      </c>
      <c r="K196" t="s">
        <v>12264</v>
      </c>
      <c r="L196" t="s">
        <v>12265</v>
      </c>
      <c r="M196" s="3" t="str">
        <f>HYPERLINK(склад2въезд13[[#This Row],[RelativePath]])</f>
        <v>4 Крыльцо офиса\K07156189_21_20260217T103907Z.jpg</v>
      </c>
    </row>
    <row r="197" spans="1:13" x14ac:dyDescent="0.25">
      <c r="A197" s="2" t="s">
        <v>14</v>
      </c>
      <c r="B197" s="4">
        <v>46070</v>
      </c>
      <c r="C197" s="5">
        <v>0.44959490740740743</v>
      </c>
      <c r="D197" s="10" t="s">
        <v>12370</v>
      </c>
      <c r="E197" s="10" t="s">
        <v>86</v>
      </c>
      <c r="F197" s="10"/>
      <c r="H197" s="10"/>
      <c r="I197" s="10" t="s">
        <v>12266</v>
      </c>
      <c r="J197" s="10" t="s">
        <v>2991</v>
      </c>
      <c r="K197" t="s">
        <v>12267</v>
      </c>
      <c r="L197" t="s">
        <v>12268</v>
      </c>
      <c r="M197" s="3" t="str">
        <f>HYPERLINK(склад2въезд13[[#This Row],[RelativePath]])</f>
        <v>4 Крыльцо офиса\K07156189_21_20260217T104725Z.jpg</v>
      </c>
    </row>
    <row r="198" spans="1:13" x14ac:dyDescent="0.25">
      <c r="A198" s="2" t="s">
        <v>14</v>
      </c>
      <c r="B198" s="4">
        <v>46070</v>
      </c>
      <c r="C198" s="5">
        <v>0.51246527777777773</v>
      </c>
      <c r="D198" s="10" t="s">
        <v>4</v>
      </c>
      <c r="E198" s="10" t="s">
        <v>12371</v>
      </c>
      <c r="F198" s="10"/>
      <c r="H198" s="10"/>
      <c r="I198" s="10" t="s">
        <v>12269</v>
      </c>
      <c r="J198" s="10" t="s">
        <v>2991</v>
      </c>
      <c r="K198" t="s">
        <v>12270</v>
      </c>
      <c r="L198" t="s">
        <v>12271</v>
      </c>
      <c r="M198" s="3" t="str">
        <f>HYPERLINK(склад2въезд13[[#This Row],[RelativePath]])</f>
        <v>4 Крыльцо офиса\K07156189_21_20260217T121757Z.jpg</v>
      </c>
    </row>
    <row r="199" spans="1:13" x14ac:dyDescent="0.25">
      <c r="A199" s="2" t="s">
        <v>14</v>
      </c>
      <c r="B199" s="4">
        <v>46070</v>
      </c>
      <c r="C199" s="5">
        <v>0.63879629629629631</v>
      </c>
      <c r="D199" s="10" t="s">
        <v>12370</v>
      </c>
      <c r="E199" s="10" t="s">
        <v>531</v>
      </c>
      <c r="F199" s="10"/>
      <c r="H199" s="10"/>
      <c r="I199" s="10" t="s">
        <v>12272</v>
      </c>
      <c r="J199" s="10" t="s">
        <v>2991</v>
      </c>
      <c r="K199" t="s">
        <v>12273</v>
      </c>
      <c r="L199" t="s">
        <v>12274</v>
      </c>
      <c r="M199" s="3" t="str">
        <f>HYPERLINK(склад2въезд13[[#This Row],[RelativePath]])</f>
        <v>4 Крыльцо офиса\K07156189_21_20260217T151952Z.jpg</v>
      </c>
    </row>
    <row r="200" spans="1:13" x14ac:dyDescent="0.25">
      <c r="A200" s="2" t="s">
        <v>14</v>
      </c>
      <c r="B200" s="4">
        <v>46070</v>
      </c>
      <c r="C200" s="5">
        <v>0.67047453703703708</v>
      </c>
      <c r="D200" s="10" t="s">
        <v>4</v>
      </c>
      <c r="E200" s="10" t="s">
        <v>12371</v>
      </c>
      <c r="F200" s="10"/>
      <c r="H200" s="10"/>
      <c r="I200" s="10" t="s">
        <v>12275</v>
      </c>
      <c r="J200" s="10" t="s">
        <v>2991</v>
      </c>
      <c r="K200" t="s">
        <v>12276</v>
      </c>
      <c r="L200" t="s">
        <v>12277</v>
      </c>
      <c r="M200" s="3" t="str">
        <f>HYPERLINK(склад2въезд13[[#This Row],[RelativePath]])</f>
        <v>4 Крыльцо офиса\K07156189_21_20260217T160529Z.jpg</v>
      </c>
    </row>
    <row r="201" spans="1:13" x14ac:dyDescent="0.25">
      <c r="A201" s="2" t="s">
        <v>14</v>
      </c>
      <c r="B201" s="4">
        <v>46070</v>
      </c>
      <c r="C201" s="5">
        <v>0.69761574074074073</v>
      </c>
      <c r="D201" s="10" t="s">
        <v>11961</v>
      </c>
      <c r="E201" s="10"/>
      <c r="F201" s="10"/>
      <c r="H201" s="10"/>
      <c r="I201" s="10" t="s">
        <v>12278</v>
      </c>
      <c r="J201" s="10" t="s">
        <v>2991</v>
      </c>
      <c r="K201" t="s">
        <v>12279</v>
      </c>
      <c r="L201" t="s">
        <v>12280</v>
      </c>
      <c r="M201" s="3" t="str">
        <f>HYPERLINK(склад2въезд13[[#This Row],[RelativePath]])</f>
        <v>4 Крыльцо офиса\K07156189_21_20260217T164434Z.jpg</v>
      </c>
    </row>
    <row r="202" spans="1:13" x14ac:dyDescent="0.25">
      <c r="A202" s="2" t="s">
        <v>15</v>
      </c>
      <c r="B202" s="4">
        <v>46071</v>
      </c>
      <c r="C202" s="5">
        <v>0.40978009259259257</v>
      </c>
      <c r="D202" s="10" t="s">
        <v>12017</v>
      </c>
      <c r="E202" s="10" t="s">
        <v>4193</v>
      </c>
      <c r="F202" s="10"/>
      <c r="H202" s="10"/>
      <c r="I202" s="10" t="s">
        <v>12373</v>
      </c>
      <c r="J202" s="10" t="s">
        <v>2991</v>
      </c>
      <c r="K202" t="s">
        <v>12374</v>
      </c>
      <c r="L202" t="s">
        <v>12375</v>
      </c>
      <c r="M202" s="3" t="str">
        <f>HYPERLINK(склад2въезд13[[#This Row],[RelativePath]])</f>
        <v>4 Крыльцо офиса\K07156189_21_20260218T095005Z.jpg</v>
      </c>
    </row>
    <row r="203" spans="1:13" x14ac:dyDescent="0.25">
      <c r="A203" s="2" t="s">
        <v>15</v>
      </c>
      <c r="B203" s="4">
        <v>46071</v>
      </c>
      <c r="C203" s="5">
        <v>0.50271990740740746</v>
      </c>
      <c r="D203" s="10" t="s">
        <v>651</v>
      </c>
      <c r="E203" s="10" t="s">
        <v>86</v>
      </c>
      <c r="F203" s="10"/>
      <c r="H203" s="10"/>
      <c r="I203" s="10" t="s">
        <v>12281</v>
      </c>
      <c r="J203" s="10" t="s">
        <v>2991</v>
      </c>
      <c r="K203" t="s">
        <v>12282</v>
      </c>
      <c r="L203" t="s">
        <v>12283</v>
      </c>
      <c r="M203" s="3" t="str">
        <f>HYPERLINK(склад2въезд13[[#This Row],[RelativePath]])</f>
        <v>4 Крыльцо офиса\K07156189_21_20260218T120355Z.jpg</v>
      </c>
    </row>
    <row r="204" spans="1:13" x14ac:dyDescent="0.25">
      <c r="A204" s="2" t="s">
        <v>15</v>
      </c>
      <c r="B204" s="4">
        <v>46071</v>
      </c>
      <c r="C204" s="5">
        <v>0.51141203703703708</v>
      </c>
      <c r="D204" s="10" t="s">
        <v>1606</v>
      </c>
      <c r="E204" s="10" t="s">
        <v>12372</v>
      </c>
      <c r="F204" s="10"/>
      <c r="H204" s="10"/>
      <c r="I204" s="10" t="s">
        <v>12284</v>
      </c>
      <c r="J204" s="10" t="s">
        <v>2991</v>
      </c>
      <c r="K204" t="s">
        <v>12285</v>
      </c>
      <c r="L204" t="s">
        <v>12286</v>
      </c>
      <c r="M204" s="3" t="str">
        <f>HYPERLINK(склад2въезд13[[#This Row],[RelativePath]])</f>
        <v>4 Крыльцо офиса\K07156189_21_20260218T121626Z.jpg</v>
      </c>
    </row>
    <row r="205" spans="1:13" x14ac:dyDescent="0.25">
      <c r="A205" s="2" t="s">
        <v>15</v>
      </c>
      <c r="B205" s="4">
        <v>46071</v>
      </c>
      <c r="C205" s="5">
        <v>0.5130555555555556</v>
      </c>
      <c r="D205" s="10" t="s">
        <v>62</v>
      </c>
      <c r="E205" s="10" t="s">
        <v>4193</v>
      </c>
      <c r="F205" s="10"/>
      <c r="H205" s="10"/>
      <c r="I205" s="10" t="s">
        <v>12287</v>
      </c>
      <c r="J205" s="10" t="s">
        <v>2991</v>
      </c>
      <c r="K205" t="s">
        <v>12288</v>
      </c>
      <c r="L205" t="s">
        <v>12289</v>
      </c>
      <c r="M205" s="3" t="str">
        <f>HYPERLINK(склад2въезд13[[#This Row],[RelativePath]])</f>
        <v>4 Крыльцо офиса\K07156189_21_20260218T121848Z.jpg</v>
      </c>
    </row>
    <row r="206" spans="1:13" x14ac:dyDescent="0.25">
      <c r="A206" s="2" t="s">
        <v>15</v>
      </c>
      <c r="B206" s="4">
        <v>46071</v>
      </c>
      <c r="C206" s="5">
        <v>0.51651620370370366</v>
      </c>
      <c r="D206" s="10" t="s">
        <v>12017</v>
      </c>
      <c r="E206" s="10" t="s">
        <v>12372</v>
      </c>
      <c r="F206" s="10"/>
      <c r="H206" s="10"/>
      <c r="I206" s="10" t="s">
        <v>12290</v>
      </c>
      <c r="J206" s="10" t="s">
        <v>2991</v>
      </c>
      <c r="K206" t="s">
        <v>12291</v>
      </c>
      <c r="L206" t="s">
        <v>12292</v>
      </c>
      <c r="M206" s="3" t="str">
        <f>HYPERLINK(склад2въезд13[[#This Row],[RelativePath]])</f>
        <v>4 Крыльцо офиса\K07156189_21_20260218T122347Z.jpg</v>
      </c>
    </row>
    <row r="207" spans="1:13" x14ac:dyDescent="0.25">
      <c r="A207" s="2" t="s">
        <v>15</v>
      </c>
      <c r="B207" s="4">
        <v>46071</v>
      </c>
      <c r="C207" s="5">
        <v>0.52504629629629629</v>
      </c>
      <c r="D207" s="10" t="s">
        <v>62</v>
      </c>
      <c r="E207" s="10" t="s">
        <v>12372</v>
      </c>
      <c r="F207" s="10"/>
      <c r="H207" s="10"/>
      <c r="I207" s="10" t="s">
        <v>12293</v>
      </c>
      <c r="J207" s="10" t="s">
        <v>2991</v>
      </c>
      <c r="K207" t="s">
        <v>12294</v>
      </c>
      <c r="L207" t="s">
        <v>12295</v>
      </c>
      <c r="M207" s="3" t="str">
        <f>HYPERLINK(склад2въезд13[[#This Row],[RelativePath]])</f>
        <v>4 Крыльцо офиса\K07156189_21_20260218T123604Z.jpg</v>
      </c>
    </row>
    <row r="208" spans="1:13" x14ac:dyDescent="0.25">
      <c r="A208" s="2" t="s">
        <v>15</v>
      </c>
      <c r="B208" s="4">
        <v>46071</v>
      </c>
      <c r="C208" s="5">
        <v>0.60122685185185187</v>
      </c>
      <c r="D208" s="10" t="s">
        <v>651</v>
      </c>
      <c r="E208" s="10" t="s">
        <v>86</v>
      </c>
      <c r="F208" s="10"/>
      <c r="H208" s="10"/>
      <c r="I208" s="10" t="s">
        <v>12296</v>
      </c>
      <c r="J208" s="10" t="s">
        <v>2991</v>
      </c>
      <c r="K208" t="s">
        <v>12297</v>
      </c>
      <c r="L208" t="s">
        <v>12298</v>
      </c>
      <c r="M208" s="3" t="str">
        <f>HYPERLINK(склад2въезд13[[#This Row],[RelativePath]])</f>
        <v>4 Крыльцо офиса\K07156189_21_20260218T142546Z.jpg</v>
      </c>
    </row>
    <row r="209" spans="1:13" x14ac:dyDescent="0.25">
      <c r="A209" s="2" t="s">
        <v>16</v>
      </c>
      <c r="B209" s="4">
        <v>46072</v>
      </c>
      <c r="C209" s="5">
        <v>0.41233796296296299</v>
      </c>
      <c r="D209" s="10" t="s">
        <v>651</v>
      </c>
      <c r="E209" s="10" t="s">
        <v>86</v>
      </c>
      <c r="F209" s="10"/>
      <c r="H209" s="10"/>
      <c r="I209" s="10" t="s">
        <v>12443</v>
      </c>
      <c r="J209" s="10" t="s">
        <v>2991</v>
      </c>
      <c r="K209" t="s">
        <v>12444</v>
      </c>
      <c r="L209" t="s">
        <v>12445</v>
      </c>
      <c r="M209" s="3" t="str">
        <f>HYPERLINK(склад2въезд13[[#This Row],[RelativePath]])</f>
        <v>4 Крыльцо офиса\K07156189_21_20260219T095346Z.jpg</v>
      </c>
    </row>
    <row r="210" spans="1:13" x14ac:dyDescent="0.25">
      <c r="A210" s="2" t="s">
        <v>16</v>
      </c>
      <c r="B210" s="4">
        <v>46072</v>
      </c>
      <c r="C210" s="5">
        <v>0.45656249999999998</v>
      </c>
      <c r="D210" s="10" t="s">
        <v>12017</v>
      </c>
      <c r="E210" s="10" t="s">
        <v>4193</v>
      </c>
      <c r="F210" s="10"/>
      <c r="H210" s="10"/>
      <c r="I210" s="10" t="s">
        <v>12446</v>
      </c>
      <c r="J210" s="10" t="s">
        <v>2991</v>
      </c>
      <c r="K210" t="s">
        <v>12447</v>
      </c>
      <c r="L210" t="s">
        <v>12448</v>
      </c>
      <c r="M210" s="3" t="str">
        <f>HYPERLINK(склад2въезд13[[#This Row],[RelativePath]])</f>
        <v>4 Крыльцо офиса\K07156189_21_20260219T105727Z.jpg</v>
      </c>
    </row>
    <row r="211" spans="1:13" x14ac:dyDescent="0.25">
      <c r="A211" s="2" t="s">
        <v>16</v>
      </c>
      <c r="B211" s="4">
        <v>46072</v>
      </c>
      <c r="C211" s="5">
        <v>0.45841435185185186</v>
      </c>
      <c r="D211" s="10" t="s">
        <v>12017</v>
      </c>
      <c r="E211" s="10" t="s">
        <v>12491</v>
      </c>
      <c r="F211" s="10"/>
      <c r="H211" s="10" t="s">
        <v>12492</v>
      </c>
      <c r="I211" s="10" t="s">
        <v>12449</v>
      </c>
      <c r="J211" s="10" t="s">
        <v>2991</v>
      </c>
      <c r="K211" t="s">
        <v>12450</v>
      </c>
      <c r="L211" t="s">
        <v>12451</v>
      </c>
      <c r="M211" s="3" t="str">
        <f>HYPERLINK(склад2въезд13[[#This Row],[RelativePath]])</f>
        <v>4 Крыльцо офиса\K07156189_21_20260219T110007Z.jpg</v>
      </c>
    </row>
    <row r="212" spans="1:13" x14ac:dyDescent="0.25">
      <c r="A212" s="2" t="s">
        <v>16</v>
      </c>
      <c r="B212" s="4">
        <v>46072</v>
      </c>
      <c r="C212" s="5">
        <v>0.58318287037037042</v>
      </c>
      <c r="D212" s="10" t="s">
        <v>62</v>
      </c>
      <c r="E212" s="10" t="s">
        <v>4193</v>
      </c>
      <c r="F212" s="10"/>
      <c r="H212" s="10"/>
      <c r="I212" s="10" t="s">
        <v>12452</v>
      </c>
      <c r="J212" s="10" t="s">
        <v>2991</v>
      </c>
      <c r="K212" t="s">
        <v>12453</v>
      </c>
      <c r="L212" t="s">
        <v>12454</v>
      </c>
      <c r="M212" s="3" t="str">
        <f>HYPERLINK(склад2въезд13[[#This Row],[RelativePath]])</f>
        <v>4 Крыльцо офиса\K07156189_21_20260219T135947Z.jpg</v>
      </c>
    </row>
    <row r="213" spans="1:13" x14ac:dyDescent="0.25">
      <c r="A213" s="2" t="s">
        <v>16</v>
      </c>
      <c r="B213" s="4">
        <v>46072</v>
      </c>
      <c r="C213" s="5">
        <v>0.60552083333333329</v>
      </c>
      <c r="D213" s="10" t="s">
        <v>12017</v>
      </c>
      <c r="E213" s="10" t="s">
        <v>12493</v>
      </c>
      <c r="F213" s="10"/>
      <c r="H213" s="10"/>
      <c r="I213" s="10" t="s">
        <v>12455</v>
      </c>
      <c r="J213" s="10" t="s">
        <v>2991</v>
      </c>
      <c r="K213" t="s">
        <v>12456</v>
      </c>
      <c r="L213" t="s">
        <v>12457</v>
      </c>
      <c r="M213" s="3" t="str">
        <f>HYPERLINK(склад2въезд13[[#This Row],[RelativePath]])</f>
        <v>4 Крыльцо офиса\K07156189_21_20260219T143157Z.jpg</v>
      </c>
    </row>
    <row r="214" spans="1:13" x14ac:dyDescent="0.25">
      <c r="A214" s="2" t="s">
        <v>16</v>
      </c>
      <c r="B214" s="4">
        <v>46072</v>
      </c>
      <c r="C214" s="5">
        <v>0.60810185185185184</v>
      </c>
      <c r="D214" s="10" t="s">
        <v>62</v>
      </c>
      <c r="E214" s="10" t="s">
        <v>12493</v>
      </c>
      <c r="F214" s="10" t="s">
        <v>12597</v>
      </c>
      <c r="H214" s="10"/>
      <c r="I214" s="10" t="s">
        <v>12458</v>
      </c>
      <c r="J214" s="10" t="s">
        <v>2991</v>
      </c>
      <c r="K214" t="s">
        <v>12459</v>
      </c>
      <c r="L214" t="s">
        <v>12460</v>
      </c>
      <c r="M214" s="3" t="str">
        <f>HYPERLINK(склад2въезд13[[#This Row],[RelativePath]])</f>
        <v>4 Крыльцо офиса\K07156189_21_20260219T143540Z.jpg</v>
      </c>
    </row>
    <row r="215" spans="1:13" x14ac:dyDescent="0.25">
      <c r="A215" s="2" t="s">
        <v>17</v>
      </c>
      <c r="B215" s="4">
        <v>46073</v>
      </c>
      <c r="C215" s="5">
        <v>0.65903935185185181</v>
      </c>
      <c r="D215" s="10" t="s">
        <v>12017</v>
      </c>
      <c r="E215" s="10" t="s">
        <v>12493</v>
      </c>
      <c r="F215" s="10"/>
      <c r="H215" s="10"/>
      <c r="I215" s="10" t="s">
        <v>12504</v>
      </c>
      <c r="J215" s="10" t="s">
        <v>2991</v>
      </c>
      <c r="K215" t="s">
        <v>12505</v>
      </c>
      <c r="L215" t="s">
        <v>12506</v>
      </c>
      <c r="M215" s="3" t="str">
        <f>HYPERLINK(склад2въезд13[[#This Row],[RelativePath]])</f>
        <v>4 Крыльцо офиса\K07156189_21_20260220T154901Z.jpg</v>
      </c>
    </row>
    <row r="216" spans="1:13" x14ac:dyDescent="0.25">
      <c r="A216" s="2" t="s">
        <v>17</v>
      </c>
      <c r="B216" s="4">
        <v>46073</v>
      </c>
      <c r="C216" s="5">
        <v>0.66093749999999996</v>
      </c>
      <c r="D216" s="10" t="s">
        <v>12598</v>
      </c>
      <c r="E216" s="10" t="s">
        <v>12493</v>
      </c>
      <c r="F216" s="10"/>
      <c r="H216" s="10"/>
      <c r="I216" s="10" t="s">
        <v>12507</v>
      </c>
      <c r="J216" s="10" t="s">
        <v>2991</v>
      </c>
      <c r="K216" t="s">
        <v>12508</v>
      </c>
      <c r="L216" t="s">
        <v>12509</v>
      </c>
      <c r="M216" s="3" t="str">
        <f>HYPERLINK(склад2въезд13[[#This Row],[RelativePath]])</f>
        <v>4 Крыльцо офиса\K07156189_21_20260220T155145Z.jpg</v>
      </c>
    </row>
    <row r="217" spans="1:13" x14ac:dyDescent="0.25">
      <c r="A217" s="2" t="s">
        <v>17</v>
      </c>
      <c r="B217" s="4">
        <v>46073</v>
      </c>
      <c r="C217" s="5">
        <v>0.66113425925925928</v>
      </c>
      <c r="D217" s="10" t="s">
        <v>6171</v>
      </c>
      <c r="E217" s="10" t="s">
        <v>12493</v>
      </c>
      <c r="F217" s="10"/>
      <c r="H217" s="10"/>
      <c r="I217" s="10" t="s">
        <v>12510</v>
      </c>
      <c r="J217" s="10" t="s">
        <v>2991</v>
      </c>
      <c r="K217" t="s">
        <v>12511</v>
      </c>
      <c r="L217" t="s">
        <v>12512</v>
      </c>
      <c r="M217" s="3" t="str">
        <f>HYPERLINK(склад2въезд13[[#This Row],[RelativePath]])</f>
        <v>4 Крыльцо офиса\K07156189_21_20260220T155202Z.jpg</v>
      </c>
    </row>
    <row r="218" spans="1:13" x14ac:dyDescent="0.25">
      <c r="A218" s="2" t="s">
        <v>18</v>
      </c>
      <c r="B218" s="4">
        <v>46074</v>
      </c>
      <c r="C218" s="5">
        <v>0.35714120370370372</v>
      </c>
      <c r="D218" s="10" t="s">
        <v>1606</v>
      </c>
      <c r="E218" s="10" t="s">
        <v>12776</v>
      </c>
      <c r="F218" s="10"/>
      <c r="H218" s="10"/>
      <c r="I218" s="10" t="s">
        <v>12605</v>
      </c>
      <c r="J218" s="10" t="s">
        <v>2991</v>
      </c>
      <c r="K218" t="s">
        <v>12606</v>
      </c>
      <c r="L218" t="s">
        <v>12607</v>
      </c>
      <c r="M218" s="3" t="str">
        <f>HYPERLINK(склад2въезд13[[#This Row],[RelativePath]])</f>
        <v>4 Крыльцо офиса\K07156189_21_20260221T083417Z.jpg</v>
      </c>
    </row>
    <row r="219" spans="1:13" x14ac:dyDescent="0.25">
      <c r="A219" s="2" t="s">
        <v>18</v>
      </c>
      <c r="B219" s="4">
        <v>46074</v>
      </c>
      <c r="C219" s="5">
        <v>0.35908564814814814</v>
      </c>
      <c r="D219" s="10" t="s">
        <v>6171</v>
      </c>
      <c r="E219" s="10" t="s">
        <v>12776</v>
      </c>
      <c r="F219" s="10"/>
      <c r="H219" s="10"/>
      <c r="I219" s="10" t="s">
        <v>12608</v>
      </c>
      <c r="J219" s="10" t="s">
        <v>2991</v>
      </c>
      <c r="K219" t="s">
        <v>12609</v>
      </c>
      <c r="L219" t="s">
        <v>12610</v>
      </c>
      <c r="M219" s="3" t="str">
        <f>HYPERLINK(склад2въезд13[[#This Row],[RelativePath]])</f>
        <v>4 Крыльцо офиса\K07156189_21_20260221T083705Z.jpg</v>
      </c>
    </row>
    <row r="220" spans="1:13" x14ac:dyDescent="0.25">
      <c r="A220" s="2" t="s">
        <v>18</v>
      </c>
      <c r="B220" s="4">
        <v>46074</v>
      </c>
      <c r="C220" s="5">
        <v>0.36126157407407405</v>
      </c>
      <c r="D220" s="10" t="s">
        <v>62</v>
      </c>
      <c r="E220" s="10" t="s">
        <v>12776</v>
      </c>
      <c r="F220" s="10"/>
      <c r="H220" s="10"/>
      <c r="I220" s="10" t="s">
        <v>12611</v>
      </c>
      <c r="J220" s="10" t="s">
        <v>2991</v>
      </c>
      <c r="K220" t="s">
        <v>12612</v>
      </c>
      <c r="L220" t="s">
        <v>12613</v>
      </c>
      <c r="M220" s="3" t="str">
        <f>HYPERLINK(склад2въезд13[[#This Row],[RelativePath]])</f>
        <v>4 Крыльцо офиса\K07156189_21_20260221T084013Z.jpg</v>
      </c>
    </row>
    <row r="221" spans="1:13" x14ac:dyDescent="0.25">
      <c r="A221" s="2" t="s">
        <v>18</v>
      </c>
      <c r="B221" s="4">
        <v>46074</v>
      </c>
      <c r="C221" s="5">
        <v>0.38164351851851852</v>
      </c>
      <c r="D221" s="10" t="s">
        <v>1606</v>
      </c>
      <c r="E221" s="10" t="s">
        <v>12491</v>
      </c>
      <c r="F221" s="10"/>
      <c r="H221" s="10"/>
      <c r="I221" s="10" t="s">
        <v>12614</v>
      </c>
      <c r="J221" s="10" t="s">
        <v>2991</v>
      </c>
      <c r="K221" t="s">
        <v>12615</v>
      </c>
      <c r="L221" t="s">
        <v>12616</v>
      </c>
      <c r="M221" s="3" t="str">
        <f>HYPERLINK(склад2въезд13[[#This Row],[RelativePath]])</f>
        <v>4 Крыльцо офиса\K07156189_21_20260221T090934Z.jpg</v>
      </c>
    </row>
    <row r="222" spans="1:13" x14ac:dyDescent="0.25">
      <c r="A222" s="2" t="s">
        <v>18</v>
      </c>
      <c r="B222" s="4">
        <v>46074</v>
      </c>
      <c r="C222" s="5">
        <v>0.47270833333333334</v>
      </c>
      <c r="D222" s="10" t="s">
        <v>62</v>
      </c>
      <c r="E222" s="10" t="s">
        <v>12491</v>
      </c>
      <c r="F222" s="10"/>
      <c r="H222" s="10"/>
      <c r="I222" s="10" t="s">
        <v>12617</v>
      </c>
      <c r="J222" s="10" t="s">
        <v>2991</v>
      </c>
      <c r="K222" t="s">
        <v>12618</v>
      </c>
      <c r="L222" t="s">
        <v>12619</v>
      </c>
      <c r="M222" s="3" t="str">
        <f>HYPERLINK(склад2въезд13[[#This Row],[RelativePath]])</f>
        <v>4 Крыльцо офиса\K07156189_21_20260221T112042Z.jpg</v>
      </c>
    </row>
    <row r="223" spans="1:13" x14ac:dyDescent="0.25">
      <c r="A223" s="2" t="s">
        <v>18</v>
      </c>
      <c r="B223" s="4">
        <v>46074</v>
      </c>
      <c r="C223" s="5">
        <v>0.60416666666666663</v>
      </c>
      <c r="D223" s="10" t="s">
        <v>11957</v>
      </c>
      <c r="E223" s="10" t="s">
        <v>12777</v>
      </c>
      <c r="F223" s="10"/>
      <c r="H223" s="10"/>
      <c r="I223" s="10" t="s">
        <v>12620</v>
      </c>
      <c r="J223" s="10" t="s">
        <v>2991</v>
      </c>
      <c r="K223" t="s">
        <v>12621</v>
      </c>
      <c r="L223" t="s">
        <v>12622</v>
      </c>
      <c r="M223" s="3" t="str">
        <f>HYPERLINK(склад2въезд13[[#This Row],[RelativePath]])</f>
        <v>4 Крыльцо офиса\K07156189_21_20260221T143000Z.jpg</v>
      </c>
    </row>
    <row r="224" spans="1:13" x14ac:dyDescent="0.25">
      <c r="A224" s="2" t="s">
        <v>18</v>
      </c>
      <c r="B224" s="4">
        <v>46074</v>
      </c>
      <c r="C224" s="5">
        <v>0.62526620370370367</v>
      </c>
      <c r="D224" s="10" t="s">
        <v>62</v>
      </c>
      <c r="E224" s="10" t="s">
        <v>12777</v>
      </c>
      <c r="F224" s="10"/>
      <c r="H224" s="10"/>
      <c r="I224" s="10" t="s">
        <v>12623</v>
      </c>
      <c r="J224" s="10" t="s">
        <v>2991</v>
      </c>
      <c r="K224" t="s">
        <v>12624</v>
      </c>
      <c r="L224" t="s">
        <v>12625</v>
      </c>
      <c r="M224" s="3" t="str">
        <f>HYPERLINK(склад2въезд13[[#This Row],[RelativePath]])</f>
        <v>4 Крыльцо офиса\K07156189_21_20260221T150023Z.jpg</v>
      </c>
    </row>
    <row r="225" spans="1:13" x14ac:dyDescent="0.25">
      <c r="A225" s="2" t="s">
        <v>22</v>
      </c>
      <c r="B225" s="4">
        <v>46075</v>
      </c>
      <c r="C225" s="5">
        <v>0.57214120370370369</v>
      </c>
      <c r="D225" s="10" t="s">
        <v>4</v>
      </c>
      <c r="E225" s="10" t="s">
        <v>8</v>
      </c>
      <c r="F225" s="10"/>
      <c r="H225" s="10"/>
      <c r="I225" s="10" t="s">
        <v>12626</v>
      </c>
      <c r="J225" s="10" t="s">
        <v>2991</v>
      </c>
      <c r="K225" t="s">
        <v>12627</v>
      </c>
      <c r="L225" t="s">
        <v>12628</v>
      </c>
      <c r="M225" s="3" t="str">
        <f>HYPERLINK(склад2въезд13[[#This Row],[RelativePath]])</f>
        <v>4 Крыльцо офиса\K07156189_21_20260222T134353Z.jpg</v>
      </c>
    </row>
    <row r="226" spans="1:13" x14ac:dyDescent="0.25">
      <c r="A226" s="2" t="s">
        <v>22</v>
      </c>
      <c r="B226" s="4">
        <v>46075</v>
      </c>
      <c r="C226" s="5">
        <v>0.79046296296296292</v>
      </c>
      <c r="D226" s="10" t="s">
        <v>2004</v>
      </c>
      <c r="E226" s="10" t="s">
        <v>8</v>
      </c>
      <c r="F226" s="10"/>
      <c r="H226" s="10"/>
      <c r="I226" s="10" t="s">
        <v>12629</v>
      </c>
      <c r="J226" s="10" t="s">
        <v>2991</v>
      </c>
      <c r="K226" t="s">
        <v>12630</v>
      </c>
      <c r="L226" t="s">
        <v>12631</v>
      </c>
      <c r="M226" s="3" t="str">
        <f>HYPERLINK(склад2въезд13[[#This Row],[RelativePath]])</f>
        <v>4 Крыльцо офиса\K07156189_21_20260222T185816Z.jpg</v>
      </c>
    </row>
    <row r="227" spans="1:13" x14ac:dyDescent="0.25">
      <c r="A227" s="2" t="s">
        <v>13</v>
      </c>
      <c r="B227" s="4">
        <v>46076</v>
      </c>
      <c r="C227" s="5">
        <v>0.32671296296296298</v>
      </c>
      <c r="D227" s="10" t="s">
        <v>1606</v>
      </c>
      <c r="E227" s="10" t="s">
        <v>4191</v>
      </c>
      <c r="F227" s="10"/>
      <c r="H227" s="10"/>
      <c r="I227" s="10" t="s">
        <v>12778</v>
      </c>
      <c r="J227" s="10" t="s">
        <v>2991</v>
      </c>
      <c r="K227" t="s">
        <v>12779</v>
      </c>
      <c r="L227" t="s">
        <v>12780</v>
      </c>
      <c r="M227" s="3" t="str">
        <f>HYPERLINK(склад2въезд13[[#This Row],[RelativePath]])</f>
        <v>4 Крыльцо офиса\K07156189_21_20260223T075028Z.jpg</v>
      </c>
    </row>
    <row r="228" spans="1:13" x14ac:dyDescent="0.25">
      <c r="A228" s="2" t="s">
        <v>13</v>
      </c>
      <c r="B228" s="4">
        <v>46076</v>
      </c>
      <c r="C228" s="5">
        <v>0.33501157407407406</v>
      </c>
      <c r="D228" s="10" t="s">
        <v>11957</v>
      </c>
      <c r="E228" s="10" t="s">
        <v>12926</v>
      </c>
      <c r="F228" s="10" t="s">
        <v>51</v>
      </c>
      <c r="H228" s="10"/>
      <c r="I228" s="10" t="s">
        <v>12781</v>
      </c>
      <c r="J228" s="10" t="s">
        <v>2991</v>
      </c>
      <c r="K228" t="s">
        <v>12782</v>
      </c>
      <c r="L228" t="s">
        <v>12783</v>
      </c>
      <c r="M228" s="3" t="str">
        <f>HYPERLINK(склад2въезд13[[#This Row],[RelativePath]])</f>
        <v>4 Крыльцо офиса\K07156189_21_20260223T080225Z.jpg</v>
      </c>
    </row>
    <row r="229" spans="1:13" x14ac:dyDescent="0.25">
      <c r="A229" s="2" t="s">
        <v>13</v>
      </c>
      <c r="B229" s="4">
        <v>46076</v>
      </c>
      <c r="C229" s="5">
        <v>0.34920138888888891</v>
      </c>
      <c r="D229" s="10" t="s">
        <v>11957</v>
      </c>
      <c r="E229" s="10" t="s">
        <v>12927</v>
      </c>
      <c r="F229" s="10" t="s">
        <v>51</v>
      </c>
      <c r="H229" s="10"/>
      <c r="I229" s="10" t="s">
        <v>12784</v>
      </c>
      <c r="J229" s="10" t="s">
        <v>2991</v>
      </c>
      <c r="K229" t="s">
        <v>12785</v>
      </c>
      <c r="L229" t="s">
        <v>12786</v>
      </c>
      <c r="M229" s="3" t="str">
        <f>HYPERLINK(склад2въезд13[[#This Row],[RelativePath]])</f>
        <v>4 Крыльцо офиса\K07156189_21_20260223T082251Z.jpg</v>
      </c>
    </row>
    <row r="230" spans="1:13" x14ac:dyDescent="0.25">
      <c r="A230" s="2" t="s">
        <v>13</v>
      </c>
      <c r="B230" s="4">
        <v>46076</v>
      </c>
      <c r="C230" s="5">
        <v>0.42282407407407407</v>
      </c>
      <c r="D230" s="10" t="s">
        <v>62</v>
      </c>
      <c r="E230" s="10" t="s">
        <v>4191</v>
      </c>
      <c r="F230" s="10"/>
      <c r="H230" s="10"/>
      <c r="I230" s="10" t="s">
        <v>12787</v>
      </c>
      <c r="J230" s="10" t="s">
        <v>2991</v>
      </c>
      <c r="K230" t="s">
        <v>12788</v>
      </c>
      <c r="L230" t="s">
        <v>12789</v>
      </c>
      <c r="M230" s="3" t="str">
        <f>HYPERLINK(склад2въезд13[[#This Row],[RelativePath]])</f>
        <v>4 Крыльцо офиса\K07156189_21_20260223T100852Z.jpg</v>
      </c>
    </row>
    <row r="231" spans="1:13" x14ac:dyDescent="0.25">
      <c r="A231" s="2" t="s">
        <v>13</v>
      </c>
      <c r="B231" s="4">
        <v>46076</v>
      </c>
      <c r="C231" s="5">
        <v>0.42350694444444442</v>
      </c>
      <c r="D231" s="10" t="s">
        <v>62</v>
      </c>
      <c r="E231" s="10" t="s">
        <v>12927</v>
      </c>
      <c r="F231" s="10" t="s">
        <v>649</v>
      </c>
      <c r="H231" s="10"/>
      <c r="I231" s="10" t="s">
        <v>12790</v>
      </c>
      <c r="J231" s="10" t="s">
        <v>2991</v>
      </c>
      <c r="K231" t="s">
        <v>12791</v>
      </c>
      <c r="L231" t="s">
        <v>12792</v>
      </c>
      <c r="M231" s="3" t="str">
        <f>HYPERLINK(склад2въезд13[[#This Row],[RelativePath]])</f>
        <v>4 Крыльцо офиса\K07156189_21_20260223T100951Z.jpg</v>
      </c>
    </row>
    <row r="232" spans="1:13" x14ac:dyDescent="0.25">
      <c r="A232" s="2" t="s">
        <v>13</v>
      </c>
      <c r="B232" s="4">
        <v>46076</v>
      </c>
      <c r="C232" s="5">
        <v>0.44133101851851853</v>
      </c>
      <c r="D232" s="10" t="s">
        <v>62</v>
      </c>
      <c r="E232" s="10" t="s">
        <v>12926</v>
      </c>
      <c r="F232" s="10" t="s">
        <v>649</v>
      </c>
      <c r="H232" s="10"/>
      <c r="I232" s="10" t="s">
        <v>12793</v>
      </c>
      <c r="J232" s="10" t="s">
        <v>2991</v>
      </c>
      <c r="K232" t="s">
        <v>12794</v>
      </c>
      <c r="L232" t="s">
        <v>12795</v>
      </c>
      <c r="M232" s="3" t="str">
        <f>HYPERLINK(склад2въезд13[[#This Row],[RelativePath]])</f>
        <v>4 Крыльцо офиса\K07156189_21_20260223T103531Z.jpg</v>
      </c>
    </row>
  </sheetData>
  <conditionalFormatting sqref="D233:D243 E233:E246 G2:H232 D2:E232">
    <cfRule type="containsText" dxfId="778" priority="14" operator="containsText" text="Выезд с территории">
      <formula>NOT(ISERROR(SEARCH("Выезд с территории",D2)))</formula>
    </cfRule>
  </conditionalFormatting>
  <conditionalFormatting sqref="F2:F232">
    <cfRule type="notContainsText" dxfId="777" priority="13" operator="notContains" text="порожний">
      <formula>ISERROR(SEARCH("порожний",F2))</formula>
    </cfRule>
  </conditionalFormatting>
  <conditionalFormatting sqref="E2:E246">
    <cfRule type="containsText" dxfId="776" priority="11" operator="containsText" text="Газель базы">
      <formula>NOT(ISERROR(SEARCH("Газель базы",E2)))</formula>
    </cfRule>
    <cfRule type="containsText" dxfId="775" priority="12" operator="containsText" text="Погрузчик базы">
      <formula>NOT(ISERROR(SEARCH("Погрузчик базы",E2)))</formula>
    </cfRule>
  </conditionalFormatting>
  <conditionalFormatting sqref="E2:E246">
    <cfRule type="containsText" dxfId="774" priority="10" operator="containsText" text="Трактор базы">
      <formula>NOT(ISERROR(SEARCH("Трактор базы",E2)))</formula>
    </cfRule>
  </conditionalFormatting>
  <conditionalFormatting sqref="A2:C232">
    <cfRule type="expression" dxfId="773" priority="9">
      <formula>$A2="пн"</formula>
    </cfRule>
  </conditionalFormatting>
  <conditionalFormatting sqref="A2:C234">
    <cfRule type="expression" dxfId="772" priority="3">
      <formula>$A2="вс"</formula>
    </cfRule>
    <cfRule type="expression" dxfId="771" priority="4">
      <formula>$A2="сб"</formula>
    </cfRule>
    <cfRule type="expression" dxfId="770" priority="5">
      <formula>$A2="пт"</formula>
    </cfRule>
    <cfRule type="expression" dxfId="769" priority="6">
      <formula>$A2="чт"</formula>
    </cfRule>
    <cfRule type="expression" dxfId="768" priority="7">
      <formula>$A2="ср"</formula>
    </cfRule>
    <cfRule type="expression" dxfId="767" priority="8">
      <formula>$A2="вт"</formula>
    </cfRule>
  </conditionalFormatting>
  <conditionalFormatting sqref="D2:D243">
    <cfRule type="containsText" dxfId="7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3">
    <cfRule type="containsText" dxfId="7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53"/>
  <sheetViews>
    <sheetView topLeftCell="B1" zoomScale="90" zoomScaleNormal="90" workbookViewId="0">
      <pane ySplit="1" topLeftCell="A334" activePane="bottomLeft" state="frozen"/>
      <selection pane="bottomLeft" activeCell="E350" sqref="E35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.1406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10" t="s">
        <v>4</v>
      </c>
      <c r="E2" s="10" t="s">
        <v>8</v>
      </c>
      <c r="F2" s="10"/>
      <c r="H2" s="10" t="s">
        <v>5</v>
      </c>
      <c r="I2" s="10" t="s">
        <v>333</v>
      </c>
      <c r="J2" s="10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10" t="s">
        <v>460</v>
      </c>
      <c r="E3" s="10" t="s">
        <v>461</v>
      </c>
      <c r="F3" s="10"/>
      <c r="H3" s="10"/>
      <c r="I3" s="10" t="s">
        <v>337</v>
      </c>
      <c r="J3" s="10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10" t="s">
        <v>7</v>
      </c>
      <c r="E4" s="10" t="s">
        <v>461</v>
      </c>
      <c r="F4" s="10"/>
      <c r="H4" s="10"/>
      <c r="I4" s="10" t="s">
        <v>340</v>
      </c>
      <c r="J4" s="10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10" t="s">
        <v>4</v>
      </c>
      <c r="E5" s="10" t="s">
        <v>463</v>
      </c>
      <c r="F5" s="10"/>
      <c r="H5" s="10"/>
      <c r="I5" s="10" t="s">
        <v>343</v>
      </c>
      <c r="J5" s="10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10" t="s">
        <v>4</v>
      </c>
      <c r="E6" s="10" t="s">
        <v>462</v>
      </c>
      <c r="F6" s="10"/>
      <c r="H6" s="10"/>
      <c r="I6" s="10" t="s">
        <v>346</v>
      </c>
      <c r="J6" s="10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10" t="s">
        <v>4</v>
      </c>
      <c r="E7" s="10" t="s">
        <v>462</v>
      </c>
      <c r="F7" s="10"/>
      <c r="H7" s="10"/>
      <c r="I7" s="10" t="s">
        <v>349</v>
      </c>
      <c r="J7" s="10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10" t="s">
        <v>4</v>
      </c>
      <c r="E8" s="10" t="s">
        <v>463</v>
      </c>
      <c r="F8" s="10"/>
      <c r="H8" s="10"/>
      <c r="I8" s="10" t="s">
        <v>352</v>
      </c>
      <c r="J8" s="10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10" t="s">
        <v>4</v>
      </c>
      <c r="E9" s="10" t="s">
        <v>464</v>
      </c>
      <c r="F9" s="10"/>
      <c r="H9" s="10"/>
      <c r="I9" s="10" t="s">
        <v>355</v>
      </c>
      <c r="J9" s="10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10" t="s">
        <v>4</v>
      </c>
      <c r="E10" s="10" t="s">
        <v>8</v>
      </c>
      <c r="F10" s="10"/>
      <c r="H10" s="10" t="s">
        <v>5</v>
      </c>
      <c r="I10" s="10" t="s">
        <v>358</v>
      </c>
      <c r="J10" s="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10" t="s">
        <v>4</v>
      </c>
      <c r="E11" s="10" t="s">
        <v>465</v>
      </c>
      <c r="F11" s="10"/>
      <c r="H11" s="10"/>
      <c r="I11" s="10" t="s">
        <v>361</v>
      </c>
      <c r="J11" s="10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10" t="s">
        <v>467</v>
      </c>
      <c r="E12" s="10" t="s">
        <v>67</v>
      </c>
      <c r="F12" s="10"/>
      <c r="H12" s="10"/>
      <c r="I12" s="10" t="s">
        <v>364</v>
      </c>
      <c r="J12" s="10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10" t="s">
        <v>289</v>
      </c>
      <c r="E13" s="10" t="s">
        <v>67</v>
      </c>
      <c r="F13" s="10" t="s">
        <v>468</v>
      </c>
      <c r="H13" s="10"/>
      <c r="I13" s="10" t="s">
        <v>367</v>
      </c>
      <c r="J13" s="10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10" t="s">
        <v>289</v>
      </c>
      <c r="E14" s="10" t="s">
        <v>67</v>
      </c>
      <c r="F14" s="10" t="s">
        <v>468</v>
      </c>
      <c r="H14" s="10"/>
      <c r="I14" s="10" t="s">
        <v>370</v>
      </c>
      <c r="J14" s="10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10" t="s">
        <v>289</v>
      </c>
      <c r="E15" s="10" t="s">
        <v>67</v>
      </c>
      <c r="F15" s="10" t="s">
        <v>468</v>
      </c>
      <c r="H15" s="10"/>
      <c r="I15" s="10" t="s">
        <v>373</v>
      </c>
      <c r="J15" s="10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10" t="s">
        <v>289</v>
      </c>
      <c r="E16" s="10" t="s">
        <v>67</v>
      </c>
      <c r="F16" s="10" t="s">
        <v>468</v>
      </c>
      <c r="H16" s="10"/>
      <c r="I16" s="10" t="s">
        <v>376</v>
      </c>
      <c r="J16" s="10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10" t="s">
        <v>289</v>
      </c>
      <c r="E17" s="10" t="s">
        <v>67</v>
      </c>
      <c r="F17" s="10" t="s">
        <v>468</v>
      </c>
      <c r="H17" s="10"/>
      <c r="I17" s="10" t="s">
        <v>379</v>
      </c>
      <c r="J17" s="10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10" t="s">
        <v>289</v>
      </c>
      <c r="E18" s="10" t="s">
        <v>67</v>
      </c>
      <c r="F18" s="10" t="s">
        <v>468</v>
      </c>
      <c r="H18" s="10"/>
      <c r="I18" s="10" t="s">
        <v>382</v>
      </c>
      <c r="J18" s="10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10" t="s">
        <v>289</v>
      </c>
      <c r="E19" s="10" t="s">
        <v>67</v>
      </c>
      <c r="F19" s="10" t="s">
        <v>468</v>
      </c>
      <c r="H19" s="10"/>
      <c r="I19" s="10" t="s">
        <v>385</v>
      </c>
      <c r="J19" s="10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10" t="s">
        <v>289</v>
      </c>
      <c r="E20" s="10" t="s">
        <v>67</v>
      </c>
      <c r="F20" s="10" t="s">
        <v>468</v>
      </c>
      <c r="H20" s="10"/>
      <c r="I20" s="10" t="s">
        <v>388</v>
      </c>
      <c r="J20" s="1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10" t="s">
        <v>289</v>
      </c>
      <c r="E21" s="10" t="s">
        <v>67</v>
      </c>
      <c r="F21" s="10" t="s">
        <v>468</v>
      </c>
      <c r="H21" s="10"/>
      <c r="I21" s="10" t="s">
        <v>391</v>
      </c>
      <c r="J21" s="10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10" t="s">
        <v>289</v>
      </c>
      <c r="E22" s="10" t="s">
        <v>67</v>
      </c>
      <c r="F22" s="10" t="s">
        <v>468</v>
      </c>
      <c r="H22" s="10"/>
      <c r="I22" s="10" t="s">
        <v>394</v>
      </c>
      <c r="J22" s="10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10" t="s">
        <v>289</v>
      </c>
      <c r="E23" s="10" t="s">
        <v>67</v>
      </c>
      <c r="F23" s="10" t="s">
        <v>468</v>
      </c>
      <c r="H23" s="10"/>
      <c r="I23" s="10" t="s">
        <v>397</v>
      </c>
      <c r="J23" s="10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10" t="s">
        <v>289</v>
      </c>
      <c r="E24" s="10" t="s">
        <v>67</v>
      </c>
      <c r="F24" s="10" t="s">
        <v>468</v>
      </c>
      <c r="H24" s="10"/>
      <c r="I24" s="10" t="s">
        <v>400</v>
      </c>
      <c r="J24" s="10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10" t="s">
        <v>289</v>
      </c>
      <c r="E25" s="10" t="s">
        <v>67</v>
      </c>
      <c r="F25" s="10" t="s">
        <v>468</v>
      </c>
      <c r="H25" s="10"/>
      <c r="I25" s="10" t="s">
        <v>403</v>
      </c>
      <c r="J25" s="10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10" t="s">
        <v>289</v>
      </c>
      <c r="E26" s="10" t="s">
        <v>67</v>
      </c>
      <c r="F26" s="10" t="s">
        <v>468</v>
      </c>
      <c r="H26" s="10"/>
      <c r="I26" s="10" t="s">
        <v>406</v>
      </c>
      <c r="J26" s="10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10" t="s">
        <v>289</v>
      </c>
      <c r="E27" s="10" t="s">
        <v>67</v>
      </c>
      <c r="F27" s="10" t="s">
        <v>469</v>
      </c>
      <c r="H27" s="10" t="s">
        <v>470</v>
      </c>
      <c r="I27" s="10" t="s">
        <v>409</v>
      </c>
      <c r="J27" s="10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10" t="s">
        <v>471</v>
      </c>
      <c r="E28" s="10" t="s">
        <v>67</v>
      </c>
      <c r="F28" s="10" t="s">
        <v>468</v>
      </c>
      <c r="H28" s="10"/>
      <c r="I28" s="10" t="s">
        <v>412</v>
      </c>
      <c r="J28" s="10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10" t="s">
        <v>472</v>
      </c>
      <c r="E29" s="10" t="s">
        <v>67</v>
      </c>
      <c r="F29" s="10" t="s">
        <v>468</v>
      </c>
      <c r="H29" s="10"/>
      <c r="I29" s="10" t="s">
        <v>415</v>
      </c>
      <c r="J29" s="10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10" t="s">
        <v>4</v>
      </c>
      <c r="E30" s="10" t="s">
        <v>473</v>
      </c>
      <c r="F30" s="10"/>
      <c r="H30" s="10"/>
      <c r="I30" s="10" t="s">
        <v>418</v>
      </c>
      <c r="J30" s="1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10" t="s">
        <v>4</v>
      </c>
      <c r="E31" s="10" t="s">
        <v>8</v>
      </c>
      <c r="F31" s="10"/>
      <c r="H31" s="10" t="s">
        <v>5</v>
      </c>
      <c r="I31" s="10" t="s">
        <v>421</v>
      </c>
      <c r="J31" s="10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10" t="s">
        <v>4</v>
      </c>
      <c r="E32" s="10" t="s">
        <v>8</v>
      </c>
      <c r="F32" s="10"/>
      <c r="H32" s="10"/>
      <c r="I32" s="10" t="s">
        <v>424</v>
      </c>
      <c r="J32" s="10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10" t="s">
        <v>4</v>
      </c>
      <c r="E33" s="10" t="s">
        <v>477</v>
      </c>
      <c r="F33" s="10"/>
      <c r="H33" s="10" t="s">
        <v>478</v>
      </c>
      <c r="I33" s="10" t="s">
        <v>427</v>
      </c>
      <c r="J33" s="10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10" t="s">
        <v>4</v>
      </c>
      <c r="E34" s="10" t="s">
        <v>8</v>
      </c>
      <c r="F34" s="10"/>
      <c r="H34" s="10" t="s">
        <v>5</v>
      </c>
      <c r="I34" s="10" t="s">
        <v>430</v>
      </c>
      <c r="J34" s="10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10" t="s">
        <v>4</v>
      </c>
      <c r="E35" s="10" t="s">
        <v>8</v>
      </c>
      <c r="F35" s="10"/>
      <c r="H35" s="10" t="s">
        <v>474</v>
      </c>
      <c r="I35" s="10" t="s">
        <v>433</v>
      </c>
      <c r="J35" s="10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10" t="s">
        <v>4</v>
      </c>
      <c r="E36" s="10" t="s">
        <v>8</v>
      </c>
      <c r="F36" s="10"/>
      <c r="H36" s="10"/>
      <c r="I36" s="10" t="s">
        <v>436</v>
      </c>
      <c r="J36" s="10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10" t="s">
        <v>4</v>
      </c>
      <c r="E37" s="10" t="s">
        <v>8</v>
      </c>
      <c r="F37" s="10"/>
      <c r="H37" s="10" t="s">
        <v>6</v>
      </c>
      <c r="I37" s="10" t="s">
        <v>439</v>
      </c>
      <c r="J37" s="10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10" t="s">
        <v>4</v>
      </c>
      <c r="E38" s="10" t="s">
        <v>8</v>
      </c>
      <c r="F38" s="10"/>
      <c r="H38" s="10" t="s">
        <v>5</v>
      </c>
      <c r="I38" s="10" t="s">
        <v>442</v>
      </c>
      <c r="J38" s="10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10" t="s">
        <v>4</v>
      </c>
      <c r="E39" s="10" t="s">
        <v>475</v>
      </c>
      <c r="F39" s="10"/>
      <c r="H39" s="10"/>
      <c r="I39" s="10" t="s">
        <v>445</v>
      </c>
      <c r="J39" s="10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10" t="s">
        <v>4</v>
      </c>
      <c r="E40" s="10" t="s">
        <v>475</v>
      </c>
      <c r="F40" s="10"/>
      <c r="H40" s="10"/>
      <c r="I40" s="10" t="s">
        <v>448</v>
      </c>
      <c r="J40" s="1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10" t="s">
        <v>4</v>
      </c>
      <c r="E41" s="10" t="s">
        <v>479</v>
      </c>
      <c r="F41" s="10"/>
      <c r="H41" s="10" t="s">
        <v>476</v>
      </c>
      <c r="I41" s="10" t="s">
        <v>451</v>
      </c>
      <c r="J41" s="10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10" t="s">
        <v>4</v>
      </c>
      <c r="E42" s="10" t="s">
        <v>8</v>
      </c>
      <c r="F42" s="10"/>
      <c r="H42" s="10"/>
      <c r="I42" s="10" t="s">
        <v>454</v>
      </c>
      <c r="J42" s="10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10" t="s">
        <v>4</v>
      </c>
      <c r="E43" s="10" t="s">
        <v>8</v>
      </c>
      <c r="F43" s="10"/>
      <c r="H43" s="10" t="s">
        <v>6</v>
      </c>
      <c r="I43" s="10" t="s">
        <v>457</v>
      </c>
      <c r="J43" s="10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10" t="s">
        <v>4</v>
      </c>
      <c r="E44" s="10" t="s">
        <v>8</v>
      </c>
      <c r="F44" s="10"/>
      <c r="H44" s="10" t="s">
        <v>1625</v>
      </c>
      <c r="I44" s="10" t="s">
        <v>1295</v>
      </c>
      <c r="J44" s="10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10" t="s">
        <v>4</v>
      </c>
      <c r="E45" s="10" t="s">
        <v>8</v>
      </c>
      <c r="F45" s="10"/>
      <c r="H45" s="10" t="s">
        <v>2009</v>
      </c>
      <c r="I45" s="10" t="s">
        <v>1298</v>
      </c>
      <c r="J45" s="10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10" t="s">
        <v>4</v>
      </c>
      <c r="E46" s="10" t="s">
        <v>2014</v>
      </c>
      <c r="F46" s="10"/>
      <c r="H46" s="10" t="s">
        <v>1625</v>
      </c>
      <c r="I46" s="10" t="s">
        <v>1301</v>
      </c>
      <c r="J46" s="10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10" t="s">
        <v>4</v>
      </c>
      <c r="E47" s="10" t="s">
        <v>8</v>
      </c>
      <c r="F47" s="10"/>
      <c r="H47" s="10"/>
      <c r="I47" s="10" t="s">
        <v>2094</v>
      </c>
      <c r="J47" s="10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10" t="s">
        <v>4</v>
      </c>
      <c r="E48" s="10" t="s">
        <v>8</v>
      </c>
      <c r="F48" s="10"/>
      <c r="H48" s="10"/>
      <c r="I48" s="10" t="s">
        <v>2097</v>
      </c>
      <c r="J48" s="10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10" t="s">
        <v>4</v>
      </c>
      <c r="E49" s="10" t="s">
        <v>8</v>
      </c>
      <c r="F49" s="10"/>
      <c r="H49" s="10"/>
      <c r="I49" s="10" t="s">
        <v>2100</v>
      </c>
      <c r="J49" s="10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10" t="s">
        <v>4</v>
      </c>
      <c r="E50" s="10" t="s">
        <v>8</v>
      </c>
      <c r="F50" s="10"/>
      <c r="H50" s="10"/>
      <c r="I50" s="10" t="s">
        <v>2103</v>
      </c>
      <c r="J50" s="1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10" t="s">
        <v>4</v>
      </c>
      <c r="E51" s="10" t="s">
        <v>8</v>
      </c>
      <c r="F51" s="10"/>
      <c r="H51" s="10"/>
      <c r="I51" s="10" t="s">
        <v>2106</v>
      </c>
      <c r="J51" s="10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10" t="s">
        <v>4</v>
      </c>
      <c r="E52" s="10" t="s">
        <v>8</v>
      </c>
      <c r="F52" s="10"/>
      <c r="H52" s="10"/>
      <c r="I52" s="10" t="s">
        <v>2109</v>
      </c>
      <c r="J52" s="10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10" t="s">
        <v>4</v>
      </c>
      <c r="E53" s="10" t="s">
        <v>8</v>
      </c>
      <c r="F53" s="10"/>
      <c r="H53" s="10"/>
      <c r="I53" s="10" t="s">
        <v>2112</v>
      </c>
      <c r="J53" s="10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10" t="s">
        <v>4</v>
      </c>
      <c r="E54" s="10" t="s">
        <v>8</v>
      </c>
      <c r="F54" s="10"/>
      <c r="H54" s="10"/>
      <c r="I54" s="10" t="s">
        <v>3079</v>
      </c>
      <c r="J54" s="10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10" t="s">
        <v>4</v>
      </c>
      <c r="E55" s="10" t="s">
        <v>8</v>
      </c>
      <c r="F55" s="10"/>
      <c r="H55" s="10"/>
      <c r="I55" s="10" t="s">
        <v>3082</v>
      </c>
      <c r="J55" s="10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10" t="s">
        <v>4</v>
      </c>
      <c r="E56" s="10" t="s">
        <v>8</v>
      </c>
      <c r="F56" s="10"/>
      <c r="H56" s="10"/>
      <c r="I56" s="10" t="s">
        <v>3085</v>
      </c>
      <c r="J56" s="10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10" t="s">
        <v>4</v>
      </c>
      <c r="E57" s="10" t="s">
        <v>8</v>
      </c>
      <c r="F57" s="10"/>
      <c r="H57" s="10"/>
      <c r="I57" s="10" t="s">
        <v>3088</v>
      </c>
      <c r="J57" s="10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10" t="s">
        <v>4</v>
      </c>
      <c r="E58" s="10" t="s">
        <v>8</v>
      </c>
      <c r="F58" s="10"/>
      <c r="H58" s="10"/>
      <c r="I58" s="10" t="s">
        <v>3091</v>
      </c>
      <c r="J58" s="10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10" t="s">
        <v>4</v>
      </c>
      <c r="E59" s="10" t="s">
        <v>8</v>
      </c>
      <c r="F59" s="10"/>
      <c r="H59" s="10"/>
      <c r="I59" s="10" t="s">
        <v>3094</v>
      </c>
      <c r="J59" s="10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10" t="s">
        <v>4</v>
      </c>
      <c r="E60" s="10" t="s">
        <v>8</v>
      </c>
      <c r="F60" s="10"/>
      <c r="H60" s="10"/>
      <c r="I60" s="10" t="s">
        <v>3097</v>
      </c>
      <c r="J60" s="1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10" t="s">
        <v>4</v>
      </c>
      <c r="E61" s="10" t="s">
        <v>8</v>
      </c>
      <c r="F61" s="10"/>
      <c r="H61" s="10"/>
      <c r="I61" s="10" t="s">
        <v>3100</v>
      </c>
      <c r="J61" s="10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10" t="s">
        <v>2004</v>
      </c>
      <c r="E62" s="10"/>
      <c r="F62" s="10"/>
      <c r="H62" s="10"/>
      <c r="I62" s="10" t="s">
        <v>4270</v>
      </c>
      <c r="J62" s="10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10" t="s">
        <v>1094</v>
      </c>
      <c r="E63" s="10" t="s">
        <v>4247</v>
      </c>
      <c r="F63" s="10" t="s">
        <v>58</v>
      </c>
      <c r="H63" s="10" t="s">
        <v>5102</v>
      </c>
      <c r="I63" s="10" t="s">
        <v>5097</v>
      </c>
      <c r="J63" s="10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10" t="s">
        <v>4</v>
      </c>
      <c r="E64" s="10" t="s">
        <v>8</v>
      </c>
      <c r="F64" s="10"/>
      <c r="H64" s="10"/>
      <c r="I64" s="10" t="s">
        <v>4489</v>
      </c>
      <c r="J64" s="10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10" t="s">
        <v>1615</v>
      </c>
      <c r="E65" s="10" t="s">
        <v>86</v>
      </c>
      <c r="F65" s="10" t="s">
        <v>200</v>
      </c>
      <c r="H65" s="10"/>
      <c r="I65" s="10" t="s">
        <v>4492</v>
      </c>
      <c r="J65" s="10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10" t="s">
        <v>4</v>
      </c>
      <c r="E66" s="10" t="s">
        <v>8</v>
      </c>
      <c r="F66" s="10"/>
      <c r="H66" s="10"/>
      <c r="I66" s="10" t="s">
        <v>4495</v>
      </c>
      <c r="J66" s="10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10" t="s">
        <v>1615</v>
      </c>
      <c r="E67" s="10" t="s">
        <v>86</v>
      </c>
      <c r="F67" s="10" t="s">
        <v>200</v>
      </c>
      <c r="H67" s="10"/>
      <c r="I67" s="10" t="s">
        <v>4498</v>
      </c>
      <c r="J67" s="10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10" t="s">
        <v>1615</v>
      </c>
      <c r="E68" s="10" t="s">
        <v>86</v>
      </c>
      <c r="F68" s="10" t="s">
        <v>5103</v>
      </c>
      <c r="H68" s="10" t="s">
        <v>5104</v>
      </c>
      <c r="I68" s="10" t="s">
        <v>4501</v>
      </c>
      <c r="J68" s="10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10" t="s">
        <v>1615</v>
      </c>
      <c r="E69" s="10" t="s">
        <v>86</v>
      </c>
      <c r="F69" s="10" t="s">
        <v>200</v>
      </c>
      <c r="H69" s="10"/>
      <c r="I69" s="10" t="s">
        <v>4504</v>
      </c>
      <c r="J69" s="10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10" t="s">
        <v>1094</v>
      </c>
      <c r="E70" s="10" t="s">
        <v>4247</v>
      </c>
      <c r="F70" s="10" t="s">
        <v>60</v>
      </c>
      <c r="H70" s="10" t="s">
        <v>5102</v>
      </c>
      <c r="I70" s="10" t="s">
        <v>4507</v>
      </c>
      <c r="J70" s="1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10" t="s">
        <v>1094</v>
      </c>
      <c r="E71" s="10" t="s">
        <v>4247</v>
      </c>
      <c r="F71" s="10" t="s">
        <v>60</v>
      </c>
      <c r="H71" s="10" t="s">
        <v>2936</v>
      </c>
      <c r="I71" s="10" t="s">
        <v>4510</v>
      </c>
      <c r="J71" s="10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10" t="s">
        <v>4</v>
      </c>
      <c r="E72" s="10" t="s">
        <v>8</v>
      </c>
      <c r="F72" s="10"/>
      <c r="H72" s="10" t="s">
        <v>2936</v>
      </c>
      <c r="I72" s="10" t="s">
        <v>4513</v>
      </c>
      <c r="J72" s="10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10" t="s">
        <v>4</v>
      </c>
      <c r="E73" s="10" t="s">
        <v>8</v>
      </c>
      <c r="F73" s="10"/>
      <c r="H73" s="10" t="s">
        <v>2936</v>
      </c>
      <c r="I73" s="10" t="s">
        <v>4516</v>
      </c>
      <c r="J73" s="10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10" t="s">
        <v>4</v>
      </c>
      <c r="E74" s="10" t="s">
        <v>8</v>
      </c>
      <c r="F74" s="10"/>
      <c r="H74" s="10" t="s">
        <v>2936</v>
      </c>
      <c r="I74" s="10" t="s">
        <v>4519</v>
      </c>
      <c r="J74" s="10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10" t="s">
        <v>1606</v>
      </c>
      <c r="E75" s="10" t="s">
        <v>70</v>
      </c>
      <c r="F75" s="10"/>
      <c r="H75" s="10"/>
      <c r="I75" s="10" t="s">
        <v>4522</v>
      </c>
      <c r="J75" s="10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10" t="s">
        <v>290</v>
      </c>
      <c r="E76" s="10" t="s">
        <v>70</v>
      </c>
      <c r="F76" s="10" t="s">
        <v>5093</v>
      </c>
      <c r="H76" s="10"/>
      <c r="I76" s="10" t="s">
        <v>4525</v>
      </c>
      <c r="J76" s="10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10" t="s">
        <v>466</v>
      </c>
      <c r="E77" s="10" t="s">
        <v>86</v>
      </c>
      <c r="F77" s="10" t="s">
        <v>5093</v>
      </c>
      <c r="H77" s="10"/>
      <c r="I77" s="10" t="s">
        <v>4528</v>
      </c>
      <c r="J77" s="10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10" t="s">
        <v>1615</v>
      </c>
      <c r="E78" s="10" t="s">
        <v>86</v>
      </c>
      <c r="F78" s="10" t="s">
        <v>5093</v>
      </c>
      <c r="H78" s="10"/>
      <c r="I78" s="10" t="s">
        <v>4531</v>
      </c>
      <c r="J78" s="10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10" t="s">
        <v>466</v>
      </c>
      <c r="E79" s="10" t="s">
        <v>86</v>
      </c>
      <c r="F79" s="10" t="s">
        <v>5093</v>
      </c>
      <c r="H79" s="10"/>
      <c r="I79" s="10" t="s">
        <v>5099</v>
      </c>
      <c r="J79" s="10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10" t="s">
        <v>5105</v>
      </c>
      <c r="E80" s="10"/>
      <c r="F80" s="10"/>
      <c r="H80" s="10"/>
      <c r="I80" s="10" t="s">
        <v>4534</v>
      </c>
      <c r="J80" s="1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10" t="s">
        <v>1615</v>
      </c>
      <c r="E81" s="10" t="s">
        <v>86</v>
      </c>
      <c r="F81" s="10" t="s">
        <v>5093</v>
      </c>
      <c r="H81" s="10"/>
      <c r="I81" s="10" t="s">
        <v>4537</v>
      </c>
      <c r="J81" s="10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10" t="s">
        <v>4</v>
      </c>
      <c r="E82" s="10" t="s">
        <v>8</v>
      </c>
      <c r="F82" s="10"/>
      <c r="H82" s="10"/>
      <c r="I82" s="10" t="s">
        <v>4540</v>
      </c>
      <c r="J82" s="10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10" t="s">
        <v>1606</v>
      </c>
      <c r="E83" s="10" t="s">
        <v>70</v>
      </c>
      <c r="F83" s="10"/>
      <c r="H83" s="10"/>
      <c r="I83" s="10" t="s">
        <v>4543</v>
      </c>
      <c r="J83" s="10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10" t="s">
        <v>1606</v>
      </c>
      <c r="E84" s="10" t="s">
        <v>55</v>
      </c>
      <c r="F84" s="10"/>
      <c r="H84" s="10"/>
      <c r="I84" s="10" t="s">
        <v>4546</v>
      </c>
      <c r="J84" s="10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10" t="s">
        <v>290</v>
      </c>
      <c r="E85" s="10" t="s">
        <v>70</v>
      </c>
      <c r="F85" s="10" t="s">
        <v>5093</v>
      </c>
      <c r="H85" s="10"/>
      <c r="I85" s="10" t="s">
        <v>4549</v>
      </c>
      <c r="J85" s="10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10" t="s">
        <v>4</v>
      </c>
      <c r="E86" s="10" t="s">
        <v>8</v>
      </c>
      <c r="F86" s="10"/>
      <c r="H86" s="10"/>
      <c r="I86" s="10" t="s">
        <v>4552</v>
      </c>
      <c r="J86" s="10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10" t="s">
        <v>2004</v>
      </c>
      <c r="E87" s="10"/>
      <c r="F87" s="10"/>
      <c r="H87" s="10"/>
      <c r="I87" s="10" t="s">
        <v>4555</v>
      </c>
      <c r="J87" s="10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10" t="s">
        <v>1606</v>
      </c>
      <c r="E88" s="10" t="s">
        <v>5263</v>
      </c>
      <c r="F88" s="10" t="s">
        <v>4233</v>
      </c>
      <c r="H88" s="10"/>
      <c r="I88" s="10" t="s">
        <v>5148</v>
      </c>
      <c r="J88" s="10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10" t="s">
        <v>289</v>
      </c>
      <c r="E89" s="10" t="s">
        <v>5263</v>
      </c>
      <c r="F89" s="10" t="s">
        <v>5093</v>
      </c>
      <c r="H89" s="10"/>
      <c r="I89" s="10" t="s">
        <v>5151</v>
      </c>
      <c r="J89" s="10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10" t="s">
        <v>289</v>
      </c>
      <c r="E90" s="10" t="s">
        <v>5263</v>
      </c>
      <c r="F90" s="10" t="s">
        <v>5093</v>
      </c>
      <c r="H90" s="10" t="s">
        <v>2936</v>
      </c>
      <c r="I90" s="10" t="s">
        <v>5154</v>
      </c>
      <c r="J90" s="1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10" t="s">
        <v>289</v>
      </c>
      <c r="E91" s="10" t="s">
        <v>5263</v>
      </c>
      <c r="F91" s="10" t="s">
        <v>5093</v>
      </c>
      <c r="H91" s="10" t="s">
        <v>2936</v>
      </c>
      <c r="I91" s="10" t="s">
        <v>5157</v>
      </c>
      <c r="J91" s="10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10" t="s">
        <v>289</v>
      </c>
      <c r="E92" s="10" t="s">
        <v>5263</v>
      </c>
      <c r="F92" s="10" t="s">
        <v>5093</v>
      </c>
      <c r="H92" s="10" t="s">
        <v>2936</v>
      </c>
      <c r="I92" s="10" t="s">
        <v>5160</v>
      </c>
      <c r="J92" s="10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10" t="s">
        <v>289</v>
      </c>
      <c r="E93" s="10" t="s">
        <v>5263</v>
      </c>
      <c r="F93" s="10" t="s">
        <v>5093</v>
      </c>
      <c r="H93" s="10" t="s">
        <v>2936</v>
      </c>
      <c r="I93" s="10" t="s">
        <v>5163</v>
      </c>
      <c r="J93" s="10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10" t="s">
        <v>289</v>
      </c>
      <c r="E94" s="10" t="s">
        <v>5263</v>
      </c>
      <c r="F94" s="10" t="s">
        <v>5093</v>
      </c>
      <c r="H94" s="10" t="s">
        <v>2936</v>
      </c>
      <c r="I94" s="10" t="s">
        <v>5166</v>
      </c>
      <c r="J94" s="10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10" t="s">
        <v>4232</v>
      </c>
      <c r="E95" s="10" t="s">
        <v>5263</v>
      </c>
      <c r="F95" s="10" t="s">
        <v>1609</v>
      </c>
      <c r="H95" s="10"/>
      <c r="I95" s="10" t="s">
        <v>5169</v>
      </c>
      <c r="J95" s="10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10" t="s">
        <v>650</v>
      </c>
      <c r="E96" s="10" t="s">
        <v>5263</v>
      </c>
      <c r="F96" s="10" t="s">
        <v>1609</v>
      </c>
      <c r="H96" s="10"/>
      <c r="I96" s="10" t="s">
        <v>5172</v>
      </c>
      <c r="J96" s="10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10" t="s">
        <v>4</v>
      </c>
      <c r="E97" s="10" t="s">
        <v>8</v>
      </c>
      <c r="F97" s="10"/>
      <c r="H97" s="10"/>
      <c r="I97" s="10" t="s">
        <v>5304</v>
      </c>
      <c r="J97" s="10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10" t="s">
        <v>2004</v>
      </c>
      <c r="E98" s="10" t="s">
        <v>8</v>
      </c>
      <c r="F98" s="10"/>
      <c r="H98" s="10"/>
      <c r="I98" s="10" t="s">
        <v>5307</v>
      </c>
      <c r="J98" s="10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10" t="s">
        <v>2004</v>
      </c>
      <c r="E99" s="10" t="s">
        <v>8</v>
      </c>
      <c r="F99" s="10"/>
      <c r="H99" s="10"/>
      <c r="I99" s="10" t="s">
        <v>5708</v>
      </c>
      <c r="J99" s="10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10" t="s">
        <v>4</v>
      </c>
      <c r="E100" s="10" t="s">
        <v>1607</v>
      </c>
      <c r="F100" s="10" t="s">
        <v>6175</v>
      </c>
      <c r="H100" s="10"/>
      <c r="I100" s="10" t="s">
        <v>5711</v>
      </c>
      <c r="J100" s="1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10" t="s">
        <v>2004</v>
      </c>
      <c r="E101" s="10" t="s">
        <v>8</v>
      </c>
      <c r="F101" s="10"/>
      <c r="H101" s="10"/>
      <c r="I101" s="10" t="s">
        <v>5714</v>
      </c>
      <c r="J101" s="10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10" t="s">
        <v>2004</v>
      </c>
      <c r="E102" s="10" t="s">
        <v>8</v>
      </c>
      <c r="F102" s="10"/>
      <c r="H102" s="10"/>
      <c r="I102" s="10" t="s">
        <v>5855</v>
      </c>
      <c r="J102" s="10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10" t="s">
        <v>4</v>
      </c>
      <c r="E103" s="10" t="s">
        <v>55</v>
      </c>
      <c r="F103" s="10" t="s">
        <v>51</v>
      </c>
      <c r="H103" s="10"/>
      <c r="I103" s="10" t="s">
        <v>5858</v>
      </c>
      <c r="J103" s="10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10" t="s">
        <v>650</v>
      </c>
      <c r="E104" s="10" t="s">
        <v>55</v>
      </c>
      <c r="F104" s="10" t="s">
        <v>51</v>
      </c>
      <c r="H104" s="10" t="s">
        <v>6176</v>
      </c>
      <c r="I104" s="10" t="s">
        <v>5861</v>
      </c>
      <c r="J104" s="10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10" t="s">
        <v>4</v>
      </c>
      <c r="E105" s="10" t="s">
        <v>8</v>
      </c>
      <c r="F105" s="10"/>
      <c r="H105" s="10"/>
      <c r="I105" s="10" t="s">
        <v>5864</v>
      </c>
      <c r="J105" s="10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10" t="s">
        <v>2004</v>
      </c>
      <c r="E106" s="10" t="s">
        <v>8</v>
      </c>
      <c r="F106" s="10"/>
      <c r="H106" s="10"/>
      <c r="I106" s="10" t="s">
        <v>6074</v>
      </c>
      <c r="J106" s="10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10" t="s">
        <v>2004</v>
      </c>
      <c r="E107" s="10" t="s">
        <v>8</v>
      </c>
      <c r="F107" s="10"/>
      <c r="H107" s="10"/>
      <c r="I107" s="10" t="s">
        <v>6204</v>
      </c>
      <c r="J107" s="10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10" t="s">
        <v>1606</v>
      </c>
      <c r="E108" s="10" t="s">
        <v>70</v>
      </c>
      <c r="F108" s="10"/>
      <c r="H108" s="10"/>
      <c r="I108" s="10" t="s">
        <v>6313</v>
      </c>
      <c r="J108" s="10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10" t="s">
        <v>4</v>
      </c>
      <c r="E109" s="10" t="s">
        <v>6341</v>
      </c>
      <c r="F109" s="10"/>
      <c r="H109" s="10"/>
      <c r="I109" s="10" t="s">
        <v>6316</v>
      </c>
      <c r="J109" s="10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10" t="s">
        <v>2004</v>
      </c>
      <c r="E110" s="10" t="s">
        <v>8</v>
      </c>
      <c r="F110" s="10"/>
      <c r="H110" s="10"/>
      <c r="I110" s="10" t="s">
        <v>6563</v>
      </c>
      <c r="J110" s="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10" t="s">
        <v>2004</v>
      </c>
      <c r="E111" s="10" t="s">
        <v>8</v>
      </c>
      <c r="F111" s="10"/>
      <c r="H111" s="10"/>
      <c r="I111" s="10" t="s">
        <v>6712</v>
      </c>
      <c r="J111" s="10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10" t="s">
        <v>4</v>
      </c>
      <c r="E112" s="10" t="s">
        <v>8</v>
      </c>
      <c r="F112" s="10"/>
      <c r="H112" s="10"/>
      <c r="I112" s="10" t="s">
        <v>7139</v>
      </c>
      <c r="J112" s="10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10" t="s">
        <v>651</v>
      </c>
      <c r="E113" s="10" t="s">
        <v>4247</v>
      </c>
      <c r="F113" s="10"/>
      <c r="H113" s="10"/>
      <c r="I113" s="10" t="s">
        <v>7142</v>
      </c>
      <c r="J113" s="10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10" t="s">
        <v>12</v>
      </c>
      <c r="E114" s="10" t="s">
        <v>1607</v>
      </c>
      <c r="F114" s="10"/>
      <c r="H114" s="10"/>
      <c r="I114" s="10" t="s">
        <v>7145</v>
      </c>
      <c r="J114" s="10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10" t="s">
        <v>4</v>
      </c>
      <c r="E115" s="10" t="s">
        <v>8</v>
      </c>
      <c r="F115" s="10"/>
      <c r="H115" s="10"/>
      <c r="I115" s="10" t="s">
        <v>7148</v>
      </c>
      <c r="J115" s="10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10" t="s">
        <v>2004</v>
      </c>
      <c r="E116" s="10" t="s">
        <v>8</v>
      </c>
      <c r="F116" s="10"/>
      <c r="H116" s="10"/>
      <c r="I116" s="10" t="s">
        <v>7151</v>
      </c>
      <c r="J116" s="10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10" t="s">
        <v>2004</v>
      </c>
      <c r="E117" s="10" t="s">
        <v>8</v>
      </c>
      <c r="F117" s="10"/>
      <c r="H117" s="10"/>
      <c r="I117" s="10" t="s">
        <v>7154</v>
      </c>
      <c r="J117" s="10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10" t="s">
        <v>2004</v>
      </c>
      <c r="E118" s="10" t="s">
        <v>8</v>
      </c>
      <c r="F118" s="10"/>
      <c r="H118" s="10"/>
      <c r="I118" s="10" t="s">
        <v>7172</v>
      </c>
      <c r="J118" s="10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10" t="s">
        <v>12</v>
      </c>
      <c r="E119" s="10" t="s">
        <v>1607</v>
      </c>
      <c r="F119" s="10"/>
      <c r="H119" s="10"/>
      <c r="I119" s="10" t="s">
        <v>7317</v>
      </c>
      <c r="J119" s="10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10" t="s">
        <v>2004</v>
      </c>
      <c r="E120" s="10" t="s">
        <v>8</v>
      </c>
      <c r="F120" s="10"/>
      <c r="H120" s="10"/>
      <c r="I120" s="10" t="s">
        <v>7320</v>
      </c>
      <c r="J120" s="1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10" t="s">
        <v>2004</v>
      </c>
      <c r="E121" s="10" t="s">
        <v>8</v>
      </c>
      <c r="F121" s="10"/>
      <c r="H121" s="10"/>
      <c r="I121" s="10" t="s">
        <v>7323</v>
      </c>
      <c r="J121" s="10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10" t="s">
        <v>4216</v>
      </c>
      <c r="E122" s="10" t="s">
        <v>7410</v>
      </c>
      <c r="F122" s="10" t="s">
        <v>60</v>
      </c>
      <c r="H122" s="10"/>
      <c r="I122" s="10" t="s">
        <v>7326</v>
      </c>
      <c r="J122" s="10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10" t="s">
        <v>4216</v>
      </c>
      <c r="E123" s="10" t="s">
        <v>7410</v>
      </c>
      <c r="F123" s="10" t="s">
        <v>60</v>
      </c>
      <c r="H123" s="10"/>
      <c r="I123" s="10" t="s">
        <v>7329</v>
      </c>
      <c r="J123" s="10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10" t="s">
        <v>290</v>
      </c>
      <c r="E124" s="10" t="s">
        <v>86</v>
      </c>
      <c r="F124" s="10" t="s">
        <v>60</v>
      </c>
      <c r="G124">
        <v>4</v>
      </c>
      <c r="H124" s="10"/>
      <c r="I124" s="10" t="s">
        <v>7332</v>
      </c>
      <c r="J124" s="10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10" t="s">
        <v>1094</v>
      </c>
      <c r="E125" s="10" t="s">
        <v>86</v>
      </c>
      <c r="F125" s="10" t="s">
        <v>60</v>
      </c>
      <c r="H125" s="10" t="s">
        <v>476</v>
      </c>
      <c r="I125" s="10" t="s">
        <v>7335</v>
      </c>
      <c r="J125" s="10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10" t="s">
        <v>290</v>
      </c>
      <c r="E126" s="10" t="s">
        <v>86</v>
      </c>
      <c r="F126" s="10" t="s">
        <v>60</v>
      </c>
      <c r="G126">
        <v>1</v>
      </c>
      <c r="H126" s="10"/>
      <c r="I126" s="10" t="s">
        <v>7338</v>
      </c>
      <c r="J126" s="10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10" t="s">
        <v>290</v>
      </c>
      <c r="E127" s="10" t="s">
        <v>86</v>
      </c>
      <c r="F127" s="10" t="s">
        <v>60</v>
      </c>
      <c r="G127">
        <v>4</v>
      </c>
      <c r="H127" s="10"/>
      <c r="I127" s="10" t="s">
        <v>7341</v>
      </c>
      <c r="J127" s="10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10" t="s">
        <v>290</v>
      </c>
      <c r="E128" s="10" t="s">
        <v>86</v>
      </c>
      <c r="F128" s="10" t="s">
        <v>60</v>
      </c>
      <c r="G128">
        <v>2</v>
      </c>
      <c r="H128" s="10"/>
      <c r="I128" s="10" t="s">
        <v>7344</v>
      </c>
      <c r="J128" s="10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10" t="s">
        <v>290</v>
      </c>
      <c r="E129" s="10" t="s">
        <v>86</v>
      </c>
      <c r="F129" s="10" t="s">
        <v>60</v>
      </c>
      <c r="G129">
        <v>3</v>
      </c>
      <c r="H129" s="10"/>
      <c r="I129" s="10" t="s">
        <v>7347</v>
      </c>
      <c r="J129" s="10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10" t="s">
        <v>290</v>
      </c>
      <c r="E130" s="10" t="s">
        <v>86</v>
      </c>
      <c r="F130" s="10" t="s">
        <v>60</v>
      </c>
      <c r="G130">
        <v>3</v>
      </c>
      <c r="H130" s="10"/>
      <c r="I130" s="10" t="s">
        <v>7350</v>
      </c>
      <c r="J130" s="1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10" t="s">
        <v>290</v>
      </c>
      <c r="E131" s="10" t="s">
        <v>86</v>
      </c>
      <c r="F131" s="10" t="s">
        <v>60</v>
      </c>
      <c r="G131">
        <v>2</v>
      </c>
      <c r="H131" s="10"/>
      <c r="I131" s="10" t="s">
        <v>7353</v>
      </c>
      <c r="J131" s="10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10" t="s">
        <v>290</v>
      </c>
      <c r="E132" s="10" t="s">
        <v>86</v>
      </c>
      <c r="F132" s="10" t="s">
        <v>60</v>
      </c>
      <c r="G132">
        <v>2</v>
      </c>
      <c r="H132" s="10"/>
      <c r="I132" s="10" t="s">
        <v>7356</v>
      </c>
      <c r="J132" s="10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10" t="s">
        <v>290</v>
      </c>
      <c r="E133" s="10" t="s">
        <v>86</v>
      </c>
      <c r="F133" s="10" t="s">
        <v>60</v>
      </c>
      <c r="G133">
        <v>2</v>
      </c>
      <c r="H133" s="10"/>
      <c r="I133" s="10" t="s">
        <v>7359</v>
      </c>
      <c r="J133" s="10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10" t="s">
        <v>290</v>
      </c>
      <c r="E134" s="10" t="s">
        <v>86</v>
      </c>
      <c r="F134" s="10" t="s">
        <v>60</v>
      </c>
      <c r="G134">
        <v>1</v>
      </c>
      <c r="H134" s="10"/>
      <c r="I134" s="10" t="s">
        <v>7362</v>
      </c>
      <c r="J134" s="10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10" t="s">
        <v>290</v>
      </c>
      <c r="E135" s="10" t="s">
        <v>86</v>
      </c>
      <c r="F135" s="10" t="s">
        <v>60</v>
      </c>
      <c r="G135">
        <v>2</v>
      </c>
      <c r="H135" s="10"/>
      <c r="I135" s="10" t="s">
        <v>7365</v>
      </c>
      <c r="J135" s="10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10" t="s">
        <v>290</v>
      </c>
      <c r="E136" s="10" t="s">
        <v>86</v>
      </c>
      <c r="F136" s="10" t="s">
        <v>60</v>
      </c>
      <c r="G136">
        <v>4</v>
      </c>
      <c r="H136" s="10"/>
      <c r="I136" s="10" t="s">
        <v>7368</v>
      </c>
      <c r="J136" s="10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10" t="s">
        <v>290</v>
      </c>
      <c r="E137" s="10" t="s">
        <v>86</v>
      </c>
      <c r="F137" s="10" t="s">
        <v>60</v>
      </c>
      <c r="G137">
        <v>2</v>
      </c>
      <c r="H137" s="10"/>
      <c r="I137" s="10" t="s">
        <v>7371</v>
      </c>
      <c r="J137" s="10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10" t="s">
        <v>290</v>
      </c>
      <c r="E138" s="10" t="s">
        <v>86</v>
      </c>
      <c r="F138" s="10" t="s">
        <v>60</v>
      </c>
      <c r="G138">
        <v>2</v>
      </c>
      <c r="H138" s="10"/>
      <c r="I138" s="10" t="s">
        <v>7374</v>
      </c>
      <c r="J138" s="10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10" t="s">
        <v>290</v>
      </c>
      <c r="E139" s="10" t="s">
        <v>86</v>
      </c>
      <c r="F139" s="10" t="s">
        <v>60</v>
      </c>
      <c r="G139">
        <v>3</v>
      </c>
      <c r="H139" s="10"/>
      <c r="I139" s="10" t="s">
        <v>7377</v>
      </c>
      <c r="J139" s="10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10" t="s">
        <v>290</v>
      </c>
      <c r="E140" s="10" t="s">
        <v>86</v>
      </c>
      <c r="F140" s="10" t="s">
        <v>60</v>
      </c>
      <c r="G140">
        <v>3</v>
      </c>
      <c r="H140" s="10"/>
      <c r="I140" s="10" t="s">
        <v>7380</v>
      </c>
      <c r="J140" s="1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10" t="s">
        <v>290</v>
      </c>
      <c r="E141" s="10" t="s">
        <v>86</v>
      </c>
      <c r="F141" s="10" t="s">
        <v>60</v>
      </c>
      <c r="G141">
        <v>2</v>
      </c>
      <c r="H141" s="10"/>
      <c r="I141" s="10" t="s">
        <v>7383</v>
      </c>
      <c r="J141" s="10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10" t="s">
        <v>290</v>
      </c>
      <c r="E142" s="10" t="s">
        <v>86</v>
      </c>
      <c r="F142" s="10" t="s">
        <v>60</v>
      </c>
      <c r="G142">
        <v>4</v>
      </c>
      <c r="H142" s="10"/>
      <c r="I142" s="10" t="s">
        <v>7386</v>
      </c>
      <c r="J142" s="10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10" t="s">
        <v>290</v>
      </c>
      <c r="E143" s="10" t="s">
        <v>86</v>
      </c>
      <c r="F143" s="10" t="s">
        <v>60</v>
      </c>
      <c r="G143">
        <v>3</v>
      </c>
      <c r="H143" s="10"/>
      <c r="I143" s="10" t="s">
        <v>7389</v>
      </c>
      <c r="J143" s="10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10" t="s">
        <v>290</v>
      </c>
      <c r="E144" s="10" t="s">
        <v>86</v>
      </c>
      <c r="F144" s="10" t="s">
        <v>60</v>
      </c>
      <c r="G144">
        <v>2</v>
      </c>
      <c r="H144" s="10"/>
      <c r="I144" s="10" t="s">
        <v>7392</v>
      </c>
      <c r="J144" s="10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10" t="s">
        <v>1615</v>
      </c>
      <c r="E145" s="10" t="s">
        <v>86</v>
      </c>
      <c r="F145" s="10" t="s">
        <v>60</v>
      </c>
      <c r="H145" s="10" t="s">
        <v>7707</v>
      </c>
      <c r="I145" s="10" t="s">
        <v>7595</v>
      </c>
      <c r="J145" s="10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10" t="s">
        <v>1615</v>
      </c>
      <c r="E146" s="10" t="s">
        <v>86</v>
      </c>
      <c r="F146" s="10" t="s">
        <v>60</v>
      </c>
      <c r="H146" s="10" t="s">
        <v>7708</v>
      </c>
      <c r="I146" s="10" t="s">
        <v>7598</v>
      </c>
      <c r="J146" s="10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10" t="s">
        <v>4</v>
      </c>
      <c r="E147" s="10" t="s">
        <v>7706</v>
      </c>
      <c r="F147" s="10" t="s">
        <v>60</v>
      </c>
      <c r="H147" s="10"/>
      <c r="I147" s="10" t="s">
        <v>7601</v>
      </c>
      <c r="J147" s="10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10" t="s">
        <v>290</v>
      </c>
      <c r="E148" s="10" t="s">
        <v>86</v>
      </c>
      <c r="F148" s="10" t="s">
        <v>60</v>
      </c>
      <c r="G148">
        <v>3</v>
      </c>
      <c r="H148" s="10"/>
      <c r="I148" s="10" t="s">
        <v>7604</v>
      </c>
      <c r="J148" s="10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10" t="s">
        <v>290</v>
      </c>
      <c r="E149" s="10" t="s">
        <v>86</v>
      </c>
      <c r="F149" s="10" t="s">
        <v>60</v>
      </c>
      <c r="G149">
        <v>2</v>
      </c>
      <c r="H149" s="10"/>
      <c r="I149" s="10" t="s">
        <v>7607</v>
      </c>
      <c r="J149" s="10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10" t="s">
        <v>290</v>
      </c>
      <c r="E150" s="10" t="s">
        <v>86</v>
      </c>
      <c r="F150" s="10" t="s">
        <v>60</v>
      </c>
      <c r="G150">
        <v>2</v>
      </c>
      <c r="H150" s="10"/>
      <c r="I150" s="10" t="s">
        <v>7610</v>
      </c>
      <c r="J150" s="1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10" t="s">
        <v>290</v>
      </c>
      <c r="E151" s="10" t="s">
        <v>86</v>
      </c>
      <c r="F151" s="10" t="s">
        <v>60</v>
      </c>
      <c r="G151">
        <v>3</v>
      </c>
      <c r="H151" s="10"/>
      <c r="I151" s="10" t="s">
        <v>7613</v>
      </c>
      <c r="J151" s="10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10" t="s">
        <v>290</v>
      </c>
      <c r="E152" s="10" t="s">
        <v>86</v>
      </c>
      <c r="F152" s="10" t="s">
        <v>60</v>
      </c>
      <c r="G152">
        <v>4</v>
      </c>
      <c r="H152" s="10"/>
      <c r="I152" s="10" t="s">
        <v>7616</v>
      </c>
      <c r="J152" s="10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10" t="s">
        <v>290</v>
      </c>
      <c r="E153" s="10" t="s">
        <v>86</v>
      </c>
      <c r="F153" s="10" t="s">
        <v>60</v>
      </c>
      <c r="G153">
        <v>3</v>
      </c>
      <c r="H153" s="10"/>
      <c r="I153" s="10" t="s">
        <v>7619</v>
      </c>
      <c r="J153" s="10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10" t="s">
        <v>290</v>
      </c>
      <c r="E154" s="10" t="s">
        <v>86</v>
      </c>
      <c r="F154" s="10" t="s">
        <v>60</v>
      </c>
      <c r="G154">
        <v>3</v>
      </c>
      <c r="H154" s="10"/>
      <c r="I154" s="10" t="s">
        <v>7622</v>
      </c>
      <c r="J154" s="10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10" t="s">
        <v>290</v>
      </c>
      <c r="E155" s="10" t="s">
        <v>86</v>
      </c>
      <c r="F155" s="10" t="s">
        <v>60</v>
      </c>
      <c r="G155">
        <v>2</v>
      </c>
      <c r="H155" s="10"/>
      <c r="I155" s="10" t="s">
        <v>7625</v>
      </c>
      <c r="J155" s="10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10" t="s">
        <v>290</v>
      </c>
      <c r="E156" s="10" t="s">
        <v>86</v>
      </c>
      <c r="F156" s="10" t="s">
        <v>60</v>
      </c>
      <c r="G156">
        <v>2</v>
      </c>
      <c r="H156" s="10"/>
      <c r="I156" s="10" t="s">
        <v>7628</v>
      </c>
      <c r="J156" s="10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10" t="s">
        <v>290</v>
      </c>
      <c r="E157" s="10" t="s">
        <v>86</v>
      </c>
      <c r="F157" s="10" t="s">
        <v>60</v>
      </c>
      <c r="G157">
        <v>3</v>
      </c>
      <c r="H157" s="10"/>
      <c r="I157" s="10" t="s">
        <v>7631</v>
      </c>
      <c r="J157" s="10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10" t="s">
        <v>290</v>
      </c>
      <c r="E158" s="10" t="s">
        <v>86</v>
      </c>
      <c r="F158" s="10" t="s">
        <v>60</v>
      </c>
      <c r="G158">
        <v>3</v>
      </c>
      <c r="H158" s="10"/>
      <c r="I158" s="10" t="s">
        <v>7634</v>
      </c>
      <c r="J158" s="10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10" t="s">
        <v>290</v>
      </c>
      <c r="E159" s="10" t="s">
        <v>86</v>
      </c>
      <c r="F159" s="10" t="s">
        <v>60</v>
      </c>
      <c r="G159">
        <v>2</v>
      </c>
      <c r="H159" s="10"/>
      <c r="I159" s="10" t="s">
        <v>7637</v>
      </c>
      <c r="J159" s="10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10" t="s">
        <v>290</v>
      </c>
      <c r="E160" s="10" t="s">
        <v>86</v>
      </c>
      <c r="F160" s="10" t="s">
        <v>60</v>
      </c>
      <c r="G160">
        <v>1</v>
      </c>
      <c r="H160" s="10"/>
      <c r="I160" s="10" t="s">
        <v>7640</v>
      </c>
      <c r="J160" s="1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10" t="s">
        <v>290</v>
      </c>
      <c r="E161" s="10" t="s">
        <v>86</v>
      </c>
      <c r="F161" s="10" t="s">
        <v>60</v>
      </c>
      <c r="G161">
        <v>4</v>
      </c>
      <c r="H161" s="10"/>
      <c r="I161" s="10" t="s">
        <v>7643</v>
      </c>
      <c r="J161" s="10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10" t="s">
        <v>290</v>
      </c>
      <c r="E162" s="10" t="s">
        <v>86</v>
      </c>
      <c r="F162" s="10" t="s">
        <v>60</v>
      </c>
      <c r="G162">
        <v>3</v>
      </c>
      <c r="H162" s="10"/>
      <c r="I162" s="10" t="s">
        <v>7646</v>
      </c>
      <c r="J162" s="10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10" t="s">
        <v>290</v>
      </c>
      <c r="E163" s="10" t="s">
        <v>86</v>
      </c>
      <c r="F163" s="10" t="s">
        <v>60</v>
      </c>
      <c r="G163">
        <v>3</v>
      </c>
      <c r="H163" s="10"/>
      <c r="I163" s="10" t="s">
        <v>7649</v>
      </c>
      <c r="J163" s="10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10" t="s">
        <v>290</v>
      </c>
      <c r="E164" s="10" t="s">
        <v>86</v>
      </c>
      <c r="F164" s="10" t="s">
        <v>60</v>
      </c>
      <c r="G164">
        <v>3</v>
      </c>
      <c r="H164" s="10"/>
      <c r="I164" s="10" t="s">
        <v>7652</v>
      </c>
      <c r="J164" s="10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10" t="s">
        <v>290</v>
      </c>
      <c r="E165" s="10" t="s">
        <v>86</v>
      </c>
      <c r="F165" s="10" t="s">
        <v>60</v>
      </c>
      <c r="G165">
        <v>2</v>
      </c>
      <c r="H165" s="10"/>
      <c r="I165" s="10" t="s">
        <v>7655</v>
      </c>
      <c r="J165" s="10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10" t="s">
        <v>290</v>
      </c>
      <c r="E166" s="10" t="s">
        <v>86</v>
      </c>
      <c r="F166" s="10" t="s">
        <v>60</v>
      </c>
      <c r="G166">
        <v>3</v>
      </c>
      <c r="H166" s="10"/>
      <c r="I166" s="10" t="s">
        <v>7658</v>
      </c>
      <c r="J166" s="10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10" t="s">
        <v>290</v>
      </c>
      <c r="E167" s="10" t="s">
        <v>86</v>
      </c>
      <c r="F167" s="10" t="s">
        <v>60</v>
      </c>
      <c r="G167">
        <v>3</v>
      </c>
      <c r="H167" s="10"/>
      <c r="I167" s="10" t="s">
        <v>7661</v>
      </c>
      <c r="J167" s="10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10" t="s">
        <v>290</v>
      </c>
      <c r="E168" s="10" t="s">
        <v>86</v>
      </c>
      <c r="F168" s="10" t="s">
        <v>60</v>
      </c>
      <c r="G168">
        <v>3</v>
      </c>
      <c r="H168" s="10"/>
      <c r="I168" s="10" t="s">
        <v>7664</v>
      </c>
      <c r="J168" s="10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10" t="s">
        <v>290</v>
      </c>
      <c r="E169" s="10" t="s">
        <v>86</v>
      </c>
      <c r="F169" s="10" t="s">
        <v>60</v>
      </c>
      <c r="G169">
        <v>4</v>
      </c>
      <c r="H169" s="10"/>
      <c r="I169" s="10" t="s">
        <v>7667</v>
      </c>
      <c r="J169" s="10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10" t="s">
        <v>290</v>
      </c>
      <c r="E170" s="10" t="s">
        <v>86</v>
      </c>
      <c r="F170" s="10" t="s">
        <v>60</v>
      </c>
      <c r="G170">
        <v>2</v>
      </c>
      <c r="H170" s="10"/>
      <c r="I170" s="10" t="s">
        <v>7670</v>
      </c>
      <c r="J170" s="1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10" t="s">
        <v>4</v>
      </c>
      <c r="E171" s="10" t="s">
        <v>4193</v>
      </c>
      <c r="F171" s="10"/>
      <c r="H171" s="10"/>
      <c r="I171" s="10" t="s">
        <v>7673</v>
      </c>
      <c r="J171" s="10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10" t="s">
        <v>2004</v>
      </c>
      <c r="E172" s="10" t="s">
        <v>8</v>
      </c>
      <c r="F172" s="10"/>
      <c r="H172" s="10"/>
      <c r="I172" s="10" t="s">
        <v>7676</v>
      </c>
      <c r="J172" s="10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10" t="s">
        <v>1094</v>
      </c>
      <c r="E173" s="10" t="s">
        <v>86</v>
      </c>
      <c r="F173" s="10" t="s">
        <v>60</v>
      </c>
      <c r="H173" s="10" t="s">
        <v>7870</v>
      </c>
      <c r="I173" s="10" t="s">
        <v>7831</v>
      </c>
      <c r="J173" s="10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10" t="s">
        <v>1094</v>
      </c>
      <c r="E174" s="10" t="s">
        <v>86</v>
      </c>
      <c r="F174" s="10" t="s">
        <v>60</v>
      </c>
      <c r="H174" s="10" t="s">
        <v>7870</v>
      </c>
      <c r="I174" s="10" t="s">
        <v>7834</v>
      </c>
      <c r="J174" s="10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10" t="s">
        <v>1094</v>
      </c>
      <c r="E175" s="10" t="s">
        <v>86</v>
      </c>
      <c r="F175" s="10" t="s">
        <v>60</v>
      </c>
      <c r="H175" s="10" t="s">
        <v>7870</v>
      </c>
      <c r="I175" s="10" t="s">
        <v>7837</v>
      </c>
      <c r="J175" s="10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10" t="s">
        <v>1094</v>
      </c>
      <c r="E176" s="10" t="s">
        <v>86</v>
      </c>
      <c r="F176" s="10" t="s">
        <v>60</v>
      </c>
      <c r="H176" s="10" t="s">
        <v>7870</v>
      </c>
      <c r="I176" s="10" t="s">
        <v>7840</v>
      </c>
      <c r="J176" s="10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10" t="s">
        <v>1094</v>
      </c>
      <c r="E177" s="10" t="s">
        <v>86</v>
      </c>
      <c r="F177" s="10" t="s">
        <v>60</v>
      </c>
      <c r="H177" s="10" t="s">
        <v>7870</v>
      </c>
      <c r="I177" s="10" t="s">
        <v>7843</v>
      </c>
      <c r="J177" s="10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10" t="s">
        <v>1094</v>
      </c>
      <c r="E178" s="10" t="s">
        <v>86</v>
      </c>
      <c r="F178" s="10" t="s">
        <v>60</v>
      </c>
      <c r="H178" s="10" t="s">
        <v>7870</v>
      </c>
      <c r="I178" s="10" t="s">
        <v>7846</v>
      </c>
      <c r="J178" s="10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10" t="s">
        <v>1094</v>
      </c>
      <c r="E179" s="10" t="s">
        <v>86</v>
      </c>
      <c r="F179" s="10" t="s">
        <v>60</v>
      </c>
      <c r="H179" s="10" t="s">
        <v>7870</v>
      </c>
      <c r="I179" s="10" t="s">
        <v>7849</v>
      </c>
      <c r="J179" s="10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10" t="s">
        <v>2004</v>
      </c>
      <c r="E180" s="10" t="s">
        <v>8</v>
      </c>
      <c r="F180" s="10"/>
      <c r="H180" s="10"/>
      <c r="I180" s="10" t="s">
        <v>7852</v>
      </c>
      <c r="J180" s="1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10" t="s">
        <v>2004</v>
      </c>
      <c r="E181" s="10" t="s">
        <v>8</v>
      </c>
      <c r="F181" s="10"/>
      <c r="H181" s="10"/>
      <c r="I181" s="10" t="s">
        <v>7929</v>
      </c>
      <c r="J181" s="10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10" t="s">
        <v>8042</v>
      </c>
      <c r="E182" s="10" t="s">
        <v>6656</v>
      </c>
      <c r="F182" s="10"/>
      <c r="H182" s="10"/>
      <c r="I182" s="10" t="s">
        <v>7932</v>
      </c>
      <c r="J182" s="10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10" t="s">
        <v>4</v>
      </c>
      <c r="E183" s="10" t="s">
        <v>8045</v>
      </c>
      <c r="F183" s="10"/>
      <c r="H183" s="10"/>
      <c r="I183" s="10" t="s">
        <v>7935</v>
      </c>
      <c r="J183" s="10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10" t="s">
        <v>4</v>
      </c>
      <c r="E184" s="10" t="s">
        <v>8045</v>
      </c>
      <c r="F184" s="10"/>
      <c r="H184" s="10"/>
      <c r="I184" s="10" t="s">
        <v>7938</v>
      </c>
      <c r="J184" s="10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10" t="s">
        <v>4</v>
      </c>
      <c r="E185" s="10" t="s">
        <v>8045</v>
      </c>
      <c r="F185" s="10"/>
      <c r="H185" s="10"/>
      <c r="I185" s="10" t="s">
        <v>7941</v>
      </c>
      <c r="J185" s="10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10" t="s">
        <v>4</v>
      </c>
      <c r="E186" s="10" t="s">
        <v>8331</v>
      </c>
      <c r="F186" s="10"/>
      <c r="H186" s="10"/>
      <c r="I186" s="10" t="s">
        <v>8285</v>
      </c>
      <c r="J186" s="10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10" t="s">
        <v>4</v>
      </c>
      <c r="E187" s="10" t="s">
        <v>8331</v>
      </c>
      <c r="F187" s="10"/>
      <c r="H187" s="10"/>
      <c r="I187" s="10" t="s">
        <v>8288</v>
      </c>
      <c r="J187" s="10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10" t="s">
        <v>2004</v>
      </c>
      <c r="E188" s="10" t="s">
        <v>8</v>
      </c>
      <c r="F188" s="10"/>
      <c r="H188" s="10"/>
      <c r="I188" s="10" t="s">
        <v>8291</v>
      </c>
      <c r="J188" s="10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10" t="s">
        <v>4</v>
      </c>
      <c r="E189" s="10" t="s">
        <v>1607</v>
      </c>
      <c r="F189" s="10" t="s">
        <v>7169</v>
      </c>
      <c r="H189" s="10"/>
      <c r="I189" s="10" t="s">
        <v>8294</v>
      </c>
      <c r="J189" s="10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10" t="s">
        <v>2004</v>
      </c>
      <c r="E190" s="10" t="s">
        <v>8</v>
      </c>
      <c r="F190" s="10"/>
      <c r="H190" s="10"/>
      <c r="I190" s="10" t="s">
        <v>8297</v>
      </c>
      <c r="J190" s="1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10" t="s">
        <v>2004</v>
      </c>
      <c r="E191" s="10" t="s">
        <v>8</v>
      </c>
      <c r="F191" s="10"/>
      <c r="H191" s="10"/>
      <c r="I191" s="10" t="s">
        <v>8300</v>
      </c>
      <c r="J191" s="10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10" t="s">
        <v>2004</v>
      </c>
      <c r="E192" s="10" t="s">
        <v>8</v>
      </c>
      <c r="F192" s="10"/>
      <c r="H192" s="10"/>
      <c r="I192" s="10" t="s">
        <v>8429</v>
      </c>
      <c r="J192" s="10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10" t="s">
        <v>4</v>
      </c>
      <c r="E193" s="10" t="s">
        <v>8483</v>
      </c>
      <c r="F193" s="10"/>
      <c r="H193" s="10" t="s">
        <v>8042</v>
      </c>
      <c r="I193" s="10" t="s">
        <v>8432</v>
      </c>
      <c r="J193" s="10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10" t="s">
        <v>2004</v>
      </c>
      <c r="E194" s="10" t="s">
        <v>8</v>
      </c>
      <c r="F194" s="10"/>
      <c r="H194" s="10"/>
      <c r="I194" s="10" t="s">
        <v>8435</v>
      </c>
      <c r="J194" s="10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10" t="s">
        <v>2004</v>
      </c>
      <c r="E195" s="10" t="s">
        <v>8</v>
      </c>
      <c r="F195" s="10"/>
      <c r="H195" s="10"/>
      <c r="I195" s="10" t="s">
        <v>8556</v>
      </c>
      <c r="J195" s="10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10" t="s">
        <v>4</v>
      </c>
      <c r="E196" s="10" t="s">
        <v>8805</v>
      </c>
      <c r="F196" s="10"/>
      <c r="H196" s="10"/>
      <c r="I196" s="10" t="s">
        <v>8559</v>
      </c>
      <c r="J196" s="10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10" t="s">
        <v>2004</v>
      </c>
      <c r="E197" s="10" t="s">
        <v>8</v>
      </c>
      <c r="F197" s="10"/>
      <c r="H197" s="10"/>
      <c r="I197" s="10" t="s">
        <v>8562</v>
      </c>
      <c r="J197" s="10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10" t="s">
        <v>2004</v>
      </c>
      <c r="E198" s="10" t="s">
        <v>8</v>
      </c>
      <c r="F198" s="10"/>
      <c r="H198" s="10"/>
      <c r="I198" s="10" t="s">
        <v>8565</v>
      </c>
      <c r="J198" s="10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10" t="s">
        <v>2004</v>
      </c>
      <c r="E199" s="10" t="s">
        <v>8</v>
      </c>
      <c r="F199" s="10"/>
      <c r="H199" s="10"/>
      <c r="I199" s="10" t="s">
        <v>8568</v>
      </c>
      <c r="J199" s="10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10" t="s">
        <v>2004</v>
      </c>
      <c r="E200" s="10" t="s">
        <v>8</v>
      </c>
      <c r="F200" s="10"/>
      <c r="H200" s="10"/>
      <c r="I200" s="10" t="s">
        <v>8571</v>
      </c>
      <c r="J200" s="1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10" t="s">
        <v>2004</v>
      </c>
      <c r="E201" s="10" t="s">
        <v>8</v>
      </c>
      <c r="F201" s="10"/>
      <c r="H201" s="10"/>
      <c r="I201" s="10" t="s">
        <v>8574</v>
      </c>
      <c r="J201" s="10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10" t="s">
        <v>2004</v>
      </c>
      <c r="E202" s="10" t="s">
        <v>8</v>
      </c>
      <c r="F202" s="10"/>
      <c r="H202" s="10"/>
      <c r="I202" s="10" t="s">
        <v>364</v>
      </c>
      <c r="J202" s="10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10" t="s">
        <v>2004</v>
      </c>
      <c r="E203" s="10" t="s">
        <v>8</v>
      </c>
      <c r="F203" s="10"/>
      <c r="H203" s="10"/>
      <c r="I203" s="10" t="s">
        <v>367</v>
      </c>
      <c r="J203" s="10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10" t="s">
        <v>2004</v>
      </c>
      <c r="E204" s="10" t="s">
        <v>8</v>
      </c>
      <c r="F204" s="10"/>
      <c r="H204" s="10"/>
      <c r="I204" s="10" t="s">
        <v>370</v>
      </c>
      <c r="J204" s="10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10" t="s">
        <v>2004</v>
      </c>
      <c r="E205" s="10" t="s">
        <v>8</v>
      </c>
      <c r="F205" s="10"/>
      <c r="H205" s="10"/>
      <c r="I205" s="10" t="s">
        <v>373</v>
      </c>
      <c r="J205" s="10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10" t="s">
        <v>2004</v>
      </c>
      <c r="E206" s="10" t="s">
        <v>8</v>
      </c>
      <c r="F206" s="10"/>
      <c r="H206" s="10"/>
      <c r="I206" s="10" t="s">
        <v>376</v>
      </c>
      <c r="J206" s="10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10" t="s">
        <v>6191</v>
      </c>
      <c r="E207" s="10" t="s">
        <v>5480</v>
      </c>
      <c r="F207" s="10" t="s">
        <v>9190</v>
      </c>
      <c r="H207" s="10"/>
      <c r="I207" s="10" t="s">
        <v>8861</v>
      </c>
      <c r="J207" s="10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10" t="s">
        <v>6191</v>
      </c>
      <c r="E208" s="10" t="s">
        <v>5480</v>
      </c>
      <c r="F208" s="10" t="s">
        <v>9190</v>
      </c>
      <c r="H208" s="10" t="s">
        <v>2936</v>
      </c>
      <c r="I208" s="10" t="s">
        <v>8864</v>
      </c>
      <c r="J208" s="10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10" t="s">
        <v>1094</v>
      </c>
      <c r="E209" s="10" t="s">
        <v>86</v>
      </c>
      <c r="F209" s="10" t="s">
        <v>60</v>
      </c>
      <c r="H209" s="10"/>
      <c r="I209" s="10" t="s">
        <v>8867</v>
      </c>
      <c r="J209" s="10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10" t="s">
        <v>1094</v>
      </c>
      <c r="E210" s="10" t="s">
        <v>86</v>
      </c>
      <c r="F210" s="10" t="s">
        <v>60</v>
      </c>
      <c r="H210" s="10" t="s">
        <v>2936</v>
      </c>
      <c r="I210" s="10" t="s">
        <v>8870</v>
      </c>
      <c r="J210" s="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10" t="s">
        <v>1094</v>
      </c>
      <c r="E211" s="10" t="s">
        <v>86</v>
      </c>
      <c r="F211" s="10" t="s">
        <v>60</v>
      </c>
      <c r="H211" s="10" t="s">
        <v>2936</v>
      </c>
      <c r="I211" s="10" t="s">
        <v>8873</v>
      </c>
      <c r="J211" s="10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10" t="s">
        <v>1094</v>
      </c>
      <c r="E212" s="10" t="s">
        <v>4247</v>
      </c>
      <c r="F212" s="10" t="s">
        <v>60</v>
      </c>
      <c r="H212" s="10"/>
      <c r="I212" s="10" t="s">
        <v>8876</v>
      </c>
      <c r="J212" s="10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10" t="s">
        <v>1094</v>
      </c>
      <c r="E213" s="10" t="s">
        <v>4247</v>
      </c>
      <c r="F213" s="10" t="s">
        <v>60</v>
      </c>
      <c r="H213" s="10" t="s">
        <v>2936</v>
      </c>
      <c r="I213" s="10" t="s">
        <v>8879</v>
      </c>
      <c r="J213" s="10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10" t="s">
        <v>1094</v>
      </c>
      <c r="E214" s="10" t="s">
        <v>4247</v>
      </c>
      <c r="F214" s="10" t="s">
        <v>60</v>
      </c>
      <c r="H214" s="10" t="s">
        <v>2936</v>
      </c>
      <c r="I214" s="10" t="s">
        <v>8882</v>
      </c>
      <c r="J214" s="10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10" t="s">
        <v>4</v>
      </c>
      <c r="E215" s="10" t="s">
        <v>8</v>
      </c>
      <c r="F215" s="10"/>
      <c r="H215" s="10"/>
      <c r="I215" s="10" t="s">
        <v>8885</v>
      </c>
      <c r="J215" s="10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10" t="s">
        <v>4</v>
      </c>
      <c r="E216" s="10" t="s">
        <v>8045</v>
      </c>
      <c r="F216" s="10"/>
      <c r="H216" s="10"/>
      <c r="I216" s="10" t="s">
        <v>8888</v>
      </c>
      <c r="J216" s="10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10" t="s">
        <v>4</v>
      </c>
      <c r="E217" s="10" t="s">
        <v>8045</v>
      </c>
      <c r="F217" s="10"/>
      <c r="H217" s="10"/>
      <c r="I217" s="10" t="s">
        <v>8891</v>
      </c>
      <c r="J217" s="10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10" t="s">
        <v>4</v>
      </c>
      <c r="E218" s="10" t="s">
        <v>8</v>
      </c>
      <c r="F218" s="10"/>
      <c r="H218" s="10"/>
      <c r="I218" s="10" t="s">
        <v>8894</v>
      </c>
      <c r="J218" s="10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10" t="s">
        <v>4</v>
      </c>
      <c r="E219" s="10" t="s">
        <v>8045</v>
      </c>
      <c r="F219" s="10"/>
      <c r="H219" s="10"/>
      <c r="I219" s="10" t="s">
        <v>9258</v>
      </c>
      <c r="J219" s="10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10" t="s">
        <v>4</v>
      </c>
      <c r="E220" s="10" t="s">
        <v>8045</v>
      </c>
      <c r="F220" s="10"/>
      <c r="H220" s="10" t="s">
        <v>2936</v>
      </c>
      <c r="I220" s="10" t="s">
        <v>9261</v>
      </c>
      <c r="J220" s="1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10" t="s">
        <v>4</v>
      </c>
      <c r="E221" s="10" t="s">
        <v>8045</v>
      </c>
      <c r="F221" s="10"/>
      <c r="H221" s="10" t="s">
        <v>2936</v>
      </c>
      <c r="I221" s="10" t="s">
        <v>9264</v>
      </c>
      <c r="J221" s="10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10" t="s">
        <v>1094</v>
      </c>
      <c r="E222" s="10" t="s">
        <v>4247</v>
      </c>
      <c r="F222" s="10" t="s">
        <v>60</v>
      </c>
      <c r="H222" s="10"/>
      <c r="I222" s="10" t="s">
        <v>9369</v>
      </c>
      <c r="J222" s="10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10" t="s">
        <v>4</v>
      </c>
      <c r="E223" s="10" t="s">
        <v>8045</v>
      </c>
      <c r="F223" s="10"/>
      <c r="H223" s="10"/>
      <c r="I223" s="10" t="s">
        <v>9372</v>
      </c>
      <c r="J223" s="10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10" t="s">
        <v>4</v>
      </c>
      <c r="E224" s="10" t="s">
        <v>8045</v>
      </c>
      <c r="F224" s="10"/>
      <c r="H224" s="10"/>
      <c r="I224" s="10" t="s">
        <v>9375</v>
      </c>
      <c r="J224" s="10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10" t="s">
        <v>4</v>
      </c>
      <c r="E225" s="10" t="s">
        <v>8045</v>
      </c>
      <c r="F225" s="10"/>
      <c r="H225" s="10"/>
      <c r="I225" s="10" t="s">
        <v>9378</v>
      </c>
      <c r="J225" s="10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10" t="s">
        <v>4</v>
      </c>
      <c r="E226" s="10" t="s">
        <v>8045</v>
      </c>
      <c r="F226" s="10"/>
      <c r="H226" s="10"/>
      <c r="I226" s="10" t="s">
        <v>9381</v>
      </c>
      <c r="J226" s="10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10" t="s">
        <v>4</v>
      </c>
      <c r="E227" s="10" t="s">
        <v>8</v>
      </c>
      <c r="F227" s="10"/>
      <c r="H227" s="10"/>
      <c r="I227" s="10" t="s">
        <v>9384</v>
      </c>
      <c r="J227" s="10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10" t="s">
        <v>4</v>
      </c>
      <c r="E228" s="10" t="s">
        <v>8045</v>
      </c>
      <c r="F228" s="10"/>
      <c r="H228" s="10"/>
      <c r="I228" s="10" t="s">
        <v>9639</v>
      </c>
      <c r="J228" s="10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10" t="s">
        <v>4</v>
      </c>
      <c r="E229" s="10" t="s">
        <v>8045</v>
      </c>
      <c r="F229" s="10"/>
      <c r="H229" s="10"/>
      <c r="I229" s="10" t="s">
        <v>9642</v>
      </c>
      <c r="J229" s="10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10" t="s">
        <v>4</v>
      </c>
      <c r="E230" s="10" t="s">
        <v>8045</v>
      </c>
      <c r="F230" s="10"/>
      <c r="H230" s="10"/>
      <c r="I230" s="10" t="s">
        <v>9645</v>
      </c>
      <c r="J230" s="1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10" t="s">
        <v>4</v>
      </c>
      <c r="E231" s="10" t="s">
        <v>9876</v>
      </c>
      <c r="F231" s="10"/>
      <c r="H231" s="10"/>
      <c r="I231" s="10" t="s">
        <v>9693</v>
      </c>
      <c r="J231" s="10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10" t="s">
        <v>4</v>
      </c>
      <c r="E232" s="10" t="s">
        <v>9876</v>
      </c>
      <c r="F232" s="10"/>
      <c r="H232" s="10"/>
      <c r="I232" s="10" t="s">
        <v>9696</v>
      </c>
      <c r="J232" s="10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10" t="s">
        <v>4</v>
      </c>
      <c r="E233" s="10" t="s">
        <v>9876</v>
      </c>
      <c r="F233" s="10"/>
      <c r="H233" s="10"/>
      <c r="I233" s="10" t="s">
        <v>9699</v>
      </c>
      <c r="J233" s="10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10" t="s">
        <v>4</v>
      </c>
      <c r="E234" s="10" t="s">
        <v>9876</v>
      </c>
      <c r="F234" s="10"/>
      <c r="H234" s="10"/>
      <c r="I234" s="10" t="s">
        <v>9702</v>
      </c>
      <c r="J234" s="10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10" t="s">
        <v>4</v>
      </c>
      <c r="E235" s="10" t="s">
        <v>9876</v>
      </c>
      <c r="F235" s="10"/>
      <c r="H235" s="10"/>
      <c r="I235" s="10" t="s">
        <v>9705</v>
      </c>
      <c r="J235" s="10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10" t="s">
        <v>4</v>
      </c>
      <c r="E236" s="10" t="s">
        <v>9876</v>
      </c>
      <c r="F236" s="10"/>
      <c r="H236" s="10"/>
      <c r="I236" s="10" t="s">
        <v>9936</v>
      </c>
      <c r="J236" s="10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10" t="s">
        <v>4</v>
      </c>
      <c r="E237" s="10" t="s">
        <v>9876</v>
      </c>
      <c r="F237" s="10"/>
      <c r="H237" s="10"/>
      <c r="I237" s="10" t="s">
        <v>9939</v>
      </c>
      <c r="J237" s="10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10" t="s">
        <v>4</v>
      </c>
      <c r="E238" s="10" t="s">
        <v>9876</v>
      </c>
      <c r="F238" s="10"/>
      <c r="H238" s="10"/>
      <c r="I238" s="10" t="s">
        <v>9942</v>
      </c>
      <c r="J238" s="10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10" t="s">
        <v>4</v>
      </c>
      <c r="E239" s="10" t="s">
        <v>9876</v>
      </c>
      <c r="F239" s="10"/>
      <c r="H239" s="10"/>
      <c r="I239" s="10" t="s">
        <v>9945</v>
      </c>
      <c r="J239" s="10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10" t="s">
        <v>4</v>
      </c>
      <c r="E240" s="10" t="s">
        <v>8</v>
      </c>
      <c r="F240" s="10"/>
      <c r="H240" s="10"/>
      <c r="I240" s="10" t="s">
        <v>9948</v>
      </c>
      <c r="J240" s="1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10" t="s">
        <v>290</v>
      </c>
      <c r="E241" s="10" t="s">
        <v>86</v>
      </c>
      <c r="F241" s="10" t="s">
        <v>60</v>
      </c>
      <c r="G241">
        <v>2</v>
      </c>
      <c r="H241" s="10" t="s">
        <v>10210</v>
      </c>
      <c r="I241" s="10" t="s">
        <v>10180</v>
      </c>
      <c r="J241" s="10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10" t="s">
        <v>290</v>
      </c>
      <c r="E242" s="10" t="s">
        <v>86</v>
      </c>
      <c r="F242" s="10" t="s">
        <v>60</v>
      </c>
      <c r="G242">
        <v>4</v>
      </c>
      <c r="H242" s="10"/>
      <c r="I242" s="10" t="s">
        <v>10183</v>
      </c>
      <c r="J242" s="10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10" t="s">
        <v>290</v>
      </c>
      <c r="E243" s="10" t="s">
        <v>86</v>
      </c>
      <c r="F243" s="10" t="s">
        <v>60</v>
      </c>
      <c r="G243">
        <v>3</v>
      </c>
      <c r="H243" s="10"/>
      <c r="I243" s="10" t="s">
        <v>10189</v>
      </c>
      <c r="J243" s="10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10" t="s">
        <v>290</v>
      </c>
      <c r="E244" s="10" t="s">
        <v>86</v>
      </c>
      <c r="F244" s="10" t="s">
        <v>60</v>
      </c>
      <c r="G244">
        <v>4</v>
      </c>
      <c r="H244" s="10"/>
      <c r="I244" s="10" t="s">
        <v>10192</v>
      </c>
      <c r="J244" s="10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10" t="s">
        <v>290</v>
      </c>
      <c r="E245" s="10" t="s">
        <v>86</v>
      </c>
      <c r="F245" s="10" t="s">
        <v>60</v>
      </c>
      <c r="G245">
        <v>3</v>
      </c>
      <c r="H245" s="10"/>
      <c r="I245" s="10" t="s">
        <v>10195</v>
      </c>
      <c r="J245" s="10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10" t="s">
        <v>290</v>
      </c>
      <c r="E246" s="10" t="s">
        <v>86</v>
      </c>
      <c r="F246" s="10" t="s">
        <v>60</v>
      </c>
      <c r="H246" s="10" t="s">
        <v>2936</v>
      </c>
      <c r="I246" s="10" t="s">
        <v>10198</v>
      </c>
      <c r="J246" s="10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10" t="s">
        <v>290</v>
      </c>
      <c r="E247" s="10" t="s">
        <v>86</v>
      </c>
      <c r="F247" s="10" t="s">
        <v>60</v>
      </c>
      <c r="G247">
        <v>3</v>
      </c>
      <c r="H247" s="10"/>
      <c r="I247" s="10" t="s">
        <v>10204</v>
      </c>
      <c r="J247" s="10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10" t="s">
        <v>290</v>
      </c>
      <c r="E248" s="10" t="s">
        <v>86</v>
      </c>
      <c r="F248" s="10" t="s">
        <v>60</v>
      </c>
      <c r="G248">
        <v>1</v>
      </c>
      <c r="H248" s="10"/>
      <c r="I248" s="10" t="s">
        <v>10201</v>
      </c>
      <c r="J248" s="10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10" t="s">
        <v>290</v>
      </c>
      <c r="E249" s="10" t="s">
        <v>86</v>
      </c>
      <c r="F249" s="10" t="s">
        <v>60</v>
      </c>
      <c r="G249">
        <v>3</v>
      </c>
      <c r="H249" s="10"/>
      <c r="I249" s="10" t="s">
        <v>10207</v>
      </c>
      <c r="J249" s="10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10" t="s">
        <v>290</v>
      </c>
      <c r="E250" s="10" t="s">
        <v>86</v>
      </c>
      <c r="F250" s="10" t="s">
        <v>60</v>
      </c>
      <c r="G250">
        <v>2</v>
      </c>
      <c r="H250" s="10"/>
      <c r="I250" s="10" t="s">
        <v>10211</v>
      </c>
      <c r="J250" s="1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10" t="s">
        <v>290</v>
      </c>
      <c r="E251" s="10" t="s">
        <v>86</v>
      </c>
      <c r="F251" s="10" t="s">
        <v>60</v>
      </c>
      <c r="G251">
        <v>3</v>
      </c>
      <c r="H251" s="10"/>
      <c r="I251" s="10" t="s">
        <v>10214</v>
      </c>
      <c r="J251" s="10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10" t="s">
        <v>290</v>
      </c>
      <c r="E252" s="10" t="s">
        <v>86</v>
      </c>
      <c r="F252" s="10" t="s">
        <v>60</v>
      </c>
      <c r="H252" s="10" t="s">
        <v>2936</v>
      </c>
      <c r="I252" s="10" t="s">
        <v>10217</v>
      </c>
      <c r="J252" s="10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10" t="s">
        <v>290</v>
      </c>
      <c r="E253" s="10" t="s">
        <v>86</v>
      </c>
      <c r="F253" s="10" t="s">
        <v>60</v>
      </c>
      <c r="G253">
        <v>2</v>
      </c>
      <c r="H253" s="10"/>
      <c r="I253" s="10" t="s">
        <v>10220</v>
      </c>
      <c r="J253" s="10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10" t="s">
        <v>290</v>
      </c>
      <c r="E254" s="10" t="s">
        <v>86</v>
      </c>
      <c r="F254" s="10" t="s">
        <v>60</v>
      </c>
      <c r="G254">
        <v>4</v>
      </c>
      <c r="H254" s="10"/>
      <c r="I254" s="10" t="s">
        <v>10223</v>
      </c>
      <c r="J254" s="10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10" t="s">
        <v>290</v>
      </c>
      <c r="E255" s="10" t="s">
        <v>86</v>
      </c>
      <c r="F255" s="10" t="s">
        <v>60</v>
      </c>
      <c r="G255">
        <v>1</v>
      </c>
      <c r="H255" s="10"/>
      <c r="I255" s="10" t="s">
        <v>10226</v>
      </c>
      <c r="J255" s="10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10" t="s">
        <v>290</v>
      </c>
      <c r="E256" s="10" t="s">
        <v>86</v>
      </c>
      <c r="F256" s="10" t="s">
        <v>60</v>
      </c>
      <c r="G256">
        <v>3</v>
      </c>
      <c r="H256" s="10"/>
      <c r="I256" s="10" t="s">
        <v>10229</v>
      </c>
      <c r="J256" s="10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10" t="s">
        <v>290</v>
      </c>
      <c r="E257" s="10" t="s">
        <v>86</v>
      </c>
      <c r="F257" s="10" t="s">
        <v>60</v>
      </c>
      <c r="G257">
        <v>3</v>
      </c>
      <c r="H257" s="10"/>
      <c r="I257" s="10" t="s">
        <v>10232</v>
      </c>
      <c r="J257" s="10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10" t="s">
        <v>290</v>
      </c>
      <c r="E258" s="10" t="s">
        <v>86</v>
      </c>
      <c r="F258" s="10" t="s">
        <v>60</v>
      </c>
      <c r="G258">
        <v>2</v>
      </c>
      <c r="H258" s="10"/>
      <c r="I258" s="10" t="s">
        <v>10235</v>
      </c>
      <c r="J258" s="10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10" t="s">
        <v>290</v>
      </c>
      <c r="E259" s="10" t="s">
        <v>86</v>
      </c>
      <c r="F259" s="10" t="s">
        <v>60</v>
      </c>
      <c r="G259">
        <v>2</v>
      </c>
      <c r="H259" s="10"/>
      <c r="I259" s="10" t="s">
        <v>10238</v>
      </c>
      <c r="J259" s="10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10" t="s">
        <v>290</v>
      </c>
      <c r="E260" s="10" t="s">
        <v>86</v>
      </c>
      <c r="F260" s="10" t="s">
        <v>60</v>
      </c>
      <c r="G260">
        <v>3</v>
      </c>
      <c r="H260" s="10"/>
      <c r="I260" s="10" t="s">
        <v>10241</v>
      </c>
      <c r="J260" s="1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10" t="s">
        <v>290</v>
      </c>
      <c r="E261" s="10" t="s">
        <v>86</v>
      </c>
      <c r="F261" s="10" t="s">
        <v>60</v>
      </c>
      <c r="G261">
        <v>2</v>
      </c>
      <c r="H261" s="10"/>
      <c r="I261" s="10" t="s">
        <v>10244</v>
      </c>
      <c r="J261" s="10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10" t="s">
        <v>290</v>
      </c>
      <c r="E262" s="10" t="s">
        <v>86</v>
      </c>
      <c r="F262" s="10" t="s">
        <v>60</v>
      </c>
      <c r="G262">
        <v>2</v>
      </c>
      <c r="H262" s="10"/>
      <c r="I262" s="10" t="s">
        <v>10247</v>
      </c>
      <c r="J262" s="10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10" t="s">
        <v>290</v>
      </c>
      <c r="E263" s="10" t="s">
        <v>86</v>
      </c>
      <c r="F263" s="10" t="s">
        <v>60</v>
      </c>
      <c r="G263">
        <v>3</v>
      </c>
      <c r="H263" s="10"/>
      <c r="I263" s="10" t="s">
        <v>10250</v>
      </c>
      <c r="J263" s="10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10" t="s">
        <v>290</v>
      </c>
      <c r="E264" s="10" t="s">
        <v>86</v>
      </c>
      <c r="F264" s="10" t="s">
        <v>60</v>
      </c>
      <c r="H264" s="10" t="s">
        <v>2936</v>
      </c>
      <c r="I264" s="10" t="s">
        <v>10253</v>
      </c>
      <c r="J264" s="10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10" t="s">
        <v>290</v>
      </c>
      <c r="E265" s="10" t="s">
        <v>86</v>
      </c>
      <c r="F265" s="10" t="s">
        <v>60</v>
      </c>
      <c r="G265">
        <v>4</v>
      </c>
      <c r="H265" s="10"/>
      <c r="I265" s="10" t="s">
        <v>10256</v>
      </c>
      <c r="J265" s="10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10" t="s">
        <v>290</v>
      </c>
      <c r="E266" s="10" t="s">
        <v>86</v>
      </c>
      <c r="F266" s="10" t="s">
        <v>60</v>
      </c>
      <c r="G266">
        <v>3</v>
      </c>
      <c r="H266" s="10"/>
      <c r="I266" s="10" t="s">
        <v>10259</v>
      </c>
      <c r="J266" s="10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10" t="s">
        <v>290</v>
      </c>
      <c r="E267" s="10" t="s">
        <v>86</v>
      </c>
      <c r="F267" s="10" t="s">
        <v>60</v>
      </c>
      <c r="G267">
        <v>3</v>
      </c>
      <c r="H267" s="10"/>
      <c r="I267" s="10" t="s">
        <v>10262</v>
      </c>
      <c r="J267" s="10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10" t="s">
        <v>290</v>
      </c>
      <c r="E268" s="10" t="s">
        <v>86</v>
      </c>
      <c r="F268" s="10" t="s">
        <v>60</v>
      </c>
      <c r="G268">
        <v>2</v>
      </c>
      <c r="H268" s="10"/>
      <c r="I268" s="10" t="s">
        <v>10265</v>
      </c>
      <c r="J268" s="10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10" t="s">
        <v>290</v>
      </c>
      <c r="E269" s="10" t="s">
        <v>86</v>
      </c>
      <c r="F269" s="10" t="s">
        <v>60</v>
      </c>
      <c r="G269">
        <v>2</v>
      </c>
      <c r="H269" s="10" t="s">
        <v>10347</v>
      </c>
      <c r="I269" s="10" t="s">
        <v>10281</v>
      </c>
      <c r="J269" s="10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10" t="s">
        <v>290</v>
      </c>
      <c r="E270" s="10" t="s">
        <v>86</v>
      </c>
      <c r="F270" s="10" t="s">
        <v>60</v>
      </c>
      <c r="G270">
        <v>3</v>
      </c>
      <c r="H270" s="10" t="s">
        <v>10347</v>
      </c>
      <c r="I270" s="10" t="s">
        <v>10284</v>
      </c>
      <c r="J270" s="1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10" t="s">
        <v>290</v>
      </c>
      <c r="E271" s="10" t="s">
        <v>86</v>
      </c>
      <c r="F271" s="10" t="s">
        <v>60</v>
      </c>
      <c r="G271">
        <v>3</v>
      </c>
      <c r="H271" s="10" t="s">
        <v>10347</v>
      </c>
      <c r="I271" s="10" t="s">
        <v>10287</v>
      </c>
      <c r="J271" s="10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10" t="s">
        <v>290</v>
      </c>
      <c r="E272" s="10" t="s">
        <v>86</v>
      </c>
      <c r="F272" s="10" t="s">
        <v>60</v>
      </c>
      <c r="G272">
        <v>4</v>
      </c>
      <c r="H272" s="10" t="s">
        <v>10347</v>
      </c>
      <c r="I272" s="10" t="s">
        <v>10290</v>
      </c>
      <c r="J272" s="10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10" t="s">
        <v>290</v>
      </c>
      <c r="E273" s="10" t="s">
        <v>86</v>
      </c>
      <c r="F273" s="10" t="s">
        <v>60</v>
      </c>
      <c r="G273">
        <v>4</v>
      </c>
      <c r="H273" s="10" t="s">
        <v>10347</v>
      </c>
      <c r="I273" s="10" t="s">
        <v>10293</v>
      </c>
      <c r="J273" s="10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10" t="s">
        <v>290</v>
      </c>
      <c r="E274" s="10" t="s">
        <v>86</v>
      </c>
      <c r="F274" s="10" t="s">
        <v>60</v>
      </c>
      <c r="G274">
        <v>4</v>
      </c>
      <c r="H274" s="10" t="s">
        <v>10347</v>
      </c>
      <c r="I274" s="10" t="s">
        <v>10296</v>
      </c>
      <c r="J274" s="10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10" t="s">
        <v>290</v>
      </c>
      <c r="E275" s="10" t="s">
        <v>86</v>
      </c>
      <c r="F275" s="10" t="s">
        <v>60</v>
      </c>
      <c r="G275">
        <v>5</v>
      </c>
      <c r="H275" s="10" t="s">
        <v>10347</v>
      </c>
      <c r="I275" s="10" t="s">
        <v>10299</v>
      </c>
      <c r="J275" s="10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10" t="s">
        <v>290</v>
      </c>
      <c r="E276" s="10" t="s">
        <v>86</v>
      </c>
      <c r="F276" s="10" t="s">
        <v>60</v>
      </c>
      <c r="G276">
        <v>2</v>
      </c>
      <c r="H276" s="10" t="s">
        <v>10347</v>
      </c>
      <c r="I276" s="10" t="s">
        <v>10302</v>
      </c>
      <c r="J276" s="10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10" t="s">
        <v>290</v>
      </c>
      <c r="E277" s="10" t="s">
        <v>86</v>
      </c>
      <c r="F277" s="10" t="s">
        <v>60</v>
      </c>
      <c r="G277">
        <v>3</v>
      </c>
      <c r="H277" s="10" t="s">
        <v>10347</v>
      </c>
      <c r="I277" s="10" t="s">
        <v>10305</v>
      </c>
      <c r="J277" s="10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10" t="s">
        <v>290</v>
      </c>
      <c r="E278" s="10" t="s">
        <v>86</v>
      </c>
      <c r="F278" s="10" t="s">
        <v>60</v>
      </c>
      <c r="G278">
        <v>3</v>
      </c>
      <c r="H278" s="10" t="s">
        <v>10347</v>
      </c>
      <c r="I278" s="10" t="s">
        <v>10308</v>
      </c>
      <c r="J278" s="10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10" t="s">
        <v>290</v>
      </c>
      <c r="E279" s="10" t="s">
        <v>86</v>
      </c>
      <c r="F279" s="10" t="s">
        <v>60</v>
      </c>
      <c r="G279">
        <v>3</v>
      </c>
      <c r="H279" s="10" t="s">
        <v>10347</v>
      </c>
      <c r="I279" s="10" t="s">
        <v>10311</v>
      </c>
      <c r="J279" s="10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10" t="s">
        <v>290</v>
      </c>
      <c r="E280" s="10" t="s">
        <v>86</v>
      </c>
      <c r="F280" s="10" t="s">
        <v>60</v>
      </c>
      <c r="G280">
        <v>2</v>
      </c>
      <c r="H280" s="10" t="s">
        <v>10347</v>
      </c>
      <c r="I280" s="10" t="s">
        <v>10314</v>
      </c>
      <c r="J280" s="1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10" t="s">
        <v>290</v>
      </c>
      <c r="E281" s="10" t="s">
        <v>86</v>
      </c>
      <c r="F281" s="10" t="s">
        <v>60</v>
      </c>
      <c r="G281">
        <v>2</v>
      </c>
      <c r="H281" s="10" t="s">
        <v>10347</v>
      </c>
      <c r="I281" s="10" t="s">
        <v>10317</v>
      </c>
      <c r="J281" s="10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10" t="s">
        <v>290</v>
      </c>
      <c r="E282" s="10" t="s">
        <v>86</v>
      </c>
      <c r="F282" s="10" t="s">
        <v>60</v>
      </c>
      <c r="G282">
        <v>3</v>
      </c>
      <c r="H282" s="10" t="s">
        <v>10347</v>
      </c>
      <c r="I282" s="10" t="s">
        <v>10320</v>
      </c>
      <c r="J282" s="10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10" t="s">
        <v>290</v>
      </c>
      <c r="E283" s="10" t="s">
        <v>86</v>
      </c>
      <c r="F283" s="10" t="s">
        <v>60</v>
      </c>
      <c r="G283">
        <v>3</v>
      </c>
      <c r="H283" s="10" t="s">
        <v>10347</v>
      </c>
      <c r="I283" s="10" t="s">
        <v>10323</v>
      </c>
      <c r="J283" s="10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10" t="s">
        <v>290</v>
      </c>
      <c r="E284" s="10" t="s">
        <v>86</v>
      </c>
      <c r="F284" s="10" t="s">
        <v>60</v>
      </c>
      <c r="G284">
        <v>3</v>
      </c>
      <c r="H284" s="10" t="s">
        <v>10347</v>
      </c>
      <c r="I284" s="10" t="s">
        <v>10326</v>
      </c>
      <c r="J284" s="10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10" t="s">
        <v>290</v>
      </c>
      <c r="E285" s="10" t="s">
        <v>86</v>
      </c>
      <c r="F285" s="10" t="s">
        <v>60</v>
      </c>
      <c r="G285">
        <v>2</v>
      </c>
      <c r="H285" s="10" t="s">
        <v>10347</v>
      </c>
      <c r="I285" s="10" t="s">
        <v>10329</v>
      </c>
      <c r="J285" s="10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10" t="s">
        <v>290</v>
      </c>
      <c r="E286" s="10" t="s">
        <v>86</v>
      </c>
      <c r="F286" s="10" t="s">
        <v>60</v>
      </c>
      <c r="G286">
        <v>2</v>
      </c>
      <c r="H286" s="10" t="s">
        <v>10347</v>
      </c>
      <c r="I286" s="10" t="s">
        <v>10332</v>
      </c>
      <c r="J286" s="10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10" t="s">
        <v>290</v>
      </c>
      <c r="E287" s="10" t="s">
        <v>86</v>
      </c>
      <c r="F287" s="10" t="s">
        <v>60</v>
      </c>
      <c r="G287">
        <v>2</v>
      </c>
      <c r="H287" s="10" t="s">
        <v>10347</v>
      </c>
      <c r="I287" s="10" t="s">
        <v>10335</v>
      </c>
      <c r="J287" s="10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10" t="s">
        <v>10348</v>
      </c>
      <c r="E288" s="10" t="s">
        <v>86</v>
      </c>
      <c r="F288" s="10" t="s">
        <v>10167</v>
      </c>
      <c r="G288">
        <v>1</v>
      </c>
      <c r="H288" s="10" t="s">
        <v>10349</v>
      </c>
      <c r="I288" s="10" t="s">
        <v>10338</v>
      </c>
      <c r="J288" s="10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10" t="s">
        <v>4</v>
      </c>
      <c r="E289" s="10" t="s">
        <v>9876</v>
      </c>
      <c r="F289" s="10"/>
      <c r="H289" s="10"/>
      <c r="I289" s="10" t="s">
        <v>10341</v>
      </c>
      <c r="J289" s="10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10" t="s">
        <v>4</v>
      </c>
      <c r="E290" s="10" t="s">
        <v>2932</v>
      </c>
      <c r="F290" s="10"/>
      <c r="H290" s="10"/>
      <c r="I290" s="10" t="s">
        <v>10344</v>
      </c>
      <c r="J290" s="1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10" t="s">
        <v>2004</v>
      </c>
      <c r="E291" s="10" t="s">
        <v>8</v>
      </c>
      <c r="F291" s="10"/>
      <c r="H291" s="10"/>
      <c r="I291" s="10" t="s">
        <v>10500</v>
      </c>
      <c r="J291" s="10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10" t="s">
        <v>2004</v>
      </c>
      <c r="E292" s="10" t="s">
        <v>8</v>
      </c>
      <c r="F292" s="10"/>
      <c r="H292" s="10"/>
      <c r="I292" s="10" t="s">
        <v>10503</v>
      </c>
      <c r="J292" s="10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10" t="s">
        <v>4</v>
      </c>
      <c r="E293" s="10" t="s">
        <v>2932</v>
      </c>
      <c r="F293" s="10"/>
      <c r="H293" s="10"/>
      <c r="I293" s="10" t="s">
        <v>10546</v>
      </c>
      <c r="J293" s="10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10" t="s">
        <v>4</v>
      </c>
      <c r="E294" s="10" t="s">
        <v>10630</v>
      </c>
      <c r="F294" s="10"/>
      <c r="H294" s="10"/>
      <c r="I294" s="10" t="s">
        <v>10549</v>
      </c>
      <c r="J294" s="10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10" t="s">
        <v>4</v>
      </c>
      <c r="E295" s="10" t="s">
        <v>9876</v>
      </c>
      <c r="F295" s="10"/>
      <c r="H295" s="10"/>
      <c r="I295" s="10" t="s">
        <v>10722</v>
      </c>
      <c r="J295" s="10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10" t="s">
        <v>158</v>
      </c>
      <c r="E296" s="10" t="s">
        <v>86</v>
      </c>
      <c r="F296" s="10" t="s">
        <v>60</v>
      </c>
      <c r="H296" s="10" t="s">
        <v>10887</v>
      </c>
      <c r="I296" s="10" t="s">
        <v>10725</v>
      </c>
      <c r="J296" s="10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10" t="s">
        <v>4</v>
      </c>
      <c r="E297" s="10" t="s">
        <v>2932</v>
      </c>
      <c r="F297" s="10"/>
      <c r="H297" s="10"/>
      <c r="I297" s="10" t="s">
        <v>10728</v>
      </c>
      <c r="J297" s="10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10" t="s">
        <v>4</v>
      </c>
      <c r="E298" s="10" t="s">
        <v>9876</v>
      </c>
      <c r="F298" s="10"/>
      <c r="H298" s="10"/>
      <c r="I298" s="10" t="s">
        <v>10731</v>
      </c>
      <c r="J298" s="10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10" t="s">
        <v>4</v>
      </c>
      <c r="E299" s="10" t="s">
        <v>9876</v>
      </c>
      <c r="F299" s="10"/>
      <c r="H299" s="10"/>
      <c r="I299" s="10" t="s">
        <v>10734</v>
      </c>
      <c r="J299" s="10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10" t="s">
        <v>4</v>
      </c>
      <c r="E300" s="10" t="s">
        <v>8045</v>
      </c>
      <c r="F300" s="10"/>
      <c r="H300" s="10"/>
      <c r="I300" s="10" t="s">
        <v>10914</v>
      </c>
      <c r="J300" s="1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10" t="s">
        <v>4</v>
      </c>
      <c r="E301" s="10" t="s">
        <v>8045</v>
      </c>
      <c r="F301" s="10"/>
      <c r="H301" s="10"/>
      <c r="I301" s="10" t="s">
        <v>10917</v>
      </c>
      <c r="J301" s="10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10" t="s">
        <v>4</v>
      </c>
      <c r="E302" s="10" t="s">
        <v>8</v>
      </c>
      <c r="F302" s="10"/>
      <c r="H302" s="10"/>
      <c r="I302" s="10" t="s">
        <v>11067</v>
      </c>
      <c r="J302" s="10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10" t="s">
        <v>650</v>
      </c>
      <c r="E303" s="10" t="s">
        <v>11125</v>
      </c>
      <c r="F303" s="10"/>
      <c r="H303" s="10" t="s">
        <v>11126</v>
      </c>
      <c r="I303" s="10" t="s">
        <v>11070</v>
      </c>
      <c r="J303" s="10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10" t="s">
        <v>4</v>
      </c>
      <c r="E304" s="10" t="s">
        <v>9876</v>
      </c>
      <c r="F304" s="10"/>
      <c r="H304" s="10"/>
      <c r="I304" s="10" t="s">
        <v>11073</v>
      </c>
      <c r="J304" s="10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10" t="s">
        <v>4</v>
      </c>
      <c r="E305" s="10" t="s">
        <v>9876</v>
      </c>
      <c r="F305" s="10"/>
      <c r="H305" s="10"/>
      <c r="I305" s="10" t="s">
        <v>11160</v>
      </c>
      <c r="J305" s="10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10" t="s">
        <v>4</v>
      </c>
      <c r="E306" s="10" t="s">
        <v>9876</v>
      </c>
      <c r="F306" s="10"/>
      <c r="H306" s="10"/>
      <c r="I306" s="10" t="s">
        <v>11163</v>
      </c>
      <c r="J306" s="10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10" t="s">
        <v>4</v>
      </c>
      <c r="E307" s="10" t="s">
        <v>9876</v>
      </c>
      <c r="F307" s="10"/>
      <c r="H307" s="10"/>
      <c r="I307" s="10" t="s">
        <v>11166</v>
      </c>
      <c r="J307" s="10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10" t="s">
        <v>4</v>
      </c>
      <c r="E308" s="10" t="s">
        <v>9876</v>
      </c>
      <c r="F308" s="10"/>
      <c r="H308" s="10"/>
      <c r="I308" s="10" t="s">
        <v>11169</v>
      </c>
      <c r="J308" s="10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10" t="s">
        <v>4</v>
      </c>
      <c r="E309" s="10" t="s">
        <v>8</v>
      </c>
      <c r="F309" s="10"/>
      <c r="H309" s="10"/>
      <c r="I309" s="10" t="s">
        <v>11604</v>
      </c>
      <c r="J309" s="10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10" t="s">
        <v>4</v>
      </c>
      <c r="E310" s="10" t="s">
        <v>11638</v>
      </c>
      <c r="F310" s="10"/>
      <c r="H310" s="10"/>
      <c r="I310" s="10" t="s">
        <v>11607</v>
      </c>
      <c r="J310" s="10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10" t="s">
        <v>4</v>
      </c>
      <c r="E311" s="10" t="s">
        <v>8</v>
      </c>
      <c r="F311" s="10"/>
      <c r="H311" s="10"/>
      <c r="I311" s="10" t="s">
        <v>11610</v>
      </c>
      <c r="J311" s="10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10" t="s">
        <v>2004</v>
      </c>
      <c r="E312" s="10" t="s">
        <v>8</v>
      </c>
      <c r="F312" s="10"/>
      <c r="H312" s="10"/>
      <c r="I312" s="10" t="s">
        <v>11676</v>
      </c>
      <c r="J312" s="10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10" t="s">
        <v>4</v>
      </c>
      <c r="E313" s="10" t="s">
        <v>2932</v>
      </c>
      <c r="F313" s="10"/>
      <c r="H313" s="10"/>
      <c r="I313" s="10" t="s">
        <v>11679</v>
      </c>
      <c r="J313" s="10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10" t="s">
        <v>4</v>
      </c>
      <c r="E314" s="10" t="s">
        <v>2932</v>
      </c>
      <c r="F314" s="10"/>
      <c r="H314" s="10"/>
      <c r="I314" s="10" t="s">
        <v>11903</v>
      </c>
      <c r="J314" s="10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10" t="s">
        <v>6171</v>
      </c>
      <c r="E315" s="10" t="s">
        <v>11958</v>
      </c>
      <c r="F315" s="10"/>
      <c r="H315" s="10"/>
      <c r="I315" s="10" t="s">
        <v>11906</v>
      </c>
      <c r="J315" s="10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10" t="s">
        <v>159</v>
      </c>
      <c r="E316" s="10" t="s">
        <v>11958</v>
      </c>
      <c r="F316" s="10"/>
      <c r="H316" s="10"/>
      <c r="I316" s="10" t="s">
        <v>11909</v>
      </c>
      <c r="J316" s="10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10" t="s">
        <v>201</v>
      </c>
      <c r="E317" s="10" t="s">
        <v>11958</v>
      </c>
      <c r="F317" s="10"/>
      <c r="H317" s="10"/>
      <c r="I317" s="10" t="s">
        <v>11912</v>
      </c>
      <c r="J317" s="10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10" t="s">
        <v>4</v>
      </c>
      <c r="E318" s="10" t="s">
        <v>8</v>
      </c>
      <c r="F318" s="10"/>
      <c r="H318" s="10"/>
      <c r="I318" s="10" t="s">
        <v>11915</v>
      </c>
      <c r="J318" s="10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10" t="s">
        <v>159</v>
      </c>
      <c r="E319" s="10" t="s">
        <v>4193</v>
      </c>
      <c r="F319" s="10"/>
      <c r="H319" s="10"/>
      <c r="I319" s="10" t="s">
        <v>11918</v>
      </c>
      <c r="J319" s="10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10" t="s">
        <v>201</v>
      </c>
      <c r="E320" s="10" t="s">
        <v>4193</v>
      </c>
      <c r="F320" s="10"/>
      <c r="H320" s="10"/>
      <c r="I320" s="10" t="s">
        <v>11921</v>
      </c>
      <c r="J320" s="10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10" t="s">
        <v>4</v>
      </c>
      <c r="E321" s="10" t="s">
        <v>8</v>
      </c>
      <c r="F321" s="10"/>
      <c r="H321" s="10"/>
      <c r="I321" s="10" t="s">
        <v>11924</v>
      </c>
      <c r="J321" s="10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10" t="s">
        <v>159</v>
      </c>
      <c r="E322" s="10" t="s">
        <v>70</v>
      </c>
      <c r="F322" s="10"/>
      <c r="H322" s="10"/>
      <c r="I322" s="10" t="s">
        <v>11927</v>
      </c>
      <c r="J322" s="10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10" t="s">
        <v>4</v>
      </c>
      <c r="E323" s="10" t="s">
        <v>8</v>
      </c>
      <c r="F323" s="10"/>
      <c r="H323" s="10"/>
      <c r="I323" s="10" t="s">
        <v>11930</v>
      </c>
      <c r="J323" s="10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s="10" t="s">
        <v>651</v>
      </c>
      <c r="E324" s="10" t="s">
        <v>86</v>
      </c>
      <c r="F324" s="10"/>
      <c r="H324" s="10"/>
      <c r="I324" s="10" t="s">
        <v>11995</v>
      </c>
      <c r="J324" s="10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s="10" t="s">
        <v>11957</v>
      </c>
      <c r="E325" s="10" t="s">
        <v>12014</v>
      </c>
      <c r="F325" s="10"/>
      <c r="H325" s="10"/>
      <c r="I325" s="10" t="s">
        <v>11998</v>
      </c>
      <c r="J325" s="10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s="10" t="s">
        <v>201</v>
      </c>
      <c r="E326" s="10" t="s">
        <v>12014</v>
      </c>
      <c r="F326" s="10"/>
      <c r="H326" s="10"/>
      <c r="I326" s="10" t="s">
        <v>12001</v>
      </c>
      <c r="J326" s="10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s="10" t="s">
        <v>2004</v>
      </c>
      <c r="E327" s="10" t="s">
        <v>8</v>
      </c>
      <c r="F327" s="10"/>
      <c r="H327" s="10"/>
      <c r="I327" s="10" t="s">
        <v>12028</v>
      </c>
      <c r="J327" s="10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  <row r="328" spans="1:13" x14ac:dyDescent="0.25">
      <c r="A328" s="2" t="s">
        <v>22</v>
      </c>
      <c r="B328" s="4">
        <v>46068</v>
      </c>
      <c r="C328" s="5">
        <v>0.50070601851851848</v>
      </c>
      <c r="D328" s="10" t="s">
        <v>4</v>
      </c>
      <c r="E328" s="10" t="s">
        <v>10638</v>
      </c>
      <c r="F328" s="10"/>
      <c r="H328" s="10"/>
      <c r="I328" s="10" t="s">
        <v>12040</v>
      </c>
      <c r="J328" s="10" t="s">
        <v>2982</v>
      </c>
      <c r="K328" t="s">
        <v>12041</v>
      </c>
      <c r="L328" t="s">
        <v>12042</v>
      </c>
      <c r="M328" s="3" t="str">
        <f>HYPERLINK(склад2въезд1319[[#This Row],[RelativePath]])</f>
        <v>5 Крыльцо общага\K07156189_22_20260215T120101Z.jpg</v>
      </c>
    </row>
    <row r="329" spans="1:13" x14ac:dyDescent="0.25">
      <c r="A329" s="2" t="s">
        <v>13</v>
      </c>
      <c r="B329" s="4">
        <v>46069</v>
      </c>
      <c r="C329" s="5">
        <v>0.59663194444444445</v>
      </c>
      <c r="D329" s="10" t="s">
        <v>651</v>
      </c>
      <c r="E329" s="10" t="s">
        <v>86</v>
      </c>
      <c r="F329" s="10"/>
      <c r="H329" s="10"/>
      <c r="I329" s="10" t="s">
        <v>12190</v>
      </c>
      <c r="J329" s="10" t="s">
        <v>2982</v>
      </c>
      <c r="K329" t="s">
        <v>12191</v>
      </c>
      <c r="L329" t="s">
        <v>12192</v>
      </c>
      <c r="M329" s="3" t="str">
        <f>HYPERLINK(склад2въезд1319[[#This Row],[RelativePath]])</f>
        <v>5 Крыльцо общага\K07156189_22_20260216T141909Z.jpg</v>
      </c>
    </row>
    <row r="330" spans="1:13" x14ac:dyDescent="0.25">
      <c r="A330" s="2" t="s">
        <v>14</v>
      </c>
      <c r="B330" s="4">
        <v>46070</v>
      </c>
      <c r="C330" s="5">
        <v>0.60394675925925922</v>
      </c>
      <c r="D330" s="10" t="s">
        <v>12376</v>
      </c>
      <c r="E330" s="10" t="s">
        <v>86</v>
      </c>
      <c r="F330" s="10"/>
      <c r="H330" s="10"/>
      <c r="I330" s="10" t="s">
        <v>12193</v>
      </c>
      <c r="J330" s="10" t="s">
        <v>2982</v>
      </c>
      <c r="K330" t="s">
        <v>12194</v>
      </c>
      <c r="L330" t="s">
        <v>12195</v>
      </c>
      <c r="M330" s="3" t="str">
        <f>HYPERLINK(склад2въезд1319[[#This Row],[RelativePath]])</f>
        <v>5 Крыльцо общага\K07156189_22_20260217T142941Z.jpg</v>
      </c>
    </row>
    <row r="331" spans="1:13" x14ac:dyDescent="0.25">
      <c r="A331" s="2" t="s">
        <v>14</v>
      </c>
      <c r="B331" s="4">
        <v>46070</v>
      </c>
      <c r="C331" s="5">
        <v>0.70093749999999999</v>
      </c>
      <c r="D331" s="10" t="s">
        <v>11961</v>
      </c>
      <c r="E331" s="10"/>
      <c r="F331" s="10"/>
      <c r="H331" s="10"/>
      <c r="I331" s="10" t="s">
        <v>12196</v>
      </c>
      <c r="J331" s="10" t="s">
        <v>2982</v>
      </c>
      <c r="K331" t="s">
        <v>12197</v>
      </c>
      <c r="L331" t="s">
        <v>12198</v>
      </c>
      <c r="M331" s="3" t="str">
        <f>HYPERLINK(склад2въезд1319[[#This Row],[RelativePath]])</f>
        <v>5 Крыльцо общага\K07156189_22_20260217T164921Z.jpg</v>
      </c>
    </row>
    <row r="332" spans="1:13" x14ac:dyDescent="0.25">
      <c r="A332" s="2" t="s">
        <v>15</v>
      </c>
      <c r="B332" s="4">
        <v>46071</v>
      </c>
      <c r="C332" s="5">
        <v>0.39153935185185185</v>
      </c>
      <c r="D332" s="10" t="s">
        <v>11957</v>
      </c>
      <c r="E332" s="10" t="s">
        <v>12377</v>
      </c>
      <c r="F332" s="10"/>
      <c r="H332" s="10"/>
      <c r="I332" s="10" t="s">
        <v>12199</v>
      </c>
      <c r="J332" s="10" t="s">
        <v>2982</v>
      </c>
      <c r="K332" t="s">
        <v>12200</v>
      </c>
      <c r="L332" t="s">
        <v>12201</v>
      </c>
      <c r="M332" s="3" t="str">
        <f>HYPERLINK(склад2въезд1319[[#This Row],[RelativePath]])</f>
        <v>5 Крыльцо общага\K07156189_22_20260218T092349Z.jpg</v>
      </c>
    </row>
    <row r="333" spans="1:13" x14ac:dyDescent="0.25">
      <c r="A333" s="2" t="s">
        <v>15</v>
      </c>
      <c r="B333" s="4">
        <v>46071</v>
      </c>
      <c r="C333" s="5">
        <v>0.39587962962962964</v>
      </c>
      <c r="D333" s="10" t="s">
        <v>62</v>
      </c>
      <c r="E333" s="10" t="s">
        <v>12377</v>
      </c>
      <c r="F333" s="10" t="s">
        <v>12378</v>
      </c>
      <c r="H333" s="10" t="s">
        <v>12379</v>
      </c>
      <c r="I333" s="10" t="s">
        <v>12202</v>
      </c>
      <c r="J333" s="10" t="s">
        <v>2982</v>
      </c>
      <c r="K333" t="s">
        <v>12203</v>
      </c>
      <c r="L333" t="s">
        <v>12204</v>
      </c>
      <c r="M333" s="3" t="str">
        <f>HYPERLINK(склад2въезд1319[[#This Row],[RelativePath]])</f>
        <v>5 Крыльцо общага\K07156189_22_20260218T093004Z.jpg</v>
      </c>
    </row>
    <row r="334" spans="1:13" x14ac:dyDescent="0.25">
      <c r="A334" s="2" t="s">
        <v>15</v>
      </c>
      <c r="B334" s="4">
        <v>46071</v>
      </c>
      <c r="C334" s="5">
        <v>0.40994212962962961</v>
      </c>
      <c r="D334" s="10" t="s">
        <v>159</v>
      </c>
      <c r="E334" s="10" t="s">
        <v>4193</v>
      </c>
      <c r="F334" s="10"/>
      <c r="H334" s="10"/>
      <c r="I334" s="10" t="s">
        <v>12205</v>
      </c>
      <c r="J334" s="10" t="s">
        <v>2982</v>
      </c>
      <c r="K334" t="s">
        <v>12206</v>
      </c>
      <c r="L334" t="s">
        <v>12207</v>
      </c>
      <c r="M334" s="3" t="str">
        <f>HYPERLINK(склад2въезд1319[[#This Row],[RelativePath]])</f>
        <v>5 Крыльцо общага\K07156189_22_20260218T095019Z.jpg</v>
      </c>
    </row>
    <row r="335" spans="1:13" x14ac:dyDescent="0.25">
      <c r="A335" s="2" t="s">
        <v>15</v>
      </c>
      <c r="B335" s="4">
        <v>46071</v>
      </c>
      <c r="C335" s="5">
        <v>0.43244212962962963</v>
      </c>
      <c r="D335" s="10" t="s">
        <v>12380</v>
      </c>
      <c r="E335" s="10" t="s">
        <v>86</v>
      </c>
      <c r="F335" s="10"/>
      <c r="H335" s="10"/>
      <c r="I335" s="10" t="s">
        <v>12208</v>
      </c>
      <c r="J335" s="10" t="s">
        <v>2982</v>
      </c>
      <c r="K335" t="s">
        <v>12209</v>
      </c>
      <c r="L335" t="s">
        <v>12210</v>
      </c>
      <c r="M335" s="3" t="str">
        <f>HYPERLINK(склад2въезд1319[[#This Row],[RelativePath]])</f>
        <v>5 Крыльцо общага\K07156189_22_20260218T102243Z.jpg</v>
      </c>
    </row>
    <row r="336" spans="1:13" x14ac:dyDescent="0.25">
      <c r="A336" s="2" t="s">
        <v>16</v>
      </c>
      <c r="B336" s="4">
        <v>46072</v>
      </c>
      <c r="C336" s="5">
        <v>0.43725694444444446</v>
      </c>
      <c r="D336" s="10" t="s">
        <v>651</v>
      </c>
      <c r="E336" s="10" t="s">
        <v>86</v>
      </c>
      <c r="F336" s="10"/>
      <c r="H336" s="10"/>
      <c r="I336" s="10" t="s">
        <v>12428</v>
      </c>
      <c r="J336" s="10" t="s">
        <v>2982</v>
      </c>
      <c r="K336" t="s">
        <v>12429</v>
      </c>
      <c r="L336" t="s">
        <v>12430</v>
      </c>
      <c r="M336" s="3" t="str">
        <f>HYPERLINK(склад2въезд1319[[#This Row],[RelativePath]])</f>
        <v>5 Крыльцо общага\K07156189_22_20260219T102939Z.jpg</v>
      </c>
    </row>
    <row r="337" spans="1:13" x14ac:dyDescent="0.25">
      <c r="A337" s="2" t="s">
        <v>16</v>
      </c>
      <c r="B337" s="4">
        <v>46072</v>
      </c>
      <c r="C337" s="5">
        <v>0.45667824074074076</v>
      </c>
      <c r="D337" s="10" t="s">
        <v>159</v>
      </c>
      <c r="E337" s="10" t="s">
        <v>4193</v>
      </c>
      <c r="F337" s="10"/>
      <c r="H337" s="10"/>
      <c r="I337" s="10" t="s">
        <v>12431</v>
      </c>
      <c r="J337" s="10" t="s">
        <v>2982</v>
      </c>
      <c r="K337" t="s">
        <v>12432</v>
      </c>
      <c r="L337" t="s">
        <v>12433</v>
      </c>
      <c r="M337" s="3" t="str">
        <f>HYPERLINK(склад2въезд1319[[#This Row],[RelativePath]])</f>
        <v>5 Крыльцо общага\K07156189_22_20260219T105737Z.jpg</v>
      </c>
    </row>
    <row r="338" spans="1:13" x14ac:dyDescent="0.25">
      <c r="A338" s="2" t="s">
        <v>16</v>
      </c>
      <c r="B338" s="4">
        <v>46072</v>
      </c>
      <c r="C338" s="5">
        <v>0.5760763888888889</v>
      </c>
      <c r="D338" s="10" t="s">
        <v>6171</v>
      </c>
      <c r="E338" s="10" t="s">
        <v>4193</v>
      </c>
      <c r="F338" s="10"/>
      <c r="H338" s="10"/>
      <c r="I338" s="10" t="s">
        <v>12434</v>
      </c>
      <c r="J338" s="10" t="s">
        <v>2982</v>
      </c>
      <c r="K338" t="s">
        <v>12435</v>
      </c>
      <c r="L338" t="s">
        <v>12436</v>
      </c>
      <c r="M338" s="3" t="str">
        <f>HYPERLINK(склад2въезд1319[[#This Row],[RelativePath]])</f>
        <v>5 Крыльцо общага\K07156189_22_20260219T134933Z.jpg</v>
      </c>
    </row>
    <row r="339" spans="1:13" x14ac:dyDescent="0.25">
      <c r="A339" s="2" t="s">
        <v>16</v>
      </c>
      <c r="B339" s="4">
        <v>46072</v>
      </c>
      <c r="C339" s="5">
        <v>0.60555555555555551</v>
      </c>
      <c r="D339" s="10" t="s">
        <v>159</v>
      </c>
      <c r="E339" s="10" t="s">
        <v>12493</v>
      </c>
      <c r="F339" s="10"/>
      <c r="H339" s="10"/>
      <c r="I339" s="10" t="s">
        <v>12437</v>
      </c>
      <c r="J339" s="10" t="s">
        <v>2982</v>
      </c>
      <c r="K339" t="s">
        <v>12438</v>
      </c>
      <c r="L339" t="s">
        <v>12439</v>
      </c>
      <c r="M339" s="3" t="str">
        <f>HYPERLINK(склад2въезд1319[[#This Row],[RelativePath]])</f>
        <v>5 Крыльцо общага\K07156189_22_20260219T143200Z.jpg</v>
      </c>
    </row>
    <row r="340" spans="1:13" x14ac:dyDescent="0.25">
      <c r="A340" s="2" t="s">
        <v>16</v>
      </c>
      <c r="B340" s="4">
        <v>46072</v>
      </c>
      <c r="C340" s="5">
        <v>0.70650462962962968</v>
      </c>
      <c r="D340" s="10" t="s">
        <v>62</v>
      </c>
      <c r="E340" s="10" t="s">
        <v>12491</v>
      </c>
      <c r="F340" s="10"/>
      <c r="H340" s="10" t="s">
        <v>12492</v>
      </c>
      <c r="I340" s="10" t="s">
        <v>12440</v>
      </c>
      <c r="J340" s="10" t="s">
        <v>2982</v>
      </c>
      <c r="K340" t="s">
        <v>12441</v>
      </c>
      <c r="L340" t="s">
        <v>12442</v>
      </c>
      <c r="M340" s="3" t="str">
        <f>HYPERLINK(склад2въезд1319[[#This Row],[RelativePath]])</f>
        <v>5 Крыльцо общага\K07156189_22_20260219T165722Z.jpg</v>
      </c>
    </row>
    <row r="341" spans="1:13" x14ac:dyDescent="0.25">
      <c r="A341" s="2" t="s">
        <v>17</v>
      </c>
      <c r="B341" s="4">
        <v>46073</v>
      </c>
      <c r="C341" s="5">
        <v>0.65918981481481487</v>
      </c>
      <c r="D341" s="10" t="s">
        <v>12599</v>
      </c>
      <c r="E341" s="10" t="s">
        <v>12493</v>
      </c>
      <c r="F341" s="10"/>
      <c r="H341" s="10"/>
      <c r="I341" s="10" t="s">
        <v>12525</v>
      </c>
      <c r="J341" s="10" t="s">
        <v>2982</v>
      </c>
      <c r="K341" t="s">
        <v>12526</v>
      </c>
      <c r="L341" t="s">
        <v>12527</v>
      </c>
      <c r="M341" s="3" t="str">
        <f>HYPERLINK(склад2въезд1319[[#This Row],[RelativePath]])</f>
        <v>5 Крыльцо общага\K07156189_22_20260220T154914Z.jpg</v>
      </c>
    </row>
    <row r="342" spans="1:13" x14ac:dyDescent="0.25">
      <c r="A342" s="2" t="s">
        <v>17</v>
      </c>
      <c r="B342" s="4">
        <v>46073</v>
      </c>
      <c r="C342" s="5">
        <v>0.75648148148148153</v>
      </c>
      <c r="D342" s="10" t="s">
        <v>4</v>
      </c>
      <c r="E342" s="10" t="s">
        <v>8</v>
      </c>
      <c r="F342" s="10"/>
      <c r="H342" s="10"/>
      <c r="I342" s="10" t="s">
        <v>12528</v>
      </c>
      <c r="J342" s="10" t="s">
        <v>2982</v>
      </c>
      <c r="K342" t="s">
        <v>12529</v>
      </c>
      <c r="L342" t="s">
        <v>12530</v>
      </c>
      <c r="M342" s="3" t="str">
        <f>HYPERLINK(склад2въезд1319[[#This Row],[RelativePath]])</f>
        <v>5 Крыльцо общага\K07156189_22_20260220T180920Z.jpg</v>
      </c>
    </row>
    <row r="343" spans="1:13" x14ac:dyDescent="0.25">
      <c r="A343" s="2" t="s">
        <v>18</v>
      </c>
      <c r="B343" s="4">
        <v>46074</v>
      </c>
      <c r="C343" s="5">
        <v>0.60451388888888891</v>
      </c>
      <c r="D343" s="10" t="s">
        <v>6171</v>
      </c>
      <c r="E343" s="10" t="s">
        <v>12777</v>
      </c>
      <c r="F343" s="10"/>
      <c r="H343" s="10"/>
      <c r="I343" s="10" t="s">
        <v>12716</v>
      </c>
      <c r="J343" s="10" t="s">
        <v>2982</v>
      </c>
      <c r="K343" t="s">
        <v>12717</v>
      </c>
      <c r="L343" t="s">
        <v>12718</v>
      </c>
      <c r="M343" s="3" t="str">
        <f>HYPERLINK(склад2въезд1319[[#This Row],[RelativePath]])</f>
        <v>5 Крыльцо общага\K07156189_22_20260221T143030Z.jpg</v>
      </c>
    </row>
    <row r="344" spans="1:13" x14ac:dyDescent="0.25">
      <c r="A344" s="2" t="s">
        <v>18</v>
      </c>
      <c r="B344" s="4">
        <v>46074</v>
      </c>
      <c r="C344" s="5">
        <v>0.64409722222222221</v>
      </c>
      <c r="D344" s="10" t="s">
        <v>4</v>
      </c>
      <c r="E344" s="10" t="s">
        <v>8</v>
      </c>
      <c r="F344" s="10"/>
      <c r="H344" s="10"/>
      <c r="I344" s="10" t="s">
        <v>12719</v>
      </c>
      <c r="J344" s="10" t="s">
        <v>2982</v>
      </c>
      <c r="K344" t="s">
        <v>12720</v>
      </c>
      <c r="L344" t="s">
        <v>12721</v>
      </c>
      <c r="M344" s="3" t="str">
        <f>HYPERLINK(склад2въезд1319[[#This Row],[RelativePath]])</f>
        <v>5 Крыльцо общага\K07156189_22_20260221T152730Z.jpg</v>
      </c>
    </row>
    <row r="345" spans="1:13" x14ac:dyDescent="0.25">
      <c r="A345" s="2" t="s">
        <v>22</v>
      </c>
      <c r="B345" s="4">
        <v>46075</v>
      </c>
      <c r="C345" s="5">
        <v>0.71765046296296298</v>
      </c>
      <c r="D345" s="10" t="s">
        <v>2004</v>
      </c>
      <c r="E345" s="10" t="s">
        <v>8</v>
      </c>
      <c r="F345" s="10"/>
      <c r="H345" s="10"/>
      <c r="I345" s="10" t="s">
        <v>12722</v>
      </c>
      <c r="J345" s="10" t="s">
        <v>2982</v>
      </c>
      <c r="K345" t="s">
        <v>12723</v>
      </c>
      <c r="L345" t="s">
        <v>12724</v>
      </c>
      <c r="M345" s="3" t="str">
        <f>HYPERLINK(склад2въезд1319[[#This Row],[RelativePath]])</f>
        <v>5 Крыльцо общага\K07156189_22_20260222T171325Z.jpg</v>
      </c>
    </row>
    <row r="346" spans="1:13" x14ac:dyDescent="0.25">
      <c r="A346" s="2" t="s">
        <v>13</v>
      </c>
      <c r="B346" s="4">
        <v>46076</v>
      </c>
      <c r="C346" s="5">
        <v>0.34070601851851851</v>
      </c>
      <c r="D346" s="10" t="s">
        <v>289</v>
      </c>
      <c r="E346" s="10" t="s">
        <v>12926</v>
      </c>
      <c r="F346" s="10" t="s">
        <v>649</v>
      </c>
      <c r="H346" s="10"/>
      <c r="I346" s="10" t="s">
        <v>12797</v>
      </c>
      <c r="J346" s="10" t="s">
        <v>2982</v>
      </c>
      <c r="K346" t="s">
        <v>12798</v>
      </c>
      <c r="L346" t="s">
        <v>12799</v>
      </c>
      <c r="M346" s="3" t="str">
        <f>HYPERLINK(склад2въезд1319[[#This Row],[RelativePath]])</f>
        <v>5 Крыльцо общага\K07156189_22_20260223T081037Z.jpg</v>
      </c>
    </row>
    <row r="347" spans="1:13" x14ac:dyDescent="0.25">
      <c r="A347" s="2" t="s">
        <v>13</v>
      </c>
      <c r="B347" s="4">
        <v>46076</v>
      </c>
      <c r="C347" s="5">
        <v>0.34180555555555553</v>
      </c>
      <c r="D347" s="10" t="s">
        <v>289</v>
      </c>
      <c r="E347" s="10" t="s">
        <v>12926</v>
      </c>
      <c r="F347" s="10" t="s">
        <v>649</v>
      </c>
      <c r="H347" s="10" t="s">
        <v>2936</v>
      </c>
      <c r="I347" s="10" t="s">
        <v>12800</v>
      </c>
      <c r="J347" s="10" t="s">
        <v>2982</v>
      </c>
      <c r="K347" t="s">
        <v>12801</v>
      </c>
      <c r="L347" t="s">
        <v>12802</v>
      </c>
      <c r="M347" s="3" t="str">
        <f>HYPERLINK(склад2въезд1319[[#This Row],[RelativePath]])</f>
        <v>5 Крыльцо общага\K07156189_22_20260223T081212Z.jpg</v>
      </c>
    </row>
    <row r="348" spans="1:13" x14ac:dyDescent="0.25">
      <c r="A348" s="2" t="s">
        <v>13</v>
      </c>
      <c r="B348" s="4">
        <v>46076</v>
      </c>
      <c r="C348" s="5">
        <v>0.34234953703703702</v>
      </c>
      <c r="D348" s="10" t="s">
        <v>289</v>
      </c>
      <c r="E348" s="10" t="s">
        <v>12926</v>
      </c>
      <c r="F348" s="10" t="s">
        <v>649</v>
      </c>
      <c r="H348" s="10" t="s">
        <v>2936</v>
      </c>
      <c r="I348" s="10" t="s">
        <v>12803</v>
      </c>
      <c r="J348" s="10" t="s">
        <v>2982</v>
      </c>
      <c r="K348" t="s">
        <v>12804</v>
      </c>
      <c r="L348" t="s">
        <v>12805</v>
      </c>
      <c r="M348" s="3" t="str">
        <f>HYPERLINK(склад2въезд1319[[#This Row],[RelativePath]])</f>
        <v>5 Крыльцо общага\K07156189_22_20260223T081259Z.jpg</v>
      </c>
    </row>
    <row r="349" spans="1:13" x14ac:dyDescent="0.25">
      <c r="A349" s="2" t="s">
        <v>13</v>
      </c>
      <c r="B349" s="4">
        <v>46076</v>
      </c>
      <c r="C349" s="5">
        <v>0.3442824074074074</v>
      </c>
      <c r="D349" s="10" t="s">
        <v>12928</v>
      </c>
      <c r="E349" s="10" t="s">
        <v>12926</v>
      </c>
      <c r="F349" s="10" t="s">
        <v>649</v>
      </c>
      <c r="H349" s="10"/>
      <c r="I349" s="10" t="s">
        <v>12806</v>
      </c>
      <c r="J349" s="10" t="s">
        <v>2982</v>
      </c>
      <c r="K349" t="s">
        <v>12807</v>
      </c>
      <c r="L349" t="s">
        <v>12808</v>
      </c>
      <c r="M349" s="3" t="str">
        <f>HYPERLINK(склад2въезд1319[[#This Row],[RelativePath]])</f>
        <v>5 Крыльцо общага\K07156189_22_20260223T081546Z.jpg</v>
      </c>
    </row>
    <row r="350" spans="1:13" x14ac:dyDescent="0.25">
      <c r="A350" s="2" t="s">
        <v>13</v>
      </c>
      <c r="B350" s="4">
        <v>46076</v>
      </c>
      <c r="C350" s="5">
        <v>0.34958333333333336</v>
      </c>
      <c r="D350" s="10" t="s">
        <v>12929</v>
      </c>
      <c r="E350" s="10" t="s">
        <v>12927</v>
      </c>
      <c r="F350" s="10" t="s">
        <v>51</v>
      </c>
      <c r="H350" s="10"/>
      <c r="I350" s="10" t="s">
        <v>12809</v>
      </c>
      <c r="J350" s="10" t="s">
        <v>2982</v>
      </c>
      <c r="K350" t="s">
        <v>12810</v>
      </c>
      <c r="L350" t="s">
        <v>12811</v>
      </c>
      <c r="M350" s="3" t="str">
        <f>HYPERLINK(склад2въезд1319[[#This Row],[RelativePath]])</f>
        <v>5 Крыльцо общага\K07156189_22_20260223T082324Z.jpg</v>
      </c>
    </row>
    <row r="351" spans="1:13" x14ac:dyDescent="0.25">
      <c r="A351" s="2" t="s">
        <v>13</v>
      </c>
      <c r="B351" s="4">
        <v>46076</v>
      </c>
      <c r="C351" s="5">
        <v>0.38269675925925928</v>
      </c>
      <c r="D351" s="10" t="s">
        <v>4</v>
      </c>
      <c r="E351" s="10" t="s">
        <v>12930</v>
      </c>
      <c r="F351" s="10"/>
      <c r="H351" s="10"/>
      <c r="I351" s="10" t="s">
        <v>12812</v>
      </c>
      <c r="J351" s="10" t="s">
        <v>2982</v>
      </c>
      <c r="K351" t="s">
        <v>12813</v>
      </c>
      <c r="L351" t="s">
        <v>12814</v>
      </c>
      <c r="M351" s="3" t="str">
        <f>HYPERLINK(склад2въезд1319[[#This Row],[RelativePath]])</f>
        <v>5 Крыльцо общага\K07156189_22_20260223T091105Z.jpg</v>
      </c>
    </row>
    <row r="352" spans="1:13" x14ac:dyDescent="0.25">
      <c r="A352" s="2" t="s">
        <v>13</v>
      </c>
      <c r="B352" s="4">
        <v>46076</v>
      </c>
      <c r="C352" s="5">
        <v>0.42347222222222225</v>
      </c>
      <c r="D352" s="10" t="s">
        <v>12931</v>
      </c>
      <c r="E352" s="10" t="s">
        <v>12927</v>
      </c>
      <c r="F352" s="10" t="s">
        <v>649</v>
      </c>
      <c r="H352" s="10"/>
      <c r="I352" s="10" t="s">
        <v>12815</v>
      </c>
      <c r="J352" s="10" t="s">
        <v>2982</v>
      </c>
      <c r="K352" t="s">
        <v>12816</v>
      </c>
      <c r="L352" t="s">
        <v>12817</v>
      </c>
      <c r="M352" s="3" t="str">
        <f>HYPERLINK(склад2въезд1319[[#This Row],[RelativePath]])</f>
        <v>5 Крыльцо общага\K07156189_22_20260223T100948Z.jpg</v>
      </c>
    </row>
    <row r="353" spans="1:13" x14ac:dyDescent="0.25">
      <c r="A353" s="2" t="s">
        <v>13</v>
      </c>
      <c r="B353" s="4">
        <v>46076</v>
      </c>
      <c r="C353" s="5">
        <v>0.44113425925925925</v>
      </c>
      <c r="D353" s="10" t="s">
        <v>12931</v>
      </c>
      <c r="E353" s="10" t="s">
        <v>12926</v>
      </c>
      <c r="F353" s="10" t="s">
        <v>649</v>
      </c>
      <c r="H353" s="10"/>
      <c r="I353" s="10" t="s">
        <v>12818</v>
      </c>
      <c r="J353" s="10" t="s">
        <v>2982</v>
      </c>
      <c r="K353" t="s">
        <v>12819</v>
      </c>
      <c r="L353" t="s">
        <v>12820</v>
      </c>
      <c r="M353" s="3" t="str">
        <f>HYPERLINK(склад2въезд1319[[#This Row],[RelativePath]])</f>
        <v>5 Крыльцо общага\K07156189_22_20260223T103514Z.jpg</v>
      </c>
    </row>
  </sheetData>
  <conditionalFormatting sqref="E354:E367 D354:D364 G2:H353 D2:E353">
    <cfRule type="containsText" dxfId="764" priority="17" operator="containsText" text="Выезд с территории">
      <formula>NOT(ISERROR(SEARCH("Выезд с территории",D2)))</formula>
    </cfRule>
  </conditionalFormatting>
  <conditionalFormatting sqref="F2:F353">
    <cfRule type="notContainsText" dxfId="763" priority="16" operator="notContains" text="порожний">
      <formula>ISERROR(SEARCH("порожний",F2))</formula>
    </cfRule>
  </conditionalFormatting>
  <conditionalFormatting sqref="E2:E367">
    <cfRule type="containsText" dxfId="762" priority="14" operator="containsText" text="Газель базы">
      <formula>NOT(ISERROR(SEARCH("Газель базы",E2)))</formula>
    </cfRule>
    <cfRule type="containsText" dxfId="761" priority="15" operator="containsText" text="Погрузчик базы">
      <formula>NOT(ISERROR(SEARCH("Погрузчик базы",E2)))</formula>
    </cfRule>
  </conditionalFormatting>
  <conditionalFormatting sqref="E2:E367">
    <cfRule type="containsText" dxfId="760" priority="13" operator="containsText" text="Трактор базы">
      <formula>NOT(ISERROR(SEARCH("Трактор базы",E2)))</formula>
    </cfRule>
  </conditionalFormatting>
  <conditionalFormatting sqref="A2:C353">
    <cfRule type="expression" dxfId="759" priority="12">
      <formula>$A2="пн"</formula>
    </cfRule>
  </conditionalFormatting>
  <conditionalFormatting sqref="A2:C355">
    <cfRule type="expression" dxfId="758" priority="6">
      <formula>$A2="вс"</formula>
    </cfRule>
    <cfRule type="expression" dxfId="757" priority="7">
      <formula>$A2="сб"</formula>
    </cfRule>
    <cfRule type="expression" dxfId="756" priority="8">
      <formula>$A2="пт"</formula>
    </cfRule>
    <cfRule type="expression" dxfId="755" priority="9">
      <formula>$A2="чт"</formula>
    </cfRule>
    <cfRule type="expression" dxfId="754" priority="10">
      <formula>$A2="ср"</formula>
    </cfRule>
    <cfRule type="expression" dxfId="753" priority="11">
      <formula>$A2="вт"</formula>
    </cfRule>
  </conditionalFormatting>
  <conditionalFormatting sqref="D2:D364">
    <cfRule type="containsText" dxfId="75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4">
    <cfRule type="containsText" dxfId="75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98"/>
  <sheetViews>
    <sheetView zoomScale="90" zoomScaleNormal="90" workbookViewId="0">
      <pane ySplit="1" topLeftCell="A168" activePane="bottomLeft" state="frozen"/>
      <selection pane="bottomLeft" activeCell="I173" sqref="I173:I19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10" t="s">
        <v>4</v>
      </c>
      <c r="E2" s="10" t="s">
        <v>8</v>
      </c>
      <c r="F2" s="10"/>
      <c r="H2" s="10" t="s">
        <v>5</v>
      </c>
      <c r="I2" s="10" t="s">
        <v>480</v>
      </c>
      <c r="J2" s="10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10" t="s">
        <v>4</v>
      </c>
      <c r="E3" s="10" t="s">
        <v>8</v>
      </c>
      <c r="F3" s="10"/>
      <c r="H3" s="10" t="s">
        <v>6</v>
      </c>
      <c r="I3" s="10" t="s">
        <v>483</v>
      </c>
      <c r="J3" s="10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10" t="s">
        <v>4</v>
      </c>
      <c r="E4" s="10" t="s">
        <v>8</v>
      </c>
      <c r="F4" s="10"/>
      <c r="H4" s="10" t="s">
        <v>5</v>
      </c>
      <c r="I4" s="10" t="s">
        <v>486</v>
      </c>
      <c r="J4" s="10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10" t="s">
        <v>289</v>
      </c>
      <c r="E5" s="10" t="s">
        <v>86</v>
      </c>
      <c r="F5" s="10" t="s">
        <v>528</v>
      </c>
      <c r="H5" s="10"/>
      <c r="I5" s="10" t="s">
        <v>489</v>
      </c>
      <c r="J5" s="10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10" t="s">
        <v>159</v>
      </c>
      <c r="E6" s="10" t="s">
        <v>86</v>
      </c>
      <c r="F6" s="10" t="s">
        <v>528</v>
      </c>
      <c r="H6" s="10"/>
      <c r="I6" s="10" t="s">
        <v>492</v>
      </c>
      <c r="J6" s="10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10" t="s">
        <v>4</v>
      </c>
      <c r="E7" s="10" t="s">
        <v>8</v>
      </c>
      <c r="F7" s="10"/>
      <c r="H7" s="10"/>
      <c r="I7" s="10" t="s">
        <v>495</v>
      </c>
      <c r="J7" s="10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10" t="s">
        <v>4</v>
      </c>
      <c r="E8" s="10" t="s">
        <v>8</v>
      </c>
      <c r="F8" s="10"/>
      <c r="H8" s="10"/>
      <c r="I8" s="10" t="s">
        <v>498</v>
      </c>
      <c r="J8" s="10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10" t="s">
        <v>4</v>
      </c>
      <c r="E9" s="10" t="s">
        <v>529</v>
      </c>
      <c r="F9" s="10"/>
      <c r="H9" s="10"/>
      <c r="I9" s="10" t="s">
        <v>501</v>
      </c>
      <c r="J9" s="10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10" t="s">
        <v>4</v>
      </c>
      <c r="E10" s="10" t="s">
        <v>8</v>
      </c>
      <c r="F10" s="10"/>
      <c r="H10" s="10" t="s">
        <v>6</v>
      </c>
      <c r="I10" s="10" t="s">
        <v>504</v>
      </c>
      <c r="J10" s="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10" t="s">
        <v>4</v>
      </c>
      <c r="E11" s="10" t="s">
        <v>8</v>
      </c>
      <c r="F11" s="10"/>
      <c r="H11" s="10" t="s">
        <v>5</v>
      </c>
      <c r="I11" s="10" t="s">
        <v>507</v>
      </c>
      <c r="J11" s="10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10" t="s">
        <v>289</v>
      </c>
      <c r="E12" s="10" t="s">
        <v>86</v>
      </c>
      <c r="F12" s="10" t="s">
        <v>530</v>
      </c>
      <c r="H12" s="10"/>
      <c r="I12" s="10" t="s">
        <v>510</v>
      </c>
      <c r="J12" s="10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10" t="s">
        <v>289</v>
      </c>
      <c r="E13" s="10" t="s">
        <v>86</v>
      </c>
      <c r="F13" s="10" t="s">
        <v>530</v>
      </c>
      <c r="H13" s="10"/>
      <c r="I13" s="10" t="s">
        <v>513</v>
      </c>
      <c r="J13" s="10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10" t="s">
        <v>533</v>
      </c>
      <c r="E14" s="10" t="s">
        <v>531</v>
      </c>
      <c r="F14" s="10" t="s">
        <v>534</v>
      </c>
      <c r="H14" s="10"/>
      <c r="I14" s="10" t="s">
        <v>516</v>
      </c>
      <c r="J14" s="10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10" t="s">
        <v>289</v>
      </c>
      <c r="E15" s="10" t="s">
        <v>86</v>
      </c>
      <c r="F15" s="10" t="s">
        <v>532</v>
      </c>
      <c r="H15" s="10"/>
      <c r="I15" s="10" t="s">
        <v>519</v>
      </c>
      <c r="J15" s="10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10" t="s">
        <v>289</v>
      </c>
      <c r="E16" s="10" t="s">
        <v>86</v>
      </c>
      <c r="F16" s="10" t="s">
        <v>532</v>
      </c>
      <c r="H16" s="10"/>
      <c r="I16" s="10" t="s">
        <v>522</v>
      </c>
      <c r="J16" s="10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10" t="s">
        <v>4</v>
      </c>
      <c r="E17" s="10" t="s">
        <v>8</v>
      </c>
      <c r="F17" s="10"/>
      <c r="H17" s="10" t="s">
        <v>6</v>
      </c>
      <c r="I17" s="10" t="s">
        <v>525</v>
      </c>
      <c r="J17" s="10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10" t="s">
        <v>4</v>
      </c>
      <c r="E18" s="10" t="s">
        <v>8</v>
      </c>
      <c r="F18" s="10"/>
      <c r="H18" s="10" t="s">
        <v>2009</v>
      </c>
      <c r="I18" s="10" t="s">
        <v>2015</v>
      </c>
      <c r="J18" s="10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10" t="s">
        <v>4</v>
      </c>
      <c r="E19" s="10" t="s">
        <v>8</v>
      </c>
      <c r="F19" s="10"/>
      <c r="H19" s="10" t="s">
        <v>2004</v>
      </c>
      <c r="I19" s="10" t="s">
        <v>2018</v>
      </c>
      <c r="J19" s="10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10" t="s">
        <v>4</v>
      </c>
      <c r="E20" s="10" t="s">
        <v>8</v>
      </c>
      <c r="F20" s="10"/>
      <c r="H20" s="10" t="s">
        <v>2004</v>
      </c>
      <c r="I20" s="10" t="s">
        <v>2021</v>
      </c>
      <c r="J20" s="1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10" t="s">
        <v>2004</v>
      </c>
      <c r="E21" s="10"/>
      <c r="F21" s="10"/>
      <c r="H21" s="10"/>
      <c r="I21" s="10" t="s">
        <v>2115</v>
      </c>
      <c r="J21" s="10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10" t="s">
        <v>4</v>
      </c>
      <c r="E22" s="10" t="s">
        <v>8</v>
      </c>
      <c r="F22" s="10"/>
      <c r="H22" s="10" t="s">
        <v>2932</v>
      </c>
      <c r="I22" s="10" t="s">
        <v>2934</v>
      </c>
      <c r="J22" s="10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10" t="s">
        <v>2004</v>
      </c>
      <c r="E23" s="10"/>
      <c r="F23" s="10"/>
      <c r="H23" s="10"/>
      <c r="I23" s="10" t="s">
        <v>2118</v>
      </c>
      <c r="J23" s="10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10" t="s">
        <v>2004</v>
      </c>
      <c r="E24" s="10"/>
      <c r="F24" s="10"/>
      <c r="H24" s="10"/>
      <c r="I24" s="10" t="s">
        <v>2121</v>
      </c>
      <c r="J24" s="10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10" t="s">
        <v>2004</v>
      </c>
      <c r="E25" s="10"/>
      <c r="F25" s="10"/>
      <c r="H25" s="10"/>
      <c r="I25" s="10" t="s">
        <v>2124</v>
      </c>
      <c r="J25" s="10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10" t="s">
        <v>2004</v>
      </c>
      <c r="E26" s="10"/>
      <c r="F26" s="10"/>
      <c r="H26" s="10"/>
      <c r="I26" s="10" t="s">
        <v>2127</v>
      </c>
      <c r="J26" s="10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10" t="s">
        <v>2004</v>
      </c>
      <c r="E27" s="10"/>
      <c r="F27" s="10"/>
      <c r="H27" s="10"/>
      <c r="I27" s="10" t="s">
        <v>2130</v>
      </c>
      <c r="J27" s="10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10" t="s">
        <v>4</v>
      </c>
      <c r="E28" s="10" t="s">
        <v>8</v>
      </c>
      <c r="F28" s="10"/>
      <c r="H28" s="10"/>
      <c r="I28" s="10" t="s">
        <v>3405</v>
      </c>
      <c r="J28" s="10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10" t="s">
        <v>4</v>
      </c>
      <c r="E29" s="10" t="s">
        <v>8</v>
      </c>
      <c r="F29" s="10"/>
      <c r="H29" s="10"/>
      <c r="I29" s="10" t="s">
        <v>4206</v>
      </c>
      <c r="J29" s="10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10" t="s">
        <v>4</v>
      </c>
      <c r="E30" s="10" t="s">
        <v>8</v>
      </c>
      <c r="F30" s="10"/>
      <c r="H30" s="10"/>
      <c r="I30" s="10" t="s">
        <v>3408</v>
      </c>
      <c r="J30" s="1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10" t="s">
        <v>4209</v>
      </c>
      <c r="E31" s="10" t="s">
        <v>4210</v>
      </c>
      <c r="F31" s="10"/>
      <c r="H31" s="10"/>
      <c r="I31" s="10" t="s">
        <v>3411</v>
      </c>
      <c r="J31" s="10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10" t="s">
        <v>4209</v>
      </c>
      <c r="E32" s="10" t="s">
        <v>4210</v>
      </c>
      <c r="F32" s="10"/>
      <c r="H32" s="10" t="s">
        <v>2936</v>
      </c>
      <c r="I32" s="10" t="s">
        <v>3414</v>
      </c>
      <c r="J32" s="10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10" t="s">
        <v>4209</v>
      </c>
      <c r="E33" s="10" t="s">
        <v>4210</v>
      </c>
      <c r="F33" s="10"/>
      <c r="H33" s="10" t="s">
        <v>2936</v>
      </c>
      <c r="I33" s="10" t="s">
        <v>3417</v>
      </c>
      <c r="J33" s="10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10" t="s">
        <v>4209</v>
      </c>
      <c r="E34" s="10" t="s">
        <v>4210</v>
      </c>
      <c r="F34" s="10"/>
      <c r="H34" s="10" t="s">
        <v>2936</v>
      </c>
      <c r="I34" s="10" t="s">
        <v>3420</v>
      </c>
      <c r="J34" s="10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10" t="s">
        <v>4209</v>
      </c>
      <c r="E35" s="10" t="s">
        <v>4210</v>
      </c>
      <c r="F35" s="10"/>
      <c r="H35" s="10" t="s">
        <v>2936</v>
      </c>
      <c r="I35" s="10" t="s">
        <v>3423</v>
      </c>
      <c r="J35" s="10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10" t="s">
        <v>4209</v>
      </c>
      <c r="E36" s="10" t="s">
        <v>4210</v>
      </c>
      <c r="F36" s="10"/>
      <c r="H36" s="10" t="s">
        <v>2936</v>
      </c>
      <c r="I36" s="10" t="s">
        <v>3426</v>
      </c>
      <c r="J36" s="10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10" t="s">
        <v>4209</v>
      </c>
      <c r="E37" s="10" t="s">
        <v>4210</v>
      </c>
      <c r="F37" s="10"/>
      <c r="H37" s="10" t="s">
        <v>2936</v>
      </c>
      <c r="I37" s="10" t="s">
        <v>3429</v>
      </c>
      <c r="J37" s="10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10" t="s">
        <v>4209</v>
      </c>
      <c r="E38" s="10" t="s">
        <v>4210</v>
      </c>
      <c r="F38" s="10"/>
      <c r="H38" s="10" t="s">
        <v>2936</v>
      </c>
      <c r="I38" s="10" t="s">
        <v>3432</v>
      </c>
      <c r="J38" s="10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10" t="s">
        <v>4209</v>
      </c>
      <c r="E39" s="10" t="s">
        <v>4210</v>
      </c>
      <c r="F39" s="10"/>
      <c r="H39" s="10" t="s">
        <v>2936</v>
      </c>
      <c r="I39" s="10" t="s">
        <v>3435</v>
      </c>
      <c r="J39" s="10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10" t="s">
        <v>4209</v>
      </c>
      <c r="E40" s="10" t="s">
        <v>4210</v>
      </c>
      <c r="F40" s="10"/>
      <c r="H40" s="10" t="s">
        <v>2936</v>
      </c>
      <c r="I40" s="10" t="s">
        <v>3438</v>
      </c>
      <c r="J40" s="1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10" t="s">
        <v>4209</v>
      </c>
      <c r="E41" s="10" t="s">
        <v>4210</v>
      </c>
      <c r="F41" s="10"/>
      <c r="H41" s="10" t="s">
        <v>2936</v>
      </c>
      <c r="I41" s="10" t="s">
        <v>3441</v>
      </c>
      <c r="J41" s="10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10" t="s">
        <v>4209</v>
      </c>
      <c r="E42" s="10" t="s">
        <v>4210</v>
      </c>
      <c r="F42" s="10"/>
      <c r="H42" s="10" t="s">
        <v>2936</v>
      </c>
      <c r="I42" s="10" t="s">
        <v>3444</v>
      </c>
      <c r="J42" s="10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10" t="s">
        <v>4</v>
      </c>
      <c r="E43" s="10" t="s">
        <v>8</v>
      </c>
      <c r="F43" s="10"/>
      <c r="H43" s="10"/>
      <c r="I43" s="10" t="s">
        <v>3447</v>
      </c>
      <c r="J43" s="10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10" t="s">
        <v>289</v>
      </c>
      <c r="E44" s="10" t="s">
        <v>4211</v>
      </c>
      <c r="F44" s="10"/>
      <c r="H44" s="10"/>
      <c r="I44" s="10" t="s">
        <v>3450</v>
      </c>
      <c r="J44" s="10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10" t="s">
        <v>289</v>
      </c>
      <c r="E45" s="10" t="s">
        <v>4211</v>
      </c>
      <c r="F45" s="10"/>
      <c r="H45" s="10" t="s">
        <v>2936</v>
      </c>
      <c r="I45" s="10" t="s">
        <v>3453</v>
      </c>
      <c r="J45" s="10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10" t="s">
        <v>289</v>
      </c>
      <c r="E46" s="10" t="s">
        <v>4211</v>
      </c>
      <c r="F46" s="10"/>
      <c r="H46" s="10" t="s">
        <v>2936</v>
      </c>
      <c r="I46" s="10" t="s">
        <v>3456</v>
      </c>
      <c r="J46" s="10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10" t="s">
        <v>289</v>
      </c>
      <c r="E47" s="10" t="s">
        <v>4211</v>
      </c>
      <c r="F47" s="10"/>
      <c r="H47" s="10" t="s">
        <v>2936</v>
      </c>
      <c r="I47" s="10" t="s">
        <v>3459</v>
      </c>
      <c r="J47" s="10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10" t="s">
        <v>289</v>
      </c>
      <c r="E48" s="10" t="s">
        <v>4211</v>
      </c>
      <c r="F48" s="10"/>
      <c r="H48" s="10" t="s">
        <v>2936</v>
      </c>
      <c r="I48" s="10" t="s">
        <v>3462</v>
      </c>
      <c r="J48" s="10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10" t="s">
        <v>4</v>
      </c>
      <c r="E49" s="10" t="s">
        <v>8</v>
      </c>
      <c r="F49" s="10"/>
      <c r="H49" s="10"/>
      <c r="I49" s="10" t="s">
        <v>3465</v>
      </c>
      <c r="J49" s="10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10" t="s">
        <v>2004</v>
      </c>
      <c r="E50" s="10"/>
      <c r="F50" s="10"/>
      <c r="H50" s="10"/>
      <c r="I50" s="10" t="s">
        <v>4273</v>
      </c>
      <c r="J50" s="1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10" t="s">
        <v>1615</v>
      </c>
      <c r="E51" s="10" t="s">
        <v>86</v>
      </c>
      <c r="F51" s="10" t="s">
        <v>200</v>
      </c>
      <c r="H51" s="10"/>
      <c r="I51" s="10" t="s">
        <v>5110</v>
      </c>
      <c r="J51" s="10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10" t="s">
        <v>1094</v>
      </c>
      <c r="E52" s="10" t="s">
        <v>4247</v>
      </c>
      <c r="F52" s="10" t="s">
        <v>60</v>
      </c>
      <c r="H52" s="10"/>
      <c r="I52" s="10" t="s">
        <v>5112</v>
      </c>
      <c r="J52" s="10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10" t="s">
        <v>533</v>
      </c>
      <c r="E53" s="10" t="s">
        <v>1607</v>
      </c>
      <c r="F53" s="10" t="s">
        <v>58</v>
      </c>
      <c r="H53" s="10"/>
      <c r="I53" s="10" t="s">
        <v>5114</v>
      </c>
      <c r="J53" s="10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10" t="s">
        <v>1615</v>
      </c>
      <c r="E54" s="10" t="s">
        <v>86</v>
      </c>
      <c r="F54" s="10" t="s">
        <v>200</v>
      </c>
      <c r="H54" s="10"/>
      <c r="I54" s="10" t="s">
        <v>4576</v>
      </c>
      <c r="J54" s="10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10" t="s">
        <v>1094</v>
      </c>
      <c r="E55" s="10" t="s">
        <v>4247</v>
      </c>
      <c r="F55" s="10" t="s">
        <v>200</v>
      </c>
      <c r="H55" s="10"/>
      <c r="I55" s="10" t="s">
        <v>4579</v>
      </c>
      <c r="J55" s="10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10" t="s">
        <v>1094</v>
      </c>
      <c r="E56" s="10" t="s">
        <v>4247</v>
      </c>
      <c r="F56" s="10" t="s">
        <v>200</v>
      </c>
      <c r="H56" s="10"/>
      <c r="I56" s="10" t="s">
        <v>4582</v>
      </c>
      <c r="J56" s="10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10" t="s">
        <v>5109</v>
      </c>
      <c r="E57" s="10" t="s">
        <v>86</v>
      </c>
      <c r="F57" s="10"/>
      <c r="H57" s="10"/>
      <c r="I57" s="10" t="s">
        <v>4585</v>
      </c>
      <c r="J57" s="10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10" t="s">
        <v>4</v>
      </c>
      <c r="E58" s="10" t="s">
        <v>8</v>
      </c>
      <c r="F58" s="10"/>
      <c r="H58" s="10"/>
      <c r="I58" s="10" t="s">
        <v>4588</v>
      </c>
      <c r="J58" s="10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10" t="s">
        <v>5109</v>
      </c>
      <c r="E59" s="10" t="s">
        <v>86</v>
      </c>
      <c r="F59" s="10"/>
      <c r="H59" s="10"/>
      <c r="I59" s="10" t="s">
        <v>4591</v>
      </c>
      <c r="J59" s="10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10" t="s">
        <v>5109</v>
      </c>
      <c r="E60" s="10" t="s">
        <v>86</v>
      </c>
      <c r="F60" s="10"/>
      <c r="H60" s="10"/>
      <c r="I60" s="10" t="s">
        <v>4594</v>
      </c>
      <c r="J60" s="1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10" t="s">
        <v>2004</v>
      </c>
      <c r="E61" s="10" t="s">
        <v>8</v>
      </c>
      <c r="F61" s="10"/>
      <c r="H61" s="10"/>
      <c r="I61" s="10" t="s">
        <v>4597</v>
      </c>
      <c r="J61" s="10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10" t="s">
        <v>2004</v>
      </c>
      <c r="E62" s="10" t="s">
        <v>8</v>
      </c>
      <c r="F62" s="10"/>
      <c r="H62" s="10"/>
      <c r="I62" s="10" t="s">
        <v>5175</v>
      </c>
      <c r="J62" s="10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10" t="s">
        <v>4</v>
      </c>
      <c r="E63" s="10" t="s">
        <v>8</v>
      </c>
      <c r="F63" s="10"/>
      <c r="H63" s="10"/>
      <c r="I63" s="10" t="s">
        <v>5310</v>
      </c>
      <c r="J63" s="10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10" t="s">
        <v>2004</v>
      </c>
      <c r="E64" s="10" t="s">
        <v>8</v>
      </c>
      <c r="F64" s="10"/>
      <c r="H64" s="10"/>
      <c r="I64" s="10" t="s">
        <v>5313</v>
      </c>
      <c r="J64" s="10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10" t="s">
        <v>2004</v>
      </c>
      <c r="E65" s="10" t="s">
        <v>8</v>
      </c>
      <c r="F65" s="10"/>
      <c r="H65" s="10"/>
      <c r="I65" s="10" t="s">
        <v>5539</v>
      </c>
      <c r="J65" s="10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10" t="s">
        <v>2004</v>
      </c>
      <c r="E66" s="10" t="s">
        <v>8</v>
      </c>
      <c r="F66" s="10"/>
      <c r="H66" s="10"/>
      <c r="I66" s="10" t="s">
        <v>5542</v>
      </c>
      <c r="J66" s="10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10" t="s">
        <v>2004</v>
      </c>
      <c r="E67" s="10" t="s">
        <v>8</v>
      </c>
      <c r="F67" s="10"/>
      <c r="H67" s="10"/>
      <c r="I67" s="10" t="s">
        <v>5545</v>
      </c>
      <c r="J67" s="10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10" t="s">
        <v>1615</v>
      </c>
      <c r="E68" s="10" t="s">
        <v>86</v>
      </c>
      <c r="F68" s="10" t="s">
        <v>200</v>
      </c>
      <c r="H68" s="10"/>
      <c r="I68" s="10" t="s">
        <v>5867</v>
      </c>
      <c r="J68" s="10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10" t="s">
        <v>1615</v>
      </c>
      <c r="E69" s="10" t="s">
        <v>86</v>
      </c>
      <c r="F69" s="10" t="s">
        <v>200</v>
      </c>
      <c r="H69" s="10"/>
      <c r="I69" s="10" t="s">
        <v>5870</v>
      </c>
      <c r="J69" s="10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10" t="s">
        <v>1615</v>
      </c>
      <c r="E70" s="10" t="s">
        <v>86</v>
      </c>
      <c r="F70" s="10" t="s">
        <v>200</v>
      </c>
      <c r="H70" s="10"/>
      <c r="I70" s="10" t="s">
        <v>5873</v>
      </c>
      <c r="J70" s="1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10" t="s">
        <v>2004</v>
      </c>
      <c r="E71" s="10" t="s">
        <v>8</v>
      </c>
      <c r="F71" s="10"/>
      <c r="H71" s="10"/>
      <c r="I71" s="10" t="s">
        <v>6077</v>
      </c>
      <c r="J71" s="10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10" t="s">
        <v>2004</v>
      </c>
      <c r="E72" s="10" t="s">
        <v>8</v>
      </c>
      <c r="F72" s="10"/>
      <c r="H72" s="10"/>
      <c r="I72" s="10" t="s">
        <v>6207</v>
      </c>
      <c r="J72" s="10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10" t="s">
        <v>2004</v>
      </c>
      <c r="E73" s="10" t="s">
        <v>8</v>
      </c>
      <c r="F73" s="10"/>
      <c r="H73" s="10"/>
      <c r="I73" s="10" t="s">
        <v>6326</v>
      </c>
      <c r="J73" s="10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10" t="s">
        <v>2004</v>
      </c>
      <c r="E74" s="10" t="s">
        <v>8</v>
      </c>
      <c r="F74" s="10"/>
      <c r="H74" s="10"/>
      <c r="I74" s="10" t="s">
        <v>6566</v>
      </c>
      <c r="J74" s="10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10" t="s">
        <v>2004</v>
      </c>
      <c r="E75" s="10" t="s">
        <v>8</v>
      </c>
      <c r="F75" s="10"/>
      <c r="H75" s="10"/>
      <c r="I75" s="10" t="s">
        <v>6715</v>
      </c>
      <c r="J75" s="10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10" t="s">
        <v>2004</v>
      </c>
      <c r="E76" s="10" t="s">
        <v>8</v>
      </c>
      <c r="F76" s="10"/>
      <c r="H76" s="10"/>
      <c r="I76" s="10" t="s">
        <v>6917</v>
      </c>
      <c r="J76" s="10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10" t="s">
        <v>2004</v>
      </c>
      <c r="E77" s="10" t="s">
        <v>8</v>
      </c>
      <c r="F77" s="10"/>
      <c r="H77" s="10"/>
      <c r="I77" s="10" t="s">
        <v>6920</v>
      </c>
      <c r="J77" s="10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10" t="s">
        <v>2004</v>
      </c>
      <c r="E78" s="10" t="s">
        <v>8</v>
      </c>
      <c r="F78" s="10"/>
      <c r="H78" s="10"/>
      <c r="I78" s="10" t="s">
        <v>6923</v>
      </c>
      <c r="J78" s="10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10" t="s">
        <v>2004</v>
      </c>
      <c r="E79" s="10" t="s">
        <v>8</v>
      </c>
      <c r="F79" s="10"/>
      <c r="H79" s="10"/>
      <c r="I79" s="10" t="s">
        <v>7187</v>
      </c>
      <c r="J79" s="10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10" t="s">
        <v>2004</v>
      </c>
      <c r="E80" s="10" t="s">
        <v>8</v>
      </c>
      <c r="F80" s="10"/>
      <c r="H80" s="10"/>
      <c r="I80" s="10" t="s">
        <v>7254</v>
      </c>
      <c r="J80" s="1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10" t="s">
        <v>2004</v>
      </c>
      <c r="E81" s="10" t="s">
        <v>8</v>
      </c>
      <c r="F81" s="10"/>
      <c r="H81" s="10"/>
      <c r="I81" s="10" t="s">
        <v>7257</v>
      </c>
      <c r="J81" s="10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10" t="s">
        <v>2004</v>
      </c>
      <c r="E82" s="10" t="s">
        <v>8</v>
      </c>
      <c r="F82" s="10"/>
      <c r="H82" s="10"/>
      <c r="I82" s="10" t="s">
        <v>7694</v>
      </c>
      <c r="J82" s="10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10" t="s">
        <v>2004</v>
      </c>
      <c r="E83" s="10" t="s">
        <v>8</v>
      </c>
      <c r="F83" s="10"/>
      <c r="H83" s="10"/>
      <c r="I83" s="10" t="s">
        <v>7697</v>
      </c>
      <c r="J83" s="10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10" t="s">
        <v>290</v>
      </c>
      <c r="E84" s="10" t="s">
        <v>86</v>
      </c>
      <c r="F84" s="10" t="s">
        <v>60</v>
      </c>
      <c r="H84" s="10" t="s">
        <v>5104</v>
      </c>
      <c r="I84" s="10" t="s">
        <v>7855</v>
      </c>
      <c r="J84" s="10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10" t="s">
        <v>290</v>
      </c>
      <c r="E85" s="10" t="s">
        <v>86</v>
      </c>
      <c r="F85" s="10" t="s">
        <v>60</v>
      </c>
      <c r="H85" s="10" t="s">
        <v>2936</v>
      </c>
      <c r="I85" s="10" t="s">
        <v>7858</v>
      </c>
      <c r="J85" s="10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10" t="s">
        <v>290</v>
      </c>
      <c r="E86" s="10" t="s">
        <v>86</v>
      </c>
      <c r="F86" s="10" t="s">
        <v>60</v>
      </c>
      <c r="H86" s="10" t="s">
        <v>2936</v>
      </c>
      <c r="I86" s="10" t="s">
        <v>7861</v>
      </c>
      <c r="J86" s="10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10" t="s">
        <v>2004</v>
      </c>
      <c r="E87" s="10" t="s">
        <v>8</v>
      </c>
      <c r="F87" s="10"/>
      <c r="H87" s="10"/>
      <c r="I87" s="10" t="s">
        <v>8016</v>
      </c>
      <c r="J87" s="10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10" t="s">
        <v>2004</v>
      </c>
      <c r="E88" s="10" t="s">
        <v>8</v>
      </c>
      <c r="F88" s="10"/>
      <c r="H88" s="10"/>
      <c r="I88" s="10" t="s">
        <v>8019</v>
      </c>
      <c r="J88" s="10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10" t="s">
        <v>2004</v>
      </c>
      <c r="E89" s="10" t="s">
        <v>8</v>
      </c>
      <c r="F89" s="10"/>
      <c r="H89" s="10"/>
      <c r="I89" s="10" t="s">
        <v>8303</v>
      </c>
      <c r="J89" s="10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10" t="s">
        <v>2004</v>
      </c>
      <c r="E90" s="10" t="s">
        <v>8</v>
      </c>
      <c r="F90" s="10"/>
      <c r="H90" s="10"/>
      <c r="I90" s="10" t="s">
        <v>8306</v>
      </c>
      <c r="J90" s="1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10" t="s">
        <v>2004</v>
      </c>
      <c r="E91" s="10" t="s">
        <v>8</v>
      </c>
      <c r="F91" s="10"/>
      <c r="H91" s="10"/>
      <c r="I91" s="10" t="s">
        <v>8309</v>
      </c>
      <c r="J91" s="10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10" t="s">
        <v>2004</v>
      </c>
      <c r="E92" s="10" t="s">
        <v>8</v>
      </c>
      <c r="F92" s="10"/>
      <c r="H92" s="10"/>
      <c r="I92" s="10" t="s">
        <v>8312</v>
      </c>
      <c r="J92" s="10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10" t="s">
        <v>2004</v>
      </c>
      <c r="E93" s="10" t="s">
        <v>8</v>
      </c>
      <c r="F93" s="10"/>
      <c r="H93" s="10"/>
      <c r="I93" s="10" t="s">
        <v>8393</v>
      </c>
      <c r="J93" s="10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10" t="s">
        <v>2004</v>
      </c>
      <c r="E94" s="10" t="s">
        <v>8</v>
      </c>
      <c r="F94" s="10"/>
      <c r="H94" s="10"/>
      <c r="I94" s="10" t="s">
        <v>8396</v>
      </c>
      <c r="J94" s="10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10" t="s">
        <v>2004</v>
      </c>
      <c r="E95" s="10" t="s">
        <v>8</v>
      </c>
      <c r="F95" s="10"/>
      <c r="H95" s="10"/>
      <c r="I95" s="10" t="s">
        <v>8399</v>
      </c>
      <c r="J95" s="10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10" t="s">
        <v>2004</v>
      </c>
      <c r="E96" s="10" t="s">
        <v>8</v>
      </c>
      <c r="F96" s="10"/>
      <c r="H96" s="10"/>
      <c r="I96" s="10" t="s">
        <v>8577</v>
      </c>
      <c r="J96" s="10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10" t="s">
        <v>2004</v>
      </c>
      <c r="E97" s="10" t="s">
        <v>8</v>
      </c>
      <c r="F97" s="10"/>
      <c r="H97" s="10"/>
      <c r="I97" s="10" t="s">
        <v>8580</v>
      </c>
      <c r="J97" s="10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10" t="s">
        <v>2004</v>
      </c>
      <c r="E98" s="10" t="s">
        <v>8</v>
      </c>
      <c r="F98" s="10"/>
      <c r="H98" s="10"/>
      <c r="I98" s="10" t="s">
        <v>8583</v>
      </c>
      <c r="J98" s="10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10" t="s">
        <v>2004</v>
      </c>
      <c r="E99" s="10" t="s">
        <v>8</v>
      </c>
      <c r="F99" s="10"/>
      <c r="H99" s="10"/>
      <c r="I99" s="10" t="s">
        <v>8586</v>
      </c>
      <c r="J99" s="10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10" t="s">
        <v>2004</v>
      </c>
      <c r="E100" s="10" t="s">
        <v>8</v>
      </c>
      <c r="F100" s="10"/>
      <c r="H100" s="10"/>
      <c r="I100" s="10" t="s">
        <v>8589</v>
      </c>
      <c r="J100" s="1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10" t="s">
        <v>2004</v>
      </c>
      <c r="E101" s="10" t="s">
        <v>8</v>
      </c>
      <c r="F101" s="10"/>
      <c r="H101" s="10"/>
      <c r="I101" s="10" t="s">
        <v>8592</v>
      </c>
      <c r="J101" s="10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10" t="s">
        <v>2004</v>
      </c>
      <c r="E102" s="10" t="s">
        <v>8</v>
      </c>
      <c r="F102" s="10"/>
      <c r="H102" s="10"/>
      <c r="I102" s="10" t="s">
        <v>8595</v>
      </c>
      <c r="J102" s="10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10" t="s">
        <v>9191</v>
      </c>
      <c r="E103" s="10" t="s">
        <v>5480</v>
      </c>
      <c r="F103" s="10" t="s">
        <v>9190</v>
      </c>
      <c r="H103" s="10"/>
      <c r="I103" s="10" t="s">
        <v>8994</v>
      </c>
      <c r="J103" s="10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10" t="s">
        <v>2004</v>
      </c>
      <c r="E104" s="10" t="s">
        <v>8</v>
      </c>
      <c r="F104" s="10"/>
      <c r="H104" s="10"/>
      <c r="I104" s="10" t="s">
        <v>8997</v>
      </c>
      <c r="J104" s="10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10" t="s">
        <v>2004</v>
      </c>
      <c r="E105" s="10" t="s">
        <v>8</v>
      </c>
      <c r="F105" s="10"/>
      <c r="H105" s="10"/>
      <c r="I105" s="10" t="s">
        <v>9267</v>
      </c>
      <c r="J105" s="10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10" t="s">
        <v>2004</v>
      </c>
      <c r="E106" s="10" t="s">
        <v>8</v>
      </c>
      <c r="F106" s="10"/>
      <c r="H106" s="10"/>
      <c r="I106" s="10" t="s">
        <v>9387</v>
      </c>
      <c r="J106" s="10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10" t="s">
        <v>9399</v>
      </c>
      <c r="E107" s="10" t="s">
        <v>60</v>
      </c>
      <c r="F107" s="10"/>
      <c r="H107" s="10"/>
      <c r="I107" s="10" t="s">
        <v>9390</v>
      </c>
      <c r="J107" s="10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10" t="s">
        <v>1094</v>
      </c>
      <c r="E108" s="10" t="s">
        <v>4247</v>
      </c>
      <c r="F108" s="10" t="s">
        <v>60</v>
      </c>
      <c r="H108" s="10"/>
      <c r="I108" s="10" t="s">
        <v>9393</v>
      </c>
      <c r="J108" s="10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10" t="s">
        <v>4</v>
      </c>
      <c r="E109" s="10" t="s">
        <v>8</v>
      </c>
      <c r="F109" s="10"/>
      <c r="H109" s="10"/>
      <c r="I109" s="10" t="s">
        <v>9396</v>
      </c>
      <c r="J109" s="10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10" t="s">
        <v>2004</v>
      </c>
      <c r="E110" s="10" t="s">
        <v>8</v>
      </c>
      <c r="F110" s="10"/>
      <c r="H110" s="10"/>
      <c r="I110" s="10" t="s">
        <v>9612</v>
      </c>
      <c r="J110" s="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10" t="s">
        <v>2004</v>
      </c>
      <c r="E111" s="10" t="s">
        <v>8</v>
      </c>
      <c r="F111" s="10"/>
      <c r="H111" s="10"/>
      <c r="I111" s="10" t="s">
        <v>9615</v>
      </c>
      <c r="J111" s="10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10" t="s">
        <v>2004</v>
      </c>
      <c r="E112" s="10" t="s">
        <v>8</v>
      </c>
      <c r="F112" s="10"/>
      <c r="H112" s="10"/>
      <c r="I112" s="10" t="s">
        <v>9735</v>
      </c>
      <c r="J112" s="10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10" t="s">
        <v>2004</v>
      </c>
      <c r="E113" s="10" t="s">
        <v>8</v>
      </c>
      <c r="F113" s="10"/>
      <c r="H113" s="10"/>
      <c r="I113" s="10" t="s">
        <v>9738</v>
      </c>
      <c r="J113" s="10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10" t="s">
        <v>2004</v>
      </c>
      <c r="E114" s="10" t="s">
        <v>8</v>
      </c>
      <c r="F114" s="10"/>
      <c r="H114" s="10"/>
      <c r="I114" s="10" t="s">
        <v>9969</v>
      </c>
      <c r="J114" s="10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10" t="s">
        <v>4</v>
      </c>
      <c r="E115" s="10" t="s">
        <v>8</v>
      </c>
      <c r="F115" s="10"/>
      <c r="H115" s="10"/>
      <c r="I115" s="10" t="s">
        <v>9972</v>
      </c>
      <c r="J115" s="10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10" t="s">
        <v>4</v>
      </c>
      <c r="E116" s="10" t="s">
        <v>8</v>
      </c>
      <c r="F116" s="10"/>
      <c r="H116" s="10" t="s">
        <v>2936</v>
      </c>
      <c r="I116" s="10" t="s">
        <v>9975</v>
      </c>
      <c r="J116" s="10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10" t="s">
        <v>2004</v>
      </c>
      <c r="E117" s="10" t="s">
        <v>8</v>
      </c>
      <c r="F117" s="10"/>
      <c r="H117" s="10"/>
      <c r="I117" s="10" t="s">
        <v>10350</v>
      </c>
      <c r="J117" s="10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10" t="s">
        <v>2004</v>
      </c>
      <c r="E118" s="10" t="s">
        <v>8</v>
      </c>
      <c r="F118" s="10"/>
      <c r="H118" s="10"/>
      <c r="I118" s="10" t="s">
        <v>10506</v>
      </c>
      <c r="J118" s="10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10" t="s">
        <v>2004</v>
      </c>
      <c r="E119" s="10" t="s">
        <v>8</v>
      </c>
      <c r="F119" s="10"/>
      <c r="H119" s="10"/>
      <c r="I119" s="10" t="s">
        <v>10509</v>
      </c>
      <c r="J119" s="10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10" t="s">
        <v>2004</v>
      </c>
      <c r="E120" s="10" t="s">
        <v>8</v>
      </c>
      <c r="F120" s="10"/>
      <c r="H120" s="10"/>
      <c r="I120" s="10" t="s">
        <v>10552</v>
      </c>
      <c r="J120" s="1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10" t="s">
        <v>2004</v>
      </c>
      <c r="E121" s="10" t="s">
        <v>8</v>
      </c>
      <c r="F121" s="10"/>
      <c r="H121" s="10"/>
      <c r="I121" s="10" t="s">
        <v>10555</v>
      </c>
      <c r="J121" s="10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10" t="s">
        <v>2004</v>
      </c>
      <c r="E122" s="10" t="s">
        <v>8</v>
      </c>
      <c r="F122" s="10"/>
      <c r="H122" s="10"/>
      <c r="I122" s="10" t="s">
        <v>10782</v>
      </c>
      <c r="J122" s="10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10" t="s">
        <v>2004</v>
      </c>
      <c r="E123" s="10" t="s">
        <v>8</v>
      </c>
      <c r="F123" s="10"/>
      <c r="H123" s="10"/>
      <c r="I123" s="10" t="s">
        <v>10785</v>
      </c>
      <c r="J123" s="10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10" t="s">
        <v>2004</v>
      </c>
      <c r="E124" s="10" t="s">
        <v>8</v>
      </c>
      <c r="F124" s="10"/>
      <c r="H124" s="10"/>
      <c r="I124" s="10" t="s">
        <v>10920</v>
      </c>
      <c r="J124" s="10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10" t="s">
        <v>4</v>
      </c>
      <c r="E125" s="10" t="s">
        <v>8045</v>
      </c>
      <c r="F125" s="10"/>
      <c r="H125" s="10"/>
      <c r="I125" s="10" t="s">
        <v>11034</v>
      </c>
      <c r="J125" s="10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10" t="s">
        <v>2004</v>
      </c>
      <c r="E126" s="10" t="s">
        <v>8</v>
      </c>
      <c r="F126" s="10"/>
      <c r="H126" s="10"/>
      <c r="I126" s="10" t="s">
        <v>11037</v>
      </c>
      <c r="J126" s="10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10" t="s">
        <v>2004</v>
      </c>
      <c r="E127" s="10" t="s">
        <v>8</v>
      </c>
      <c r="F127" s="10"/>
      <c r="H127" s="10"/>
      <c r="I127" s="10" t="s">
        <v>11181</v>
      </c>
      <c r="J127" s="10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10" t="s">
        <v>4</v>
      </c>
      <c r="E128" s="10" t="s">
        <v>8045</v>
      </c>
      <c r="F128" s="10"/>
      <c r="H128" s="10"/>
      <c r="I128" s="10" t="s">
        <v>11184</v>
      </c>
      <c r="J128" s="10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10" t="s">
        <v>4</v>
      </c>
      <c r="E129" s="10" t="s">
        <v>8805</v>
      </c>
      <c r="F129" s="10"/>
      <c r="H129" s="10"/>
      <c r="I129" s="10" t="s">
        <v>11639</v>
      </c>
      <c r="J129" s="10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10" t="s">
        <v>2004</v>
      </c>
      <c r="E130" s="10" t="s">
        <v>8</v>
      </c>
      <c r="F130" s="10"/>
      <c r="H130" s="10"/>
      <c r="I130" s="10" t="s">
        <v>11613</v>
      </c>
      <c r="J130" s="10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10" t="s">
        <v>2004</v>
      </c>
      <c r="E131" s="10" t="s">
        <v>8</v>
      </c>
      <c r="F131" s="10"/>
      <c r="H131" s="10"/>
      <c r="I131" s="10" t="s">
        <v>11616</v>
      </c>
      <c r="J131" s="10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10" t="s">
        <v>2004</v>
      </c>
      <c r="E132" s="10" t="s">
        <v>8</v>
      </c>
      <c r="F132" s="10"/>
      <c r="H132" s="10"/>
      <c r="I132" s="10" t="s">
        <v>11691</v>
      </c>
      <c r="J132" s="10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10" t="s">
        <v>2004</v>
      </c>
      <c r="E133" s="10" t="s">
        <v>8</v>
      </c>
      <c r="F133" s="10"/>
      <c r="H133" s="10"/>
      <c r="I133" s="10" t="s">
        <v>11694</v>
      </c>
      <c r="J133" s="10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10" t="s">
        <v>2004</v>
      </c>
      <c r="E134" s="10" t="s">
        <v>8</v>
      </c>
      <c r="F134" s="10"/>
      <c r="H134" s="10"/>
      <c r="I134" s="10" t="s">
        <v>11933</v>
      </c>
      <c r="J134" s="10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10" t="s">
        <v>11960</v>
      </c>
      <c r="E135" s="10"/>
      <c r="F135" s="10"/>
      <c r="H135" s="10"/>
      <c r="I135" s="10" t="s">
        <v>11936</v>
      </c>
      <c r="J135" s="10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10" t="s">
        <v>11961</v>
      </c>
      <c r="E136" s="10"/>
      <c r="F136" s="10"/>
      <c r="H136" s="10"/>
      <c r="I136" s="10" t="s">
        <v>11939</v>
      </c>
      <c r="J136" s="10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10" t="s">
        <v>2004</v>
      </c>
      <c r="E137" s="10" t="s">
        <v>8</v>
      </c>
      <c r="F137" s="10"/>
      <c r="H137" s="10"/>
      <c r="I137" s="10" t="s">
        <v>11942</v>
      </c>
      <c r="J137" s="10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10" t="s">
        <v>4</v>
      </c>
      <c r="E138" s="10" t="s">
        <v>8045</v>
      </c>
      <c r="F138" s="10"/>
      <c r="H138" s="10"/>
      <c r="I138" s="10" t="s">
        <v>11945</v>
      </c>
      <c r="J138" s="10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10" t="s">
        <v>4</v>
      </c>
      <c r="E139" s="10" t="s">
        <v>8</v>
      </c>
      <c r="F139" s="10"/>
      <c r="H139" s="10"/>
      <c r="I139" s="10" t="s">
        <v>11948</v>
      </c>
      <c r="J139" s="10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10" t="s">
        <v>4</v>
      </c>
      <c r="E140" s="10" t="s">
        <v>8045</v>
      </c>
      <c r="F140" s="10"/>
      <c r="H140" s="10"/>
      <c r="I140" s="10" t="s">
        <v>11951</v>
      </c>
      <c r="J140" s="10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10" t="s">
        <v>4</v>
      </c>
      <c r="E141" s="10" t="s">
        <v>8045</v>
      </c>
      <c r="F141" s="10"/>
      <c r="H141" s="10"/>
      <c r="I141" s="10" t="s">
        <v>11954</v>
      </c>
      <c r="J141" s="10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s="10" t="s">
        <v>4</v>
      </c>
      <c r="E142" s="10" t="s">
        <v>8045</v>
      </c>
      <c r="F142" s="10"/>
      <c r="H142" s="10"/>
      <c r="I142" s="10" t="s">
        <v>12004</v>
      </c>
      <c r="J142" s="10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s="10" t="s">
        <v>4</v>
      </c>
      <c r="E143" s="10" t="s">
        <v>8</v>
      </c>
      <c r="F143" s="10"/>
      <c r="H143" s="10"/>
      <c r="I143" s="10" t="s">
        <v>12007</v>
      </c>
      <c r="J143" s="10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s="10" t="s">
        <v>4</v>
      </c>
      <c r="E144" s="10" t="s">
        <v>8045</v>
      </c>
      <c r="F144" s="10"/>
      <c r="H144" s="10"/>
      <c r="I144" s="10" t="s">
        <v>12010</v>
      </c>
      <c r="J144" s="10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  <row r="145" spans="1:13" x14ac:dyDescent="0.25">
      <c r="A145" s="2" t="s">
        <v>22</v>
      </c>
      <c r="B145" s="4">
        <v>46068</v>
      </c>
      <c r="C145" s="5">
        <v>0.44150462962962961</v>
      </c>
      <c r="D145" s="10" t="s">
        <v>4</v>
      </c>
      <c r="E145" s="10" t="s">
        <v>8045</v>
      </c>
      <c r="F145" s="10"/>
      <c r="H145" s="10"/>
      <c r="I145" s="10" t="s">
        <v>12031</v>
      </c>
      <c r="J145" s="10" t="s">
        <v>2983</v>
      </c>
      <c r="K145" t="s">
        <v>12032</v>
      </c>
      <c r="L145" t="s">
        <v>12033</v>
      </c>
      <c r="M145" s="3" t="str">
        <f>HYPERLINK(склад2въезд131920[[#This Row],[RelativePath]])</f>
        <v>6 Площадка 1 общага\826398429_1_20260215T103546Z.jpg</v>
      </c>
    </row>
    <row r="146" spans="1:13" x14ac:dyDescent="0.25">
      <c r="A146" s="2" t="s">
        <v>22</v>
      </c>
      <c r="B146" s="4">
        <v>46068</v>
      </c>
      <c r="C146" s="5">
        <v>0.75067129629629625</v>
      </c>
      <c r="D146" s="10" t="s">
        <v>4</v>
      </c>
      <c r="E146" s="10" t="s">
        <v>8</v>
      </c>
      <c r="F146" s="10"/>
      <c r="H146" s="10" t="s">
        <v>2936</v>
      </c>
      <c r="I146" s="10" t="s">
        <v>12034</v>
      </c>
      <c r="J146" s="10" t="s">
        <v>2983</v>
      </c>
      <c r="K146" t="s">
        <v>12035</v>
      </c>
      <c r="L146" t="s">
        <v>12036</v>
      </c>
      <c r="M146" s="3" t="str">
        <f>HYPERLINK(склад2въезд131920[[#This Row],[RelativePath]])</f>
        <v>6 Площадка 1 общага\826398429_1_20260215T180058Z.jpg</v>
      </c>
    </row>
    <row r="147" spans="1:13" x14ac:dyDescent="0.25">
      <c r="A147" s="2" t="s">
        <v>13</v>
      </c>
      <c r="B147" s="4">
        <v>46069</v>
      </c>
      <c r="C147" s="5">
        <v>0.37565972222222221</v>
      </c>
      <c r="D147" s="10" t="s">
        <v>12381</v>
      </c>
      <c r="E147" s="10"/>
      <c r="F147" s="10"/>
      <c r="H147" s="10"/>
      <c r="I147" s="10" t="s">
        <v>12332</v>
      </c>
      <c r="J147" s="10" t="s">
        <v>2983</v>
      </c>
      <c r="K147" t="s">
        <v>12333</v>
      </c>
      <c r="L147" t="s">
        <v>12334</v>
      </c>
      <c r="M147" s="3" t="str">
        <f>HYPERLINK(склад2въезд131920[[#This Row],[RelativePath]])</f>
        <v>6 Площадка 1 общага\826398429_1_20260216T090057Z.jpg</v>
      </c>
    </row>
    <row r="148" spans="1:13" x14ac:dyDescent="0.25">
      <c r="A148" s="2" t="s">
        <v>13</v>
      </c>
      <c r="B148" s="4">
        <v>46069</v>
      </c>
      <c r="C148" s="5">
        <v>0.39288194444444446</v>
      </c>
      <c r="D148" s="10" t="s">
        <v>12381</v>
      </c>
      <c r="E148" s="10"/>
      <c r="F148" s="10"/>
      <c r="H148" s="10"/>
      <c r="I148" s="10" t="s">
        <v>12335</v>
      </c>
      <c r="J148" s="10" t="s">
        <v>2983</v>
      </c>
      <c r="K148" t="s">
        <v>12336</v>
      </c>
      <c r="L148" t="s">
        <v>12337</v>
      </c>
      <c r="M148" s="3" t="str">
        <f>HYPERLINK(склад2въезд131920[[#This Row],[RelativePath]])</f>
        <v>6 Площадка 1 общага\826398429_1_20260216T092545Z.jpg</v>
      </c>
    </row>
    <row r="149" spans="1:13" x14ac:dyDescent="0.25">
      <c r="A149" s="2" t="s">
        <v>13</v>
      </c>
      <c r="B149" s="4">
        <v>46069</v>
      </c>
      <c r="C149" s="5">
        <v>0.41275462962962961</v>
      </c>
      <c r="D149" s="10" t="s">
        <v>12381</v>
      </c>
      <c r="E149" s="10"/>
      <c r="F149" s="10"/>
      <c r="H149" s="10"/>
      <c r="I149" s="10" t="s">
        <v>12338</v>
      </c>
      <c r="J149" s="10" t="s">
        <v>2983</v>
      </c>
      <c r="K149" t="s">
        <v>12339</v>
      </c>
      <c r="L149" t="s">
        <v>12340</v>
      </c>
      <c r="M149" s="3" t="str">
        <f>HYPERLINK(склад2въезд131920[[#This Row],[RelativePath]])</f>
        <v>6 Площадка 1 общага\826398429_1_20260216T095422Z.jpg</v>
      </c>
    </row>
    <row r="150" spans="1:13" x14ac:dyDescent="0.25">
      <c r="A150" s="2" t="s">
        <v>13</v>
      </c>
      <c r="B150" s="4">
        <v>46069</v>
      </c>
      <c r="C150" s="5">
        <v>0.45247685185185182</v>
      </c>
      <c r="D150" s="10" t="s">
        <v>12381</v>
      </c>
      <c r="E150" s="10"/>
      <c r="F150" s="10"/>
      <c r="H150" s="10"/>
      <c r="I150" s="10" t="s">
        <v>12341</v>
      </c>
      <c r="J150" s="10" t="s">
        <v>2983</v>
      </c>
      <c r="K150" t="s">
        <v>12342</v>
      </c>
      <c r="L150" t="s">
        <v>12343</v>
      </c>
      <c r="M150" s="3" t="str">
        <f>HYPERLINK(склад2въезд131920[[#This Row],[RelativePath]])</f>
        <v>6 Площадка 1 общага\826398429_1_20260216T105134Z.jpg</v>
      </c>
    </row>
    <row r="151" spans="1:13" x14ac:dyDescent="0.25">
      <c r="A151" s="2" t="s">
        <v>13</v>
      </c>
      <c r="B151" s="4">
        <v>46069</v>
      </c>
      <c r="C151" s="5">
        <v>0.52258101851851857</v>
      </c>
      <c r="D151" s="10" t="s">
        <v>12381</v>
      </c>
      <c r="E151" s="10"/>
      <c r="F151" s="10"/>
      <c r="H151" s="10"/>
      <c r="I151" s="10" t="s">
        <v>12344</v>
      </c>
      <c r="J151" s="10" t="s">
        <v>2983</v>
      </c>
      <c r="K151" t="s">
        <v>12345</v>
      </c>
      <c r="L151" t="s">
        <v>12346</v>
      </c>
      <c r="M151" s="3" t="str">
        <f>HYPERLINK(склад2въезд131920[[#This Row],[RelativePath]])</f>
        <v>6 Площадка 1 общага\826398429_1_20260216T123231Z.jpg</v>
      </c>
    </row>
    <row r="152" spans="1:13" x14ac:dyDescent="0.25">
      <c r="A152" s="2" t="s">
        <v>13</v>
      </c>
      <c r="B152" s="4">
        <v>46069</v>
      </c>
      <c r="C152" s="5">
        <v>0.60519675925925931</v>
      </c>
      <c r="D152" s="10" t="s">
        <v>12381</v>
      </c>
      <c r="E152" s="10"/>
      <c r="F152" s="10"/>
      <c r="H152" s="10"/>
      <c r="I152" s="10" t="s">
        <v>12347</v>
      </c>
      <c r="J152" s="10" t="s">
        <v>2983</v>
      </c>
      <c r="K152" t="s">
        <v>12348</v>
      </c>
      <c r="L152" t="s">
        <v>12349</v>
      </c>
      <c r="M152" s="3" t="str">
        <f>HYPERLINK(склад2въезд131920[[#This Row],[RelativePath]])</f>
        <v>6 Площадка 1 общага\826398429_1_20260216T143129Z.jpg</v>
      </c>
    </row>
    <row r="153" spans="1:13" x14ac:dyDescent="0.25">
      <c r="A153" s="2" t="s">
        <v>13</v>
      </c>
      <c r="B153" s="4">
        <v>46069</v>
      </c>
      <c r="C153" s="5">
        <v>0.73550925925925925</v>
      </c>
      <c r="D153" s="10" t="s">
        <v>4</v>
      </c>
      <c r="E153" s="10" t="s">
        <v>8</v>
      </c>
      <c r="F153" s="10"/>
      <c r="H153" s="10"/>
      <c r="I153" s="10" t="s">
        <v>12350</v>
      </c>
      <c r="J153" s="10" t="s">
        <v>2983</v>
      </c>
      <c r="K153" t="s">
        <v>12351</v>
      </c>
      <c r="L153" t="s">
        <v>12352</v>
      </c>
      <c r="M153" s="3" t="str">
        <f>HYPERLINK(склад2въезд131920[[#This Row],[RelativePath]])</f>
        <v>6 Площадка 1 общага\826398429_1_20260216T173908Z.jpg</v>
      </c>
    </row>
    <row r="154" spans="1:13" x14ac:dyDescent="0.25">
      <c r="A154" s="2" t="s">
        <v>14</v>
      </c>
      <c r="B154" s="4">
        <v>46070</v>
      </c>
      <c r="C154" s="5">
        <v>0.67186342592592596</v>
      </c>
      <c r="D154" s="10" t="s">
        <v>2004</v>
      </c>
      <c r="E154" s="10" t="s">
        <v>8</v>
      </c>
      <c r="F154" s="10"/>
      <c r="H154" s="10"/>
      <c r="I154" s="10" t="s">
        <v>12353</v>
      </c>
      <c r="J154" s="10" t="s">
        <v>2983</v>
      </c>
      <c r="K154" t="s">
        <v>12354</v>
      </c>
      <c r="L154" t="s">
        <v>12355</v>
      </c>
      <c r="M154" s="3" t="str">
        <f>HYPERLINK(склад2въезд131920[[#This Row],[RelativePath]])</f>
        <v>6 Площадка 1 общага\826398429_1_20260217T160729Z.jpg</v>
      </c>
    </row>
    <row r="155" spans="1:13" x14ac:dyDescent="0.25">
      <c r="A155" s="2" t="s">
        <v>15</v>
      </c>
      <c r="B155" s="4">
        <v>46071</v>
      </c>
      <c r="C155" s="5">
        <v>0.50901620370370371</v>
      </c>
      <c r="D155" s="10" t="s">
        <v>2004</v>
      </c>
      <c r="E155" s="10" t="s">
        <v>8</v>
      </c>
      <c r="F155" s="10"/>
      <c r="H155" s="10"/>
      <c r="I155" s="10" t="s">
        <v>12356</v>
      </c>
      <c r="J155" s="10" t="s">
        <v>2983</v>
      </c>
      <c r="K155" t="s">
        <v>12357</v>
      </c>
      <c r="L155" t="s">
        <v>12358</v>
      </c>
      <c r="M155" s="3" t="str">
        <f>HYPERLINK(склад2въезд131920[[#This Row],[RelativePath]])</f>
        <v>6 Площадка 1 общага\826398429_1_20260218T121259Z.jpg</v>
      </c>
    </row>
    <row r="156" spans="1:13" x14ac:dyDescent="0.25">
      <c r="A156" s="2" t="s">
        <v>16</v>
      </c>
      <c r="B156" s="4">
        <v>46072</v>
      </c>
      <c r="C156" s="5">
        <v>0.46668981481481481</v>
      </c>
      <c r="D156" s="10" t="s">
        <v>7</v>
      </c>
      <c r="E156" s="10"/>
      <c r="F156" s="10"/>
      <c r="H156" s="10"/>
      <c r="I156" s="10" t="s">
        <v>12461</v>
      </c>
      <c r="J156" s="10" t="s">
        <v>2983</v>
      </c>
      <c r="K156" t="s">
        <v>12462</v>
      </c>
      <c r="L156" t="s">
        <v>12463</v>
      </c>
      <c r="M156" s="3" t="str">
        <f>HYPERLINK(склад2въезд131920[[#This Row],[RelativePath]])</f>
        <v>6 Площадка 1 общага\826398429_1_20260219T111202Z.jpg</v>
      </c>
    </row>
    <row r="157" spans="1:13" x14ac:dyDescent="0.25">
      <c r="A157" s="2" t="s">
        <v>16</v>
      </c>
      <c r="B157" s="4">
        <v>46072</v>
      </c>
      <c r="C157" s="5">
        <v>0.60317129629629629</v>
      </c>
      <c r="D157" s="10" t="s">
        <v>9211</v>
      </c>
      <c r="E157" s="10" t="s">
        <v>86</v>
      </c>
      <c r="F157" s="10"/>
      <c r="H157" s="10" t="s">
        <v>12494</v>
      </c>
      <c r="I157" s="10" t="s">
        <v>12464</v>
      </c>
      <c r="J157" s="10" t="s">
        <v>2983</v>
      </c>
      <c r="K157" t="s">
        <v>12465</v>
      </c>
      <c r="L157" t="s">
        <v>12466</v>
      </c>
      <c r="M157" s="3" t="str">
        <f>HYPERLINK(склад2въезд131920[[#This Row],[RelativePath]])</f>
        <v>6 Площадка 1 общага\826398429_1_20260219T142834Z.jpg</v>
      </c>
    </row>
    <row r="158" spans="1:13" x14ac:dyDescent="0.25">
      <c r="A158" s="2" t="s">
        <v>16</v>
      </c>
      <c r="B158" s="4">
        <v>46072</v>
      </c>
      <c r="C158" s="5">
        <v>0.61121527777777773</v>
      </c>
      <c r="D158" s="10" t="s">
        <v>9211</v>
      </c>
      <c r="E158" s="10" t="s">
        <v>86</v>
      </c>
      <c r="F158" s="10"/>
      <c r="H158" s="10" t="s">
        <v>2936</v>
      </c>
      <c r="I158" s="10" t="s">
        <v>12467</v>
      </c>
      <c r="J158" s="10" t="s">
        <v>2983</v>
      </c>
      <c r="K158" t="s">
        <v>12468</v>
      </c>
      <c r="L158" t="s">
        <v>12469</v>
      </c>
      <c r="M158" s="3" t="str">
        <f>HYPERLINK(склад2въезд131920[[#This Row],[RelativePath]])</f>
        <v>6 Площадка 1 общага\826398429_1_20260219T144009Z.jpg</v>
      </c>
    </row>
    <row r="159" spans="1:13" x14ac:dyDescent="0.25">
      <c r="A159" s="2" t="s">
        <v>16</v>
      </c>
      <c r="B159" s="4">
        <v>46072</v>
      </c>
      <c r="C159" s="5">
        <v>0.64390046296296299</v>
      </c>
      <c r="D159" s="10" t="s">
        <v>11961</v>
      </c>
      <c r="E159" s="10"/>
      <c r="F159" s="10"/>
      <c r="H159" s="10"/>
      <c r="I159" s="10" t="s">
        <v>12470</v>
      </c>
      <c r="J159" s="10" t="s">
        <v>2983</v>
      </c>
      <c r="K159" t="s">
        <v>12471</v>
      </c>
      <c r="L159" t="s">
        <v>12472</v>
      </c>
      <c r="M159" s="3" t="str">
        <f>HYPERLINK(склад2въезд131920[[#This Row],[RelativePath]])</f>
        <v>6 Площадка 1 общага\826398429_1_20260219T152713Z.jpg</v>
      </c>
    </row>
    <row r="160" spans="1:13" x14ac:dyDescent="0.25">
      <c r="A160" s="2" t="s">
        <v>17</v>
      </c>
      <c r="B160" s="4">
        <v>46073</v>
      </c>
      <c r="C160" s="5">
        <v>0.43959490740740742</v>
      </c>
      <c r="D160" s="10" t="s">
        <v>651</v>
      </c>
      <c r="E160" s="10" t="s">
        <v>86</v>
      </c>
      <c r="F160" s="10"/>
      <c r="H160" s="10"/>
      <c r="I160" s="10" t="s">
        <v>12531</v>
      </c>
      <c r="J160" s="10" t="s">
        <v>2983</v>
      </c>
      <c r="K160" t="s">
        <v>12532</v>
      </c>
      <c r="L160" t="s">
        <v>12533</v>
      </c>
      <c r="M160" s="3" t="str">
        <f>HYPERLINK(склад2въезд131920[[#This Row],[RelativePath]])</f>
        <v>6 Площадка 1 общага\826398429_1_20260220T103301Z.jpg</v>
      </c>
    </row>
    <row r="161" spans="1:13" x14ac:dyDescent="0.25">
      <c r="A161" s="2" t="s">
        <v>17</v>
      </c>
      <c r="B161" s="4">
        <v>46073</v>
      </c>
      <c r="C161" s="5">
        <v>0.44776620370370368</v>
      </c>
      <c r="D161" s="10" t="s">
        <v>9211</v>
      </c>
      <c r="E161" s="10" t="s">
        <v>86</v>
      </c>
      <c r="F161" s="10"/>
      <c r="H161" s="10"/>
      <c r="I161" s="10" t="s">
        <v>12534</v>
      </c>
      <c r="J161" s="10" t="s">
        <v>2983</v>
      </c>
      <c r="K161" t="s">
        <v>12535</v>
      </c>
      <c r="L161" t="s">
        <v>12536</v>
      </c>
      <c r="M161" s="3" t="str">
        <f>HYPERLINK(склад2въезд131920[[#This Row],[RelativePath]])</f>
        <v>6 Площадка 1 общага\826398429_1_20260220T104447Z.jpg</v>
      </c>
    </row>
    <row r="162" spans="1:13" x14ac:dyDescent="0.25">
      <c r="A162" s="2" t="s">
        <v>17</v>
      </c>
      <c r="B162" s="4">
        <v>46073</v>
      </c>
      <c r="C162" s="5">
        <v>0.61677083333333338</v>
      </c>
      <c r="D162" s="10" t="s">
        <v>7</v>
      </c>
      <c r="E162" s="10"/>
      <c r="F162" s="10"/>
      <c r="H162" s="10"/>
      <c r="I162" s="10" t="s">
        <v>12537</v>
      </c>
      <c r="J162" s="10" t="s">
        <v>2983</v>
      </c>
      <c r="K162" t="s">
        <v>12538</v>
      </c>
      <c r="L162" t="s">
        <v>12539</v>
      </c>
      <c r="M162" s="3" t="str">
        <f>HYPERLINK(склад2въезд131920[[#This Row],[RelativePath]])</f>
        <v>6 Площадка 1 общага\826398429_1_20260220T144809Z.jpg</v>
      </c>
    </row>
    <row r="163" spans="1:13" x14ac:dyDescent="0.25">
      <c r="A163" s="2" t="s">
        <v>17</v>
      </c>
      <c r="B163" s="4">
        <v>46073</v>
      </c>
      <c r="C163" s="5">
        <v>0.74539351851851854</v>
      </c>
      <c r="D163" s="10" t="s">
        <v>4</v>
      </c>
      <c r="E163" s="10" t="s">
        <v>8</v>
      </c>
      <c r="F163" s="10"/>
      <c r="H163" s="10"/>
      <c r="I163" s="10" t="s">
        <v>12540</v>
      </c>
      <c r="J163" s="10" t="s">
        <v>2983</v>
      </c>
      <c r="K163" t="s">
        <v>12541</v>
      </c>
      <c r="L163" t="s">
        <v>12542</v>
      </c>
      <c r="M163" s="3" t="str">
        <f>HYPERLINK(склад2въезд131920[[#This Row],[RelativePath]])</f>
        <v>6 Площадка 1 общага\826398429_1_20260220T175322Z.jpg</v>
      </c>
    </row>
    <row r="164" spans="1:13" x14ac:dyDescent="0.25">
      <c r="A164" s="2" t="s">
        <v>18</v>
      </c>
      <c r="B164" s="4">
        <v>46074</v>
      </c>
      <c r="C164" s="5">
        <v>0.43144675925925924</v>
      </c>
      <c r="D164" s="10" t="s">
        <v>12381</v>
      </c>
      <c r="E164" s="10"/>
      <c r="F164" s="10"/>
      <c r="H164" s="10"/>
      <c r="I164" s="10" t="s">
        <v>12725</v>
      </c>
      <c r="J164" s="10" t="s">
        <v>2983</v>
      </c>
      <c r="K164" t="s">
        <v>12726</v>
      </c>
      <c r="L164" t="s">
        <v>12727</v>
      </c>
      <c r="M164" s="3" t="str">
        <f>HYPERLINK(склад2въезд131920[[#This Row],[RelativePath]])</f>
        <v>6 Площадка 1 общага\826398429_1_20260221T102117Z.jpg</v>
      </c>
    </row>
    <row r="165" spans="1:13" x14ac:dyDescent="0.25">
      <c r="A165" s="2" t="s">
        <v>18</v>
      </c>
      <c r="B165" s="4">
        <v>46074</v>
      </c>
      <c r="C165" s="5">
        <v>0.69439814814814815</v>
      </c>
      <c r="D165" s="10" t="s">
        <v>12381</v>
      </c>
      <c r="E165" s="10"/>
      <c r="F165" s="10"/>
      <c r="H165" s="10"/>
      <c r="I165" s="10" t="s">
        <v>12728</v>
      </c>
      <c r="J165" s="10" t="s">
        <v>2983</v>
      </c>
      <c r="K165" t="s">
        <v>12729</v>
      </c>
      <c r="L165" t="s">
        <v>12730</v>
      </c>
      <c r="M165" s="3" t="str">
        <f>HYPERLINK(склад2въезд131920[[#This Row],[RelativePath]])</f>
        <v>6 Площадка 1 общага\826398429_1_20260221T163956Z.jpg</v>
      </c>
    </row>
    <row r="166" spans="1:13" x14ac:dyDescent="0.25">
      <c r="A166" s="2" t="s">
        <v>18</v>
      </c>
      <c r="B166" s="4">
        <v>46074</v>
      </c>
      <c r="C166" s="5">
        <v>0.73189814814814813</v>
      </c>
      <c r="D166" s="10" t="s">
        <v>12381</v>
      </c>
      <c r="E166" s="10"/>
      <c r="F166" s="10"/>
      <c r="H166" s="10"/>
      <c r="I166" s="10" t="s">
        <v>12731</v>
      </c>
      <c r="J166" s="10" t="s">
        <v>2983</v>
      </c>
      <c r="K166" t="s">
        <v>12732</v>
      </c>
      <c r="L166" t="s">
        <v>12733</v>
      </c>
      <c r="M166" s="3" t="str">
        <f>HYPERLINK(склад2въезд131920[[#This Row],[RelativePath]])</f>
        <v>6 Площадка 1 общага\826398429_1_20260221T173356Z.jpg</v>
      </c>
    </row>
    <row r="167" spans="1:13" x14ac:dyDescent="0.25">
      <c r="A167" s="2" t="s">
        <v>18</v>
      </c>
      <c r="B167" s="4">
        <v>46074</v>
      </c>
      <c r="C167" s="5">
        <v>0.75096064814814811</v>
      </c>
      <c r="D167" s="10" t="s">
        <v>12381</v>
      </c>
      <c r="E167" s="10"/>
      <c r="F167" s="10"/>
      <c r="H167" s="10"/>
      <c r="I167" s="10" t="s">
        <v>12734</v>
      </c>
      <c r="J167" s="10" t="s">
        <v>2983</v>
      </c>
      <c r="K167" t="s">
        <v>12735</v>
      </c>
      <c r="L167" t="s">
        <v>12736</v>
      </c>
      <c r="M167" s="3" t="str">
        <f>HYPERLINK(склад2въезд131920[[#This Row],[RelativePath]])</f>
        <v>6 Площадка 1 общага\826398429_1_20260221T180123Z.jpg</v>
      </c>
    </row>
    <row r="168" spans="1:13" x14ac:dyDescent="0.25">
      <c r="A168" s="2" t="s">
        <v>18</v>
      </c>
      <c r="B168" s="4">
        <v>46074</v>
      </c>
      <c r="C168" s="5">
        <v>0.78931712962962963</v>
      </c>
      <c r="D168" s="10" t="s">
        <v>4</v>
      </c>
      <c r="E168" s="10" t="s">
        <v>8</v>
      </c>
      <c r="F168" s="10"/>
      <c r="H168" s="10"/>
      <c r="I168" s="10" t="s">
        <v>12737</v>
      </c>
      <c r="J168" s="10" t="s">
        <v>2983</v>
      </c>
      <c r="K168" t="s">
        <v>12738</v>
      </c>
      <c r="L168" t="s">
        <v>12739</v>
      </c>
      <c r="M168" s="3" t="str">
        <f>HYPERLINK(склад2въезд131920[[#This Row],[RelativePath]])</f>
        <v>6 Площадка 1 общага\826398429_1_20260221T185637Z.jpg</v>
      </c>
    </row>
    <row r="169" spans="1:13" x14ac:dyDescent="0.25">
      <c r="A169" s="2" t="s">
        <v>22</v>
      </c>
      <c r="B169" s="4">
        <v>46075</v>
      </c>
      <c r="C169" s="5">
        <v>0.38484953703703706</v>
      </c>
      <c r="D169" s="10" t="s">
        <v>12381</v>
      </c>
      <c r="E169" s="10"/>
      <c r="F169" s="10"/>
      <c r="H169" s="10"/>
      <c r="I169" s="10" t="s">
        <v>12740</v>
      </c>
      <c r="J169" s="10" t="s">
        <v>2983</v>
      </c>
      <c r="K169" t="s">
        <v>12741</v>
      </c>
      <c r="L169" t="s">
        <v>12742</v>
      </c>
      <c r="M169" s="3" t="str">
        <f>HYPERLINK(склад2въезд131920[[#This Row],[RelativePath]])</f>
        <v>6 Площадка 1 общага\826398429_1_20260222T091411Z.jpg</v>
      </c>
    </row>
    <row r="170" spans="1:13" x14ac:dyDescent="0.25">
      <c r="A170" s="2" t="s">
        <v>22</v>
      </c>
      <c r="B170" s="4">
        <v>46075</v>
      </c>
      <c r="C170" s="5">
        <v>0.49127314814814815</v>
      </c>
      <c r="D170" s="10" t="s">
        <v>12381</v>
      </c>
      <c r="E170" s="10"/>
      <c r="F170" s="10"/>
      <c r="H170" s="10"/>
      <c r="I170" s="10" t="s">
        <v>12743</v>
      </c>
      <c r="J170" s="10" t="s">
        <v>2983</v>
      </c>
      <c r="K170" t="s">
        <v>12744</v>
      </c>
      <c r="L170" t="s">
        <v>12745</v>
      </c>
      <c r="M170" s="3" t="str">
        <f>HYPERLINK(склад2въезд131920[[#This Row],[RelativePath]])</f>
        <v>6 Площадка 1 общага\826398429_1_20260222T114726Z.jpg</v>
      </c>
    </row>
    <row r="171" spans="1:13" x14ac:dyDescent="0.25">
      <c r="A171" s="2" t="s">
        <v>22</v>
      </c>
      <c r="B171" s="4">
        <v>46075</v>
      </c>
      <c r="C171" s="5">
        <v>0.7131481481481482</v>
      </c>
      <c r="D171" s="10" t="s">
        <v>12381</v>
      </c>
      <c r="E171" s="10"/>
      <c r="F171" s="10"/>
      <c r="H171" s="10"/>
      <c r="I171" s="10" t="s">
        <v>12746</v>
      </c>
      <c r="J171" s="10" t="s">
        <v>2983</v>
      </c>
      <c r="K171" t="s">
        <v>12747</v>
      </c>
      <c r="L171" t="s">
        <v>12748</v>
      </c>
      <c r="M171" s="3" t="str">
        <f>HYPERLINK(склад2въезд131920[[#This Row],[RelativePath]])</f>
        <v>6 Площадка 1 общага\826398429_1_20260222T170656Z.jpg</v>
      </c>
    </row>
    <row r="172" spans="1:13" x14ac:dyDescent="0.25">
      <c r="A172" s="2" t="s">
        <v>22</v>
      </c>
      <c r="B172" s="4">
        <v>46075</v>
      </c>
      <c r="C172" s="5">
        <v>0.75288194444444445</v>
      </c>
      <c r="D172" s="10" t="s">
        <v>4</v>
      </c>
      <c r="E172" s="10" t="s">
        <v>8</v>
      </c>
      <c r="F172" s="10"/>
      <c r="H172" s="10"/>
      <c r="I172" s="10" t="s">
        <v>12749</v>
      </c>
      <c r="J172" s="10" t="s">
        <v>2983</v>
      </c>
      <c r="K172" t="s">
        <v>12750</v>
      </c>
      <c r="L172" t="s">
        <v>12751</v>
      </c>
      <c r="M172" s="3" t="str">
        <f>HYPERLINK(склад2въезд131920[[#This Row],[RelativePath]])</f>
        <v>6 Площадка 1 общага\826398429_1_20260222T180409Z.jpg</v>
      </c>
    </row>
    <row r="173" spans="1:13" x14ac:dyDescent="0.25">
      <c r="A173" s="2" t="s">
        <v>13</v>
      </c>
      <c r="B173" s="4">
        <v>46076</v>
      </c>
      <c r="C173" s="5">
        <v>0.34063657407407405</v>
      </c>
      <c r="D173" s="10" t="s">
        <v>12932</v>
      </c>
      <c r="E173" s="10"/>
      <c r="F173" s="10"/>
      <c r="H173" s="10"/>
      <c r="I173" s="10" t="s">
        <v>12821</v>
      </c>
      <c r="J173" s="10" t="s">
        <v>2983</v>
      </c>
      <c r="K173" t="s">
        <v>12822</v>
      </c>
      <c r="L173" t="s">
        <v>12823</v>
      </c>
      <c r="M173" s="3" t="str">
        <f>HYPERLINK(склад2въезд131920[[#This Row],[RelativePath]])</f>
        <v>6 Площадка 1 общага\826398429_1_20260223T081031Z.jpg</v>
      </c>
    </row>
    <row r="174" spans="1:13" x14ac:dyDescent="0.25">
      <c r="A174" s="2" t="s">
        <v>13</v>
      </c>
      <c r="B174" s="4">
        <v>46076</v>
      </c>
      <c r="C174" s="5">
        <v>0.35214120370370372</v>
      </c>
      <c r="D174" s="10" t="s">
        <v>1606</v>
      </c>
      <c r="E174" s="10" t="s">
        <v>12926</v>
      </c>
      <c r="F174" s="10" t="s">
        <v>649</v>
      </c>
      <c r="H174" s="10"/>
      <c r="I174" s="10" t="s">
        <v>12824</v>
      </c>
      <c r="J174" s="10" t="s">
        <v>2983</v>
      </c>
      <c r="K174" t="s">
        <v>12825</v>
      </c>
      <c r="L174" t="s">
        <v>12826</v>
      </c>
      <c r="M174" s="3" t="str">
        <f>HYPERLINK(склад2въезд131920[[#This Row],[RelativePath]])</f>
        <v>6 Площадка 1 общага\826398429_1_20260223T082705Z.jpg</v>
      </c>
    </row>
    <row r="175" spans="1:13" x14ac:dyDescent="0.25">
      <c r="A175" s="2" t="s">
        <v>13</v>
      </c>
      <c r="B175" s="4">
        <v>46076</v>
      </c>
      <c r="C175" s="5">
        <v>0.35872685185185182</v>
      </c>
      <c r="D175" s="10" t="s">
        <v>289</v>
      </c>
      <c r="E175" s="10" t="s">
        <v>12926</v>
      </c>
      <c r="F175" s="10" t="s">
        <v>649</v>
      </c>
      <c r="H175" s="10"/>
      <c r="I175" s="10" t="s">
        <v>12827</v>
      </c>
      <c r="J175" s="10" t="s">
        <v>2983</v>
      </c>
      <c r="K175" t="s">
        <v>12828</v>
      </c>
      <c r="L175" t="s">
        <v>12829</v>
      </c>
      <c r="M175" s="3" t="str">
        <f>HYPERLINK(склад2въезд131920[[#This Row],[RelativePath]])</f>
        <v>6 Площадка 1 общага\826398429_1_20260223T083634Z.jpg</v>
      </c>
    </row>
    <row r="176" spans="1:13" x14ac:dyDescent="0.25">
      <c r="A176" s="2" t="s">
        <v>13</v>
      </c>
      <c r="B176" s="4">
        <v>46076</v>
      </c>
      <c r="C176" s="5">
        <v>0.36371527777777779</v>
      </c>
      <c r="D176" s="10" t="s">
        <v>289</v>
      </c>
      <c r="E176" s="10" t="s">
        <v>12926</v>
      </c>
      <c r="F176" s="10" t="s">
        <v>649</v>
      </c>
      <c r="H176" s="10" t="s">
        <v>2936</v>
      </c>
      <c r="I176" s="10" t="s">
        <v>12830</v>
      </c>
      <c r="J176" s="10" t="s">
        <v>2983</v>
      </c>
      <c r="K176" t="s">
        <v>12831</v>
      </c>
      <c r="L176" t="s">
        <v>12832</v>
      </c>
      <c r="M176" s="3" t="str">
        <f>HYPERLINK(склад2въезд131920[[#This Row],[RelativePath]])</f>
        <v>6 Площадка 1 общага\826398429_1_20260223T084345Z.jpg</v>
      </c>
    </row>
    <row r="177" spans="1:13" x14ac:dyDescent="0.25">
      <c r="A177" s="2" t="s">
        <v>13</v>
      </c>
      <c r="B177" s="4">
        <v>46076</v>
      </c>
      <c r="C177" s="5">
        <v>0.37137731481481484</v>
      </c>
      <c r="D177" s="10" t="s">
        <v>12933</v>
      </c>
      <c r="E177" s="10" t="s">
        <v>12926</v>
      </c>
      <c r="F177" s="10"/>
      <c r="H177" s="10"/>
      <c r="I177" s="10" t="s">
        <v>12833</v>
      </c>
      <c r="J177" s="10" t="s">
        <v>2983</v>
      </c>
      <c r="K177" t="s">
        <v>12834</v>
      </c>
      <c r="L177" t="s">
        <v>12835</v>
      </c>
      <c r="M177" s="3" t="str">
        <f>HYPERLINK(склад2въезд131920[[#This Row],[RelativePath]])</f>
        <v>6 Площадка 1 общага\826398429_1_20260223T085447Z.jpg</v>
      </c>
    </row>
    <row r="178" spans="1:13" x14ac:dyDescent="0.25">
      <c r="A178" s="2" t="s">
        <v>13</v>
      </c>
      <c r="B178" s="4">
        <v>46076</v>
      </c>
      <c r="C178" s="5">
        <v>0.37709490740740742</v>
      </c>
      <c r="D178" s="10" t="s">
        <v>289</v>
      </c>
      <c r="E178" s="10" t="s">
        <v>12927</v>
      </c>
      <c r="F178" s="10" t="s">
        <v>649</v>
      </c>
      <c r="H178" s="10"/>
      <c r="I178" s="10" t="s">
        <v>12836</v>
      </c>
      <c r="J178" s="10" t="s">
        <v>2983</v>
      </c>
      <c r="K178" t="s">
        <v>12837</v>
      </c>
      <c r="L178" t="s">
        <v>12838</v>
      </c>
      <c r="M178" s="3" t="str">
        <f>HYPERLINK(склад2въезд131920[[#This Row],[RelativePath]])</f>
        <v>6 Площадка 1 общага\826398429_1_20260223T090301Z.jpg</v>
      </c>
    </row>
    <row r="179" spans="1:13" x14ac:dyDescent="0.25">
      <c r="A179" s="2" t="s">
        <v>13</v>
      </c>
      <c r="B179" s="4">
        <v>46076</v>
      </c>
      <c r="C179" s="5">
        <v>0.37910879629629629</v>
      </c>
      <c r="D179" s="10" t="s">
        <v>289</v>
      </c>
      <c r="E179" s="10" t="s">
        <v>12927</v>
      </c>
      <c r="F179" s="10" t="s">
        <v>649</v>
      </c>
      <c r="H179" s="10" t="s">
        <v>2936</v>
      </c>
      <c r="I179" s="10" t="s">
        <v>12839</v>
      </c>
      <c r="J179" s="10" t="s">
        <v>2983</v>
      </c>
      <c r="K179" t="s">
        <v>12840</v>
      </c>
      <c r="L179" t="s">
        <v>12841</v>
      </c>
      <c r="M179" s="3" t="str">
        <f>HYPERLINK(склад2въезд131920[[#This Row],[RelativePath]])</f>
        <v>6 Площадка 1 общага\826398429_1_20260223T090555Z.jpg</v>
      </c>
    </row>
    <row r="180" spans="1:13" x14ac:dyDescent="0.25">
      <c r="A180" s="2" t="s">
        <v>13</v>
      </c>
      <c r="B180" s="4">
        <v>46076</v>
      </c>
      <c r="C180" s="5">
        <v>0.38299768518518518</v>
      </c>
      <c r="D180" s="10" t="s">
        <v>289</v>
      </c>
      <c r="E180" s="10" t="s">
        <v>12927</v>
      </c>
      <c r="F180" s="10" t="s">
        <v>649</v>
      </c>
      <c r="H180" s="10" t="s">
        <v>2936</v>
      </c>
      <c r="I180" s="10" t="s">
        <v>12842</v>
      </c>
      <c r="J180" s="10" t="s">
        <v>2983</v>
      </c>
      <c r="K180" t="s">
        <v>12843</v>
      </c>
      <c r="L180" t="s">
        <v>12844</v>
      </c>
      <c r="M180" s="3" t="str">
        <f>HYPERLINK(склад2въезд131920[[#This Row],[RelativePath]])</f>
        <v>6 Площадка 1 общага\826398429_1_20260223T091131Z.jpg</v>
      </c>
    </row>
    <row r="181" spans="1:13" x14ac:dyDescent="0.25">
      <c r="A181" s="2" t="s">
        <v>13</v>
      </c>
      <c r="B181" s="4">
        <v>46076</v>
      </c>
      <c r="C181" s="5">
        <v>0.39024305555555555</v>
      </c>
      <c r="D181" s="10" t="s">
        <v>289</v>
      </c>
      <c r="E181" s="10" t="s">
        <v>12926</v>
      </c>
      <c r="F181" s="10" t="s">
        <v>649</v>
      </c>
      <c r="H181" s="10" t="s">
        <v>2936</v>
      </c>
      <c r="I181" s="10" t="s">
        <v>12845</v>
      </c>
      <c r="J181" s="10" t="s">
        <v>2983</v>
      </c>
      <c r="K181" t="s">
        <v>12846</v>
      </c>
      <c r="L181" t="s">
        <v>12847</v>
      </c>
      <c r="M181" s="3" t="str">
        <f>HYPERLINK(склад2въезд131920[[#This Row],[RelativePath]])</f>
        <v>6 Площадка 1 общага\826398429_1_20260223T092157Z.jpg</v>
      </c>
    </row>
    <row r="182" spans="1:13" x14ac:dyDescent="0.25">
      <c r="A182" s="2" t="s">
        <v>13</v>
      </c>
      <c r="B182" s="4">
        <v>46076</v>
      </c>
      <c r="C182" s="5">
        <v>0.39246527777777779</v>
      </c>
      <c r="D182" s="10" t="s">
        <v>289</v>
      </c>
      <c r="E182" s="10" t="s">
        <v>12926</v>
      </c>
      <c r="F182" s="10" t="s">
        <v>649</v>
      </c>
      <c r="H182" s="10" t="s">
        <v>2936</v>
      </c>
      <c r="I182" s="10" t="s">
        <v>12848</v>
      </c>
      <c r="J182" s="10" t="s">
        <v>2983</v>
      </c>
      <c r="K182" t="s">
        <v>12849</v>
      </c>
      <c r="L182" t="s">
        <v>12850</v>
      </c>
      <c r="M182" s="3" t="str">
        <f>HYPERLINK(склад2въезд131920[[#This Row],[RelativePath]])</f>
        <v>6 Площадка 1 общага\826398429_1_20260223T092509Z.jpg</v>
      </c>
    </row>
    <row r="183" spans="1:13" x14ac:dyDescent="0.25">
      <c r="A183" s="2" t="s">
        <v>13</v>
      </c>
      <c r="B183" s="4">
        <v>46076</v>
      </c>
      <c r="C183" s="5">
        <v>0.39396990740740739</v>
      </c>
      <c r="D183" s="10" t="s">
        <v>289</v>
      </c>
      <c r="E183" s="10" t="s">
        <v>12926</v>
      </c>
      <c r="F183" s="10" t="s">
        <v>649</v>
      </c>
      <c r="H183" s="10" t="s">
        <v>2936</v>
      </c>
      <c r="I183" s="10" t="s">
        <v>12851</v>
      </c>
      <c r="J183" s="10" t="s">
        <v>2983</v>
      </c>
      <c r="K183" t="s">
        <v>12852</v>
      </c>
      <c r="L183" t="s">
        <v>12853</v>
      </c>
      <c r="M183" s="3" t="str">
        <f>HYPERLINK(склад2въезд131920[[#This Row],[RelativePath]])</f>
        <v>6 Площадка 1 общага\826398429_1_20260223T092719Z.jpg</v>
      </c>
    </row>
    <row r="184" spans="1:13" x14ac:dyDescent="0.25">
      <c r="A184" s="2" t="s">
        <v>13</v>
      </c>
      <c r="B184" s="4">
        <v>46076</v>
      </c>
      <c r="C184" s="5">
        <v>0.39706018518518521</v>
      </c>
      <c r="D184" s="10" t="s">
        <v>289</v>
      </c>
      <c r="E184" s="10" t="s">
        <v>12926</v>
      </c>
      <c r="F184" s="10" t="s">
        <v>649</v>
      </c>
      <c r="H184" s="10" t="s">
        <v>2936</v>
      </c>
      <c r="I184" s="10" t="s">
        <v>12854</v>
      </c>
      <c r="J184" s="10" t="s">
        <v>2983</v>
      </c>
      <c r="K184" t="s">
        <v>12855</v>
      </c>
      <c r="L184" t="s">
        <v>12856</v>
      </c>
      <c r="M184" s="3" t="str">
        <f>HYPERLINK(склад2въезд131920[[#This Row],[RelativePath]])</f>
        <v>6 Площадка 1 общага\826398429_1_20260223T093146Z.jpg</v>
      </c>
    </row>
    <row r="185" spans="1:13" x14ac:dyDescent="0.25">
      <c r="A185" s="2" t="s">
        <v>13</v>
      </c>
      <c r="B185" s="4">
        <v>46076</v>
      </c>
      <c r="C185" s="5">
        <v>0.40009259259259261</v>
      </c>
      <c r="D185" s="10" t="s">
        <v>289</v>
      </c>
      <c r="E185" s="10" t="s">
        <v>12926</v>
      </c>
      <c r="F185" s="10" t="s">
        <v>649</v>
      </c>
      <c r="H185" s="10" t="s">
        <v>2936</v>
      </c>
      <c r="I185" s="10" t="s">
        <v>12857</v>
      </c>
      <c r="J185" s="10" t="s">
        <v>2983</v>
      </c>
      <c r="K185" t="s">
        <v>12858</v>
      </c>
      <c r="L185" t="s">
        <v>12859</v>
      </c>
      <c r="M185" s="3" t="str">
        <f>HYPERLINK(склад2въезд131920[[#This Row],[RelativePath]])</f>
        <v>6 Площадка 1 общага\826398429_1_20260223T093608Z.jpg</v>
      </c>
    </row>
    <row r="186" spans="1:13" x14ac:dyDescent="0.25">
      <c r="A186" s="2" t="s">
        <v>13</v>
      </c>
      <c r="B186" s="4">
        <v>46076</v>
      </c>
      <c r="C186" s="5">
        <v>0.40337962962962964</v>
      </c>
      <c r="D186" s="10" t="s">
        <v>289</v>
      </c>
      <c r="E186" s="10" t="s">
        <v>12927</v>
      </c>
      <c r="F186" s="10" t="s">
        <v>649</v>
      </c>
      <c r="H186" s="10" t="s">
        <v>2936</v>
      </c>
      <c r="I186" s="10" t="s">
        <v>12860</v>
      </c>
      <c r="J186" s="10" t="s">
        <v>2983</v>
      </c>
      <c r="K186" t="s">
        <v>12861</v>
      </c>
      <c r="L186" t="s">
        <v>12862</v>
      </c>
      <c r="M186" s="3" t="str">
        <f>HYPERLINK(склад2въезд131920[[#This Row],[RelativePath]])</f>
        <v>6 Площадка 1 общага\826398429_1_20260223T094052Z.jpg</v>
      </c>
    </row>
    <row r="187" spans="1:13" x14ac:dyDescent="0.25">
      <c r="A187" s="2" t="s">
        <v>13</v>
      </c>
      <c r="B187" s="4">
        <v>46076</v>
      </c>
      <c r="C187" s="5">
        <v>0.40519675925925924</v>
      </c>
      <c r="D187" s="10" t="s">
        <v>289</v>
      </c>
      <c r="E187" s="10" t="s">
        <v>12927</v>
      </c>
      <c r="F187" s="10" t="s">
        <v>649</v>
      </c>
      <c r="H187" s="10" t="s">
        <v>2936</v>
      </c>
      <c r="I187" s="10" t="s">
        <v>12863</v>
      </c>
      <c r="J187" s="10" t="s">
        <v>2983</v>
      </c>
      <c r="K187" t="s">
        <v>12864</v>
      </c>
      <c r="L187" t="s">
        <v>12865</v>
      </c>
      <c r="M187" s="3" t="str">
        <f>HYPERLINK(склад2въезд131920[[#This Row],[RelativePath]])</f>
        <v>6 Площадка 1 общага\826398429_1_20260223T094329Z.jpg</v>
      </c>
    </row>
    <row r="188" spans="1:13" x14ac:dyDescent="0.25">
      <c r="A188" s="2" t="s">
        <v>13</v>
      </c>
      <c r="B188" s="4">
        <v>46076</v>
      </c>
      <c r="C188" s="5">
        <v>0.40694444444444444</v>
      </c>
      <c r="D188" s="10" t="s">
        <v>289</v>
      </c>
      <c r="E188" s="10" t="s">
        <v>12927</v>
      </c>
      <c r="F188" s="10" t="s">
        <v>649</v>
      </c>
      <c r="H188" s="10" t="s">
        <v>2936</v>
      </c>
      <c r="I188" s="10" t="s">
        <v>12866</v>
      </c>
      <c r="J188" s="10" t="s">
        <v>2983</v>
      </c>
      <c r="K188" t="s">
        <v>12867</v>
      </c>
      <c r="L188" t="s">
        <v>12868</v>
      </c>
      <c r="M188" s="3" t="str">
        <f>HYPERLINK(склад2въезд131920[[#This Row],[RelativePath]])</f>
        <v>6 Площадка 1 общага\826398429_1_20260223T094600Z.jpg</v>
      </c>
    </row>
    <row r="189" spans="1:13" x14ac:dyDescent="0.25">
      <c r="A189" s="2" t="s">
        <v>13</v>
      </c>
      <c r="B189" s="4">
        <v>46076</v>
      </c>
      <c r="C189" s="5">
        <v>0.40980324074074076</v>
      </c>
      <c r="D189" s="10" t="s">
        <v>289</v>
      </c>
      <c r="E189" s="10" t="s">
        <v>12927</v>
      </c>
      <c r="F189" s="10" t="s">
        <v>649</v>
      </c>
      <c r="H189" s="10" t="s">
        <v>2936</v>
      </c>
      <c r="I189" s="10" t="s">
        <v>12869</v>
      </c>
      <c r="J189" s="10" t="s">
        <v>2983</v>
      </c>
      <c r="K189" t="s">
        <v>12870</v>
      </c>
      <c r="L189" t="s">
        <v>12871</v>
      </c>
      <c r="M189" s="3" t="str">
        <f>HYPERLINK(склад2въезд131920[[#This Row],[RelativePath]])</f>
        <v>6 Площадка 1 общага\826398429_1_20260223T095007Z.jpg</v>
      </c>
    </row>
    <row r="190" spans="1:13" x14ac:dyDescent="0.25">
      <c r="A190" s="2" t="s">
        <v>13</v>
      </c>
      <c r="B190" s="4">
        <v>46076</v>
      </c>
      <c r="C190" s="5">
        <v>0.41170138888888891</v>
      </c>
      <c r="D190" s="10" t="s">
        <v>289</v>
      </c>
      <c r="E190" s="10" t="s">
        <v>12927</v>
      </c>
      <c r="F190" s="10" t="s">
        <v>649</v>
      </c>
      <c r="H190" s="10" t="s">
        <v>2936</v>
      </c>
      <c r="I190" s="10" t="s">
        <v>12872</v>
      </c>
      <c r="J190" s="10" t="s">
        <v>2983</v>
      </c>
      <c r="K190" t="s">
        <v>12873</v>
      </c>
      <c r="L190" t="s">
        <v>12874</v>
      </c>
      <c r="M190" s="3" t="str">
        <f>HYPERLINK(склад2въезд131920[[#This Row],[RelativePath]])</f>
        <v>6 Площадка 1 общага\826398429_1_20260223T095251Z.jpg</v>
      </c>
    </row>
    <row r="191" spans="1:13" x14ac:dyDescent="0.25">
      <c r="A191" s="2" t="s">
        <v>13</v>
      </c>
      <c r="B191" s="4">
        <v>46076</v>
      </c>
      <c r="C191" s="5">
        <v>0.41336805555555556</v>
      </c>
      <c r="D191" s="10" t="s">
        <v>289</v>
      </c>
      <c r="E191" s="10" t="s">
        <v>12927</v>
      </c>
      <c r="F191" s="10" t="s">
        <v>649</v>
      </c>
      <c r="H191" s="10" t="s">
        <v>2936</v>
      </c>
      <c r="I191" s="10" t="s">
        <v>12875</v>
      </c>
      <c r="J191" s="10" t="s">
        <v>2983</v>
      </c>
      <c r="K191" t="s">
        <v>12876</v>
      </c>
      <c r="L191" t="s">
        <v>12877</v>
      </c>
      <c r="M191" s="3" t="str">
        <f>HYPERLINK(склад2въезд131920[[#This Row],[RelativePath]])</f>
        <v>6 Площадка 1 общага\826398429_1_20260223T095515Z.jpg</v>
      </c>
    </row>
    <row r="192" spans="1:13" x14ac:dyDescent="0.25">
      <c r="A192" s="2" t="s">
        <v>13</v>
      </c>
      <c r="B192" s="4">
        <v>46076</v>
      </c>
      <c r="C192" s="5">
        <v>0.41523148148148148</v>
      </c>
      <c r="D192" s="10" t="s">
        <v>289</v>
      </c>
      <c r="E192" s="10" t="s">
        <v>12927</v>
      </c>
      <c r="F192" s="10" t="s">
        <v>649</v>
      </c>
      <c r="H192" s="10" t="s">
        <v>2936</v>
      </c>
      <c r="I192" s="10" t="s">
        <v>12878</v>
      </c>
      <c r="J192" s="10" t="s">
        <v>2983</v>
      </c>
      <c r="K192" t="s">
        <v>12879</v>
      </c>
      <c r="L192" t="s">
        <v>12880</v>
      </c>
      <c r="M192" s="3" t="str">
        <f>HYPERLINK(склад2въезд131920[[#This Row],[RelativePath]])</f>
        <v>6 Площадка 1 общага\826398429_1_20260223T095756Z.jpg</v>
      </c>
    </row>
    <row r="193" spans="1:13" x14ac:dyDescent="0.25">
      <c r="A193" s="2" t="s">
        <v>13</v>
      </c>
      <c r="B193" s="4">
        <v>46076</v>
      </c>
      <c r="C193" s="5">
        <v>0.42120370370370369</v>
      </c>
      <c r="D193" s="10" t="s">
        <v>4232</v>
      </c>
      <c r="E193" s="10"/>
      <c r="F193" s="10"/>
      <c r="H193" s="10"/>
      <c r="I193" s="10" t="s">
        <v>12881</v>
      </c>
      <c r="J193" s="10" t="s">
        <v>2983</v>
      </c>
      <c r="K193" t="s">
        <v>12882</v>
      </c>
      <c r="L193" t="s">
        <v>12883</v>
      </c>
      <c r="M193" s="3" t="str">
        <f>HYPERLINK(склад2въезд131920[[#This Row],[RelativePath]])</f>
        <v>6 Площадка 1 общага\826398429_1_20260223T100632Z.jpg</v>
      </c>
    </row>
    <row r="194" spans="1:13" x14ac:dyDescent="0.25">
      <c r="A194" s="2" t="s">
        <v>13</v>
      </c>
      <c r="B194" s="4">
        <v>46076</v>
      </c>
      <c r="C194" s="5">
        <v>0.42271990740740739</v>
      </c>
      <c r="D194" s="10" t="s">
        <v>650</v>
      </c>
      <c r="E194" s="10" t="s">
        <v>12927</v>
      </c>
      <c r="F194" s="10" t="s">
        <v>649</v>
      </c>
      <c r="H194" s="10"/>
      <c r="I194" s="10" t="s">
        <v>12884</v>
      </c>
      <c r="J194" s="10" t="s">
        <v>2983</v>
      </c>
      <c r="K194" t="s">
        <v>12885</v>
      </c>
      <c r="L194" t="s">
        <v>12886</v>
      </c>
      <c r="M194" s="3" t="str">
        <f>HYPERLINK(склад2въезд131920[[#This Row],[RelativePath]])</f>
        <v>6 Площадка 1 общага\826398429_1_20260223T100843Z.jpg</v>
      </c>
    </row>
    <row r="195" spans="1:13" x14ac:dyDescent="0.25">
      <c r="A195" s="2" t="s">
        <v>13</v>
      </c>
      <c r="B195" s="4">
        <v>46076</v>
      </c>
      <c r="C195" s="5">
        <v>0.43721064814814814</v>
      </c>
      <c r="D195" s="10" t="s">
        <v>650</v>
      </c>
      <c r="E195" s="10" t="s">
        <v>12926</v>
      </c>
      <c r="F195" s="10" t="s">
        <v>649</v>
      </c>
      <c r="H195" s="10"/>
      <c r="I195" s="10" t="s">
        <v>12887</v>
      </c>
      <c r="J195" s="10" t="s">
        <v>2983</v>
      </c>
      <c r="K195" t="s">
        <v>12888</v>
      </c>
      <c r="L195" t="s">
        <v>12889</v>
      </c>
      <c r="M195" s="3" t="str">
        <f>HYPERLINK(склад2въезд131920[[#This Row],[RelativePath]])</f>
        <v>6 Площадка 1 общага\826398429_1_20260223T102935Z.jpg</v>
      </c>
    </row>
    <row r="196" spans="1:13" x14ac:dyDescent="0.25">
      <c r="A196" s="2" t="s">
        <v>13</v>
      </c>
      <c r="B196" s="4">
        <v>46076</v>
      </c>
      <c r="C196" s="5">
        <v>0.48266203703703703</v>
      </c>
      <c r="D196" s="10" t="s">
        <v>7</v>
      </c>
      <c r="E196" s="10"/>
      <c r="F196" s="10"/>
      <c r="H196" s="10"/>
      <c r="I196" s="10" t="s">
        <v>12890</v>
      </c>
      <c r="J196" s="10" t="s">
        <v>2983</v>
      </c>
      <c r="K196" t="s">
        <v>12891</v>
      </c>
      <c r="L196" t="s">
        <v>12892</v>
      </c>
      <c r="M196" s="3" t="str">
        <f>HYPERLINK(склад2въезд131920[[#This Row],[RelativePath]])</f>
        <v>6 Площадка 1 общага\826398429_1_20260223T113502Z.jpg</v>
      </c>
    </row>
    <row r="197" spans="1:13" x14ac:dyDescent="0.25">
      <c r="A197" s="2" t="s">
        <v>13</v>
      </c>
      <c r="B197" s="4">
        <v>46076</v>
      </c>
      <c r="C197" s="5">
        <v>0.51258101851851856</v>
      </c>
      <c r="D197" s="10" t="s">
        <v>1936</v>
      </c>
      <c r="E197" s="10"/>
      <c r="F197" s="10"/>
      <c r="H197" s="10"/>
      <c r="I197" s="10" t="s">
        <v>12893</v>
      </c>
      <c r="J197" s="10" t="s">
        <v>2983</v>
      </c>
      <c r="K197" t="s">
        <v>12894</v>
      </c>
      <c r="L197" t="s">
        <v>12895</v>
      </c>
      <c r="M197" s="3" t="str">
        <f>HYPERLINK(склад2въезд131920[[#This Row],[RelativePath]])</f>
        <v>6 Площадка 1 общага\826398429_1_20260223T121807Z.jpg</v>
      </c>
    </row>
    <row r="198" spans="1:13" x14ac:dyDescent="0.25">
      <c r="A198" s="2" t="s">
        <v>13</v>
      </c>
      <c r="B198" s="4">
        <v>46076</v>
      </c>
      <c r="C198" s="5">
        <v>0.7860300925925926</v>
      </c>
      <c r="D198" s="10" t="s">
        <v>4</v>
      </c>
      <c r="E198" s="10" t="s">
        <v>8</v>
      </c>
      <c r="F198" s="10"/>
      <c r="H198" s="10"/>
      <c r="I198" s="10" t="s">
        <v>12896</v>
      </c>
      <c r="J198" s="10" t="s">
        <v>2983</v>
      </c>
      <c r="K198" t="s">
        <v>12897</v>
      </c>
      <c r="L198" t="s">
        <v>12898</v>
      </c>
      <c r="M198" s="3" t="str">
        <f>HYPERLINK(склад2въезд131920[[#This Row],[RelativePath]])</f>
        <v>6 Площадка 1 общага\826398429_1_20260223T185153Z.jpg</v>
      </c>
    </row>
  </sheetData>
  <conditionalFormatting sqref="D199:D209 E199:E212 G2:H198 D2:E198">
    <cfRule type="containsText" dxfId="750" priority="14" operator="containsText" text="Выезд с территории">
      <formula>NOT(ISERROR(SEARCH("Выезд с территории",D2)))</formula>
    </cfRule>
  </conditionalFormatting>
  <conditionalFormatting sqref="F2:F198">
    <cfRule type="notContainsText" dxfId="749" priority="13" operator="notContains" text="порожний">
      <formula>ISERROR(SEARCH("порожний",F2))</formula>
    </cfRule>
  </conditionalFormatting>
  <conditionalFormatting sqref="E2:E212">
    <cfRule type="containsText" dxfId="748" priority="11" operator="containsText" text="Газель базы">
      <formula>NOT(ISERROR(SEARCH("Газель базы",E2)))</formula>
    </cfRule>
    <cfRule type="containsText" dxfId="747" priority="12" operator="containsText" text="Погрузчик базы">
      <formula>NOT(ISERROR(SEARCH("Погрузчик базы",E2)))</formula>
    </cfRule>
  </conditionalFormatting>
  <conditionalFormatting sqref="E2:E212">
    <cfRule type="containsText" dxfId="746" priority="10" operator="containsText" text="Трактор базы">
      <formula>NOT(ISERROR(SEARCH("Трактор базы",E2)))</formula>
    </cfRule>
  </conditionalFormatting>
  <conditionalFormatting sqref="A2:C198">
    <cfRule type="expression" dxfId="745" priority="9">
      <formula>$A2="пн"</formula>
    </cfRule>
  </conditionalFormatting>
  <conditionalFormatting sqref="A2:C200">
    <cfRule type="expression" dxfId="744" priority="3">
      <formula>$A2="вс"</formula>
    </cfRule>
    <cfRule type="expression" dxfId="743" priority="4">
      <formula>$A2="сб"</formula>
    </cfRule>
    <cfRule type="expression" dxfId="742" priority="5">
      <formula>$A2="пт"</formula>
    </cfRule>
    <cfRule type="expression" dxfId="741" priority="6">
      <formula>$A2="чт"</formula>
    </cfRule>
    <cfRule type="expression" dxfId="740" priority="7">
      <formula>$A2="ср"</formula>
    </cfRule>
    <cfRule type="expression" dxfId="739" priority="8">
      <formula>$A2="вт"</formula>
    </cfRule>
  </conditionalFormatting>
  <conditionalFormatting sqref="D2:D209">
    <cfRule type="containsText" dxfId="7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9">
    <cfRule type="containsText" dxfId="7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15"/>
  <sheetViews>
    <sheetView zoomScale="90" zoomScaleNormal="90" workbookViewId="0">
      <pane ySplit="1" topLeftCell="A299" activePane="bottomLeft" state="frozen"/>
      <selection pane="bottomLeft" activeCell="I313" sqref="I313:I31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6.2851562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10" t="s">
        <v>4</v>
      </c>
      <c r="E2" s="10" t="s">
        <v>8</v>
      </c>
      <c r="F2" s="10"/>
      <c r="H2" s="10" t="s">
        <v>5</v>
      </c>
      <c r="I2" s="10" t="s">
        <v>535</v>
      </c>
      <c r="J2" s="10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10" t="s">
        <v>4</v>
      </c>
      <c r="E3" s="10" t="s">
        <v>11</v>
      </c>
      <c r="F3" s="10"/>
      <c r="H3" s="10"/>
      <c r="I3" s="10" t="s">
        <v>538</v>
      </c>
      <c r="J3" s="10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10" t="s">
        <v>4</v>
      </c>
      <c r="E4" s="10" t="s">
        <v>19</v>
      </c>
      <c r="F4" s="10"/>
      <c r="H4" s="10"/>
      <c r="I4" s="10" t="s">
        <v>541</v>
      </c>
      <c r="J4" s="10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10" t="s">
        <v>4</v>
      </c>
      <c r="E5" s="10" t="s">
        <v>19</v>
      </c>
      <c r="F5" s="10"/>
      <c r="H5" s="10"/>
      <c r="I5" s="10" t="s">
        <v>544</v>
      </c>
      <c r="J5" s="10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10" t="s">
        <v>4</v>
      </c>
      <c r="E6" s="10" t="s">
        <v>8</v>
      </c>
      <c r="F6" s="10"/>
      <c r="H6" s="10" t="s">
        <v>6</v>
      </c>
      <c r="I6" s="10" t="s">
        <v>547</v>
      </c>
      <c r="J6" s="10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10" t="s">
        <v>4</v>
      </c>
      <c r="E7" s="10" t="s">
        <v>8</v>
      </c>
      <c r="F7" s="10"/>
      <c r="H7" s="10" t="s">
        <v>5</v>
      </c>
      <c r="I7" s="10" t="s">
        <v>550</v>
      </c>
      <c r="J7" s="10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10" t="s">
        <v>4</v>
      </c>
      <c r="E8" s="10" t="s">
        <v>19</v>
      </c>
      <c r="F8" s="10"/>
      <c r="H8" s="10"/>
      <c r="I8" s="10" t="s">
        <v>553</v>
      </c>
      <c r="J8" s="10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10" t="s">
        <v>4</v>
      </c>
      <c r="E9" s="10" t="s">
        <v>19</v>
      </c>
      <c r="F9" s="10"/>
      <c r="H9" s="10"/>
      <c r="I9" s="10" t="s">
        <v>556</v>
      </c>
      <c r="J9" s="10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10" t="s">
        <v>648</v>
      </c>
      <c r="E10" s="10" t="s">
        <v>86</v>
      </c>
      <c r="F10" s="10" t="s">
        <v>528</v>
      </c>
      <c r="H10" s="10"/>
      <c r="I10" s="10" t="s">
        <v>559</v>
      </c>
      <c r="J10" s="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10" t="s">
        <v>4</v>
      </c>
      <c r="E11" s="10" t="s">
        <v>19</v>
      </c>
      <c r="F11" s="10"/>
      <c r="H11" s="10"/>
      <c r="I11" s="10" t="s">
        <v>562</v>
      </c>
      <c r="J11" s="10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10" t="s">
        <v>158</v>
      </c>
      <c r="E12" s="10" t="s">
        <v>86</v>
      </c>
      <c r="F12" s="10" t="s">
        <v>649</v>
      </c>
      <c r="H12" s="10"/>
      <c r="I12" s="10" t="s">
        <v>565</v>
      </c>
      <c r="J12" s="10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10" t="s">
        <v>290</v>
      </c>
      <c r="E13" s="10" t="s">
        <v>86</v>
      </c>
      <c r="F13" s="10" t="s">
        <v>649</v>
      </c>
      <c r="H13" s="10"/>
      <c r="I13" s="10" t="s">
        <v>568</v>
      </c>
      <c r="J13" s="10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10" t="s">
        <v>289</v>
      </c>
      <c r="E14" s="10" t="s">
        <v>86</v>
      </c>
      <c r="F14" s="10" t="s">
        <v>60</v>
      </c>
      <c r="G14">
        <v>2</v>
      </c>
      <c r="H14" s="10"/>
      <c r="I14" s="10" t="s">
        <v>571</v>
      </c>
      <c r="J14" s="10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10" t="s">
        <v>650</v>
      </c>
      <c r="E15" s="10" t="s">
        <v>86</v>
      </c>
      <c r="F15" s="10" t="s">
        <v>60</v>
      </c>
      <c r="H15" s="10"/>
      <c r="I15" s="10" t="s">
        <v>574</v>
      </c>
      <c r="J15" s="10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10" t="s">
        <v>4</v>
      </c>
      <c r="E16" s="10" t="s">
        <v>12</v>
      </c>
      <c r="F16" s="10"/>
      <c r="H16" s="10"/>
      <c r="I16" s="10" t="s">
        <v>577</v>
      </c>
      <c r="J16" s="10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10" t="s">
        <v>4</v>
      </c>
      <c r="E17" s="10" t="s">
        <v>651</v>
      </c>
      <c r="F17" s="10"/>
      <c r="H17" s="10"/>
      <c r="I17" s="10" t="s">
        <v>580</v>
      </c>
      <c r="J17" s="10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10" t="s">
        <v>4</v>
      </c>
      <c r="E18" s="10" t="s">
        <v>8</v>
      </c>
      <c r="F18" s="10"/>
      <c r="H18" s="10" t="s">
        <v>6</v>
      </c>
      <c r="I18" s="10" t="s">
        <v>583</v>
      </c>
      <c r="J18" s="10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10" t="s">
        <v>4</v>
      </c>
      <c r="E19" s="10" t="s">
        <v>652</v>
      </c>
      <c r="F19" s="10"/>
      <c r="H19" s="10"/>
      <c r="I19" s="10" t="s">
        <v>586</v>
      </c>
      <c r="J19" s="10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10" t="s">
        <v>4</v>
      </c>
      <c r="E20" s="10" t="s">
        <v>652</v>
      </c>
      <c r="F20" s="10"/>
      <c r="H20" s="10"/>
      <c r="I20" s="10" t="s">
        <v>589</v>
      </c>
      <c r="J20" s="1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10" t="s">
        <v>4</v>
      </c>
      <c r="E21" s="10" t="s">
        <v>7</v>
      </c>
      <c r="F21" s="10"/>
      <c r="H21" s="10"/>
      <c r="I21" s="10" t="s">
        <v>592</v>
      </c>
      <c r="J21" s="10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10" t="s">
        <v>4</v>
      </c>
      <c r="E22" s="10" t="s">
        <v>652</v>
      </c>
      <c r="F22" s="10"/>
      <c r="H22" s="10"/>
      <c r="I22" s="10" t="s">
        <v>595</v>
      </c>
      <c r="J22" s="10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10" t="s">
        <v>4</v>
      </c>
      <c r="E23" s="10" t="s">
        <v>8</v>
      </c>
      <c r="F23" s="10"/>
      <c r="H23" s="10" t="s">
        <v>5</v>
      </c>
      <c r="I23" s="10" t="s">
        <v>598</v>
      </c>
      <c r="J23" s="10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10" t="s">
        <v>4</v>
      </c>
      <c r="E24" s="10" t="s">
        <v>652</v>
      </c>
      <c r="F24" s="10"/>
      <c r="H24" s="10"/>
      <c r="I24" s="10" t="s">
        <v>601</v>
      </c>
      <c r="J24" s="10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10" t="s">
        <v>4</v>
      </c>
      <c r="E25" s="10" t="s">
        <v>7</v>
      </c>
      <c r="F25" s="10"/>
      <c r="H25" s="10"/>
      <c r="I25" s="10" t="s">
        <v>603</v>
      </c>
      <c r="J25" s="10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10" t="s">
        <v>4</v>
      </c>
      <c r="E26" s="10" t="s">
        <v>7</v>
      </c>
      <c r="F26" s="10"/>
      <c r="H26" s="10"/>
      <c r="I26" s="10" t="s">
        <v>606</v>
      </c>
      <c r="J26" s="10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10" t="s">
        <v>4</v>
      </c>
      <c r="E27" s="10" t="s">
        <v>652</v>
      </c>
      <c r="F27" s="10"/>
      <c r="H27" s="10"/>
      <c r="I27" s="10" t="s">
        <v>609</v>
      </c>
      <c r="J27" s="10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10" t="s">
        <v>4</v>
      </c>
      <c r="E28" s="10" t="s">
        <v>652</v>
      </c>
      <c r="F28" s="10"/>
      <c r="H28" s="10"/>
      <c r="I28" s="10" t="s">
        <v>612</v>
      </c>
      <c r="J28" s="10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10" t="s">
        <v>4</v>
      </c>
      <c r="E29" s="10" t="s">
        <v>8</v>
      </c>
      <c r="F29" s="10"/>
      <c r="H29" s="10" t="s">
        <v>6</v>
      </c>
      <c r="I29" s="10" t="s">
        <v>615</v>
      </c>
      <c r="J29" s="10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10" t="s">
        <v>4</v>
      </c>
      <c r="E30" s="10" t="s">
        <v>12</v>
      </c>
      <c r="F30" s="10"/>
      <c r="H30" s="10"/>
      <c r="I30" s="10" t="s">
        <v>618</v>
      </c>
      <c r="J30" s="1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10" t="s">
        <v>4</v>
      </c>
      <c r="E31" s="10" t="s">
        <v>11</v>
      </c>
      <c r="F31" s="10"/>
      <c r="H31" s="10"/>
      <c r="I31" s="10" t="s">
        <v>621</v>
      </c>
      <c r="J31" s="10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10" t="s">
        <v>4</v>
      </c>
      <c r="E32" s="10" t="s">
        <v>11</v>
      </c>
      <c r="F32" s="10"/>
      <c r="H32" s="10"/>
      <c r="I32" s="10" t="s">
        <v>624</v>
      </c>
      <c r="J32" s="10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10" t="s">
        <v>289</v>
      </c>
      <c r="E33" s="10" t="s">
        <v>86</v>
      </c>
      <c r="F33" s="10" t="s">
        <v>60</v>
      </c>
      <c r="G33">
        <v>1</v>
      </c>
      <c r="H33" s="10"/>
      <c r="I33" s="10" t="s">
        <v>627</v>
      </c>
      <c r="J33" s="10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10" t="s">
        <v>653</v>
      </c>
      <c r="E34" s="10" t="s">
        <v>86</v>
      </c>
      <c r="F34" s="10" t="s">
        <v>200</v>
      </c>
      <c r="H34" s="10"/>
      <c r="I34" s="10" t="s">
        <v>630</v>
      </c>
      <c r="J34" s="10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10" t="s">
        <v>650</v>
      </c>
      <c r="E35" s="10" t="s">
        <v>86</v>
      </c>
      <c r="F35" s="10" t="s">
        <v>200</v>
      </c>
      <c r="H35" s="10"/>
      <c r="I35" s="10" t="s">
        <v>633</v>
      </c>
      <c r="J35" s="10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10" t="s">
        <v>289</v>
      </c>
      <c r="E36" s="10" t="s">
        <v>86</v>
      </c>
      <c r="F36" s="10" t="s">
        <v>200</v>
      </c>
      <c r="H36" s="10"/>
      <c r="I36" s="10" t="s">
        <v>636</v>
      </c>
      <c r="J36" s="10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10" t="s">
        <v>650</v>
      </c>
      <c r="E37" s="10" t="s">
        <v>86</v>
      </c>
      <c r="F37" s="10" t="s">
        <v>200</v>
      </c>
      <c r="H37" s="10"/>
      <c r="I37" s="10" t="s">
        <v>639</v>
      </c>
      <c r="J37" s="10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10" t="s">
        <v>4</v>
      </c>
      <c r="E38" s="10" t="s">
        <v>11</v>
      </c>
      <c r="F38" s="10"/>
      <c r="H38" s="10"/>
      <c r="I38" s="10" t="s">
        <v>642</v>
      </c>
      <c r="J38" s="10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10" t="s">
        <v>4</v>
      </c>
      <c r="E39" s="10" t="s">
        <v>8</v>
      </c>
      <c r="F39" s="10"/>
      <c r="H39" s="10" t="s">
        <v>6</v>
      </c>
      <c r="I39" s="10" t="s">
        <v>645</v>
      </c>
      <c r="J39" s="10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10" t="s">
        <v>4</v>
      </c>
      <c r="E40" s="10" t="s">
        <v>8</v>
      </c>
      <c r="F40" s="10"/>
      <c r="H40" s="10"/>
      <c r="I40" s="10" t="s">
        <v>1115</v>
      </c>
      <c r="J40" s="1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10" t="s">
        <v>4</v>
      </c>
      <c r="E41" s="10" t="s">
        <v>8</v>
      </c>
      <c r="F41" s="10"/>
      <c r="H41" s="10" t="s">
        <v>2004</v>
      </c>
      <c r="I41" s="10" t="s">
        <v>1118</v>
      </c>
      <c r="J41" s="10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10" t="s">
        <v>4</v>
      </c>
      <c r="E42" s="10" t="s">
        <v>8</v>
      </c>
      <c r="F42" s="10"/>
      <c r="H42" s="10"/>
      <c r="I42" s="10" t="s">
        <v>1121</v>
      </c>
      <c r="J42" s="10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10" t="s">
        <v>4</v>
      </c>
      <c r="E43" s="10" t="s">
        <v>8</v>
      </c>
      <c r="F43" s="10"/>
      <c r="H43" s="10" t="s">
        <v>2004</v>
      </c>
      <c r="I43" s="10" t="s">
        <v>1124</v>
      </c>
      <c r="J43" s="10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10" t="s">
        <v>4</v>
      </c>
      <c r="E44" s="10" t="s">
        <v>8</v>
      </c>
      <c r="F44" s="10"/>
      <c r="H44" s="10"/>
      <c r="I44" s="10" t="s">
        <v>1127</v>
      </c>
      <c r="J44" s="10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10" t="s">
        <v>11</v>
      </c>
      <c r="E45" s="10"/>
      <c r="F45" s="10"/>
      <c r="H45" s="10"/>
      <c r="I45" s="10" t="s">
        <v>2154</v>
      </c>
      <c r="J45" s="10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10" t="s">
        <v>11</v>
      </c>
      <c r="E46" s="10"/>
      <c r="F46" s="10"/>
      <c r="H46" s="10"/>
      <c r="I46" s="10" t="s">
        <v>2157</v>
      </c>
      <c r="J46" s="10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10" t="s">
        <v>11</v>
      </c>
      <c r="E47" s="10"/>
      <c r="F47" s="10"/>
      <c r="H47" s="10"/>
      <c r="I47" s="10" t="s">
        <v>2160</v>
      </c>
      <c r="J47" s="10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10" t="s">
        <v>11</v>
      </c>
      <c r="E48" s="10"/>
      <c r="F48" s="10"/>
      <c r="H48" s="10"/>
      <c r="I48" s="10" t="s">
        <v>2163</v>
      </c>
      <c r="J48" s="10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10" t="s">
        <v>11</v>
      </c>
      <c r="E49" s="10"/>
      <c r="F49" s="10"/>
      <c r="H49" s="10"/>
      <c r="I49" s="10" t="s">
        <v>2166</v>
      </c>
      <c r="J49" s="10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10" t="s">
        <v>11</v>
      </c>
      <c r="E50" s="10"/>
      <c r="F50" s="10"/>
      <c r="H50" s="10"/>
      <c r="I50" s="10" t="s">
        <v>2169</v>
      </c>
      <c r="J50" s="1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10" t="s">
        <v>11</v>
      </c>
      <c r="E51" s="10"/>
      <c r="F51" s="10"/>
      <c r="H51" s="10"/>
      <c r="I51" s="10" t="s">
        <v>2172</v>
      </c>
      <c r="J51" s="10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10" t="s">
        <v>11</v>
      </c>
      <c r="E52" s="10"/>
      <c r="F52" s="10"/>
      <c r="H52" s="10"/>
      <c r="I52" s="10" t="s">
        <v>2175</v>
      </c>
      <c r="J52" s="10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10" t="s">
        <v>11</v>
      </c>
      <c r="E53" s="10"/>
      <c r="F53" s="10"/>
      <c r="H53" s="10"/>
      <c r="I53" s="10" t="s">
        <v>2178</v>
      </c>
      <c r="J53" s="10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10" t="s">
        <v>4</v>
      </c>
      <c r="E54" s="10" t="s">
        <v>8</v>
      </c>
      <c r="F54" s="10"/>
      <c r="H54" s="10" t="s">
        <v>1625</v>
      </c>
      <c r="I54" s="10" t="s">
        <v>2181</v>
      </c>
      <c r="J54" s="10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10" t="s">
        <v>11</v>
      </c>
      <c r="E55" s="10"/>
      <c r="F55" s="10"/>
      <c r="H55" s="10"/>
      <c r="I55" s="10" t="s">
        <v>2184</v>
      </c>
      <c r="J55" s="10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10" t="s">
        <v>11</v>
      </c>
      <c r="E56" s="10"/>
      <c r="F56" s="10"/>
      <c r="H56" s="10"/>
      <c r="I56" s="10" t="s">
        <v>2187</v>
      </c>
      <c r="J56" s="10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10" t="s">
        <v>11</v>
      </c>
      <c r="E57" s="10"/>
      <c r="F57" s="10"/>
      <c r="H57" s="10"/>
      <c r="I57" s="10" t="s">
        <v>2190</v>
      </c>
      <c r="J57" s="10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10" t="s">
        <v>11</v>
      </c>
      <c r="E58" s="10"/>
      <c r="F58" s="10"/>
      <c r="H58" s="10"/>
      <c r="I58" s="10" t="s">
        <v>2193</v>
      </c>
      <c r="J58" s="10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10" t="s">
        <v>11</v>
      </c>
      <c r="E59" s="10"/>
      <c r="F59" s="10"/>
      <c r="H59" s="10"/>
      <c r="I59" s="10" t="s">
        <v>2196</v>
      </c>
      <c r="J59" s="10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10" t="s">
        <v>11</v>
      </c>
      <c r="E60" s="10"/>
      <c r="F60" s="10"/>
      <c r="H60" s="10"/>
      <c r="I60" s="10" t="s">
        <v>2199</v>
      </c>
      <c r="J60" s="1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10" t="s">
        <v>11</v>
      </c>
      <c r="E61" s="10"/>
      <c r="F61" s="10"/>
      <c r="H61" s="10"/>
      <c r="I61" s="10" t="s">
        <v>2202</v>
      </c>
      <c r="J61" s="10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10" t="s">
        <v>11</v>
      </c>
      <c r="E62" s="10"/>
      <c r="F62" s="10"/>
      <c r="H62" s="10"/>
      <c r="I62" s="10" t="s">
        <v>2205</v>
      </c>
      <c r="J62" s="10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10" t="s">
        <v>11</v>
      </c>
      <c r="E63" s="10"/>
      <c r="F63" s="10"/>
      <c r="H63" s="10"/>
      <c r="I63" s="10" t="s">
        <v>2208</v>
      </c>
      <c r="J63" s="10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10" t="s">
        <v>11</v>
      </c>
      <c r="E64" s="10"/>
      <c r="F64" s="10"/>
      <c r="H64" s="10"/>
      <c r="I64" s="10" t="s">
        <v>2211</v>
      </c>
      <c r="J64" s="10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10" t="s">
        <v>11</v>
      </c>
      <c r="E65" s="10"/>
      <c r="F65" s="10"/>
      <c r="H65" s="10"/>
      <c r="I65" s="10" t="s">
        <v>2214</v>
      </c>
      <c r="J65" s="10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10" t="s">
        <v>11</v>
      </c>
      <c r="E66" s="10"/>
      <c r="F66" s="10"/>
      <c r="H66" s="10"/>
      <c r="I66" s="10" t="s">
        <v>2217</v>
      </c>
      <c r="J66" s="10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10" t="s">
        <v>11</v>
      </c>
      <c r="E67" s="10"/>
      <c r="F67" s="10"/>
      <c r="H67" s="10"/>
      <c r="I67" s="10" t="s">
        <v>2220</v>
      </c>
      <c r="J67" s="10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10" t="s">
        <v>4</v>
      </c>
      <c r="E68" s="10" t="s">
        <v>8</v>
      </c>
      <c r="F68" s="10"/>
      <c r="H68" s="10" t="s">
        <v>1625</v>
      </c>
      <c r="I68" s="10" t="s">
        <v>2223</v>
      </c>
      <c r="J68" s="10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10" t="s">
        <v>2004</v>
      </c>
      <c r="E69" s="10"/>
      <c r="F69" s="10"/>
      <c r="H69" s="10"/>
      <c r="I69" s="10" t="s">
        <v>2226</v>
      </c>
      <c r="J69" s="10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10" t="s">
        <v>2004</v>
      </c>
      <c r="E70" s="10"/>
      <c r="F70" s="10"/>
      <c r="H70" s="10"/>
      <c r="I70" s="10" t="s">
        <v>2229</v>
      </c>
      <c r="J70" s="1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10" t="s">
        <v>4</v>
      </c>
      <c r="E71" s="10" t="s">
        <v>8</v>
      </c>
      <c r="F71" s="10"/>
      <c r="H71" s="10"/>
      <c r="I71" s="10" t="s">
        <v>3468</v>
      </c>
      <c r="J71" s="10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10" t="s">
        <v>4</v>
      </c>
      <c r="E72" s="10" t="s">
        <v>8</v>
      </c>
      <c r="F72" s="10"/>
      <c r="H72" s="10"/>
      <c r="I72" s="10" t="s">
        <v>3471</v>
      </c>
      <c r="J72" s="10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10" t="s">
        <v>4</v>
      </c>
      <c r="E73" s="10" t="s">
        <v>8</v>
      </c>
      <c r="F73" s="10"/>
      <c r="H73" s="10"/>
      <c r="I73" s="10" t="s">
        <v>3474</v>
      </c>
      <c r="J73" s="10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10" t="s">
        <v>4212</v>
      </c>
      <c r="E74" s="10"/>
      <c r="F74" s="10"/>
      <c r="H74" s="10"/>
      <c r="I74" s="10" t="s">
        <v>4213</v>
      </c>
      <c r="J74" s="10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10" t="s">
        <v>4</v>
      </c>
      <c r="E75" s="10" t="s">
        <v>8</v>
      </c>
      <c r="F75" s="10"/>
      <c r="H75" s="10"/>
      <c r="I75" s="10" t="s">
        <v>3477</v>
      </c>
      <c r="J75" s="10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10" t="s">
        <v>4209</v>
      </c>
      <c r="E76" s="10" t="s">
        <v>4210</v>
      </c>
      <c r="F76" s="10"/>
      <c r="H76" s="10"/>
      <c r="I76" s="10" t="s">
        <v>3480</v>
      </c>
      <c r="J76" s="10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10" t="s">
        <v>4209</v>
      </c>
      <c r="E77" s="10" t="s">
        <v>4210</v>
      </c>
      <c r="F77" s="10"/>
      <c r="H77" s="10" t="s">
        <v>2936</v>
      </c>
      <c r="I77" s="10" t="s">
        <v>3483</v>
      </c>
      <c r="J77" s="10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10" t="s">
        <v>4209</v>
      </c>
      <c r="E78" s="10" t="s">
        <v>4210</v>
      </c>
      <c r="F78" s="10"/>
      <c r="H78" s="10" t="s">
        <v>2936</v>
      </c>
      <c r="I78" s="10" t="s">
        <v>3486</v>
      </c>
      <c r="J78" s="10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10" t="s">
        <v>4209</v>
      </c>
      <c r="E79" s="10" t="s">
        <v>4210</v>
      </c>
      <c r="F79" s="10"/>
      <c r="H79" s="10" t="s">
        <v>2936</v>
      </c>
      <c r="I79" s="10" t="s">
        <v>3489</v>
      </c>
      <c r="J79" s="10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10" t="s">
        <v>4209</v>
      </c>
      <c r="E80" s="10" t="s">
        <v>4210</v>
      </c>
      <c r="F80" s="10"/>
      <c r="H80" s="10" t="s">
        <v>2936</v>
      </c>
      <c r="I80" s="10" t="s">
        <v>3492</v>
      </c>
      <c r="J80" s="1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10" t="s">
        <v>4209</v>
      </c>
      <c r="E81" s="10" t="s">
        <v>4210</v>
      </c>
      <c r="F81" s="10"/>
      <c r="H81" s="10" t="s">
        <v>2936</v>
      </c>
      <c r="I81" s="10" t="s">
        <v>3495</v>
      </c>
      <c r="J81" s="10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10" t="s">
        <v>4209</v>
      </c>
      <c r="E82" s="10" t="s">
        <v>4210</v>
      </c>
      <c r="F82" s="10"/>
      <c r="H82" s="10" t="s">
        <v>2936</v>
      </c>
      <c r="I82" s="10" t="s">
        <v>3498</v>
      </c>
      <c r="J82" s="10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10" t="s">
        <v>4209</v>
      </c>
      <c r="E83" s="10" t="s">
        <v>4210</v>
      </c>
      <c r="F83" s="10"/>
      <c r="H83" s="10" t="s">
        <v>2936</v>
      </c>
      <c r="I83" s="10" t="s">
        <v>3501</v>
      </c>
      <c r="J83" s="10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10" t="s">
        <v>4209</v>
      </c>
      <c r="E84" s="10" t="s">
        <v>4210</v>
      </c>
      <c r="F84" s="10"/>
      <c r="H84" s="10" t="s">
        <v>2936</v>
      </c>
      <c r="I84" s="10" t="s">
        <v>3504</v>
      </c>
      <c r="J84" s="10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10" t="s">
        <v>4209</v>
      </c>
      <c r="E85" s="10" t="s">
        <v>4210</v>
      </c>
      <c r="F85" s="10"/>
      <c r="H85" s="10" t="s">
        <v>2936</v>
      </c>
      <c r="I85" s="10" t="s">
        <v>3507</v>
      </c>
      <c r="J85" s="10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10" t="s">
        <v>4209</v>
      </c>
      <c r="E86" s="10" t="s">
        <v>4210</v>
      </c>
      <c r="F86" s="10"/>
      <c r="H86" s="10" t="s">
        <v>2936</v>
      </c>
      <c r="I86" s="10" t="s">
        <v>3510</v>
      </c>
      <c r="J86" s="10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10" t="s">
        <v>4209</v>
      </c>
      <c r="E87" s="10" t="s">
        <v>4210</v>
      </c>
      <c r="F87" s="10"/>
      <c r="H87" s="10" t="s">
        <v>2936</v>
      </c>
      <c r="I87" s="10" t="s">
        <v>3513</v>
      </c>
      <c r="J87" s="10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10" t="s">
        <v>4209</v>
      </c>
      <c r="E88" s="10" t="s">
        <v>4210</v>
      </c>
      <c r="F88" s="10"/>
      <c r="H88" s="10" t="s">
        <v>2936</v>
      </c>
      <c r="I88" s="10" t="s">
        <v>3516</v>
      </c>
      <c r="J88" s="10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10" t="s">
        <v>4209</v>
      </c>
      <c r="E89" s="10" t="s">
        <v>4210</v>
      </c>
      <c r="F89" s="10"/>
      <c r="H89" s="10" t="s">
        <v>2936</v>
      </c>
      <c r="I89" s="10" t="s">
        <v>3519</v>
      </c>
      <c r="J89" s="10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10" t="s">
        <v>4209</v>
      </c>
      <c r="E90" s="10" t="s">
        <v>4210</v>
      </c>
      <c r="F90" s="10"/>
      <c r="H90" s="10" t="s">
        <v>2936</v>
      </c>
      <c r="I90" s="10" t="s">
        <v>3522</v>
      </c>
      <c r="J90" s="1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10" t="s">
        <v>4209</v>
      </c>
      <c r="E91" s="10" t="s">
        <v>4210</v>
      </c>
      <c r="F91" s="10"/>
      <c r="H91" s="10" t="s">
        <v>2936</v>
      </c>
      <c r="I91" s="10" t="s">
        <v>3525</v>
      </c>
      <c r="J91" s="10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10" t="s">
        <v>4209</v>
      </c>
      <c r="E92" s="10" t="s">
        <v>4210</v>
      </c>
      <c r="F92" s="10"/>
      <c r="H92" s="10" t="s">
        <v>2936</v>
      </c>
      <c r="I92" s="10" t="s">
        <v>3528</v>
      </c>
      <c r="J92" s="10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10" t="s">
        <v>4209</v>
      </c>
      <c r="E93" s="10" t="s">
        <v>4210</v>
      </c>
      <c r="F93" s="10"/>
      <c r="H93" s="10" t="s">
        <v>2936</v>
      </c>
      <c r="I93" s="10" t="s">
        <v>3531</v>
      </c>
      <c r="J93" s="10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10" t="s">
        <v>4209</v>
      </c>
      <c r="E94" s="10" t="s">
        <v>4210</v>
      </c>
      <c r="F94" s="10"/>
      <c r="H94" s="10" t="s">
        <v>2936</v>
      </c>
      <c r="I94" s="10" t="s">
        <v>3534</v>
      </c>
      <c r="J94" s="10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10" t="s">
        <v>4209</v>
      </c>
      <c r="E95" s="10" t="s">
        <v>4210</v>
      </c>
      <c r="F95" s="10"/>
      <c r="H95" s="10" t="s">
        <v>2936</v>
      </c>
      <c r="I95" s="10" t="s">
        <v>3537</v>
      </c>
      <c r="J95" s="10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10" t="s">
        <v>4216</v>
      </c>
      <c r="E96" s="10" t="s">
        <v>4211</v>
      </c>
      <c r="F96" s="10"/>
      <c r="H96" s="10"/>
      <c r="I96" s="10" t="s">
        <v>3540</v>
      </c>
      <c r="J96" s="10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10" t="s">
        <v>4216</v>
      </c>
      <c r="E97" s="10" t="s">
        <v>4211</v>
      </c>
      <c r="F97" s="10"/>
      <c r="H97" s="10" t="s">
        <v>2936</v>
      </c>
      <c r="I97" s="10" t="s">
        <v>3543</v>
      </c>
      <c r="J97" s="10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10" t="s">
        <v>4216</v>
      </c>
      <c r="E98" s="10" t="s">
        <v>4211</v>
      </c>
      <c r="F98" s="10"/>
      <c r="H98" s="10" t="s">
        <v>2936</v>
      </c>
      <c r="I98" s="10" t="s">
        <v>3546</v>
      </c>
      <c r="J98" s="10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10" t="s">
        <v>4216</v>
      </c>
      <c r="E99" s="10" t="s">
        <v>4211</v>
      </c>
      <c r="F99" s="10"/>
      <c r="H99" s="10" t="s">
        <v>2936</v>
      </c>
      <c r="I99" s="10" t="s">
        <v>3549</v>
      </c>
      <c r="J99" s="10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10" t="s">
        <v>4216</v>
      </c>
      <c r="E100" s="10" t="s">
        <v>4211</v>
      </c>
      <c r="F100" s="10"/>
      <c r="H100" s="10" t="s">
        <v>2936</v>
      </c>
      <c r="I100" s="10" t="s">
        <v>3552</v>
      </c>
      <c r="J100" s="1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10" t="s">
        <v>4216</v>
      </c>
      <c r="E101" s="10" t="s">
        <v>4211</v>
      </c>
      <c r="F101" s="10"/>
      <c r="H101" s="10" t="s">
        <v>2936</v>
      </c>
      <c r="I101" s="10" t="s">
        <v>3555</v>
      </c>
      <c r="J101" s="10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10" t="s">
        <v>4</v>
      </c>
      <c r="E102" s="10" t="s">
        <v>8</v>
      </c>
      <c r="F102" s="10"/>
      <c r="H102" s="10"/>
      <c r="I102" s="10" t="s">
        <v>3558</v>
      </c>
      <c r="J102" s="10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10" t="s">
        <v>1606</v>
      </c>
      <c r="E103" s="10" t="s">
        <v>4194</v>
      </c>
      <c r="F103" s="10"/>
      <c r="H103" s="10"/>
      <c r="I103" s="10" t="s">
        <v>3561</v>
      </c>
      <c r="J103" s="10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10" t="s">
        <v>1606</v>
      </c>
      <c r="E104" s="10" t="s">
        <v>4217</v>
      </c>
      <c r="F104" s="10"/>
      <c r="H104" s="10"/>
      <c r="I104" s="10" t="s">
        <v>3564</v>
      </c>
      <c r="J104" s="10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10" t="s">
        <v>289</v>
      </c>
      <c r="E105" s="10" t="s">
        <v>4217</v>
      </c>
      <c r="F105" s="10" t="s">
        <v>4211</v>
      </c>
      <c r="H105" s="10"/>
      <c r="I105" s="10" t="s">
        <v>3567</v>
      </c>
      <c r="J105" s="10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10" t="s">
        <v>289</v>
      </c>
      <c r="E106" s="10" t="s">
        <v>4217</v>
      </c>
      <c r="F106" s="10" t="s">
        <v>4211</v>
      </c>
      <c r="H106" s="10" t="s">
        <v>2936</v>
      </c>
      <c r="I106" s="10" t="s">
        <v>3570</v>
      </c>
      <c r="J106" s="10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10" t="s">
        <v>289</v>
      </c>
      <c r="E107" s="10" t="s">
        <v>4217</v>
      </c>
      <c r="F107" s="10" t="s">
        <v>4211</v>
      </c>
      <c r="H107" s="10" t="s">
        <v>2936</v>
      </c>
      <c r="I107" s="10" t="s">
        <v>3573</v>
      </c>
      <c r="J107" s="10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10" t="s">
        <v>289</v>
      </c>
      <c r="E108" s="10" t="s">
        <v>4217</v>
      </c>
      <c r="F108" s="10" t="s">
        <v>4211</v>
      </c>
      <c r="H108" s="10" t="s">
        <v>2936</v>
      </c>
      <c r="I108" s="10" t="s">
        <v>3576</v>
      </c>
      <c r="J108" s="10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10" t="s">
        <v>289</v>
      </c>
      <c r="E109" s="10" t="s">
        <v>4217</v>
      </c>
      <c r="F109" s="10" t="s">
        <v>4211</v>
      </c>
      <c r="H109" s="10" t="s">
        <v>2936</v>
      </c>
      <c r="I109" s="10" t="s">
        <v>3579</v>
      </c>
      <c r="J109" s="10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10" t="s">
        <v>289</v>
      </c>
      <c r="E110" s="10" t="s">
        <v>4217</v>
      </c>
      <c r="F110" s="10" t="s">
        <v>4211</v>
      </c>
      <c r="H110" s="10" t="s">
        <v>2936</v>
      </c>
      <c r="I110" s="10" t="s">
        <v>3582</v>
      </c>
      <c r="J110" s="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10" t="s">
        <v>289</v>
      </c>
      <c r="E111" s="10" t="s">
        <v>4217</v>
      </c>
      <c r="F111" s="10" t="s">
        <v>4211</v>
      </c>
      <c r="H111" s="10" t="s">
        <v>2936</v>
      </c>
      <c r="I111" s="10" t="s">
        <v>3585</v>
      </c>
      <c r="J111" s="10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10" t="s">
        <v>289</v>
      </c>
      <c r="E112" s="10" t="s">
        <v>4217</v>
      </c>
      <c r="F112" s="10" t="s">
        <v>4211</v>
      </c>
      <c r="H112" s="10" t="s">
        <v>2936</v>
      </c>
      <c r="I112" s="10" t="s">
        <v>3588</v>
      </c>
      <c r="J112" s="10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10" t="s">
        <v>289</v>
      </c>
      <c r="E113" s="10" t="s">
        <v>4217</v>
      </c>
      <c r="F113" s="10" t="s">
        <v>4211</v>
      </c>
      <c r="H113" s="10" t="s">
        <v>2936</v>
      </c>
      <c r="I113" s="10" t="s">
        <v>3591</v>
      </c>
      <c r="J113" s="10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10" t="s">
        <v>289</v>
      </c>
      <c r="E114" s="10" t="s">
        <v>4217</v>
      </c>
      <c r="F114" s="10" t="s">
        <v>4211</v>
      </c>
      <c r="H114" s="10" t="s">
        <v>2936</v>
      </c>
      <c r="I114" s="10" t="s">
        <v>3594</v>
      </c>
      <c r="J114" s="10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10" t="s">
        <v>289</v>
      </c>
      <c r="E115" s="10" t="s">
        <v>4217</v>
      </c>
      <c r="F115" s="10" t="s">
        <v>4211</v>
      </c>
      <c r="H115" s="10" t="s">
        <v>2936</v>
      </c>
      <c r="I115" s="10" t="s">
        <v>3597</v>
      </c>
      <c r="J115" s="10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10" t="s">
        <v>289</v>
      </c>
      <c r="E116" s="10" t="s">
        <v>4217</v>
      </c>
      <c r="F116" s="10" t="s">
        <v>4211</v>
      </c>
      <c r="H116" s="10" t="s">
        <v>2936</v>
      </c>
      <c r="I116" s="10" t="s">
        <v>3600</v>
      </c>
      <c r="J116" s="10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10" t="s">
        <v>289</v>
      </c>
      <c r="E117" s="10" t="s">
        <v>4217</v>
      </c>
      <c r="F117" s="10" t="s">
        <v>4211</v>
      </c>
      <c r="H117" s="10" t="s">
        <v>2936</v>
      </c>
      <c r="I117" s="10" t="s">
        <v>3603</v>
      </c>
      <c r="J117" s="10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10" t="s">
        <v>289</v>
      </c>
      <c r="E118" s="10" t="s">
        <v>4217</v>
      </c>
      <c r="F118" s="10" t="s">
        <v>4211</v>
      </c>
      <c r="H118" s="10" t="s">
        <v>2936</v>
      </c>
      <c r="I118" s="10" t="s">
        <v>3606</v>
      </c>
      <c r="J118" s="10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10" t="s">
        <v>650</v>
      </c>
      <c r="E119" s="10" t="s">
        <v>4217</v>
      </c>
      <c r="F119" s="10" t="s">
        <v>4211</v>
      </c>
      <c r="H119" s="10" t="s">
        <v>4218</v>
      </c>
      <c r="I119" s="10" t="s">
        <v>3609</v>
      </c>
      <c r="J119" s="10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10" t="s">
        <v>289</v>
      </c>
      <c r="E120" s="10" t="s">
        <v>4194</v>
      </c>
      <c r="F120" s="10" t="s">
        <v>4211</v>
      </c>
      <c r="H120" s="10"/>
      <c r="I120" s="10" t="s">
        <v>3612</v>
      </c>
      <c r="J120" s="1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10" t="s">
        <v>289</v>
      </c>
      <c r="E121" s="10" t="s">
        <v>4194</v>
      </c>
      <c r="F121" s="10" t="s">
        <v>4211</v>
      </c>
      <c r="H121" s="10" t="s">
        <v>2936</v>
      </c>
      <c r="I121" s="10" t="s">
        <v>3615</v>
      </c>
      <c r="J121" s="10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10" t="s">
        <v>289</v>
      </c>
      <c r="E122" s="10" t="s">
        <v>4194</v>
      </c>
      <c r="F122" s="10" t="s">
        <v>4211</v>
      </c>
      <c r="H122" s="10" t="s">
        <v>2936</v>
      </c>
      <c r="I122" s="10" t="s">
        <v>3618</v>
      </c>
      <c r="J122" s="10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10" t="s">
        <v>289</v>
      </c>
      <c r="E123" s="10" t="s">
        <v>4194</v>
      </c>
      <c r="F123" s="10" t="s">
        <v>4211</v>
      </c>
      <c r="H123" s="10" t="s">
        <v>2936</v>
      </c>
      <c r="I123" s="10" t="s">
        <v>3621</v>
      </c>
      <c r="J123" s="10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10" t="s">
        <v>289</v>
      </c>
      <c r="E124" s="10" t="s">
        <v>4194</v>
      </c>
      <c r="F124" s="10" t="s">
        <v>4211</v>
      </c>
      <c r="H124" s="10" t="s">
        <v>2936</v>
      </c>
      <c r="I124" s="10" t="s">
        <v>3624</v>
      </c>
      <c r="J124" s="10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10" t="s">
        <v>289</v>
      </c>
      <c r="E125" s="10" t="s">
        <v>4194</v>
      </c>
      <c r="F125" s="10" t="s">
        <v>4211</v>
      </c>
      <c r="H125" s="10" t="s">
        <v>2936</v>
      </c>
      <c r="I125" s="10" t="s">
        <v>3627</v>
      </c>
      <c r="J125" s="10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10" t="s">
        <v>289</v>
      </c>
      <c r="E126" s="10" t="s">
        <v>4194</v>
      </c>
      <c r="F126" s="10" t="s">
        <v>4211</v>
      </c>
      <c r="H126" s="10" t="s">
        <v>2936</v>
      </c>
      <c r="I126" s="10" t="s">
        <v>3630</v>
      </c>
      <c r="J126" s="10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10" t="s">
        <v>289</v>
      </c>
      <c r="E127" s="10" t="s">
        <v>4194</v>
      </c>
      <c r="F127" s="10" t="s">
        <v>4211</v>
      </c>
      <c r="H127" s="10" t="s">
        <v>2936</v>
      </c>
      <c r="I127" s="10" t="s">
        <v>3633</v>
      </c>
      <c r="J127" s="10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10" t="s">
        <v>289</v>
      </c>
      <c r="E128" s="10" t="s">
        <v>4194</v>
      </c>
      <c r="F128" s="10" t="s">
        <v>4211</v>
      </c>
      <c r="H128" s="10" t="s">
        <v>2936</v>
      </c>
      <c r="I128" s="10" t="s">
        <v>3636</v>
      </c>
      <c r="J128" s="10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10" t="s">
        <v>289</v>
      </c>
      <c r="E129" s="10" t="s">
        <v>4194</v>
      </c>
      <c r="F129" s="10" t="s">
        <v>4211</v>
      </c>
      <c r="H129" s="10" t="s">
        <v>2936</v>
      </c>
      <c r="I129" s="10" t="s">
        <v>3639</v>
      </c>
      <c r="J129" s="10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10" t="s">
        <v>289</v>
      </c>
      <c r="E130" s="10" t="s">
        <v>4194</v>
      </c>
      <c r="F130" s="10" t="s">
        <v>4211</v>
      </c>
      <c r="H130" s="10" t="s">
        <v>2936</v>
      </c>
      <c r="I130" s="10" t="s">
        <v>3642</v>
      </c>
      <c r="J130" s="1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10" t="s">
        <v>289</v>
      </c>
      <c r="E131" s="10" t="s">
        <v>4194</v>
      </c>
      <c r="F131" s="10" t="s">
        <v>87</v>
      </c>
      <c r="H131" s="10"/>
      <c r="I131" s="10" t="s">
        <v>3645</v>
      </c>
      <c r="J131" s="10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10" t="s">
        <v>1606</v>
      </c>
      <c r="E132" s="10" t="s">
        <v>4195</v>
      </c>
      <c r="F132" s="10"/>
      <c r="H132" s="10"/>
      <c r="I132" s="10" t="s">
        <v>3648</v>
      </c>
      <c r="J132" s="10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10" t="s">
        <v>1606</v>
      </c>
      <c r="E133" s="10" t="s">
        <v>4195</v>
      </c>
      <c r="F133" s="10"/>
      <c r="H133" s="10" t="s">
        <v>2936</v>
      </c>
      <c r="I133" s="10" t="s">
        <v>3650</v>
      </c>
      <c r="J133" s="10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10" t="s">
        <v>289</v>
      </c>
      <c r="E134" s="10" t="s">
        <v>4195</v>
      </c>
      <c r="F134" s="10" t="s">
        <v>4211</v>
      </c>
      <c r="H134" s="10"/>
      <c r="I134" s="10" t="s">
        <v>3653</v>
      </c>
      <c r="J134" s="10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10" t="s">
        <v>289</v>
      </c>
      <c r="E135" s="10" t="s">
        <v>4195</v>
      </c>
      <c r="F135" s="10" t="s">
        <v>4211</v>
      </c>
      <c r="H135" s="10" t="s">
        <v>2936</v>
      </c>
      <c r="I135" s="10" t="s">
        <v>3656</v>
      </c>
      <c r="J135" s="10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10" t="s">
        <v>289</v>
      </c>
      <c r="E136" s="10" t="s">
        <v>4195</v>
      </c>
      <c r="F136" s="10" t="s">
        <v>4211</v>
      </c>
      <c r="H136" s="10" t="s">
        <v>2936</v>
      </c>
      <c r="I136" s="10" t="s">
        <v>3659</v>
      </c>
      <c r="J136" s="10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10" t="s">
        <v>289</v>
      </c>
      <c r="E137" s="10" t="s">
        <v>4195</v>
      </c>
      <c r="F137" s="10" t="s">
        <v>4211</v>
      </c>
      <c r="H137" s="10" t="s">
        <v>2936</v>
      </c>
      <c r="I137" s="10" t="s">
        <v>3662</v>
      </c>
      <c r="J137" s="10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10" t="s">
        <v>289</v>
      </c>
      <c r="E138" s="10" t="s">
        <v>4195</v>
      </c>
      <c r="F138" s="10" t="s">
        <v>4211</v>
      </c>
      <c r="H138" s="10" t="s">
        <v>2936</v>
      </c>
      <c r="I138" s="10" t="s">
        <v>3665</v>
      </c>
      <c r="J138" s="10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10" t="s">
        <v>289</v>
      </c>
      <c r="E139" s="10" t="s">
        <v>4195</v>
      </c>
      <c r="F139" s="10" t="s">
        <v>4211</v>
      </c>
      <c r="H139" s="10" t="s">
        <v>2936</v>
      </c>
      <c r="I139" s="10" t="s">
        <v>3668</v>
      </c>
      <c r="J139" s="10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10" t="s">
        <v>289</v>
      </c>
      <c r="E140" s="10" t="s">
        <v>4195</v>
      </c>
      <c r="F140" s="10" t="s">
        <v>4211</v>
      </c>
      <c r="H140" s="10" t="s">
        <v>2936</v>
      </c>
      <c r="I140" s="10" t="s">
        <v>3671</v>
      </c>
      <c r="J140" s="1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10" t="s">
        <v>289</v>
      </c>
      <c r="E141" s="10" t="s">
        <v>4195</v>
      </c>
      <c r="F141" s="10" t="s">
        <v>4211</v>
      </c>
      <c r="H141" s="10" t="s">
        <v>2936</v>
      </c>
      <c r="I141" s="10" t="s">
        <v>3674</v>
      </c>
      <c r="J141" s="10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10" t="s">
        <v>289</v>
      </c>
      <c r="E142" s="10" t="s">
        <v>4195</v>
      </c>
      <c r="F142" s="10" t="s">
        <v>4211</v>
      </c>
      <c r="H142" s="10" t="s">
        <v>2936</v>
      </c>
      <c r="I142" s="10" t="s">
        <v>3677</v>
      </c>
      <c r="J142" s="10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10" t="s">
        <v>289</v>
      </c>
      <c r="E143" s="10" t="s">
        <v>4195</v>
      </c>
      <c r="F143" s="10" t="s">
        <v>4211</v>
      </c>
      <c r="H143" s="10" t="s">
        <v>2936</v>
      </c>
      <c r="I143" s="10" t="s">
        <v>3680</v>
      </c>
      <c r="J143" s="10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10" t="s">
        <v>289</v>
      </c>
      <c r="E144" s="10" t="s">
        <v>4195</v>
      </c>
      <c r="F144" s="10" t="s">
        <v>4211</v>
      </c>
      <c r="H144" s="10" t="s">
        <v>2936</v>
      </c>
      <c r="I144" s="10" t="s">
        <v>3683</v>
      </c>
      <c r="J144" s="10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10" t="s">
        <v>289</v>
      </c>
      <c r="E145" s="10" t="s">
        <v>4195</v>
      </c>
      <c r="F145" s="10" t="s">
        <v>4211</v>
      </c>
      <c r="H145" s="10" t="s">
        <v>2936</v>
      </c>
      <c r="I145" s="10" t="s">
        <v>3686</v>
      </c>
      <c r="J145" s="10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10" t="s">
        <v>289</v>
      </c>
      <c r="E146" s="10" t="s">
        <v>4195</v>
      </c>
      <c r="F146" s="10" t="s">
        <v>4211</v>
      </c>
      <c r="H146" s="10" t="s">
        <v>2936</v>
      </c>
      <c r="I146" s="10" t="s">
        <v>3689</v>
      </c>
      <c r="J146" s="10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10" t="s">
        <v>289</v>
      </c>
      <c r="E147" s="10" t="s">
        <v>4195</v>
      </c>
      <c r="F147" s="10" t="s">
        <v>4211</v>
      </c>
      <c r="H147" s="10" t="s">
        <v>2936</v>
      </c>
      <c r="I147" s="10" t="s">
        <v>3692</v>
      </c>
      <c r="J147" s="10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10" t="s">
        <v>289</v>
      </c>
      <c r="E148" s="10" t="s">
        <v>4195</v>
      </c>
      <c r="F148" s="10" t="s">
        <v>4211</v>
      </c>
      <c r="H148" s="10" t="s">
        <v>2936</v>
      </c>
      <c r="I148" s="10" t="s">
        <v>3695</v>
      </c>
      <c r="J148" s="10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10" t="s">
        <v>289</v>
      </c>
      <c r="E149" s="10" t="s">
        <v>4195</v>
      </c>
      <c r="F149" s="10" t="s">
        <v>4211</v>
      </c>
      <c r="H149" s="10" t="s">
        <v>2936</v>
      </c>
      <c r="I149" s="10" t="s">
        <v>3698</v>
      </c>
      <c r="J149" s="10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10" t="s">
        <v>289</v>
      </c>
      <c r="E150" s="10" t="s">
        <v>4195</v>
      </c>
      <c r="F150" s="10" t="s">
        <v>4211</v>
      </c>
      <c r="H150" s="10" t="s">
        <v>2936</v>
      </c>
      <c r="I150" s="10" t="s">
        <v>3701</v>
      </c>
      <c r="J150" s="1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10" t="s">
        <v>289</v>
      </c>
      <c r="E151" s="10" t="s">
        <v>4195</v>
      </c>
      <c r="F151" s="10" t="s">
        <v>4211</v>
      </c>
      <c r="H151" s="10" t="s">
        <v>2936</v>
      </c>
      <c r="I151" s="10" t="s">
        <v>3704</v>
      </c>
      <c r="J151" s="10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10" t="s">
        <v>289</v>
      </c>
      <c r="E152" s="10" t="s">
        <v>4195</v>
      </c>
      <c r="F152" s="10" t="s">
        <v>4211</v>
      </c>
      <c r="H152" s="10" t="s">
        <v>2936</v>
      </c>
      <c r="I152" s="10" t="s">
        <v>3707</v>
      </c>
      <c r="J152" s="10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10" t="s">
        <v>289</v>
      </c>
      <c r="E153" s="10" t="s">
        <v>4195</v>
      </c>
      <c r="F153" s="10" t="s">
        <v>4211</v>
      </c>
      <c r="H153" s="10" t="s">
        <v>2936</v>
      </c>
      <c r="I153" s="10" t="s">
        <v>3710</v>
      </c>
      <c r="J153" s="10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10" t="s">
        <v>471</v>
      </c>
      <c r="E154" s="10" t="s">
        <v>4195</v>
      </c>
      <c r="F154" s="10"/>
      <c r="H154" s="10"/>
      <c r="I154" s="10" t="s">
        <v>3713</v>
      </c>
      <c r="J154" s="10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10" t="s">
        <v>650</v>
      </c>
      <c r="E155" s="10" t="s">
        <v>4195</v>
      </c>
      <c r="F155" s="10" t="s">
        <v>4211</v>
      </c>
      <c r="H155" s="10" t="s">
        <v>4219</v>
      </c>
      <c r="I155" s="10" t="s">
        <v>3716</v>
      </c>
      <c r="J155" s="10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10" t="s">
        <v>4297</v>
      </c>
      <c r="E156" s="10" t="s">
        <v>55</v>
      </c>
      <c r="F156" s="10"/>
      <c r="H156" s="10"/>
      <c r="I156" s="10" t="s">
        <v>4276</v>
      </c>
      <c r="J156" s="10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10" t="s">
        <v>289</v>
      </c>
      <c r="E157" s="10" t="s">
        <v>86</v>
      </c>
      <c r="F157" s="10" t="s">
        <v>200</v>
      </c>
      <c r="H157" s="10"/>
      <c r="I157" s="10" t="s">
        <v>4999</v>
      </c>
      <c r="J157" s="10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10" t="s">
        <v>289</v>
      </c>
      <c r="E158" s="10" t="s">
        <v>86</v>
      </c>
      <c r="F158" s="10" t="s">
        <v>200</v>
      </c>
      <c r="H158" s="10"/>
      <c r="I158" s="10" t="s">
        <v>5002</v>
      </c>
      <c r="J158" s="10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10" t="s">
        <v>289</v>
      </c>
      <c r="E159" s="10" t="s">
        <v>86</v>
      </c>
      <c r="F159" s="10" t="s">
        <v>200</v>
      </c>
      <c r="H159" s="10"/>
      <c r="I159" s="10" t="s">
        <v>5005</v>
      </c>
      <c r="J159" s="10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10" t="s">
        <v>1094</v>
      </c>
      <c r="E160" s="10" t="s">
        <v>4247</v>
      </c>
      <c r="F160" s="10" t="s">
        <v>58</v>
      </c>
      <c r="H160" s="10"/>
      <c r="I160" s="10" t="s">
        <v>5008</v>
      </c>
      <c r="J160" s="1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10" t="s">
        <v>289</v>
      </c>
      <c r="E161" s="10" t="s">
        <v>86</v>
      </c>
      <c r="F161" s="10" t="s">
        <v>200</v>
      </c>
      <c r="H161" s="10"/>
      <c r="I161" s="10" t="s">
        <v>5011</v>
      </c>
      <c r="J161" s="10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10" t="s">
        <v>1094</v>
      </c>
      <c r="E162" s="10" t="s">
        <v>4247</v>
      </c>
      <c r="F162" s="10" t="s">
        <v>58</v>
      </c>
      <c r="H162" s="10"/>
      <c r="I162" s="10" t="s">
        <v>5014</v>
      </c>
      <c r="J162" s="10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10" t="s">
        <v>1094</v>
      </c>
      <c r="E163" s="10" t="s">
        <v>531</v>
      </c>
      <c r="F163" s="10" t="s">
        <v>58</v>
      </c>
      <c r="H163" s="10"/>
      <c r="I163" s="10" t="s">
        <v>5017</v>
      </c>
      <c r="J163" s="10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10" t="s">
        <v>4</v>
      </c>
      <c r="E164" s="10" t="s">
        <v>8</v>
      </c>
      <c r="F164" s="10"/>
      <c r="H164" s="10"/>
      <c r="I164" s="10" t="s">
        <v>5020</v>
      </c>
      <c r="J164" s="10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10" t="s">
        <v>289</v>
      </c>
      <c r="E165" s="10" t="s">
        <v>86</v>
      </c>
      <c r="F165" s="10" t="s">
        <v>60</v>
      </c>
      <c r="H165" s="10"/>
      <c r="I165" s="10" t="s">
        <v>5023</v>
      </c>
      <c r="J165" s="10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10" t="s">
        <v>289</v>
      </c>
      <c r="E166" s="10" t="s">
        <v>86</v>
      </c>
      <c r="F166" s="10" t="s">
        <v>60</v>
      </c>
      <c r="H166" s="10"/>
      <c r="I166" s="10" t="s">
        <v>5026</v>
      </c>
      <c r="J166" s="10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10" t="s">
        <v>289</v>
      </c>
      <c r="E167" s="10" t="s">
        <v>86</v>
      </c>
      <c r="F167" s="10" t="s">
        <v>200</v>
      </c>
      <c r="H167" s="10"/>
      <c r="I167" s="10" t="s">
        <v>5029</v>
      </c>
      <c r="J167" s="10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10" t="s">
        <v>4</v>
      </c>
      <c r="E168" s="10" t="s">
        <v>8</v>
      </c>
      <c r="F168" s="10"/>
      <c r="H168" s="10"/>
      <c r="I168" s="10" t="s">
        <v>5032</v>
      </c>
      <c r="J168" s="10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10" t="s">
        <v>289</v>
      </c>
      <c r="E169" s="10" t="s">
        <v>86</v>
      </c>
      <c r="F169" s="10" t="s">
        <v>60</v>
      </c>
      <c r="H169" s="10"/>
      <c r="I169" s="10" t="s">
        <v>5035</v>
      </c>
      <c r="J169" s="10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10" t="s">
        <v>289</v>
      </c>
      <c r="E170" s="10" t="s">
        <v>86</v>
      </c>
      <c r="F170" s="10" t="s">
        <v>60</v>
      </c>
      <c r="H170" s="10"/>
      <c r="I170" s="10" t="s">
        <v>5038</v>
      </c>
      <c r="J170" s="1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10" t="s">
        <v>4</v>
      </c>
      <c r="E171" s="10" t="s">
        <v>8</v>
      </c>
      <c r="F171" s="10"/>
      <c r="H171" s="10"/>
      <c r="I171" s="10" t="s">
        <v>5041</v>
      </c>
      <c r="J171" s="10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10" t="s">
        <v>1094</v>
      </c>
      <c r="E172" s="10" t="s">
        <v>4247</v>
      </c>
      <c r="F172" s="10" t="s">
        <v>60</v>
      </c>
      <c r="H172" s="10"/>
      <c r="I172" s="10" t="s">
        <v>5116</v>
      </c>
      <c r="J172" s="10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10" t="s">
        <v>1094</v>
      </c>
      <c r="E173" s="10" t="s">
        <v>4247</v>
      </c>
      <c r="F173" s="10" t="s">
        <v>200</v>
      </c>
      <c r="H173" s="10"/>
      <c r="I173" s="10" t="s">
        <v>5119</v>
      </c>
      <c r="J173" s="10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10" t="s">
        <v>1094</v>
      </c>
      <c r="E174" s="10" t="s">
        <v>4247</v>
      </c>
      <c r="F174" s="10" t="s">
        <v>200</v>
      </c>
      <c r="H174" s="10"/>
      <c r="I174" s="10" t="s">
        <v>5122</v>
      </c>
      <c r="J174" s="10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10" t="s">
        <v>4</v>
      </c>
      <c r="E175" s="10" t="s">
        <v>8</v>
      </c>
      <c r="F175" s="10"/>
      <c r="H175" s="10" t="s">
        <v>2936</v>
      </c>
      <c r="I175" s="10" t="s">
        <v>5125</v>
      </c>
      <c r="J175" s="10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10" t="s">
        <v>4</v>
      </c>
      <c r="E176" s="10" t="s">
        <v>8</v>
      </c>
      <c r="F176" s="10"/>
      <c r="H176" s="10" t="s">
        <v>2936</v>
      </c>
      <c r="I176" s="10" t="s">
        <v>5128</v>
      </c>
      <c r="J176" s="10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10" t="s">
        <v>4</v>
      </c>
      <c r="E177" s="10" t="s">
        <v>8</v>
      </c>
      <c r="F177" s="10"/>
      <c r="H177" s="10" t="s">
        <v>2936</v>
      </c>
      <c r="I177" s="10" t="s">
        <v>5131</v>
      </c>
      <c r="J177" s="10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10" t="s">
        <v>4</v>
      </c>
      <c r="E178" s="10" t="s">
        <v>8</v>
      </c>
      <c r="F178" s="10"/>
      <c r="H178" s="10" t="s">
        <v>2936</v>
      </c>
      <c r="I178" s="10" t="s">
        <v>5044</v>
      </c>
      <c r="J178" s="10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10" t="s">
        <v>4</v>
      </c>
      <c r="E179" s="10" t="s">
        <v>8</v>
      </c>
      <c r="F179" s="10"/>
      <c r="H179" s="10" t="s">
        <v>2936</v>
      </c>
      <c r="I179" s="10" t="s">
        <v>5047</v>
      </c>
      <c r="J179" s="10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10" t="s">
        <v>4</v>
      </c>
      <c r="E180" s="10" t="s">
        <v>8</v>
      </c>
      <c r="F180" s="10"/>
      <c r="H180" s="10" t="s">
        <v>2936</v>
      </c>
      <c r="I180" s="10" t="s">
        <v>5050</v>
      </c>
      <c r="J180" s="1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10" t="s">
        <v>289</v>
      </c>
      <c r="E181" s="10" t="s">
        <v>86</v>
      </c>
      <c r="F181" s="10" t="s">
        <v>200</v>
      </c>
      <c r="H181" s="10"/>
      <c r="I181" s="10" t="s">
        <v>5053</v>
      </c>
      <c r="J181" s="10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10" t="s">
        <v>289</v>
      </c>
      <c r="E182" s="10" t="s">
        <v>86</v>
      </c>
      <c r="F182" s="10" t="s">
        <v>200</v>
      </c>
      <c r="H182" s="10"/>
      <c r="I182" s="10" t="s">
        <v>5056</v>
      </c>
      <c r="J182" s="10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10" t="s">
        <v>289</v>
      </c>
      <c r="E183" s="10" t="s">
        <v>86</v>
      </c>
      <c r="F183" s="10" t="s">
        <v>200</v>
      </c>
      <c r="H183" s="10"/>
      <c r="I183" s="10" t="s">
        <v>5059</v>
      </c>
      <c r="J183" s="10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10" t="s">
        <v>289</v>
      </c>
      <c r="E184" s="10" t="s">
        <v>86</v>
      </c>
      <c r="F184" s="10" t="s">
        <v>200</v>
      </c>
      <c r="H184" s="10"/>
      <c r="I184" s="10" t="s">
        <v>5062</v>
      </c>
      <c r="J184" s="10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10" t="s">
        <v>289</v>
      </c>
      <c r="E185" s="10" t="s">
        <v>86</v>
      </c>
      <c r="F185" s="10" t="s">
        <v>200</v>
      </c>
      <c r="H185" s="10"/>
      <c r="I185" s="10" t="s">
        <v>5065</v>
      </c>
      <c r="J185" s="10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10" t="s">
        <v>5134</v>
      </c>
      <c r="E186" s="10"/>
      <c r="F186" s="10"/>
      <c r="H186" s="10"/>
      <c r="I186" s="10" t="s">
        <v>5068</v>
      </c>
      <c r="J186" s="10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10" t="s">
        <v>2004</v>
      </c>
      <c r="E187" s="10"/>
      <c r="F187" s="10"/>
      <c r="H187" s="10"/>
      <c r="I187" s="10" t="s">
        <v>5071</v>
      </c>
      <c r="J187" s="10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10" t="s">
        <v>2004</v>
      </c>
      <c r="E188" s="10"/>
      <c r="F188" s="10"/>
      <c r="H188" s="10"/>
      <c r="I188" s="10" t="s">
        <v>5229</v>
      </c>
      <c r="J188" s="10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10" t="s">
        <v>4</v>
      </c>
      <c r="E189" s="10" t="s">
        <v>8</v>
      </c>
      <c r="F189" s="10"/>
      <c r="H189" s="10"/>
      <c r="I189" s="10" t="s">
        <v>5316</v>
      </c>
      <c r="J189" s="10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10" t="s">
        <v>289</v>
      </c>
      <c r="E190" s="10" t="s">
        <v>86</v>
      </c>
      <c r="F190" s="10" t="s">
        <v>200</v>
      </c>
      <c r="H190" s="10"/>
      <c r="I190" s="10" t="s">
        <v>5319</v>
      </c>
      <c r="J190" s="1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10" t="s">
        <v>289</v>
      </c>
      <c r="E191" s="10" t="s">
        <v>86</v>
      </c>
      <c r="F191" s="10" t="s">
        <v>200</v>
      </c>
      <c r="H191" s="10"/>
      <c r="I191" s="10" t="s">
        <v>5322</v>
      </c>
      <c r="J191" s="10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10" t="s">
        <v>2004</v>
      </c>
      <c r="E192" s="10" t="s">
        <v>8</v>
      </c>
      <c r="F192" s="10"/>
      <c r="H192" s="10"/>
      <c r="I192" s="10" t="s">
        <v>5548</v>
      </c>
      <c r="J192" s="10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10" t="s">
        <v>2004</v>
      </c>
      <c r="E193" s="10" t="s">
        <v>8</v>
      </c>
      <c r="F193" s="10"/>
      <c r="H193" s="10"/>
      <c r="I193" s="10" t="s">
        <v>5551</v>
      </c>
      <c r="J193" s="10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10" t="s">
        <v>2004</v>
      </c>
      <c r="E194" s="10" t="s">
        <v>8</v>
      </c>
      <c r="F194" s="10"/>
      <c r="H194" s="10"/>
      <c r="I194" s="10" t="s">
        <v>5554</v>
      </c>
      <c r="J194" s="10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10" t="s">
        <v>4212</v>
      </c>
      <c r="E195" s="10"/>
      <c r="F195" s="10"/>
      <c r="H195" s="10"/>
      <c r="I195" s="10" t="s">
        <v>6330</v>
      </c>
      <c r="J195" s="10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10" t="s">
        <v>4212</v>
      </c>
      <c r="E196" s="10"/>
      <c r="F196" s="10"/>
      <c r="H196" s="10"/>
      <c r="I196" s="10" t="s">
        <v>6333</v>
      </c>
      <c r="J196" s="10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10" t="s">
        <v>4212</v>
      </c>
      <c r="E197" s="10"/>
      <c r="F197" s="10"/>
      <c r="H197" s="10"/>
      <c r="I197" s="10" t="s">
        <v>6336</v>
      </c>
      <c r="J197" s="10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10" t="s">
        <v>2004</v>
      </c>
      <c r="E198" s="10" t="s">
        <v>8</v>
      </c>
      <c r="F198" s="10"/>
      <c r="H198" s="10"/>
      <c r="I198" s="10" t="s">
        <v>6320</v>
      </c>
      <c r="J198" s="10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10" t="s">
        <v>2004</v>
      </c>
      <c r="E199" s="10" t="s">
        <v>8</v>
      </c>
      <c r="F199" s="10"/>
      <c r="H199" s="10"/>
      <c r="I199" s="10" t="s">
        <v>6560</v>
      </c>
      <c r="J199" s="10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10" t="s">
        <v>4</v>
      </c>
      <c r="E200" s="10" t="s">
        <v>6868</v>
      </c>
      <c r="F200" s="10"/>
      <c r="H200" s="10"/>
      <c r="I200" s="10" t="s">
        <v>6875</v>
      </c>
      <c r="J200" s="1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10" t="s">
        <v>2004</v>
      </c>
      <c r="E201" s="10" t="s">
        <v>8</v>
      </c>
      <c r="F201" s="10"/>
      <c r="H201" s="10"/>
      <c r="I201" s="10" t="s">
        <v>6926</v>
      </c>
      <c r="J201" s="10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10" t="s">
        <v>4212</v>
      </c>
      <c r="E202" s="10"/>
      <c r="F202" s="10"/>
      <c r="H202" s="10"/>
      <c r="I202" s="10" t="s">
        <v>7160</v>
      </c>
      <c r="J202" s="10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10" t="s">
        <v>2004</v>
      </c>
      <c r="E203" s="10" t="s">
        <v>8</v>
      </c>
      <c r="F203" s="10"/>
      <c r="H203" s="10"/>
      <c r="I203" s="10" t="s">
        <v>6929</v>
      </c>
      <c r="J203" s="10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10" t="s">
        <v>2004</v>
      </c>
      <c r="E204" s="10" t="s">
        <v>8</v>
      </c>
      <c r="F204" s="10"/>
      <c r="H204" s="10"/>
      <c r="I204" s="10" t="s">
        <v>7214</v>
      </c>
      <c r="J204" s="10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10" t="s">
        <v>2004</v>
      </c>
      <c r="E205" s="10" t="s">
        <v>8</v>
      </c>
      <c r="F205" s="10"/>
      <c r="H205" s="10"/>
      <c r="I205" s="10" t="s">
        <v>7411</v>
      </c>
      <c r="J205" s="10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10" t="s">
        <v>2004</v>
      </c>
      <c r="E206" s="10" t="s">
        <v>8</v>
      </c>
      <c r="F206" s="10"/>
      <c r="H206" s="10"/>
      <c r="I206" s="10" t="s">
        <v>7414</v>
      </c>
      <c r="J206" s="10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10" t="s">
        <v>2004</v>
      </c>
      <c r="E207" s="10" t="s">
        <v>8</v>
      </c>
      <c r="F207" s="10"/>
      <c r="H207" s="10"/>
      <c r="I207" s="10" t="s">
        <v>7700</v>
      </c>
      <c r="J207" s="10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10" t="s">
        <v>2004</v>
      </c>
      <c r="E208" s="10" t="s">
        <v>8</v>
      </c>
      <c r="F208" s="10"/>
      <c r="H208" s="10"/>
      <c r="I208" s="10" t="s">
        <v>7703</v>
      </c>
      <c r="J208" s="10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10" t="s">
        <v>2004</v>
      </c>
      <c r="E209" s="10" t="s">
        <v>8</v>
      </c>
      <c r="F209" s="10"/>
      <c r="H209" s="10"/>
      <c r="I209" s="10" t="s">
        <v>7867</v>
      </c>
      <c r="J209" s="10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10" t="s">
        <v>2004</v>
      </c>
      <c r="E210" s="10" t="s">
        <v>8</v>
      </c>
      <c r="F210" s="10"/>
      <c r="H210" s="10"/>
      <c r="I210" s="10" t="s">
        <v>8046</v>
      </c>
      <c r="J210" s="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10" t="s">
        <v>2004</v>
      </c>
      <c r="E211" s="10" t="s">
        <v>8</v>
      </c>
      <c r="F211" s="10"/>
      <c r="H211" s="10"/>
      <c r="I211" s="10" t="s">
        <v>8049</v>
      </c>
      <c r="J211" s="10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10" t="s">
        <v>2004</v>
      </c>
      <c r="E212" s="10" t="s">
        <v>8</v>
      </c>
      <c r="F212" s="10"/>
      <c r="H212" s="10"/>
      <c r="I212" s="10" t="s">
        <v>8336</v>
      </c>
      <c r="J212" s="10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10" t="s">
        <v>2004</v>
      </c>
      <c r="E213" s="10" t="s">
        <v>8</v>
      </c>
      <c r="F213" s="10"/>
      <c r="H213" s="10"/>
      <c r="I213" s="10" t="s">
        <v>8339</v>
      </c>
      <c r="J213" s="10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10" t="s">
        <v>2004</v>
      </c>
      <c r="E214" s="10" t="s">
        <v>8</v>
      </c>
      <c r="F214" s="10"/>
      <c r="H214" s="10"/>
      <c r="I214" s="10" t="s">
        <v>8342</v>
      </c>
      <c r="J214" s="10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10" t="s">
        <v>2004</v>
      </c>
      <c r="E215" s="10" t="s">
        <v>8</v>
      </c>
      <c r="F215" s="10"/>
      <c r="H215" s="10"/>
      <c r="I215" s="10" t="s">
        <v>8348</v>
      </c>
      <c r="J215" s="10" t="s">
        <v>2984</v>
      </c>
      <c r="K215" t="s">
        <v>8349</v>
      </c>
      <c r="L215" t="s">
        <v>8345</v>
      </c>
      <c r="M215" s="3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10" t="s">
        <v>2004</v>
      </c>
      <c r="E216" s="10" t="s">
        <v>8</v>
      </c>
      <c r="F216" s="10"/>
      <c r="H216" s="10"/>
      <c r="I216" s="10" t="s">
        <v>8346</v>
      </c>
      <c r="J216" s="10" t="s">
        <v>2984</v>
      </c>
      <c r="K216" t="s">
        <v>8347</v>
      </c>
      <c r="L216" t="s">
        <v>8345</v>
      </c>
      <c r="M216" s="3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10" t="s">
        <v>2004</v>
      </c>
      <c r="E217" s="10" t="s">
        <v>8</v>
      </c>
      <c r="F217" s="10"/>
      <c r="H217" s="10"/>
      <c r="I217" s="10" t="s">
        <v>8474</v>
      </c>
      <c r="J217" s="10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10" t="s">
        <v>2004</v>
      </c>
      <c r="E218" s="10" t="s">
        <v>8</v>
      </c>
      <c r="F218" s="10"/>
      <c r="H218" s="10"/>
      <c r="I218" s="10" t="s">
        <v>8477</v>
      </c>
      <c r="J218" s="10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10" t="s">
        <v>2004</v>
      </c>
      <c r="E219" s="10" t="s">
        <v>8</v>
      </c>
      <c r="F219" s="10"/>
      <c r="H219" s="10"/>
      <c r="I219" s="10" t="s">
        <v>8480</v>
      </c>
      <c r="J219" s="10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10" t="s">
        <v>2004</v>
      </c>
      <c r="E220" s="10" t="s">
        <v>8</v>
      </c>
      <c r="F220" s="10"/>
      <c r="H220" s="10"/>
      <c r="I220" s="10" t="s">
        <v>8679</v>
      </c>
      <c r="J220" s="1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10" t="s">
        <v>2004</v>
      </c>
      <c r="E221" s="10" t="s">
        <v>8</v>
      </c>
      <c r="F221" s="10"/>
      <c r="H221" s="10"/>
      <c r="I221" s="10" t="s">
        <v>8806</v>
      </c>
      <c r="J221" s="10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10" t="s">
        <v>2004</v>
      </c>
      <c r="E222" s="10" t="s">
        <v>8</v>
      </c>
      <c r="F222" s="10"/>
      <c r="H222" s="10"/>
      <c r="I222" s="10" t="s">
        <v>8809</v>
      </c>
      <c r="J222" s="10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10" t="s">
        <v>2004</v>
      </c>
      <c r="E223" s="10" t="s">
        <v>8</v>
      </c>
      <c r="F223" s="10"/>
      <c r="H223" s="10"/>
      <c r="I223" s="10" t="s">
        <v>8812</v>
      </c>
      <c r="J223" s="10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10" t="s">
        <v>2004</v>
      </c>
      <c r="E224" s="10" t="s">
        <v>8</v>
      </c>
      <c r="F224" s="10"/>
      <c r="H224" s="10"/>
      <c r="I224" s="10" t="s">
        <v>8815</v>
      </c>
      <c r="J224" s="10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10" t="s">
        <v>2004</v>
      </c>
      <c r="E225" s="10" t="s">
        <v>8</v>
      </c>
      <c r="F225" s="10"/>
      <c r="H225" s="10"/>
      <c r="I225" s="10" t="s">
        <v>8818</v>
      </c>
      <c r="J225" s="10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10" t="s">
        <v>2004</v>
      </c>
      <c r="E226" s="10" t="s">
        <v>8</v>
      </c>
      <c r="F226" s="10"/>
      <c r="H226" s="10"/>
      <c r="I226" s="10" t="s">
        <v>8821</v>
      </c>
      <c r="J226" s="10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10" t="s">
        <v>2004</v>
      </c>
      <c r="E227" s="10" t="s">
        <v>8</v>
      </c>
      <c r="F227" s="10"/>
      <c r="H227" s="10"/>
      <c r="I227" s="10" t="s">
        <v>9192</v>
      </c>
      <c r="J227" s="10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10" t="s">
        <v>2004</v>
      </c>
      <c r="E228" s="10" t="s">
        <v>8</v>
      </c>
      <c r="F228" s="10"/>
      <c r="H228" s="10"/>
      <c r="I228" s="10" t="s">
        <v>9195</v>
      </c>
      <c r="J228" s="10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10" t="s">
        <v>2004</v>
      </c>
      <c r="E229" s="10" t="s">
        <v>8</v>
      </c>
      <c r="F229" s="10"/>
      <c r="H229" s="10"/>
      <c r="I229" s="10" t="s">
        <v>9400</v>
      </c>
      <c r="J229" s="10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10" t="s">
        <v>2004</v>
      </c>
      <c r="E230" s="10" t="s">
        <v>8</v>
      </c>
      <c r="F230" s="10"/>
      <c r="H230" s="10"/>
      <c r="I230" s="10" t="s">
        <v>9403</v>
      </c>
      <c r="J230" s="1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10" t="s">
        <v>2004</v>
      </c>
      <c r="E231" s="10" t="s">
        <v>8</v>
      </c>
      <c r="F231" s="10"/>
      <c r="H231" s="10"/>
      <c r="I231" s="10" t="s">
        <v>9406</v>
      </c>
      <c r="J231" s="10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10" t="s">
        <v>2004</v>
      </c>
      <c r="E232" s="10" t="s">
        <v>8</v>
      </c>
      <c r="F232" s="10"/>
      <c r="H232" s="10"/>
      <c r="I232" s="10" t="s">
        <v>9686</v>
      </c>
      <c r="J232" s="10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10" t="s">
        <v>2004</v>
      </c>
      <c r="E233" s="10" t="s">
        <v>8</v>
      </c>
      <c r="F233" s="10"/>
      <c r="H233" s="10"/>
      <c r="I233" s="10" t="s">
        <v>9688</v>
      </c>
      <c r="J233" s="10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10" t="s">
        <v>4</v>
      </c>
      <c r="E234" s="10" t="s">
        <v>9913</v>
      </c>
      <c r="F234" s="10"/>
      <c r="H234" s="10"/>
      <c r="I234" s="10" t="s">
        <v>9877</v>
      </c>
      <c r="J234" s="10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10" t="s">
        <v>4</v>
      </c>
      <c r="E235" s="10" t="s">
        <v>9913</v>
      </c>
      <c r="F235" s="10"/>
      <c r="H235" s="10" t="s">
        <v>2936</v>
      </c>
      <c r="I235" s="10" t="s">
        <v>9880</v>
      </c>
      <c r="J235" s="10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10" t="s">
        <v>4</v>
      </c>
      <c r="E236" s="10" t="s">
        <v>9913</v>
      </c>
      <c r="F236" s="10"/>
      <c r="H236" s="10" t="s">
        <v>2936</v>
      </c>
      <c r="I236" s="10" t="s">
        <v>9883</v>
      </c>
      <c r="J236" s="10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10" t="s">
        <v>4</v>
      </c>
      <c r="E237" s="10" t="s">
        <v>9913</v>
      </c>
      <c r="F237" s="10"/>
      <c r="H237" s="10" t="s">
        <v>2936</v>
      </c>
      <c r="I237" s="10" t="s">
        <v>9886</v>
      </c>
      <c r="J237" s="10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10" t="s">
        <v>4</v>
      </c>
      <c r="E238" s="10" t="s">
        <v>9913</v>
      </c>
      <c r="F238" s="10"/>
      <c r="H238" s="10" t="s">
        <v>2936</v>
      </c>
      <c r="I238" s="10" t="s">
        <v>9889</v>
      </c>
      <c r="J238" s="10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10" t="s">
        <v>4</v>
      </c>
      <c r="E239" s="10" t="s">
        <v>9913</v>
      </c>
      <c r="F239" s="10"/>
      <c r="H239" s="10" t="s">
        <v>2936</v>
      </c>
      <c r="I239" s="10" t="s">
        <v>9892</v>
      </c>
      <c r="J239" s="10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10" t="s">
        <v>4</v>
      </c>
      <c r="E240" s="10" t="s">
        <v>9913</v>
      </c>
      <c r="F240" s="10"/>
      <c r="H240" s="10" t="s">
        <v>2936</v>
      </c>
      <c r="I240" s="10" t="s">
        <v>9895</v>
      </c>
      <c r="J240" s="1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10" t="s">
        <v>4</v>
      </c>
      <c r="E241" s="10" t="s">
        <v>9913</v>
      </c>
      <c r="F241" s="10"/>
      <c r="H241" s="10" t="s">
        <v>2936</v>
      </c>
      <c r="I241" s="10" t="s">
        <v>9898</v>
      </c>
      <c r="J241" s="10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10" t="s">
        <v>4</v>
      </c>
      <c r="E242" s="10" t="s">
        <v>9913</v>
      </c>
      <c r="F242" s="10"/>
      <c r="H242" s="10" t="s">
        <v>2936</v>
      </c>
      <c r="I242" s="10" t="s">
        <v>9901</v>
      </c>
      <c r="J242" s="10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10" t="s">
        <v>4</v>
      </c>
      <c r="E243" s="10" t="s">
        <v>9913</v>
      </c>
      <c r="F243" s="10"/>
      <c r="H243" s="10" t="s">
        <v>2936</v>
      </c>
      <c r="I243" s="10" t="s">
        <v>9904</v>
      </c>
      <c r="J243" s="10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10" t="s">
        <v>4</v>
      </c>
      <c r="E244" s="10" t="s">
        <v>9913</v>
      </c>
      <c r="F244" s="10"/>
      <c r="H244" s="10" t="s">
        <v>2936</v>
      </c>
      <c r="I244" s="10" t="s">
        <v>9907</v>
      </c>
      <c r="J244" s="10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10" t="s">
        <v>4</v>
      </c>
      <c r="E245" s="10" t="s">
        <v>9913</v>
      </c>
      <c r="F245" s="10"/>
      <c r="H245" s="10" t="s">
        <v>2936</v>
      </c>
      <c r="I245" s="10" t="s">
        <v>9910</v>
      </c>
      <c r="J245" s="10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10" t="s">
        <v>4</v>
      </c>
      <c r="E246" s="10" t="s">
        <v>9913</v>
      </c>
      <c r="F246" s="10"/>
      <c r="H246" s="10" t="s">
        <v>2936</v>
      </c>
      <c r="I246" s="10" t="s">
        <v>10125</v>
      </c>
      <c r="J246" s="10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10" t="s">
        <v>4</v>
      </c>
      <c r="E247" s="10" t="s">
        <v>9913</v>
      </c>
      <c r="F247" s="10"/>
      <c r="H247" s="10" t="s">
        <v>2936</v>
      </c>
      <c r="I247" s="10" t="s">
        <v>10128</v>
      </c>
      <c r="J247" s="10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10" t="s">
        <v>4</v>
      </c>
      <c r="E248" s="10" t="s">
        <v>9913</v>
      </c>
      <c r="F248" s="10"/>
      <c r="H248" s="10" t="s">
        <v>2936</v>
      </c>
      <c r="I248" s="10" t="s">
        <v>10131</v>
      </c>
      <c r="J248" s="10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10" t="s">
        <v>4</v>
      </c>
      <c r="E249" s="10" t="s">
        <v>9913</v>
      </c>
      <c r="F249" s="10"/>
      <c r="H249" s="10" t="s">
        <v>2936</v>
      </c>
      <c r="I249" s="10" t="s">
        <v>10134</v>
      </c>
      <c r="J249" s="10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10" t="s">
        <v>2004</v>
      </c>
      <c r="E250" s="10" t="s">
        <v>8</v>
      </c>
      <c r="F250" s="10"/>
      <c r="H250" s="10"/>
      <c r="I250" s="10" t="s">
        <v>10137</v>
      </c>
      <c r="J250" s="1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10" t="s">
        <v>4</v>
      </c>
      <c r="E251" s="10" t="s">
        <v>10392</v>
      </c>
      <c r="F251" s="10"/>
      <c r="H251" s="10"/>
      <c r="I251" s="10" t="s">
        <v>10389</v>
      </c>
      <c r="J251" s="10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10" t="s">
        <v>2004</v>
      </c>
      <c r="E252" s="10" t="s">
        <v>8</v>
      </c>
      <c r="F252" s="10"/>
      <c r="H252" s="10"/>
      <c r="I252" s="10" t="s">
        <v>10512</v>
      </c>
      <c r="J252" s="10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10" t="s">
        <v>2004</v>
      </c>
      <c r="E253" s="10" t="s">
        <v>8</v>
      </c>
      <c r="F253" s="10"/>
      <c r="H253" s="10"/>
      <c r="I253" s="10" t="s">
        <v>10515</v>
      </c>
      <c r="J253" s="10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10" t="s">
        <v>2004</v>
      </c>
      <c r="E254" s="10" t="s">
        <v>8</v>
      </c>
      <c r="F254" s="10"/>
      <c r="H254" s="10"/>
      <c r="I254" s="10" t="s">
        <v>10631</v>
      </c>
      <c r="J254" s="10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10" t="s">
        <v>2004</v>
      </c>
      <c r="E255" s="10" t="s">
        <v>8</v>
      </c>
      <c r="F255" s="10"/>
      <c r="H255" s="10"/>
      <c r="I255" s="10" t="s">
        <v>10634</v>
      </c>
      <c r="J255" s="10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10" t="s">
        <v>2004</v>
      </c>
      <c r="E256" s="10" t="s">
        <v>8</v>
      </c>
      <c r="F256" s="10"/>
      <c r="H256" s="10"/>
      <c r="I256" s="10" t="s">
        <v>10878</v>
      </c>
      <c r="J256" s="10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10" t="s">
        <v>2004</v>
      </c>
      <c r="E257" s="10" t="s">
        <v>8</v>
      </c>
      <c r="F257" s="10"/>
      <c r="H257" s="10"/>
      <c r="I257" s="10" t="s">
        <v>10881</v>
      </c>
      <c r="J257" s="10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10" t="s">
        <v>2004</v>
      </c>
      <c r="E258" s="10" t="s">
        <v>8</v>
      </c>
      <c r="F258" s="10"/>
      <c r="H258" s="10"/>
      <c r="I258" s="10" t="s">
        <v>11004</v>
      </c>
      <c r="J258" s="10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10" t="s">
        <v>2004</v>
      </c>
      <c r="E259" s="10" t="s">
        <v>8</v>
      </c>
      <c r="F259" s="10"/>
      <c r="H259" s="10"/>
      <c r="I259" s="10" t="s">
        <v>11127</v>
      </c>
      <c r="J259" s="10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10" t="s">
        <v>2004</v>
      </c>
      <c r="E260" s="10" t="s">
        <v>8</v>
      </c>
      <c r="F260" s="10"/>
      <c r="H260" s="10"/>
      <c r="I260" s="10" t="s">
        <v>11130</v>
      </c>
      <c r="J260" s="10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10" t="s">
        <v>2004</v>
      </c>
      <c r="E261" s="10" t="s">
        <v>8</v>
      </c>
      <c r="F261" s="10"/>
      <c r="H261" s="10"/>
      <c r="I261" s="10" t="s">
        <v>11414</v>
      </c>
      <c r="J261" s="10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10" t="s">
        <v>2004</v>
      </c>
      <c r="E262" s="10" t="s">
        <v>8</v>
      </c>
      <c r="F262" s="10"/>
      <c r="H262" s="10"/>
      <c r="I262" s="10" t="s">
        <v>11417</v>
      </c>
      <c r="J262" s="10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10" t="s">
        <v>2004</v>
      </c>
      <c r="E263" s="10" t="s">
        <v>8</v>
      </c>
      <c r="F263" s="10"/>
      <c r="H263" s="10"/>
      <c r="I263" s="10" t="s">
        <v>11642</v>
      </c>
      <c r="J263" s="10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10" t="s">
        <v>2004</v>
      </c>
      <c r="E264" s="10" t="s">
        <v>8</v>
      </c>
      <c r="F264" s="10"/>
      <c r="H264" s="10"/>
      <c r="I264" s="10" t="s">
        <v>11645</v>
      </c>
      <c r="J264" s="10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10" t="s">
        <v>2004</v>
      </c>
      <c r="E265" s="10" t="s">
        <v>8</v>
      </c>
      <c r="F265" s="10"/>
      <c r="H265" s="10"/>
      <c r="I265" s="10" t="s">
        <v>11648</v>
      </c>
      <c r="J265" s="10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10" t="s">
        <v>2004</v>
      </c>
      <c r="E266" s="10" t="s">
        <v>8</v>
      </c>
      <c r="F266" s="10"/>
      <c r="H266" s="10"/>
      <c r="I266" s="10" t="s">
        <v>11776</v>
      </c>
      <c r="J266" s="10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10" t="s">
        <v>2004</v>
      </c>
      <c r="E267" s="10" t="s">
        <v>8</v>
      </c>
      <c r="F267" s="10"/>
      <c r="H267" s="10"/>
      <c r="I267" s="10" t="s">
        <v>11779</v>
      </c>
      <c r="J267" s="10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10" t="s">
        <v>4</v>
      </c>
      <c r="E268" s="10" t="s">
        <v>9913</v>
      </c>
      <c r="F268" s="10"/>
      <c r="H268" s="10"/>
      <c r="I268" s="10" t="s">
        <v>11784</v>
      </c>
      <c r="J268" s="10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10" t="s">
        <v>4</v>
      </c>
      <c r="E269" s="10" t="s">
        <v>8</v>
      </c>
      <c r="F269" s="10"/>
      <c r="H269" s="10"/>
      <c r="I269" s="10" t="s">
        <v>11787</v>
      </c>
      <c r="J269" s="10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10" t="s">
        <v>4</v>
      </c>
      <c r="E270" s="10" t="s">
        <v>9913</v>
      </c>
      <c r="F270" s="10"/>
      <c r="H270" s="10"/>
      <c r="I270" s="10" t="s">
        <v>11790</v>
      </c>
      <c r="J270" s="10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10" t="s">
        <v>4</v>
      </c>
      <c r="E271" s="10" t="s">
        <v>9913</v>
      </c>
      <c r="F271" s="10"/>
      <c r="H271" s="10"/>
      <c r="I271" s="10" t="s">
        <v>11793</v>
      </c>
      <c r="J271" s="10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10" t="s">
        <v>11961</v>
      </c>
      <c r="E272" s="10"/>
      <c r="F272" s="10"/>
      <c r="H272" s="10"/>
      <c r="I272" s="10" t="s">
        <v>11796</v>
      </c>
      <c r="J272" s="10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10" t="s">
        <v>4</v>
      </c>
      <c r="E273" s="10" t="s">
        <v>8</v>
      </c>
      <c r="F273" s="10"/>
      <c r="H273" s="10"/>
      <c r="I273" s="10" t="s">
        <v>11799</v>
      </c>
      <c r="J273" s="10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10" t="s">
        <v>4</v>
      </c>
      <c r="E274" s="10" t="s">
        <v>8</v>
      </c>
      <c r="F274" s="10"/>
      <c r="H274" s="10"/>
      <c r="I274" s="10" t="s">
        <v>11802</v>
      </c>
      <c r="J274" s="10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10" t="s">
        <v>4</v>
      </c>
      <c r="E275" s="10" t="s">
        <v>8</v>
      </c>
      <c r="F275" s="10"/>
      <c r="H275" s="10"/>
      <c r="I275" s="10" t="s">
        <v>11805</v>
      </c>
      <c r="J275" s="10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10" t="s">
        <v>4</v>
      </c>
      <c r="E276" s="10" t="s">
        <v>8</v>
      </c>
      <c r="F276" s="10"/>
      <c r="H276" s="10"/>
      <c r="I276" s="10" t="s">
        <v>11808</v>
      </c>
      <c r="J276" s="10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10" t="s">
        <v>11962</v>
      </c>
      <c r="E277" s="10" t="s">
        <v>2932</v>
      </c>
      <c r="F277" s="10"/>
      <c r="H277" s="10"/>
      <c r="I277" s="10" t="s">
        <v>11811</v>
      </c>
      <c r="J277" s="10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10" t="s">
        <v>4</v>
      </c>
      <c r="E278" s="10" t="s">
        <v>9913</v>
      </c>
      <c r="F278" s="10"/>
      <c r="H278" s="10"/>
      <c r="I278" s="10" t="s">
        <v>11814</v>
      </c>
      <c r="J278" s="10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10" t="s">
        <v>4</v>
      </c>
      <c r="E279" s="10" t="s">
        <v>8</v>
      </c>
      <c r="F279" s="10"/>
      <c r="H279" s="10"/>
      <c r="I279" s="10" t="s">
        <v>11817</v>
      </c>
      <c r="J279" s="10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s="10" t="s">
        <v>4</v>
      </c>
      <c r="E280" s="10" t="s">
        <v>4248</v>
      </c>
      <c r="F280" s="10"/>
      <c r="H280" s="10"/>
      <c r="I280" s="10" t="s">
        <v>12018</v>
      </c>
      <c r="J280" s="10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s="10" t="s">
        <v>4</v>
      </c>
      <c r="E281" s="10" t="s">
        <v>4248</v>
      </c>
      <c r="F281" s="10"/>
      <c r="H281" s="10" t="s">
        <v>2936</v>
      </c>
      <c r="I281" s="10" t="s">
        <v>12021</v>
      </c>
      <c r="J281" s="10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s="10" t="s">
        <v>2004</v>
      </c>
      <c r="E282" s="10" t="s">
        <v>8</v>
      </c>
      <c r="F282" s="10"/>
      <c r="H282" s="10"/>
      <c r="I282" s="10" t="s">
        <v>12024</v>
      </c>
      <c r="J282" s="10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2" t="s">
        <v>22</v>
      </c>
      <c r="B283" s="4">
        <v>46068</v>
      </c>
      <c r="C283" s="5">
        <v>0.67565972222222226</v>
      </c>
      <c r="D283" s="10" t="s">
        <v>2004</v>
      </c>
      <c r="E283" s="10" t="s">
        <v>8</v>
      </c>
      <c r="F283" s="10"/>
      <c r="H283" s="10"/>
      <c r="I283" s="10" t="s">
        <v>12058</v>
      </c>
      <c r="J283" s="10" t="s">
        <v>2984</v>
      </c>
      <c r="K283" t="s">
        <v>12059</v>
      </c>
      <c r="L283" t="s">
        <v>12060</v>
      </c>
      <c r="M283" s="3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2" t="s">
        <v>13</v>
      </c>
      <c r="B284" s="4">
        <v>46069</v>
      </c>
      <c r="C284" s="5">
        <v>0.50343749999999998</v>
      </c>
      <c r="D284" s="10" t="s">
        <v>4</v>
      </c>
      <c r="E284" s="10" t="s">
        <v>12382</v>
      </c>
      <c r="F284" s="10"/>
      <c r="H284" s="10"/>
      <c r="I284" s="10" t="s">
        <v>12211</v>
      </c>
      <c r="J284" s="10" t="s">
        <v>2984</v>
      </c>
      <c r="K284" t="s">
        <v>12212</v>
      </c>
      <c r="L284" t="s">
        <v>12359</v>
      </c>
      <c r="M284" s="3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2" t="s">
        <v>13</v>
      </c>
      <c r="B285" s="4">
        <v>46069</v>
      </c>
      <c r="C285" s="5">
        <v>0.51503472222222224</v>
      </c>
      <c r="D285" s="10" t="s">
        <v>9876</v>
      </c>
      <c r="E285" s="10"/>
      <c r="F285" s="10"/>
      <c r="H285" s="10"/>
      <c r="I285" s="10" t="s">
        <v>12213</v>
      </c>
      <c r="J285" s="10" t="s">
        <v>2984</v>
      </c>
      <c r="K285" t="s">
        <v>12214</v>
      </c>
      <c r="L285" t="s">
        <v>12360</v>
      </c>
      <c r="M285" s="3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2" t="s">
        <v>13</v>
      </c>
      <c r="B286" s="4">
        <v>46069</v>
      </c>
      <c r="C286" s="5">
        <v>0.56626157407407407</v>
      </c>
      <c r="D286" s="10" t="s">
        <v>9876</v>
      </c>
      <c r="E286" s="10"/>
      <c r="F286" s="10"/>
      <c r="H286" s="10"/>
      <c r="I286" s="10" t="s">
        <v>12215</v>
      </c>
      <c r="J286" s="10" t="s">
        <v>2984</v>
      </c>
      <c r="K286" t="s">
        <v>12216</v>
      </c>
      <c r="L286" t="s">
        <v>12361</v>
      </c>
      <c r="M286" s="3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2" t="s">
        <v>13</v>
      </c>
      <c r="B287" s="4">
        <v>46069</v>
      </c>
      <c r="C287" s="5">
        <v>0.68730324074074078</v>
      </c>
      <c r="D287" s="10" t="s">
        <v>9876</v>
      </c>
      <c r="E287" s="10"/>
      <c r="F287" s="10"/>
      <c r="H287" s="10"/>
      <c r="I287" s="10" t="s">
        <v>12217</v>
      </c>
      <c r="J287" s="10" t="s">
        <v>2984</v>
      </c>
      <c r="K287" t="s">
        <v>12218</v>
      </c>
      <c r="L287" t="s">
        <v>12362</v>
      </c>
      <c r="M287" s="3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2" t="s">
        <v>14</v>
      </c>
      <c r="B288" s="4">
        <v>46070</v>
      </c>
      <c r="C288" s="5">
        <v>0.44559027777777777</v>
      </c>
      <c r="D288" s="10" t="s">
        <v>9876</v>
      </c>
      <c r="E288" s="10"/>
      <c r="F288" s="10"/>
      <c r="H288" s="10"/>
      <c r="I288" s="10" t="s">
        <v>12219</v>
      </c>
      <c r="J288" s="10" t="s">
        <v>2984</v>
      </c>
      <c r="K288" t="s">
        <v>12220</v>
      </c>
      <c r="L288" t="s">
        <v>12363</v>
      </c>
      <c r="M288" s="3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2" t="s">
        <v>14</v>
      </c>
      <c r="B289" s="4">
        <v>46070</v>
      </c>
      <c r="C289" s="5">
        <v>0.60366898148148151</v>
      </c>
      <c r="D289" s="10" t="s">
        <v>9876</v>
      </c>
      <c r="E289" s="10"/>
      <c r="F289" s="10"/>
      <c r="H289" s="10"/>
      <c r="I289" s="10" t="s">
        <v>12221</v>
      </c>
      <c r="J289" s="10" t="s">
        <v>2984</v>
      </c>
      <c r="K289" t="s">
        <v>12222</v>
      </c>
      <c r="L289" t="s">
        <v>12364</v>
      </c>
      <c r="M289" s="3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2" t="s">
        <v>14</v>
      </c>
      <c r="B290" s="4">
        <v>46070</v>
      </c>
      <c r="C290" s="5">
        <v>0.71502314814814816</v>
      </c>
      <c r="D290" s="10" t="s">
        <v>9876</v>
      </c>
      <c r="E290" s="10"/>
      <c r="F290" s="10"/>
      <c r="H290" s="10"/>
      <c r="I290" s="10" t="s">
        <v>12223</v>
      </c>
      <c r="J290" s="10" t="s">
        <v>2984</v>
      </c>
      <c r="K290" t="s">
        <v>12224</v>
      </c>
      <c r="L290" t="s">
        <v>12365</v>
      </c>
      <c r="M290" s="3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2" t="s">
        <v>15</v>
      </c>
      <c r="B291" s="4">
        <v>46071</v>
      </c>
      <c r="C291" s="5">
        <v>0.40998842592592594</v>
      </c>
      <c r="D291" s="10" t="s">
        <v>9876</v>
      </c>
      <c r="E291" s="10"/>
      <c r="F291" s="10"/>
      <c r="H291" s="10"/>
      <c r="I291" s="10" t="s">
        <v>12225</v>
      </c>
      <c r="J291" s="10" t="s">
        <v>2984</v>
      </c>
      <c r="K291" t="s">
        <v>12226</v>
      </c>
      <c r="L291" t="s">
        <v>12366</v>
      </c>
      <c r="M291" s="3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2" t="s">
        <v>15</v>
      </c>
      <c r="B292" s="4">
        <v>46071</v>
      </c>
      <c r="C292" s="5">
        <v>0.42702546296296295</v>
      </c>
      <c r="D292" s="10" t="s">
        <v>9876</v>
      </c>
      <c r="E292" s="10"/>
      <c r="F292" s="10"/>
      <c r="H292" s="10"/>
      <c r="I292" s="10" t="s">
        <v>12227</v>
      </c>
      <c r="J292" s="10" t="s">
        <v>2984</v>
      </c>
      <c r="K292" t="s">
        <v>12228</v>
      </c>
      <c r="L292" t="s">
        <v>12367</v>
      </c>
      <c r="M292" s="3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2" t="s">
        <v>15</v>
      </c>
      <c r="B293" s="4">
        <v>46071</v>
      </c>
      <c r="C293" s="5">
        <v>0.51657407407407407</v>
      </c>
      <c r="D293" s="10" t="s">
        <v>159</v>
      </c>
      <c r="E293" s="10" t="s">
        <v>12372</v>
      </c>
      <c r="F293" s="10"/>
      <c r="H293" s="10"/>
      <c r="I293" s="10" t="s">
        <v>12229</v>
      </c>
      <c r="J293" s="10" t="s">
        <v>2984</v>
      </c>
      <c r="K293" t="s">
        <v>12230</v>
      </c>
      <c r="L293" t="s">
        <v>12368</v>
      </c>
      <c r="M293" s="3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2" t="s">
        <v>15</v>
      </c>
      <c r="B294" s="4">
        <v>46071</v>
      </c>
      <c r="C294" s="5">
        <v>0.77922453703703709</v>
      </c>
      <c r="D294" s="10" t="s">
        <v>4</v>
      </c>
      <c r="E294" s="10" t="s">
        <v>8</v>
      </c>
      <c r="F294" s="10"/>
      <c r="H294" s="10"/>
      <c r="I294" s="10" t="s">
        <v>12231</v>
      </c>
      <c r="J294" s="10" t="s">
        <v>2984</v>
      </c>
      <c r="K294" t="s">
        <v>12232</v>
      </c>
      <c r="L294" t="s">
        <v>12369</v>
      </c>
      <c r="M294" s="3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2" t="s">
        <v>16</v>
      </c>
      <c r="B295" s="4">
        <v>46072</v>
      </c>
      <c r="C295" s="5">
        <v>0.42626157407407406</v>
      </c>
      <c r="D295" s="10" t="s">
        <v>11</v>
      </c>
      <c r="E295" s="10"/>
      <c r="F295" s="10"/>
      <c r="H295" s="10" t="s">
        <v>2936</v>
      </c>
      <c r="I295" s="10" t="s">
        <v>12473</v>
      </c>
      <c r="J295" s="10" t="s">
        <v>2984</v>
      </c>
      <c r="K295" t="s">
        <v>12474</v>
      </c>
      <c r="L295" t="s">
        <v>12475</v>
      </c>
      <c r="M295" s="3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2" t="s">
        <v>16</v>
      </c>
      <c r="B296" s="4">
        <v>46072</v>
      </c>
      <c r="C296" s="5">
        <v>0.50531250000000005</v>
      </c>
      <c r="D296" s="10" t="s">
        <v>11</v>
      </c>
      <c r="E296" s="10"/>
      <c r="F296" s="10"/>
      <c r="H296" s="10" t="s">
        <v>2936</v>
      </c>
      <c r="I296" s="10" t="s">
        <v>12476</v>
      </c>
      <c r="J296" s="10" t="s">
        <v>2984</v>
      </c>
      <c r="K296" t="s">
        <v>12477</v>
      </c>
      <c r="L296" t="s">
        <v>12478</v>
      </c>
      <c r="M296" s="3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2" t="s">
        <v>16</v>
      </c>
      <c r="B297" s="4">
        <v>46072</v>
      </c>
      <c r="C297" s="5">
        <v>0.51907407407407402</v>
      </c>
      <c r="D297" s="10" t="s">
        <v>11</v>
      </c>
      <c r="E297" s="10"/>
      <c r="F297" s="10"/>
      <c r="H297" s="10"/>
      <c r="I297" s="10" t="s">
        <v>12479</v>
      </c>
      <c r="J297" s="10" t="s">
        <v>2984</v>
      </c>
      <c r="K297" t="s">
        <v>12480</v>
      </c>
      <c r="L297" t="s">
        <v>12481</v>
      </c>
      <c r="M297" s="3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2" t="s">
        <v>16</v>
      </c>
      <c r="B298" s="4">
        <v>46072</v>
      </c>
      <c r="C298" s="5">
        <v>0.64537037037037037</v>
      </c>
      <c r="D298" s="10" t="s">
        <v>11961</v>
      </c>
      <c r="E298" s="10"/>
      <c r="F298" s="10"/>
      <c r="H298" s="10"/>
      <c r="I298" s="10" t="s">
        <v>12482</v>
      </c>
      <c r="J298" s="10" t="s">
        <v>2984</v>
      </c>
      <c r="K298" t="s">
        <v>12483</v>
      </c>
      <c r="L298" t="s">
        <v>12484</v>
      </c>
      <c r="M298" s="3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2" t="s">
        <v>16</v>
      </c>
      <c r="B299" s="4">
        <v>46072</v>
      </c>
      <c r="C299" s="5">
        <v>0.76968749999999997</v>
      </c>
      <c r="D299" s="10" t="s">
        <v>12381</v>
      </c>
      <c r="E299" s="10"/>
      <c r="F299" s="10"/>
      <c r="H299" s="10"/>
      <c r="I299" s="10" t="s">
        <v>12485</v>
      </c>
      <c r="J299" s="10" t="s">
        <v>2984</v>
      </c>
      <c r="K299" t="s">
        <v>12486</v>
      </c>
      <c r="L299" t="s">
        <v>12487</v>
      </c>
      <c r="M299" s="3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2" t="s">
        <v>16</v>
      </c>
      <c r="B300" s="4">
        <v>46072</v>
      </c>
      <c r="C300" s="5">
        <v>0.79420138888888892</v>
      </c>
      <c r="D300" s="10" t="s">
        <v>12381</v>
      </c>
      <c r="E300" s="10"/>
      <c r="F300" s="10"/>
      <c r="H300" s="10"/>
      <c r="I300" s="10" t="s">
        <v>12488</v>
      </c>
      <c r="J300" s="10" t="s">
        <v>2984</v>
      </c>
      <c r="K300" t="s">
        <v>12489</v>
      </c>
      <c r="L300" t="s">
        <v>12490</v>
      </c>
      <c r="M300" s="3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2" t="s">
        <v>17</v>
      </c>
      <c r="B301" s="4">
        <v>46073</v>
      </c>
      <c r="C301" s="5">
        <v>0.40586805555555555</v>
      </c>
      <c r="D301" s="10" t="s">
        <v>4</v>
      </c>
      <c r="E301" s="10" t="s">
        <v>8</v>
      </c>
      <c r="F301" s="10"/>
      <c r="H301" s="10"/>
      <c r="I301" s="10" t="s">
        <v>12513</v>
      </c>
      <c r="J301" s="10" t="s">
        <v>2984</v>
      </c>
      <c r="K301" t="s">
        <v>12514</v>
      </c>
      <c r="L301" t="s">
        <v>12515</v>
      </c>
      <c r="M301" s="3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2" t="s">
        <v>17</v>
      </c>
      <c r="B302" s="4">
        <v>46073</v>
      </c>
      <c r="C302" s="5">
        <v>0.55472222222222223</v>
      </c>
      <c r="D302" s="10" t="s">
        <v>9876</v>
      </c>
      <c r="E302" s="10"/>
      <c r="F302" s="10"/>
      <c r="H302" s="10"/>
      <c r="I302" s="10" t="s">
        <v>12516</v>
      </c>
      <c r="J302" s="10" t="s">
        <v>2984</v>
      </c>
      <c r="K302" t="s">
        <v>12517</v>
      </c>
      <c r="L302" t="s">
        <v>12518</v>
      </c>
      <c r="M302" s="3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2" t="s">
        <v>17</v>
      </c>
      <c r="B303" s="4">
        <v>46073</v>
      </c>
      <c r="C303" s="5">
        <v>0.65971064814814817</v>
      </c>
      <c r="D303" s="10" t="s">
        <v>12600</v>
      </c>
      <c r="E303" s="10" t="s">
        <v>12493</v>
      </c>
      <c r="F303" s="10"/>
      <c r="H303" s="10" t="s">
        <v>12601</v>
      </c>
      <c r="I303" s="10" t="s">
        <v>12519</v>
      </c>
      <c r="J303" s="10" t="s">
        <v>2984</v>
      </c>
      <c r="K303" t="s">
        <v>12520</v>
      </c>
      <c r="L303" t="s">
        <v>12521</v>
      </c>
      <c r="M303" s="3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2" t="s">
        <v>17</v>
      </c>
      <c r="B304" s="4">
        <v>46073</v>
      </c>
      <c r="C304" s="5">
        <v>0.7880787037037037</v>
      </c>
      <c r="D304" s="10" t="s">
        <v>4</v>
      </c>
      <c r="E304" s="10" t="s">
        <v>8</v>
      </c>
      <c r="F304" s="10"/>
      <c r="H304" s="10"/>
      <c r="I304" s="10" t="s">
        <v>12522</v>
      </c>
      <c r="J304" s="10" t="s">
        <v>2984</v>
      </c>
      <c r="K304" t="s">
        <v>12523</v>
      </c>
      <c r="L304" t="s">
        <v>12524</v>
      </c>
      <c r="M304" s="3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2" t="s">
        <v>18</v>
      </c>
      <c r="B305" s="4">
        <v>46074</v>
      </c>
      <c r="C305" s="5">
        <v>0.37921296296296297</v>
      </c>
      <c r="D305" s="10" t="s">
        <v>12381</v>
      </c>
      <c r="E305" s="10"/>
      <c r="F305" s="10"/>
      <c r="H305" s="10"/>
      <c r="I305" s="10" t="s">
        <v>12752</v>
      </c>
      <c r="J305" s="10" t="s">
        <v>2984</v>
      </c>
      <c r="K305" t="s">
        <v>12753</v>
      </c>
      <c r="L305" t="s">
        <v>12754</v>
      </c>
      <c r="M305" s="3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2" t="s">
        <v>18</v>
      </c>
      <c r="B306" s="4">
        <v>46074</v>
      </c>
      <c r="C306" s="5">
        <v>0.38472222222222224</v>
      </c>
      <c r="D306" s="10" t="s">
        <v>12381</v>
      </c>
      <c r="E306" s="10"/>
      <c r="F306" s="10"/>
      <c r="H306" s="10"/>
      <c r="I306" s="10" t="s">
        <v>12755</v>
      </c>
      <c r="J306" s="10" t="s">
        <v>2984</v>
      </c>
      <c r="K306" t="s">
        <v>12756</v>
      </c>
      <c r="L306" t="s">
        <v>12757</v>
      </c>
      <c r="M306" s="3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2" t="s">
        <v>18</v>
      </c>
      <c r="B307" s="4">
        <v>46074</v>
      </c>
      <c r="C307" s="5">
        <v>0.44068287037037035</v>
      </c>
      <c r="D307" s="10" t="s">
        <v>12381</v>
      </c>
      <c r="E307" s="10"/>
      <c r="F307" s="10"/>
      <c r="H307" s="10"/>
      <c r="I307" s="10" t="s">
        <v>12758</v>
      </c>
      <c r="J307" s="10" t="s">
        <v>2984</v>
      </c>
      <c r="K307" t="s">
        <v>12759</v>
      </c>
      <c r="L307" t="s">
        <v>12760</v>
      </c>
      <c r="M307" s="3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2" t="s">
        <v>18</v>
      </c>
      <c r="B308" s="4">
        <v>46074</v>
      </c>
      <c r="C308" s="5">
        <v>0.47728009259259258</v>
      </c>
      <c r="D308" s="10" t="s">
        <v>12381</v>
      </c>
      <c r="E308" s="10"/>
      <c r="F308" s="10"/>
      <c r="H308" s="10"/>
      <c r="I308" s="10" t="s">
        <v>12761</v>
      </c>
      <c r="J308" s="10" t="s">
        <v>2984</v>
      </c>
      <c r="K308" t="s">
        <v>12762</v>
      </c>
      <c r="L308" t="s">
        <v>12763</v>
      </c>
      <c r="M308" s="3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2" t="s">
        <v>18</v>
      </c>
      <c r="B309" s="4">
        <v>46074</v>
      </c>
      <c r="C309" s="5">
        <v>0.77474537037037039</v>
      </c>
      <c r="D309" s="10" t="s">
        <v>4</v>
      </c>
      <c r="E309" s="10" t="s">
        <v>8</v>
      </c>
      <c r="F309" s="10"/>
      <c r="H309" s="10"/>
      <c r="I309" s="10" t="s">
        <v>12764</v>
      </c>
      <c r="J309" s="10" t="s">
        <v>2984</v>
      </c>
      <c r="K309" t="s">
        <v>12765</v>
      </c>
      <c r="L309" t="s">
        <v>12766</v>
      </c>
      <c r="M309" s="3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2" t="s">
        <v>22</v>
      </c>
      <c r="B310" s="4">
        <v>46075</v>
      </c>
      <c r="C310" s="5">
        <v>0.46891203703703704</v>
      </c>
      <c r="D310" s="10" t="s">
        <v>12381</v>
      </c>
      <c r="E310" s="10"/>
      <c r="F310" s="10"/>
      <c r="H310" s="10"/>
      <c r="I310" s="10" t="s">
        <v>12767</v>
      </c>
      <c r="J310" s="10" t="s">
        <v>2984</v>
      </c>
      <c r="K310" t="s">
        <v>12768</v>
      </c>
      <c r="L310" t="s">
        <v>12769</v>
      </c>
      <c r="M310" s="3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2" t="s">
        <v>22</v>
      </c>
      <c r="B311" s="4">
        <v>46075</v>
      </c>
      <c r="C311" s="5">
        <v>0.68982638888888892</v>
      </c>
      <c r="D311" s="10" t="s">
        <v>12381</v>
      </c>
      <c r="E311" s="10"/>
      <c r="F311" s="10"/>
      <c r="H311" s="10"/>
      <c r="I311" s="10" t="s">
        <v>12770</v>
      </c>
      <c r="J311" s="10" t="s">
        <v>2984</v>
      </c>
      <c r="K311" t="s">
        <v>12771</v>
      </c>
      <c r="L311" t="s">
        <v>12772</v>
      </c>
      <c r="M311" s="3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2" t="s">
        <v>22</v>
      </c>
      <c r="B312" s="4">
        <v>46075</v>
      </c>
      <c r="C312" s="5">
        <v>0.78350694444444446</v>
      </c>
      <c r="D312" s="10" t="s">
        <v>4</v>
      </c>
      <c r="E312" s="10" t="s">
        <v>8</v>
      </c>
      <c r="F312" s="10"/>
      <c r="H312" s="10"/>
      <c r="I312" s="10" t="s">
        <v>12773</v>
      </c>
      <c r="J312" s="10" t="s">
        <v>2984</v>
      </c>
      <c r="K312" t="s">
        <v>12774</v>
      </c>
      <c r="L312" t="s">
        <v>12775</v>
      </c>
      <c r="M312" s="3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2" t="s">
        <v>13</v>
      </c>
      <c r="B313" s="4">
        <v>46076</v>
      </c>
      <c r="C313" s="5">
        <v>0.48528935185185185</v>
      </c>
      <c r="D313" s="10" t="s">
        <v>12381</v>
      </c>
      <c r="E313" s="10"/>
      <c r="F313" s="10"/>
      <c r="H313" s="10"/>
      <c r="I313" s="10" t="s">
        <v>12899</v>
      </c>
      <c r="J313" s="10" t="s">
        <v>2984</v>
      </c>
      <c r="K313" t="s">
        <v>12900</v>
      </c>
      <c r="L313" t="s">
        <v>12901</v>
      </c>
      <c r="M313" s="3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2" t="s">
        <v>13</v>
      </c>
      <c r="B314" s="4">
        <v>46076</v>
      </c>
      <c r="C314" s="5">
        <v>0.78184027777777776</v>
      </c>
      <c r="D314" s="10" t="s">
        <v>7</v>
      </c>
      <c r="E314" s="10"/>
      <c r="F314" s="10"/>
      <c r="H314" s="10"/>
      <c r="I314" s="10" t="s">
        <v>12902</v>
      </c>
      <c r="J314" s="10" t="s">
        <v>2984</v>
      </c>
      <c r="K314" t="s">
        <v>12903</v>
      </c>
      <c r="L314" t="s">
        <v>12904</v>
      </c>
      <c r="M314" s="3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2" t="s">
        <v>13</v>
      </c>
      <c r="B315" s="4">
        <v>46076</v>
      </c>
      <c r="C315" s="5">
        <v>0.79394675925925928</v>
      </c>
      <c r="D315" s="10" t="s">
        <v>4</v>
      </c>
      <c r="E315" s="10" t="s">
        <v>8</v>
      </c>
      <c r="F315" s="10"/>
      <c r="H315" s="10"/>
      <c r="I315" s="10" t="s">
        <v>12905</v>
      </c>
      <c r="J315" s="10" t="s">
        <v>2984</v>
      </c>
      <c r="K315" t="s">
        <v>12906</v>
      </c>
      <c r="L315" t="s">
        <v>12907</v>
      </c>
      <c r="M315" s="3" t="str">
        <f>HYPERLINK(склад2въезд13192021[[#This Row],[RelativePath]])</f>
        <v>7 Площадка 2 бетонщики\134160575_1_20260223T190317Z.jpg</v>
      </c>
    </row>
  </sheetData>
  <conditionalFormatting sqref="E316:E329 D1:D197 D316:D1048576 G2:H315 D2:E315">
    <cfRule type="containsText" dxfId="736" priority="18" operator="containsText" text="Выезд с территории">
      <formula>NOT(ISERROR(SEARCH("Выезд с территории",D1)))</formula>
    </cfRule>
  </conditionalFormatting>
  <conditionalFormatting sqref="F2:F315">
    <cfRule type="notContainsText" dxfId="735" priority="17" operator="notContains" text="порожний">
      <formula>ISERROR(SEARCH("порожний",F2))</formula>
    </cfRule>
  </conditionalFormatting>
  <conditionalFormatting sqref="E2:E329">
    <cfRule type="containsText" dxfId="734" priority="15" operator="containsText" text="Газель базы">
      <formula>NOT(ISERROR(SEARCH("Газель базы",E2)))</formula>
    </cfRule>
    <cfRule type="containsText" dxfId="733" priority="16" operator="containsText" text="Погрузчик базы">
      <formula>NOT(ISERROR(SEARCH("Погрузчик базы",E2)))</formula>
    </cfRule>
  </conditionalFormatting>
  <conditionalFormatting sqref="E2:E329">
    <cfRule type="containsText" dxfId="732" priority="14" operator="containsText" text="Трактор базы">
      <formula>NOT(ISERROR(SEARCH("Трактор базы",E2)))</formula>
    </cfRule>
  </conditionalFormatting>
  <conditionalFormatting sqref="A2:C315">
    <cfRule type="expression" dxfId="731" priority="13">
      <formula>$A2="пн"</formula>
    </cfRule>
  </conditionalFormatting>
  <conditionalFormatting sqref="A2:C317">
    <cfRule type="expression" dxfId="730" priority="7">
      <formula>$A2="вс"</formula>
    </cfRule>
    <cfRule type="expression" dxfId="729" priority="8">
      <formula>$A2="сб"</formula>
    </cfRule>
    <cfRule type="expression" dxfId="728" priority="9">
      <formula>$A2="пт"</formula>
    </cfRule>
    <cfRule type="expression" dxfId="727" priority="10">
      <formula>$A2="чт"</formula>
    </cfRule>
    <cfRule type="expression" dxfId="726" priority="11">
      <formula>$A2="ср"</formula>
    </cfRule>
    <cfRule type="expression" dxfId="725" priority="12">
      <formula>$A2="вт"</formula>
    </cfRule>
  </conditionalFormatting>
  <conditionalFormatting sqref="D1:D1048576">
    <cfRule type="containsText" dxfId="72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2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2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721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720" priority="13" operator="notContains" text="порожний">
      <formula>ISERROR(SEARCH("порожний",F2))</formula>
    </cfRule>
  </conditionalFormatting>
  <conditionalFormatting sqref="E2:E304">
    <cfRule type="containsText" dxfId="719" priority="11" operator="containsText" text="Газель базы">
      <formula>NOT(ISERROR(SEARCH("Газель базы",E2)))</formula>
    </cfRule>
    <cfRule type="containsText" dxfId="718" priority="12" operator="containsText" text="Погрузчик базы">
      <formula>NOT(ISERROR(SEARCH("Погрузчик базы",E2)))</formula>
    </cfRule>
  </conditionalFormatting>
  <conditionalFormatting sqref="E2:E304">
    <cfRule type="containsText" dxfId="717" priority="10" operator="containsText" text="Трактор базы">
      <formula>NOT(ISERROR(SEARCH("Трактор базы",E2)))</formula>
    </cfRule>
  </conditionalFormatting>
  <conditionalFormatting sqref="A2:C290">
    <cfRule type="expression" dxfId="716" priority="9">
      <formula>$A2="пн"</formula>
    </cfRule>
  </conditionalFormatting>
  <conditionalFormatting sqref="A2:C292">
    <cfRule type="expression" dxfId="715" priority="3">
      <formula>$A2="вс"</formula>
    </cfRule>
    <cfRule type="expression" dxfId="714" priority="4">
      <formula>$A2="сб"</formula>
    </cfRule>
    <cfRule type="expression" dxfId="713" priority="5">
      <formula>$A2="пт"</formula>
    </cfRule>
    <cfRule type="expression" dxfId="712" priority="6">
      <formula>$A2="чт"</formula>
    </cfRule>
    <cfRule type="expression" dxfId="711" priority="7">
      <formula>$A2="ср"</formula>
    </cfRule>
    <cfRule type="expression" dxfId="710" priority="8">
      <formula>$A2="вт"</formula>
    </cfRule>
  </conditionalFormatting>
  <conditionalFormatting sqref="D2:D301">
    <cfRule type="containsText" dxfId="7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707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706" priority="13" operator="notContains" text="порожний">
      <formula>ISERROR(SEARCH("порожний",F2))</formula>
    </cfRule>
  </conditionalFormatting>
  <conditionalFormatting sqref="E2:E617">
    <cfRule type="containsText" dxfId="705" priority="11" operator="containsText" text="Газель базы">
      <formula>NOT(ISERROR(SEARCH("Газель базы",E2)))</formula>
    </cfRule>
    <cfRule type="containsText" dxfId="704" priority="12" operator="containsText" text="Погрузчик базы">
      <formula>NOT(ISERROR(SEARCH("Погрузчик базы",E2)))</formula>
    </cfRule>
  </conditionalFormatting>
  <conditionalFormatting sqref="E2:E617">
    <cfRule type="containsText" dxfId="703" priority="10" operator="containsText" text="Трактор базы">
      <formula>NOT(ISERROR(SEARCH("Трактор базы",E2)))</formula>
    </cfRule>
  </conditionalFormatting>
  <conditionalFormatting sqref="A2:C603">
    <cfRule type="expression" dxfId="702" priority="9">
      <formula>$A2="пн"</formula>
    </cfRule>
  </conditionalFormatting>
  <conditionalFormatting sqref="A2:C605">
    <cfRule type="expression" dxfId="701" priority="3">
      <formula>$A2="вс"</formula>
    </cfRule>
    <cfRule type="expression" dxfId="700" priority="4">
      <formula>$A2="сб"</formula>
    </cfRule>
    <cfRule type="expression" dxfId="699" priority="5">
      <formula>$A2="пт"</formula>
    </cfRule>
    <cfRule type="expression" dxfId="698" priority="6">
      <formula>$A2="чт"</formula>
    </cfRule>
    <cfRule type="expression" dxfId="697" priority="7">
      <formula>$A2="ср"</formula>
    </cfRule>
    <cfRule type="expression" dxfId="696" priority="8">
      <formula>$A2="вт"</formula>
    </cfRule>
  </conditionalFormatting>
  <conditionalFormatting sqref="D2:D614">
    <cfRule type="containsText" dxfId="6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6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693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692" priority="13" operator="notContains" text="порожний">
      <formula>ISERROR(SEARCH("порожний",F2))</formula>
    </cfRule>
  </conditionalFormatting>
  <conditionalFormatting sqref="E2:E636">
    <cfRule type="containsText" dxfId="691" priority="11" operator="containsText" text="Газель базы">
      <formula>NOT(ISERROR(SEARCH("Газель базы",E2)))</formula>
    </cfRule>
    <cfRule type="containsText" dxfId="690" priority="12" operator="containsText" text="Погрузчик базы">
      <formula>NOT(ISERROR(SEARCH("Погрузчик базы",E2)))</formula>
    </cfRule>
  </conditionalFormatting>
  <conditionalFormatting sqref="E2:E636">
    <cfRule type="containsText" dxfId="689" priority="10" operator="containsText" text="Трактор базы">
      <formula>NOT(ISERROR(SEARCH("Трактор базы",E2)))</formula>
    </cfRule>
  </conditionalFormatting>
  <conditionalFormatting sqref="A2:C622">
    <cfRule type="expression" dxfId="688" priority="9">
      <formula>$A2="пн"</formula>
    </cfRule>
  </conditionalFormatting>
  <conditionalFormatting sqref="A2:C624">
    <cfRule type="expression" dxfId="687" priority="3">
      <formula>$A2="вс"</formula>
    </cfRule>
    <cfRule type="expression" dxfId="686" priority="4">
      <formula>$A2="сб"</formula>
    </cfRule>
    <cfRule type="expression" dxfId="685" priority="5">
      <formula>$A2="пт"</formula>
    </cfRule>
    <cfRule type="expression" dxfId="684" priority="6">
      <formula>$A2="чт"</formula>
    </cfRule>
    <cfRule type="expression" dxfId="683" priority="7">
      <formula>$A2="ср"</formula>
    </cfRule>
    <cfRule type="expression" dxfId="682" priority="8">
      <formula>$A2="вт"</formula>
    </cfRule>
  </conditionalFormatting>
  <conditionalFormatting sqref="D2:D633">
    <cfRule type="containsText" dxfId="6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6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679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678" priority="13" operator="notContains" text="порожний">
      <formula>ISERROR(SEARCH("порожний",F2))</formula>
    </cfRule>
  </conditionalFormatting>
  <conditionalFormatting sqref="E2:E317">
    <cfRule type="containsText" dxfId="677" priority="11" operator="containsText" text="Газель базы">
      <formula>NOT(ISERROR(SEARCH("Газель базы",E2)))</formula>
    </cfRule>
    <cfRule type="containsText" dxfId="676" priority="12" operator="containsText" text="Погрузчик базы">
      <formula>NOT(ISERROR(SEARCH("Погрузчик базы",E2)))</formula>
    </cfRule>
  </conditionalFormatting>
  <conditionalFormatting sqref="E2:E317">
    <cfRule type="containsText" dxfId="675" priority="10" operator="containsText" text="Трактор базы">
      <formula>NOT(ISERROR(SEARCH("Трактор базы",E2)))</formula>
    </cfRule>
  </conditionalFormatting>
  <conditionalFormatting sqref="A2:C303">
    <cfRule type="expression" dxfId="674" priority="9">
      <formula>$A2="пн"</formula>
    </cfRule>
  </conditionalFormatting>
  <conditionalFormatting sqref="A2:C305">
    <cfRule type="expression" dxfId="673" priority="3">
      <formula>$A2="вс"</formula>
    </cfRule>
    <cfRule type="expression" dxfId="672" priority="4">
      <formula>$A2="сб"</formula>
    </cfRule>
    <cfRule type="expression" dxfId="671" priority="5">
      <formula>$A2="пт"</formula>
    </cfRule>
    <cfRule type="expression" dxfId="670" priority="6">
      <formula>$A2="чт"</formula>
    </cfRule>
    <cfRule type="expression" dxfId="669" priority="7">
      <formula>$A2="ср"</formula>
    </cfRule>
    <cfRule type="expression" dxfId="668" priority="8">
      <formula>$A2="вт"</formula>
    </cfRule>
  </conditionalFormatting>
  <conditionalFormatting sqref="D2:D314">
    <cfRule type="containsText" dxfId="6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6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39"/>
  <sheetViews>
    <sheetView zoomScale="90" zoomScaleNormal="90" workbookViewId="0">
      <pane ySplit="1" topLeftCell="A221" activePane="bottomLeft" state="frozen"/>
      <selection pane="bottomLeft" activeCell="I238" sqref="I238:I23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10" t="s">
        <v>4</v>
      </c>
      <c r="E2" s="10" t="s">
        <v>8</v>
      </c>
      <c r="F2" s="10"/>
      <c r="H2" s="10" t="s">
        <v>5</v>
      </c>
      <c r="I2" s="10" t="s">
        <v>1826</v>
      </c>
      <c r="J2" s="10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10" t="s">
        <v>4</v>
      </c>
      <c r="E3" s="10" t="s">
        <v>8</v>
      </c>
      <c r="F3" s="10"/>
      <c r="H3" s="10"/>
      <c r="I3" s="10" t="s">
        <v>1829</v>
      </c>
      <c r="J3" s="10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10" t="s">
        <v>4</v>
      </c>
      <c r="E4" s="10" t="s">
        <v>8</v>
      </c>
      <c r="F4" s="10"/>
      <c r="H4" s="10"/>
      <c r="I4" s="10" t="s">
        <v>1832</v>
      </c>
      <c r="J4" s="10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10" t="s">
        <v>4</v>
      </c>
      <c r="E5" s="10" t="s">
        <v>1935</v>
      </c>
      <c r="F5" s="10"/>
      <c r="H5" s="10"/>
      <c r="I5" s="10" t="s">
        <v>1835</v>
      </c>
      <c r="J5" s="10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10" t="s">
        <v>4</v>
      </c>
      <c r="E6" s="10" t="s">
        <v>8</v>
      </c>
      <c r="F6" s="10"/>
      <c r="H6" s="10"/>
      <c r="I6" s="10" t="s">
        <v>1838</v>
      </c>
      <c r="J6" s="10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10" t="s">
        <v>4</v>
      </c>
      <c r="E7" s="10" t="s">
        <v>8</v>
      </c>
      <c r="F7" s="10"/>
      <c r="H7" s="10"/>
      <c r="I7" s="10" t="s">
        <v>1841</v>
      </c>
      <c r="J7" s="10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10" t="s">
        <v>4</v>
      </c>
      <c r="E8" s="10" t="s">
        <v>21</v>
      </c>
      <c r="F8" s="10"/>
      <c r="H8" s="10"/>
      <c r="I8" s="10" t="s">
        <v>1844</v>
      </c>
      <c r="J8" s="10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10" t="s">
        <v>4</v>
      </c>
      <c r="E9" s="10" t="s">
        <v>8</v>
      </c>
      <c r="F9" s="10"/>
      <c r="H9" s="10"/>
      <c r="I9" s="10" t="s">
        <v>1847</v>
      </c>
      <c r="J9" s="10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10" t="s">
        <v>4</v>
      </c>
      <c r="E10" s="10" t="s">
        <v>8</v>
      </c>
      <c r="F10" s="10"/>
      <c r="H10" s="10"/>
      <c r="I10" s="10" t="s">
        <v>1850</v>
      </c>
      <c r="J10" s="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10" t="s">
        <v>4</v>
      </c>
      <c r="E11" s="10" t="s">
        <v>8</v>
      </c>
      <c r="F11" s="10"/>
      <c r="H11" s="10" t="s">
        <v>1625</v>
      </c>
      <c r="I11" s="10" t="s">
        <v>1853</v>
      </c>
      <c r="J11" s="10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10" t="s">
        <v>4</v>
      </c>
      <c r="E12" s="10" t="s">
        <v>1936</v>
      </c>
      <c r="F12" s="10"/>
      <c r="H12" s="10"/>
      <c r="I12" s="10" t="s">
        <v>1856</v>
      </c>
      <c r="J12" s="10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10" t="s">
        <v>4</v>
      </c>
      <c r="E13" s="10" t="s">
        <v>1936</v>
      </c>
      <c r="F13" s="10"/>
      <c r="H13" s="10"/>
      <c r="I13" s="10" t="s">
        <v>1859</v>
      </c>
      <c r="J13" s="10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10" t="s">
        <v>4</v>
      </c>
      <c r="E14" s="10" t="s">
        <v>8</v>
      </c>
      <c r="F14" s="10"/>
      <c r="H14" s="10" t="s">
        <v>5</v>
      </c>
      <c r="I14" s="10" t="s">
        <v>1862</v>
      </c>
      <c r="J14" s="10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10" t="s">
        <v>4</v>
      </c>
      <c r="E15" s="10" t="s">
        <v>8</v>
      </c>
      <c r="F15" s="10"/>
      <c r="H15" s="10"/>
      <c r="I15" s="10" t="s">
        <v>1865</v>
      </c>
      <c r="J15" s="10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10" t="s">
        <v>4</v>
      </c>
      <c r="E16" s="10" t="s">
        <v>8</v>
      </c>
      <c r="F16" s="10"/>
      <c r="H16" s="10"/>
      <c r="I16" s="10" t="s">
        <v>1868</v>
      </c>
      <c r="J16" s="10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10" t="s">
        <v>4</v>
      </c>
      <c r="E17" s="10" t="s">
        <v>8</v>
      </c>
      <c r="F17" s="10"/>
      <c r="H17" s="10"/>
      <c r="I17" s="10" t="s">
        <v>1871</v>
      </c>
      <c r="J17" s="10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10" t="s">
        <v>4</v>
      </c>
      <c r="E18" s="10" t="s">
        <v>8</v>
      </c>
      <c r="F18" s="10"/>
      <c r="H18" s="10" t="s">
        <v>1625</v>
      </c>
      <c r="I18" s="10" t="s">
        <v>1874</v>
      </c>
      <c r="J18" s="10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10" t="s">
        <v>4</v>
      </c>
      <c r="E19" s="10" t="s">
        <v>8</v>
      </c>
      <c r="F19" s="10"/>
      <c r="H19" s="10"/>
      <c r="I19" s="10" t="s">
        <v>1877</v>
      </c>
      <c r="J19" s="10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10" t="s">
        <v>4</v>
      </c>
      <c r="E20" s="10" t="s">
        <v>8</v>
      </c>
      <c r="F20" s="10"/>
      <c r="H20" s="10"/>
      <c r="I20" s="10" t="s">
        <v>1880</v>
      </c>
      <c r="J20" s="1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10" t="s">
        <v>4</v>
      </c>
      <c r="E21" s="10" t="s">
        <v>21</v>
      </c>
      <c r="F21" s="10"/>
      <c r="H21" s="10"/>
      <c r="I21" s="10" t="s">
        <v>1883</v>
      </c>
      <c r="J21" s="10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10" t="s">
        <v>4</v>
      </c>
      <c r="E22" s="10" t="s">
        <v>8</v>
      </c>
      <c r="F22" s="10"/>
      <c r="H22" s="10"/>
      <c r="I22" s="10" t="s">
        <v>1886</v>
      </c>
      <c r="J22" s="10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10" t="s">
        <v>4</v>
      </c>
      <c r="E23" s="10" t="s">
        <v>21</v>
      </c>
      <c r="F23" s="10"/>
      <c r="H23" s="10"/>
      <c r="I23" s="10" t="s">
        <v>1889</v>
      </c>
      <c r="J23" s="10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10" t="s">
        <v>4</v>
      </c>
      <c r="E24" s="10" t="s">
        <v>8</v>
      </c>
      <c r="F24" s="10"/>
      <c r="H24" s="10"/>
      <c r="I24" s="10" t="s">
        <v>1892</v>
      </c>
      <c r="J24" s="10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10" t="s">
        <v>4</v>
      </c>
      <c r="E25" s="10" t="s">
        <v>21</v>
      </c>
      <c r="F25" s="10"/>
      <c r="H25" s="10"/>
      <c r="I25" s="10" t="s">
        <v>1895</v>
      </c>
      <c r="J25" s="10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10" t="s">
        <v>4</v>
      </c>
      <c r="E26" s="10" t="s">
        <v>8</v>
      </c>
      <c r="F26" s="10"/>
      <c r="H26" s="10" t="s">
        <v>1625</v>
      </c>
      <c r="I26" s="10" t="s">
        <v>1898</v>
      </c>
      <c r="J26" s="10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10" t="s">
        <v>4</v>
      </c>
      <c r="E27" s="10" t="s">
        <v>8</v>
      </c>
      <c r="F27" s="10"/>
      <c r="H27" s="10"/>
      <c r="I27" s="10" t="s">
        <v>1901</v>
      </c>
      <c r="J27" s="10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10" t="s">
        <v>289</v>
      </c>
      <c r="E28" s="10" t="s">
        <v>86</v>
      </c>
      <c r="F28" s="10" t="s">
        <v>200</v>
      </c>
      <c r="H28" s="10"/>
      <c r="I28" s="10" t="s">
        <v>1904</v>
      </c>
      <c r="J28" s="10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10" t="s">
        <v>289</v>
      </c>
      <c r="E29" s="10" t="s">
        <v>86</v>
      </c>
      <c r="F29" s="10" t="s">
        <v>200</v>
      </c>
      <c r="H29" s="10"/>
      <c r="I29" s="10" t="s">
        <v>1907</v>
      </c>
      <c r="J29" s="10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10" t="s">
        <v>289</v>
      </c>
      <c r="E30" s="10" t="s">
        <v>86</v>
      </c>
      <c r="F30" s="10" t="s">
        <v>200</v>
      </c>
      <c r="H30" s="10"/>
      <c r="I30" s="10" t="s">
        <v>1910</v>
      </c>
      <c r="J30" s="1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10" t="s">
        <v>289</v>
      </c>
      <c r="E31" s="10" t="s">
        <v>86</v>
      </c>
      <c r="F31" s="10" t="s">
        <v>200</v>
      </c>
      <c r="H31" s="10"/>
      <c r="I31" s="10" t="s">
        <v>1913</v>
      </c>
      <c r="J31" s="10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10" t="s">
        <v>4</v>
      </c>
      <c r="E32" s="10" t="s">
        <v>8</v>
      </c>
      <c r="F32" s="10"/>
      <c r="H32" s="10" t="s">
        <v>1625</v>
      </c>
      <c r="I32" s="10" t="s">
        <v>1916</v>
      </c>
      <c r="J32" s="10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10" t="s">
        <v>4</v>
      </c>
      <c r="E33" s="10" t="s">
        <v>8</v>
      </c>
      <c r="F33" s="10"/>
      <c r="H33" s="10" t="s">
        <v>5</v>
      </c>
      <c r="I33" s="10" t="s">
        <v>1919</v>
      </c>
      <c r="J33" s="10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10" t="s">
        <v>4</v>
      </c>
      <c r="E34" s="10" t="s">
        <v>8</v>
      </c>
      <c r="F34" s="10"/>
      <c r="H34" s="10" t="s">
        <v>1625</v>
      </c>
      <c r="I34" s="10" t="s">
        <v>1922</v>
      </c>
      <c r="J34" s="10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10" t="s">
        <v>4</v>
      </c>
      <c r="E35" s="10" t="s">
        <v>8</v>
      </c>
      <c r="F35" s="10"/>
      <c r="H35" s="10" t="s">
        <v>5</v>
      </c>
      <c r="I35" s="10" t="s">
        <v>1925</v>
      </c>
      <c r="J35" s="10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10" t="s">
        <v>4</v>
      </c>
      <c r="E36" s="10" t="s">
        <v>8</v>
      </c>
      <c r="F36" s="10"/>
      <c r="H36" s="10"/>
      <c r="I36" s="10" t="s">
        <v>1928</v>
      </c>
      <c r="J36" s="10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10" t="s">
        <v>4</v>
      </c>
      <c r="E37" s="10" t="s">
        <v>8</v>
      </c>
      <c r="F37" s="10"/>
      <c r="H37" s="10"/>
      <c r="I37" s="10" t="s">
        <v>1931</v>
      </c>
      <c r="J37" s="10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10" t="s">
        <v>4</v>
      </c>
      <c r="E38" s="10" t="s">
        <v>8</v>
      </c>
      <c r="F38" s="10"/>
      <c r="H38" s="10"/>
      <c r="I38" s="10" t="s">
        <v>2589</v>
      </c>
      <c r="J38" s="10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10" t="s">
        <v>7</v>
      </c>
      <c r="E39" s="10"/>
      <c r="F39" s="10"/>
      <c r="H39" s="10"/>
      <c r="I39" s="10" t="s">
        <v>2592</v>
      </c>
      <c r="J39" s="10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10" t="s">
        <v>4</v>
      </c>
      <c r="E40" s="10" t="s">
        <v>8</v>
      </c>
      <c r="F40" s="10"/>
      <c r="H40" s="10"/>
      <c r="I40" s="10" t="s">
        <v>2595</v>
      </c>
      <c r="J40" s="1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10" t="s">
        <v>11</v>
      </c>
      <c r="E41" s="10"/>
      <c r="F41" s="10"/>
      <c r="H41" s="10"/>
      <c r="I41" s="10" t="s">
        <v>2598</v>
      </c>
      <c r="J41" s="10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10" t="s">
        <v>4</v>
      </c>
      <c r="E42" s="10" t="s">
        <v>8</v>
      </c>
      <c r="F42" s="10"/>
      <c r="H42" s="10"/>
      <c r="I42" s="10" t="s">
        <v>2601</v>
      </c>
      <c r="J42" s="10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10" t="s">
        <v>2004</v>
      </c>
      <c r="E43" s="10"/>
      <c r="F43" s="10"/>
      <c r="H43" s="10"/>
      <c r="I43" s="10" t="s">
        <v>2604</v>
      </c>
      <c r="J43" s="10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10" t="s">
        <v>4</v>
      </c>
      <c r="E44" s="10" t="s">
        <v>8</v>
      </c>
      <c r="F44" s="10"/>
      <c r="H44" s="10"/>
      <c r="I44" s="10" t="s">
        <v>2607</v>
      </c>
      <c r="J44" s="10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10" t="s">
        <v>2004</v>
      </c>
      <c r="E45" s="10"/>
      <c r="F45" s="10"/>
      <c r="H45" s="10"/>
      <c r="I45" s="10" t="s">
        <v>2610</v>
      </c>
      <c r="J45" s="10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10" t="s">
        <v>4</v>
      </c>
      <c r="E46" s="10" t="s">
        <v>8</v>
      </c>
      <c r="F46" s="10"/>
      <c r="H46" s="10"/>
      <c r="I46" s="10" t="s">
        <v>2613</v>
      </c>
      <c r="J46" s="10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10" t="s">
        <v>2004</v>
      </c>
      <c r="E47" s="10"/>
      <c r="F47" s="10"/>
      <c r="H47" s="10"/>
      <c r="I47" s="10" t="s">
        <v>2616</v>
      </c>
      <c r="J47" s="10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10" t="s">
        <v>4</v>
      </c>
      <c r="E48" s="10" t="s">
        <v>8</v>
      </c>
      <c r="F48" s="10"/>
      <c r="H48" s="10"/>
      <c r="I48" s="10" t="s">
        <v>2619</v>
      </c>
      <c r="J48" s="10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10" t="s">
        <v>2004</v>
      </c>
      <c r="E49" s="10"/>
      <c r="F49" s="10"/>
      <c r="H49" s="10"/>
      <c r="I49" s="10" t="s">
        <v>2622</v>
      </c>
      <c r="J49" s="10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10" t="s">
        <v>4</v>
      </c>
      <c r="E50" s="10" t="s">
        <v>8</v>
      </c>
      <c r="F50" s="10"/>
      <c r="H50" s="10"/>
      <c r="I50" s="10" t="s">
        <v>2625</v>
      </c>
      <c r="J50" s="1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10" t="s">
        <v>2004</v>
      </c>
      <c r="E51" s="10"/>
      <c r="F51" s="10"/>
      <c r="H51" s="10"/>
      <c r="I51" s="10" t="s">
        <v>2628</v>
      </c>
      <c r="J51" s="10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10" t="s">
        <v>7</v>
      </c>
      <c r="E52" s="10"/>
      <c r="F52" s="10"/>
      <c r="H52" s="10"/>
      <c r="I52" s="10" t="s">
        <v>4127</v>
      </c>
      <c r="J52" s="10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10" t="s">
        <v>4246</v>
      </c>
      <c r="E53" s="10" t="s">
        <v>4247</v>
      </c>
      <c r="F53" s="10"/>
      <c r="H53" s="10"/>
      <c r="I53" s="10" t="s">
        <v>4130</v>
      </c>
      <c r="J53" s="10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10" t="s">
        <v>4246</v>
      </c>
      <c r="E54" s="10" t="s">
        <v>4247</v>
      </c>
      <c r="F54" s="10"/>
      <c r="H54" s="10"/>
      <c r="I54" s="10" t="s">
        <v>4133</v>
      </c>
      <c r="J54" s="10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10" t="s">
        <v>4246</v>
      </c>
      <c r="E55" s="10" t="s">
        <v>4247</v>
      </c>
      <c r="F55" s="10"/>
      <c r="H55" s="10"/>
      <c r="I55" s="10" t="s">
        <v>4136</v>
      </c>
      <c r="J55" s="10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10" t="s">
        <v>4246</v>
      </c>
      <c r="E56" s="10" t="s">
        <v>4247</v>
      </c>
      <c r="F56" s="10"/>
      <c r="H56" s="10"/>
      <c r="I56" s="10" t="s">
        <v>4139</v>
      </c>
      <c r="J56" s="10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10" t="s">
        <v>4246</v>
      </c>
      <c r="E57" s="10" t="s">
        <v>4247</v>
      </c>
      <c r="F57" s="10"/>
      <c r="H57" s="10"/>
      <c r="I57" s="10" t="s">
        <v>4142</v>
      </c>
      <c r="J57" s="10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10" t="s">
        <v>7</v>
      </c>
      <c r="E58" s="10" t="s">
        <v>4248</v>
      </c>
      <c r="F58" s="10"/>
      <c r="H58" s="10"/>
      <c r="I58" s="10" t="s">
        <v>4145</v>
      </c>
      <c r="J58" s="10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10" t="s">
        <v>7</v>
      </c>
      <c r="E59" s="10" t="s">
        <v>4248</v>
      </c>
      <c r="F59" s="10"/>
      <c r="H59" s="10"/>
      <c r="I59" s="10" t="s">
        <v>4148</v>
      </c>
      <c r="J59" s="10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10" t="s">
        <v>7</v>
      </c>
      <c r="E60" s="10" t="s">
        <v>4248</v>
      </c>
      <c r="F60" s="10"/>
      <c r="H60" s="10"/>
      <c r="I60" s="10" t="s">
        <v>4151</v>
      </c>
      <c r="J60" s="1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10" t="s">
        <v>7</v>
      </c>
      <c r="E61" s="10" t="s">
        <v>4248</v>
      </c>
      <c r="F61" s="10"/>
      <c r="H61" s="10"/>
      <c r="I61" s="10" t="s">
        <v>4154</v>
      </c>
      <c r="J61" s="10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10" t="s">
        <v>7</v>
      </c>
      <c r="E62" s="10" t="s">
        <v>4248</v>
      </c>
      <c r="F62" s="10"/>
      <c r="H62" s="10"/>
      <c r="I62" s="10" t="s">
        <v>4157</v>
      </c>
      <c r="J62" s="10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10" t="s">
        <v>7</v>
      </c>
      <c r="E63" s="10" t="s">
        <v>4248</v>
      </c>
      <c r="F63" s="10"/>
      <c r="H63" s="10"/>
      <c r="I63" s="10" t="s">
        <v>4160</v>
      </c>
      <c r="J63" s="10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10" t="s">
        <v>4</v>
      </c>
      <c r="E64" s="10" t="s">
        <v>8</v>
      </c>
      <c r="F64" s="10"/>
      <c r="H64" s="10"/>
      <c r="I64" s="10" t="s">
        <v>4163</v>
      </c>
      <c r="J64" s="10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10" t="s">
        <v>2004</v>
      </c>
      <c r="E65" s="10"/>
      <c r="F65" s="10"/>
      <c r="H65" s="10"/>
      <c r="I65" s="10" t="s">
        <v>4291</v>
      </c>
      <c r="J65" s="10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10" t="s">
        <v>4</v>
      </c>
      <c r="E66" s="10" t="s">
        <v>8</v>
      </c>
      <c r="F66" s="10"/>
      <c r="H66" s="10"/>
      <c r="I66" s="10" t="s">
        <v>4921</v>
      </c>
      <c r="J66" s="10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10" t="s">
        <v>4</v>
      </c>
      <c r="E67" s="10" t="s">
        <v>8</v>
      </c>
      <c r="F67" s="10"/>
      <c r="H67" s="10" t="s">
        <v>2936</v>
      </c>
      <c r="I67" s="10" t="s">
        <v>4924</v>
      </c>
      <c r="J67" s="10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10" t="s">
        <v>4</v>
      </c>
      <c r="E68" s="10" t="s">
        <v>8</v>
      </c>
      <c r="F68" s="10"/>
      <c r="H68" s="10" t="s">
        <v>2936</v>
      </c>
      <c r="I68" s="10" t="s">
        <v>4927</v>
      </c>
      <c r="J68" s="10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10" t="s">
        <v>4</v>
      </c>
      <c r="E69" s="10" t="s">
        <v>8</v>
      </c>
      <c r="F69" s="10"/>
      <c r="H69" s="10" t="s">
        <v>2936</v>
      </c>
      <c r="I69" s="10" t="s">
        <v>4930</v>
      </c>
      <c r="J69" s="10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10" t="s">
        <v>4</v>
      </c>
      <c r="E70" s="10" t="s">
        <v>8</v>
      </c>
      <c r="F70" s="10"/>
      <c r="H70" s="10" t="s">
        <v>2936</v>
      </c>
      <c r="I70" s="10" t="s">
        <v>4933</v>
      </c>
      <c r="J70" s="1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10" t="s">
        <v>4</v>
      </c>
      <c r="E71" s="10" t="s">
        <v>8</v>
      </c>
      <c r="F71" s="10"/>
      <c r="H71" s="10" t="s">
        <v>2936</v>
      </c>
      <c r="I71" s="10" t="s">
        <v>4936</v>
      </c>
      <c r="J71" s="10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10" t="s">
        <v>4</v>
      </c>
      <c r="E72" s="10" t="s">
        <v>8</v>
      </c>
      <c r="F72" s="10"/>
      <c r="H72" s="10" t="s">
        <v>2936</v>
      </c>
      <c r="I72" s="10" t="s">
        <v>4939</v>
      </c>
      <c r="J72" s="10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10" t="s">
        <v>4</v>
      </c>
      <c r="E73" s="10" t="s">
        <v>8</v>
      </c>
      <c r="F73" s="10"/>
      <c r="H73" s="10" t="s">
        <v>2936</v>
      </c>
      <c r="I73" s="10" t="s">
        <v>4942</v>
      </c>
      <c r="J73" s="10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10" t="s">
        <v>4</v>
      </c>
      <c r="E74" s="10" t="s">
        <v>8</v>
      </c>
      <c r="F74" s="10"/>
      <c r="H74" s="10" t="s">
        <v>2936</v>
      </c>
      <c r="I74" s="10" t="s">
        <v>4945</v>
      </c>
      <c r="J74" s="10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10" t="s">
        <v>4</v>
      </c>
      <c r="E75" s="10" t="s">
        <v>8</v>
      </c>
      <c r="F75" s="10"/>
      <c r="H75" s="10" t="s">
        <v>2936</v>
      </c>
      <c r="I75" s="10" t="s">
        <v>4948</v>
      </c>
      <c r="J75" s="10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10" t="s">
        <v>4</v>
      </c>
      <c r="E76" s="10" t="s">
        <v>8</v>
      </c>
      <c r="F76" s="10"/>
      <c r="H76" s="10" t="s">
        <v>2936</v>
      </c>
      <c r="I76" s="10" t="s">
        <v>4951</v>
      </c>
      <c r="J76" s="10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10" t="s">
        <v>4</v>
      </c>
      <c r="E77" s="10" t="s">
        <v>8</v>
      </c>
      <c r="F77" s="10"/>
      <c r="H77" s="10" t="s">
        <v>2936</v>
      </c>
      <c r="I77" s="10" t="s">
        <v>4954</v>
      </c>
      <c r="J77" s="10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10" t="s">
        <v>4</v>
      </c>
      <c r="E78" s="10" t="s">
        <v>8</v>
      </c>
      <c r="F78" s="10"/>
      <c r="H78" s="10" t="s">
        <v>2936</v>
      </c>
      <c r="I78" s="10" t="s">
        <v>4957</v>
      </c>
      <c r="J78" s="10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10" t="s">
        <v>4</v>
      </c>
      <c r="E79" s="10" t="s">
        <v>8</v>
      </c>
      <c r="F79" s="10"/>
      <c r="H79" s="10" t="s">
        <v>2936</v>
      </c>
      <c r="I79" s="10" t="s">
        <v>4960</v>
      </c>
      <c r="J79" s="10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10" t="s">
        <v>4</v>
      </c>
      <c r="E80" s="10" t="s">
        <v>8</v>
      </c>
      <c r="F80" s="10"/>
      <c r="H80" s="10" t="s">
        <v>2936</v>
      </c>
      <c r="I80" s="10" t="s">
        <v>4963</v>
      </c>
      <c r="J80" s="1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10" t="s">
        <v>4</v>
      </c>
      <c r="E81" s="10" t="s">
        <v>8</v>
      </c>
      <c r="F81" s="10"/>
      <c r="H81" s="10" t="s">
        <v>2936</v>
      </c>
      <c r="I81" s="10" t="s">
        <v>4966</v>
      </c>
      <c r="J81" s="10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10" t="s">
        <v>4</v>
      </c>
      <c r="E82" s="10" t="s">
        <v>8</v>
      </c>
      <c r="F82" s="10"/>
      <c r="H82" s="10" t="s">
        <v>2936</v>
      </c>
      <c r="I82" s="10" t="s">
        <v>4969</v>
      </c>
      <c r="J82" s="10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10" t="s">
        <v>4</v>
      </c>
      <c r="E83" s="10" t="s">
        <v>8</v>
      </c>
      <c r="F83" s="10"/>
      <c r="H83" s="10" t="s">
        <v>2936</v>
      </c>
      <c r="I83" s="10" t="s">
        <v>4972</v>
      </c>
      <c r="J83" s="10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10" t="s">
        <v>4</v>
      </c>
      <c r="E84" s="10" t="s">
        <v>8</v>
      </c>
      <c r="F84" s="10"/>
      <c r="H84" s="10" t="s">
        <v>2936</v>
      </c>
      <c r="I84" s="10" t="s">
        <v>4975</v>
      </c>
      <c r="J84" s="10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10" t="s">
        <v>2004</v>
      </c>
      <c r="E85" s="10" t="s">
        <v>8</v>
      </c>
      <c r="F85" s="10"/>
      <c r="H85" s="10"/>
      <c r="I85" s="10" t="s">
        <v>4978</v>
      </c>
      <c r="J85" s="10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10" t="s">
        <v>2004</v>
      </c>
      <c r="E86" s="10" t="s">
        <v>8</v>
      </c>
      <c r="F86" s="10"/>
      <c r="H86" s="10"/>
      <c r="I86" s="10" t="s">
        <v>5217</v>
      </c>
      <c r="J86" s="10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10" t="s">
        <v>4</v>
      </c>
      <c r="E87" s="10" t="s">
        <v>5478</v>
      </c>
      <c r="F87" s="10"/>
      <c r="H87" s="10"/>
      <c r="I87" s="10" t="s">
        <v>5459</v>
      </c>
      <c r="J87" s="10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10" t="s">
        <v>4</v>
      </c>
      <c r="E88" s="10" t="s">
        <v>8</v>
      </c>
      <c r="F88" s="10"/>
      <c r="H88" s="10"/>
      <c r="I88" s="10" t="s">
        <v>5462</v>
      </c>
      <c r="J88" s="10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10" t="s">
        <v>4</v>
      </c>
      <c r="E89" s="10" t="s">
        <v>5478</v>
      </c>
      <c r="F89" s="10"/>
      <c r="H89" s="10" t="s">
        <v>5479</v>
      </c>
      <c r="I89" s="10" t="s">
        <v>5465</v>
      </c>
      <c r="J89" s="10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10" t="s">
        <v>2004</v>
      </c>
      <c r="E90" s="10" t="s">
        <v>8</v>
      </c>
      <c r="F90" s="10"/>
      <c r="H90" s="10"/>
      <c r="I90" s="10" t="s">
        <v>5657</v>
      </c>
      <c r="J90" s="1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10" t="s">
        <v>2004</v>
      </c>
      <c r="E91" s="10" t="s">
        <v>8</v>
      </c>
      <c r="F91" s="10"/>
      <c r="H91" s="10"/>
      <c r="I91" s="10" t="s">
        <v>5660</v>
      </c>
      <c r="J91" s="10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10" t="s">
        <v>2004</v>
      </c>
      <c r="E92" s="10" t="s">
        <v>8</v>
      </c>
      <c r="F92" s="10"/>
      <c r="H92" s="10"/>
      <c r="I92" s="10" t="s">
        <v>5663</v>
      </c>
      <c r="J92" s="10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10" t="s">
        <v>4</v>
      </c>
      <c r="E93" s="10" t="s">
        <v>8</v>
      </c>
      <c r="F93" s="10"/>
      <c r="H93" s="10"/>
      <c r="I93" s="10" t="s">
        <v>6005</v>
      </c>
      <c r="J93" s="10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10" t="s">
        <v>650</v>
      </c>
      <c r="E94" s="10" t="s">
        <v>6190</v>
      </c>
      <c r="F94" s="10"/>
      <c r="H94" s="10"/>
      <c r="I94" s="10" t="s">
        <v>6008</v>
      </c>
      <c r="J94" s="10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10" t="s">
        <v>650</v>
      </c>
      <c r="E95" s="10" t="s">
        <v>6190</v>
      </c>
      <c r="F95" s="10"/>
      <c r="H95" s="10" t="s">
        <v>2936</v>
      </c>
      <c r="I95" s="10" t="s">
        <v>6011</v>
      </c>
      <c r="J95" s="10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10" t="s">
        <v>4</v>
      </c>
      <c r="E96" s="10" t="s">
        <v>8</v>
      </c>
      <c r="F96" s="10"/>
      <c r="H96" s="10"/>
      <c r="I96" s="10" t="s">
        <v>6014</v>
      </c>
      <c r="J96" s="10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10" t="s">
        <v>2004</v>
      </c>
      <c r="E97" s="10" t="s">
        <v>8</v>
      </c>
      <c r="F97" s="10"/>
      <c r="H97" s="10"/>
      <c r="I97" s="10" t="s">
        <v>6017</v>
      </c>
      <c r="J97" s="10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10" t="s">
        <v>2004</v>
      </c>
      <c r="E98" s="10" t="s">
        <v>8</v>
      </c>
      <c r="F98" s="10"/>
      <c r="H98" s="10"/>
      <c r="I98" s="10" t="s">
        <v>6252</v>
      </c>
      <c r="J98" s="10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10" t="s">
        <v>4</v>
      </c>
      <c r="E99" s="10" t="s">
        <v>8</v>
      </c>
      <c r="F99" s="10"/>
      <c r="H99" s="10"/>
      <c r="I99" s="10" t="s">
        <v>6500</v>
      </c>
      <c r="J99" s="10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10" t="s">
        <v>4</v>
      </c>
      <c r="E100" s="10" t="s">
        <v>8</v>
      </c>
      <c r="F100" s="10"/>
      <c r="H100" s="10"/>
      <c r="I100" s="10" t="s">
        <v>6503</v>
      </c>
      <c r="J100" s="1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10" t="s">
        <v>2004</v>
      </c>
      <c r="E101" s="10" t="s">
        <v>8</v>
      </c>
      <c r="F101" s="10"/>
      <c r="H101" s="10"/>
      <c r="I101" s="10" t="s">
        <v>6641</v>
      </c>
      <c r="J101" s="10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10" t="s">
        <v>4</v>
      </c>
      <c r="E102" s="10" t="s">
        <v>8</v>
      </c>
      <c r="F102" s="10"/>
      <c r="H102" s="10"/>
      <c r="I102" s="10" t="s">
        <v>6823</v>
      </c>
      <c r="J102" s="10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10" t="s">
        <v>4</v>
      </c>
      <c r="E103" s="10" t="s">
        <v>8</v>
      </c>
      <c r="F103" s="10"/>
      <c r="H103" s="10" t="s">
        <v>2936</v>
      </c>
      <c r="I103" s="10" t="s">
        <v>6826</v>
      </c>
      <c r="J103" s="10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10" t="s">
        <v>4</v>
      </c>
      <c r="E104" s="10" t="s">
        <v>8</v>
      </c>
      <c r="F104" s="10"/>
      <c r="H104" s="10"/>
      <c r="I104" s="10" t="s">
        <v>7127</v>
      </c>
      <c r="J104" s="10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10" t="s">
        <v>4</v>
      </c>
      <c r="E105" s="10" t="s">
        <v>8</v>
      </c>
      <c r="F105" s="10"/>
      <c r="H105" s="10" t="s">
        <v>2936</v>
      </c>
      <c r="I105" s="10" t="s">
        <v>7130</v>
      </c>
      <c r="J105" s="10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10" t="s">
        <v>2004</v>
      </c>
      <c r="E106" s="10" t="s">
        <v>8</v>
      </c>
      <c r="F106" s="10"/>
      <c r="H106" s="10"/>
      <c r="I106" s="10" t="s">
        <v>7133</v>
      </c>
      <c r="J106" s="10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10" t="s">
        <v>2004</v>
      </c>
      <c r="E107" s="10" t="s">
        <v>8</v>
      </c>
      <c r="F107" s="10"/>
      <c r="H107" s="10" t="s">
        <v>2014</v>
      </c>
      <c r="I107" s="10" t="s">
        <v>7136</v>
      </c>
      <c r="J107" s="10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10" t="s">
        <v>2004</v>
      </c>
      <c r="E108" s="10" t="s">
        <v>8</v>
      </c>
      <c r="F108" s="10"/>
      <c r="H108" s="10"/>
      <c r="I108" s="10" t="s">
        <v>7208</v>
      </c>
      <c r="J108" s="10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10" t="s">
        <v>2004</v>
      </c>
      <c r="E109" s="10" t="s">
        <v>8</v>
      </c>
      <c r="F109" s="10"/>
      <c r="H109" s="10"/>
      <c r="I109" s="10" t="s">
        <v>7401</v>
      </c>
      <c r="J109" s="10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10" t="s">
        <v>2004</v>
      </c>
      <c r="E110" s="10" t="s">
        <v>8</v>
      </c>
      <c r="F110" s="10"/>
      <c r="H110" s="10"/>
      <c r="I110" s="10" t="s">
        <v>7404</v>
      </c>
      <c r="J110" s="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10" t="s">
        <v>4</v>
      </c>
      <c r="E111" s="10" t="s">
        <v>7417</v>
      </c>
      <c r="F111" s="10"/>
      <c r="H111" s="10"/>
      <c r="I111" s="10" t="s">
        <v>7407</v>
      </c>
      <c r="J111" s="10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10" t="s">
        <v>4</v>
      </c>
      <c r="E112" s="10" t="s">
        <v>7715</v>
      </c>
      <c r="F112" s="10"/>
      <c r="H112" s="10"/>
      <c r="I112" s="10" t="s">
        <v>7583</v>
      </c>
      <c r="J112" s="10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10" t="s">
        <v>4</v>
      </c>
      <c r="E113" s="10" t="s">
        <v>7716</v>
      </c>
      <c r="F113" s="10"/>
      <c r="H113" s="10" t="s">
        <v>2936</v>
      </c>
      <c r="I113" s="10" t="s">
        <v>7586</v>
      </c>
      <c r="J113" s="10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10" t="s">
        <v>4</v>
      </c>
      <c r="E114" s="10" t="s">
        <v>8</v>
      </c>
      <c r="F114" s="10"/>
      <c r="H114" s="10" t="s">
        <v>7717</v>
      </c>
      <c r="I114" s="10" t="s">
        <v>7589</v>
      </c>
      <c r="J114" s="10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10" t="s">
        <v>4</v>
      </c>
      <c r="E115" s="10" t="s">
        <v>8</v>
      </c>
      <c r="F115" s="10"/>
      <c r="H115" s="10" t="s">
        <v>3078</v>
      </c>
      <c r="I115" s="10" t="s">
        <v>7592</v>
      </c>
      <c r="J115" s="10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10" t="s">
        <v>4</v>
      </c>
      <c r="E116" s="10" t="s">
        <v>8</v>
      </c>
      <c r="F116" s="10"/>
      <c r="H116" s="10"/>
      <c r="I116" s="10" t="s">
        <v>7777</v>
      </c>
      <c r="J116" s="10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10" t="s">
        <v>4</v>
      </c>
      <c r="E117" s="10" t="s">
        <v>8</v>
      </c>
      <c r="F117" s="10"/>
      <c r="H117" s="10" t="s">
        <v>2936</v>
      </c>
      <c r="I117" s="10" t="s">
        <v>7780</v>
      </c>
      <c r="J117" s="10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10" t="s">
        <v>4</v>
      </c>
      <c r="E118" s="10" t="s">
        <v>8</v>
      </c>
      <c r="F118" s="10"/>
      <c r="H118" s="10" t="s">
        <v>2936</v>
      </c>
      <c r="I118" s="10" t="s">
        <v>7783</v>
      </c>
      <c r="J118" s="10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10" t="s">
        <v>4</v>
      </c>
      <c r="E119" s="10" t="s">
        <v>8</v>
      </c>
      <c r="F119" s="10"/>
      <c r="H119" s="10" t="s">
        <v>2936</v>
      </c>
      <c r="I119" s="10" t="s">
        <v>7786</v>
      </c>
      <c r="J119" s="10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10" t="s">
        <v>4</v>
      </c>
      <c r="E120" s="10" t="s">
        <v>8</v>
      </c>
      <c r="F120" s="10"/>
      <c r="H120" s="10" t="s">
        <v>2936</v>
      </c>
      <c r="I120" s="10" t="s">
        <v>7789</v>
      </c>
      <c r="J120" s="1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10" t="s">
        <v>4</v>
      </c>
      <c r="E121" s="10" t="s">
        <v>8</v>
      </c>
      <c r="F121" s="10"/>
      <c r="H121" s="10"/>
      <c r="I121" s="10" t="s">
        <v>7971</v>
      </c>
      <c r="J121" s="10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10" t="s">
        <v>4</v>
      </c>
      <c r="E122" s="10" t="s">
        <v>12</v>
      </c>
      <c r="F122" s="10"/>
      <c r="H122" s="10"/>
      <c r="I122" s="10" t="s">
        <v>7974</v>
      </c>
      <c r="J122" s="10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10" t="s">
        <v>4</v>
      </c>
      <c r="E123" s="10" t="s">
        <v>8</v>
      </c>
      <c r="F123" s="10"/>
      <c r="H123" s="10"/>
      <c r="I123" s="10" t="s">
        <v>7977</v>
      </c>
      <c r="J123" s="10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10" t="s">
        <v>4</v>
      </c>
      <c r="E124" s="10" t="s">
        <v>12</v>
      </c>
      <c r="F124" s="10"/>
      <c r="H124" s="10"/>
      <c r="I124" s="10" t="s">
        <v>7980</v>
      </c>
      <c r="J124" s="10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10" t="s">
        <v>2004</v>
      </c>
      <c r="E125" s="10" t="s">
        <v>8</v>
      </c>
      <c r="F125" s="10"/>
      <c r="H125" s="10"/>
      <c r="I125" s="10" t="s">
        <v>8315</v>
      </c>
      <c r="J125" s="10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10" t="s">
        <v>2004</v>
      </c>
      <c r="E126" s="10" t="s">
        <v>8</v>
      </c>
      <c r="F126" s="10"/>
      <c r="H126" s="10"/>
      <c r="I126" s="10" t="s">
        <v>8318</v>
      </c>
      <c r="J126" s="10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10" t="s">
        <v>2004</v>
      </c>
      <c r="E127" s="10" t="s">
        <v>8</v>
      </c>
      <c r="F127" s="10"/>
      <c r="H127" s="10"/>
      <c r="I127" s="10" t="s">
        <v>8321</v>
      </c>
      <c r="J127" s="10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10" t="s">
        <v>2004</v>
      </c>
      <c r="E128" s="10" t="s">
        <v>8</v>
      </c>
      <c r="F128" s="10"/>
      <c r="H128" s="10"/>
      <c r="I128" s="10" t="s">
        <v>8324</v>
      </c>
      <c r="J128" s="10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10" t="s">
        <v>2004</v>
      </c>
      <c r="E129" s="10" t="s">
        <v>8</v>
      </c>
      <c r="F129" s="10"/>
      <c r="H129" s="10"/>
      <c r="I129" s="10" t="s">
        <v>8327</v>
      </c>
      <c r="J129" s="10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10" t="s">
        <v>2004</v>
      </c>
      <c r="E130" s="10" t="s">
        <v>8</v>
      </c>
      <c r="F130" s="10"/>
      <c r="H130" s="10"/>
      <c r="I130" s="10" t="s">
        <v>8456</v>
      </c>
      <c r="J130" s="1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10" t="s">
        <v>2004</v>
      </c>
      <c r="E131" s="10" t="s">
        <v>8</v>
      </c>
      <c r="F131" s="10"/>
      <c r="H131" s="10"/>
      <c r="I131" s="10" t="s">
        <v>8459</v>
      </c>
      <c r="J131" s="10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10" t="s">
        <v>2004</v>
      </c>
      <c r="E132" s="10" t="s">
        <v>8</v>
      </c>
      <c r="F132" s="10"/>
      <c r="H132" s="10"/>
      <c r="I132" s="10" t="s">
        <v>8462</v>
      </c>
      <c r="J132" s="10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10" t="s">
        <v>2004</v>
      </c>
      <c r="E133" s="10" t="s">
        <v>8</v>
      </c>
      <c r="F133" s="10"/>
      <c r="H133" s="10"/>
      <c r="I133" s="10" t="s">
        <v>8757</v>
      </c>
      <c r="J133" s="10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10" t="s">
        <v>2004</v>
      </c>
      <c r="E134" s="10" t="s">
        <v>8</v>
      </c>
      <c r="F134" s="10"/>
      <c r="H134" s="10"/>
      <c r="I134" s="10" t="s">
        <v>8760</v>
      </c>
      <c r="J134" s="10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10" t="s">
        <v>2004</v>
      </c>
      <c r="E135" s="10" t="s">
        <v>8</v>
      </c>
      <c r="F135" s="10"/>
      <c r="H135" s="10"/>
      <c r="I135" s="10" t="s">
        <v>8763</v>
      </c>
      <c r="J135" s="10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10" t="s">
        <v>2004</v>
      </c>
      <c r="E136" s="10" t="s">
        <v>8</v>
      </c>
      <c r="F136" s="10"/>
      <c r="H136" s="10"/>
      <c r="I136" s="10" t="s">
        <v>8766</v>
      </c>
      <c r="J136" s="10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10" t="s">
        <v>2004</v>
      </c>
      <c r="E137" s="10" t="s">
        <v>8</v>
      </c>
      <c r="F137" s="10"/>
      <c r="H137" s="10"/>
      <c r="I137" s="10" t="s">
        <v>8769</v>
      </c>
      <c r="J137" s="10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10" t="s">
        <v>2004</v>
      </c>
      <c r="E138" s="10" t="s">
        <v>8</v>
      </c>
      <c r="F138" s="10"/>
      <c r="H138" s="10"/>
      <c r="I138" s="10" t="s">
        <v>8772</v>
      </c>
      <c r="J138" s="10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10" t="s">
        <v>2004</v>
      </c>
      <c r="E139" s="10" t="s">
        <v>8</v>
      </c>
      <c r="F139" s="10"/>
      <c r="H139" s="10"/>
      <c r="I139" s="10" t="s">
        <v>8775</v>
      </c>
      <c r="J139" s="10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10" t="s">
        <v>4</v>
      </c>
      <c r="E140" s="10" t="s">
        <v>5480</v>
      </c>
      <c r="F140" s="10" t="s">
        <v>9190</v>
      </c>
      <c r="H140" s="10"/>
      <c r="I140" s="10" t="s">
        <v>9147</v>
      </c>
      <c r="J140" s="1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10" t="s">
        <v>4</v>
      </c>
      <c r="E141" s="10" t="s">
        <v>8</v>
      </c>
      <c r="F141" s="10"/>
      <c r="H141" s="10"/>
      <c r="I141" s="10" t="s">
        <v>9150</v>
      </c>
      <c r="J141" s="10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10" t="s">
        <v>4</v>
      </c>
      <c r="E142" s="10" t="s">
        <v>12</v>
      </c>
      <c r="F142" s="10"/>
      <c r="H142" s="10"/>
      <c r="I142" s="10" t="s">
        <v>9153</v>
      </c>
      <c r="J142" s="10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10" t="s">
        <v>4</v>
      </c>
      <c r="E143" s="10" t="s">
        <v>9211</v>
      </c>
      <c r="F143" s="10"/>
      <c r="H143" s="10"/>
      <c r="I143" s="10" t="s">
        <v>9156</v>
      </c>
      <c r="J143" s="10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10" t="s">
        <v>4</v>
      </c>
      <c r="E144" s="10" t="s">
        <v>8</v>
      </c>
      <c r="F144" s="10"/>
      <c r="H144" s="10"/>
      <c r="I144" s="10" t="s">
        <v>9159</v>
      </c>
      <c r="J144" s="10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10" t="s">
        <v>4</v>
      </c>
      <c r="E145" s="10" t="s">
        <v>12</v>
      </c>
      <c r="F145" s="10"/>
      <c r="H145" s="10"/>
      <c r="I145" s="10" t="s">
        <v>9162</v>
      </c>
      <c r="J145" s="10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10" t="s">
        <v>4</v>
      </c>
      <c r="E146" s="10" t="s">
        <v>12</v>
      </c>
      <c r="F146" s="10"/>
      <c r="H146" s="10"/>
      <c r="I146" s="10" t="s">
        <v>9165</v>
      </c>
      <c r="J146" s="10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10" t="s">
        <v>4</v>
      </c>
      <c r="E147" s="10" t="s">
        <v>8</v>
      </c>
      <c r="F147" s="10"/>
      <c r="H147" s="10"/>
      <c r="I147" s="10" t="s">
        <v>9315</v>
      </c>
      <c r="J147" s="10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10" t="s">
        <v>4</v>
      </c>
      <c r="E148" s="10" t="s">
        <v>12</v>
      </c>
      <c r="F148" s="10"/>
      <c r="H148" s="10"/>
      <c r="I148" s="10" t="s">
        <v>9318</v>
      </c>
      <c r="J148" s="10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10" t="s">
        <v>4</v>
      </c>
      <c r="E149" s="10" t="s">
        <v>8</v>
      </c>
      <c r="F149" s="10"/>
      <c r="H149" s="10"/>
      <c r="I149" s="10" t="s">
        <v>9321</v>
      </c>
      <c r="J149" s="10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10" t="s">
        <v>4</v>
      </c>
      <c r="E150" s="10" t="s">
        <v>12</v>
      </c>
      <c r="F150" s="10"/>
      <c r="H150" s="10"/>
      <c r="I150" s="10" t="s">
        <v>9543</v>
      </c>
      <c r="J150" s="1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10" t="s">
        <v>4</v>
      </c>
      <c r="E151" s="10" t="s">
        <v>12</v>
      </c>
      <c r="F151" s="10"/>
      <c r="H151" s="10"/>
      <c r="I151" s="10" t="s">
        <v>9546</v>
      </c>
      <c r="J151" s="10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10" t="s">
        <v>2004</v>
      </c>
      <c r="E152" s="10" t="s">
        <v>8</v>
      </c>
      <c r="F152" s="10"/>
      <c r="H152" s="10"/>
      <c r="I152" s="10" t="s">
        <v>9671</v>
      </c>
      <c r="J152" s="10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10" t="s">
        <v>2004</v>
      </c>
      <c r="E153" s="10" t="s">
        <v>8</v>
      </c>
      <c r="F153" s="10"/>
      <c r="H153" s="10"/>
      <c r="I153" s="10" t="s">
        <v>9674</v>
      </c>
      <c r="J153" s="10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10" t="s">
        <v>9876</v>
      </c>
      <c r="E154" s="10" t="s">
        <v>9201</v>
      </c>
      <c r="F154" s="10"/>
      <c r="H154" s="10"/>
      <c r="I154" s="10" t="s">
        <v>9852</v>
      </c>
      <c r="J154" s="10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10" t="s">
        <v>9876</v>
      </c>
      <c r="E155" s="10" t="s">
        <v>9201</v>
      </c>
      <c r="F155" s="10"/>
      <c r="H155" s="10" t="s">
        <v>2936</v>
      </c>
      <c r="I155" s="10" t="s">
        <v>9855</v>
      </c>
      <c r="J155" s="10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10" t="s">
        <v>9876</v>
      </c>
      <c r="E156" s="10" t="s">
        <v>9201</v>
      </c>
      <c r="F156" s="10"/>
      <c r="H156" s="10" t="s">
        <v>2936</v>
      </c>
      <c r="I156" s="10" t="s">
        <v>9858</v>
      </c>
      <c r="J156" s="10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10" t="s">
        <v>9914</v>
      </c>
      <c r="E157" s="10" t="s">
        <v>4247</v>
      </c>
      <c r="F157" s="10"/>
      <c r="H157" s="10" t="s">
        <v>2936</v>
      </c>
      <c r="I157" s="10" t="s">
        <v>9861</v>
      </c>
      <c r="J157" s="10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10" t="s">
        <v>9876</v>
      </c>
      <c r="E158" s="10" t="s">
        <v>9201</v>
      </c>
      <c r="F158" s="10"/>
      <c r="H158" s="10" t="s">
        <v>2936</v>
      </c>
      <c r="I158" s="10" t="s">
        <v>9864</v>
      </c>
      <c r="J158" s="10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10" t="s">
        <v>4</v>
      </c>
      <c r="E159" s="10" t="s">
        <v>8</v>
      </c>
      <c r="F159" s="10"/>
      <c r="H159" s="10"/>
      <c r="I159" s="10" t="s">
        <v>9867</v>
      </c>
      <c r="J159" s="10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10" t="s">
        <v>4</v>
      </c>
      <c r="E160" s="10" t="s">
        <v>8</v>
      </c>
      <c r="F160" s="10"/>
      <c r="H160" s="10"/>
      <c r="I160" s="10" t="s">
        <v>10104</v>
      </c>
      <c r="J160" s="1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10" t="s">
        <v>9876</v>
      </c>
      <c r="E161" s="10" t="s">
        <v>9201</v>
      </c>
      <c r="F161" s="10"/>
      <c r="H161" s="10"/>
      <c r="I161" s="10" t="s">
        <v>10107</v>
      </c>
      <c r="J161" s="10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10" t="s">
        <v>9876</v>
      </c>
      <c r="E162" s="10" t="s">
        <v>9201</v>
      </c>
      <c r="F162" s="10"/>
      <c r="H162" s="10"/>
      <c r="I162" s="10" t="s">
        <v>10110</v>
      </c>
      <c r="J162" s="10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10" t="s">
        <v>4</v>
      </c>
      <c r="E163" s="10" t="s">
        <v>8</v>
      </c>
      <c r="F163" s="10"/>
      <c r="H163" s="10"/>
      <c r="I163" s="10" t="s">
        <v>10424</v>
      </c>
      <c r="J163" s="10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10" t="s">
        <v>4</v>
      </c>
      <c r="E164" s="10" t="s">
        <v>8</v>
      </c>
      <c r="F164" s="10"/>
      <c r="H164" s="10" t="s">
        <v>2936</v>
      </c>
      <c r="I164" s="10" t="s">
        <v>10427</v>
      </c>
      <c r="J164" s="10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10" t="s">
        <v>4</v>
      </c>
      <c r="E165" s="10" t="s">
        <v>8</v>
      </c>
      <c r="F165" s="10"/>
      <c r="H165" s="10" t="s">
        <v>2936</v>
      </c>
      <c r="I165" s="10" t="s">
        <v>10430</v>
      </c>
      <c r="J165" s="10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10" t="s">
        <v>2004</v>
      </c>
      <c r="E166" s="10" t="s">
        <v>8</v>
      </c>
      <c r="F166" s="10"/>
      <c r="H166" s="10"/>
      <c r="I166" s="10" t="s">
        <v>10479</v>
      </c>
      <c r="J166" s="10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10" t="s">
        <v>2004</v>
      </c>
      <c r="E167" s="10" t="s">
        <v>8</v>
      </c>
      <c r="F167" s="10"/>
      <c r="H167" s="10"/>
      <c r="I167" s="10" t="s">
        <v>10482</v>
      </c>
      <c r="J167" s="10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10" t="s">
        <v>2004</v>
      </c>
      <c r="E168" s="10" t="s">
        <v>8</v>
      </c>
      <c r="F168" s="10"/>
      <c r="H168" s="10"/>
      <c r="I168" s="10" t="s">
        <v>10618</v>
      </c>
      <c r="J168" s="10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10" t="s">
        <v>9914</v>
      </c>
      <c r="E169" s="10" t="s">
        <v>4247</v>
      </c>
      <c r="F169" s="10"/>
      <c r="H169" s="10"/>
      <c r="I169" s="10" t="s">
        <v>10621</v>
      </c>
      <c r="J169" s="10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10" t="s">
        <v>9876</v>
      </c>
      <c r="E170" s="10" t="s">
        <v>9201</v>
      </c>
      <c r="F170" s="10"/>
      <c r="H170" s="10"/>
      <c r="I170" s="10" t="s">
        <v>10860</v>
      </c>
      <c r="J170" s="1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10" t="s">
        <v>9876</v>
      </c>
      <c r="E171" s="10" t="s">
        <v>9201</v>
      </c>
      <c r="F171" s="10"/>
      <c r="H171" s="10" t="s">
        <v>2936</v>
      </c>
      <c r="I171" s="10" t="s">
        <v>10863</v>
      </c>
      <c r="J171" s="10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10" t="s">
        <v>9876</v>
      </c>
      <c r="E172" s="10" t="s">
        <v>9201</v>
      </c>
      <c r="F172" s="10"/>
      <c r="H172" s="10" t="s">
        <v>2936</v>
      </c>
      <c r="I172" s="10" t="s">
        <v>10866</v>
      </c>
      <c r="J172" s="10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10" t="s">
        <v>9876</v>
      </c>
      <c r="E173" s="10" t="s">
        <v>9201</v>
      </c>
      <c r="F173" s="10"/>
      <c r="H173" s="10" t="s">
        <v>2936</v>
      </c>
      <c r="I173" s="10" t="s">
        <v>10869</v>
      </c>
      <c r="J173" s="10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10" t="s">
        <v>11009</v>
      </c>
      <c r="E174" s="10" t="s">
        <v>9201</v>
      </c>
      <c r="F174" s="10"/>
      <c r="H174" s="10"/>
      <c r="I174" s="10" t="s">
        <v>10995</v>
      </c>
      <c r="J174" s="10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10" t="s">
        <v>4</v>
      </c>
      <c r="E175" s="10" t="s">
        <v>8</v>
      </c>
      <c r="F175" s="10"/>
      <c r="H175" s="10"/>
      <c r="I175" s="10" t="s">
        <v>10998</v>
      </c>
      <c r="J175" s="10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10" t="s">
        <v>2004</v>
      </c>
      <c r="E176" s="10" t="s">
        <v>8</v>
      </c>
      <c r="F176" s="10"/>
      <c r="H176" s="10" t="s">
        <v>2014</v>
      </c>
      <c r="I176" s="10" t="s">
        <v>11118</v>
      </c>
      <c r="J176" s="10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10" t="s">
        <v>2004</v>
      </c>
      <c r="E177" s="10" t="s">
        <v>8</v>
      </c>
      <c r="F177" s="10"/>
      <c r="H177" s="10" t="s">
        <v>2014</v>
      </c>
      <c r="I177" s="10" t="s">
        <v>11121</v>
      </c>
      <c r="J177" s="10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10" t="s">
        <v>4</v>
      </c>
      <c r="E178" s="10" t="s">
        <v>8</v>
      </c>
      <c r="F178" s="10"/>
      <c r="H178" s="10"/>
      <c r="I178" s="10" t="s">
        <v>11379</v>
      </c>
      <c r="J178" s="10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10" t="s">
        <v>9876</v>
      </c>
      <c r="E179" s="10" t="s">
        <v>5137</v>
      </c>
      <c r="F179" s="10"/>
      <c r="H179" s="10"/>
      <c r="I179" s="10" t="s">
        <v>11382</v>
      </c>
      <c r="J179" s="10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10" t="s">
        <v>9876</v>
      </c>
      <c r="E180" s="10" t="s">
        <v>5137</v>
      </c>
      <c r="F180" s="10"/>
      <c r="H180" s="10"/>
      <c r="I180" s="10" t="s">
        <v>11385</v>
      </c>
      <c r="J180" s="10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10" t="s">
        <v>9876</v>
      </c>
      <c r="E181" s="10" t="s">
        <v>5137</v>
      </c>
      <c r="F181" s="10"/>
      <c r="H181" s="10"/>
      <c r="I181" s="10" t="s">
        <v>11388</v>
      </c>
      <c r="J181" s="10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10" t="s">
        <v>9914</v>
      </c>
      <c r="E182" s="10" t="s">
        <v>4247</v>
      </c>
      <c r="F182" s="10"/>
      <c r="H182" s="10"/>
      <c r="I182" s="10" t="s">
        <v>11547</v>
      </c>
      <c r="J182" s="10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10" t="s">
        <v>2004</v>
      </c>
      <c r="E183" s="10" t="s">
        <v>8</v>
      </c>
      <c r="F183" s="10"/>
      <c r="H183" s="10"/>
      <c r="I183" s="10" t="s">
        <v>11550</v>
      </c>
      <c r="J183" s="10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10" t="s">
        <v>4</v>
      </c>
      <c r="E184" s="10" t="s">
        <v>8</v>
      </c>
      <c r="F184" s="10"/>
      <c r="H184" s="10"/>
      <c r="I184" s="10" t="s">
        <v>11553</v>
      </c>
      <c r="J184" s="10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10" t="s">
        <v>9876</v>
      </c>
      <c r="E185" s="10" t="s">
        <v>5137</v>
      </c>
      <c r="F185" s="10"/>
      <c r="H185" s="10"/>
      <c r="I185" s="10" t="s">
        <v>11556</v>
      </c>
      <c r="J185" s="10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10" t="s">
        <v>4</v>
      </c>
      <c r="E186" s="10" t="s">
        <v>8</v>
      </c>
      <c r="F186" s="10"/>
      <c r="H186" s="10"/>
      <c r="I186" s="10" t="s">
        <v>11559</v>
      </c>
      <c r="J186" s="10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10" t="s">
        <v>2004</v>
      </c>
      <c r="E187" s="10" t="s">
        <v>8</v>
      </c>
      <c r="F187" s="10"/>
      <c r="H187" s="10"/>
      <c r="I187" s="10" t="s">
        <v>11754</v>
      </c>
      <c r="J187" s="10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10" t="s">
        <v>9876</v>
      </c>
      <c r="E188" s="10" t="s">
        <v>5137</v>
      </c>
      <c r="F188" s="10"/>
      <c r="H188" s="10"/>
      <c r="I188" s="10" t="s">
        <v>11757</v>
      </c>
      <c r="J188" s="10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10" t="s">
        <v>9876</v>
      </c>
      <c r="E189" s="10" t="s">
        <v>5137</v>
      </c>
      <c r="F189" s="10"/>
      <c r="H189" s="10"/>
      <c r="I189" s="10" t="s">
        <v>11760</v>
      </c>
      <c r="J189" s="10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10" t="s">
        <v>4</v>
      </c>
      <c r="E190" s="10" t="s">
        <v>8</v>
      </c>
      <c r="F190" s="10"/>
      <c r="H190" s="10"/>
      <c r="I190" s="10" t="s">
        <v>11763</v>
      </c>
      <c r="J190" s="10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10" t="s">
        <v>4</v>
      </c>
      <c r="E191" s="10" t="s">
        <v>8</v>
      </c>
      <c r="F191" s="10"/>
      <c r="H191" s="10"/>
      <c r="I191" s="10" t="s">
        <v>11820</v>
      </c>
      <c r="J191" s="10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10" t="s">
        <v>4</v>
      </c>
      <c r="E192" s="10" t="s">
        <v>8</v>
      </c>
      <c r="F192" s="10"/>
      <c r="H192" s="10" t="s">
        <v>2936</v>
      </c>
      <c r="I192" s="10" t="s">
        <v>11823</v>
      </c>
      <c r="J192" s="10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10" t="s">
        <v>4</v>
      </c>
      <c r="E193" s="10" t="s">
        <v>2932</v>
      </c>
      <c r="F193" s="10"/>
      <c r="H193" s="10"/>
      <c r="I193" s="10" t="s">
        <v>11826</v>
      </c>
      <c r="J193" s="10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10" t="s">
        <v>4</v>
      </c>
      <c r="E194" s="10" t="s">
        <v>2932</v>
      </c>
      <c r="F194" s="10"/>
      <c r="H194" s="10"/>
      <c r="I194" s="10" t="s">
        <v>11829</v>
      </c>
      <c r="J194" s="10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10" t="s">
        <v>11961</v>
      </c>
      <c r="E195" s="10"/>
      <c r="F195" s="10"/>
      <c r="H195" s="10"/>
      <c r="I195" s="10" t="s">
        <v>11832</v>
      </c>
      <c r="J195" s="10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10" t="s">
        <v>4</v>
      </c>
      <c r="E196" s="10" t="s">
        <v>8</v>
      </c>
      <c r="F196" s="10"/>
      <c r="H196" s="10"/>
      <c r="I196" s="10" t="s">
        <v>11835</v>
      </c>
      <c r="J196" s="10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10" t="s">
        <v>2004</v>
      </c>
      <c r="E197" s="10" t="s">
        <v>8</v>
      </c>
      <c r="F197" s="10"/>
      <c r="H197" s="10"/>
      <c r="I197" s="10" t="s">
        <v>11838</v>
      </c>
      <c r="J197" s="10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10" t="s">
        <v>4</v>
      </c>
      <c r="E198" s="10" t="s">
        <v>11963</v>
      </c>
      <c r="F198" s="10"/>
      <c r="H198" s="10"/>
      <c r="I198" s="10" t="s">
        <v>11841</v>
      </c>
      <c r="J198" s="10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10" t="s">
        <v>4</v>
      </c>
      <c r="E199" s="10" t="s">
        <v>11963</v>
      </c>
      <c r="F199" s="10"/>
      <c r="H199" s="10" t="s">
        <v>2936</v>
      </c>
      <c r="I199" s="10" t="s">
        <v>11844</v>
      </c>
      <c r="J199" s="10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s="10" t="s">
        <v>4</v>
      </c>
      <c r="E200" s="10" t="s">
        <v>12027</v>
      </c>
      <c r="F200" s="10"/>
      <c r="H200" s="10"/>
      <c r="I200" s="10" t="s">
        <v>11965</v>
      </c>
      <c r="J200" s="10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s="10" t="s">
        <v>2004</v>
      </c>
      <c r="E201" s="10" t="s">
        <v>8</v>
      </c>
      <c r="F201" s="10"/>
      <c r="H201" s="10"/>
      <c r="I201" s="10" t="s">
        <v>11968</v>
      </c>
      <c r="J201" s="10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  <row r="202" spans="1:13" x14ac:dyDescent="0.25">
      <c r="A202" s="2" t="s">
        <v>22</v>
      </c>
      <c r="B202" s="4">
        <v>46068</v>
      </c>
      <c r="C202" s="5">
        <v>0.5012268518518519</v>
      </c>
      <c r="D202" s="10" t="s">
        <v>4</v>
      </c>
      <c r="E202" s="10" t="s">
        <v>10638</v>
      </c>
      <c r="F202" s="10"/>
      <c r="H202" s="10"/>
      <c r="I202" s="10" t="s">
        <v>12043</v>
      </c>
      <c r="J202" s="10" t="s">
        <v>2987</v>
      </c>
      <c r="K202" t="s">
        <v>12044</v>
      </c>
      <c r="L202" t="s">
        <v>12045</v>
      </c>
      <c r="M202" s="3" t="str">
        <f>HYPERLINK(склад2въезд13192021222378[[#This Row],[RelativePath]])</f>
        <v>12 Площадка 3 кран\K07156189_20_20260215T120146Z.jpg</v>
      </c>
    </row>
    <row r="203" spans="1:13" x14ac:dyDescent="0.25">
      <c r="A203" s="2" t="s">
        <v>22</v>
      </c>
      <c r="B203" s="4">
        <v>46068</v>
      </c>
      <c r="C203" s="5">
        <v>0.50148148148148153</v>
      </c>
      <c r="D203" s="10" t="s">
        <v>4</v>
      </c>
      <c r="E203" s="10" t="s">
        <v>12061</v>
      </c>
      <c r="F203" s="10"/>
      <c r="H203" s="10" t="s">
        <v>2936</v>
      </c>
      <c r="I203" s="10" t="s">
        <v>12046</v>
      </c>
      <c r="J203" s="10" t="s">
        <v>2987</v>
      </c>
      <c r="K203" t="s">
        <v>12047</v>
      </c>
      <c r="L203" t="s">
        <v>12048</v>
      </c>
      <c r="M203" s="3" t="str">
        <f>HYPERLINK(склад2въезд13192021222378[[#This Row],[RelativePath]])</f>
        <v>12 Площадка 3 кран\K07156189_20_20260215T120208Z.jpg</v>
      </c>
    </row>
    <row r="204" spans="1:13" x14ac:dyDescent="0.25">
      <c r="A204" s="2" t="s">
        <v>22</v>
      </c>
      <c r="B204" s="4">
        <v>46068</v>
      </c>
      <c r="C204" s="5">
        <v>0.57620370370370366</v>
      </c>
      <c r="D204" s="10" t="s">
        <v>12</v>
      </c>
      <c r="E204" s="10"/>
      <c r="F204" s="10"/>
      <c r="H204" s="10"/>
      <c r="I204" s="10" t="s">
        <v>12049</v>
      </c>
      <c r="J204" s="10" t="s">
        <v>2987</v>
      </c>
      <c r="K204" t="s">
        <v>12050</v>
      </c>
      <c r="L204" t="s">
        <v>12051</v>
      </c>
      <c r="M204" s="3" t="str">
        <f>HYPERLINK(склад2въезд13192021222378[[#This Row],[RelativePath]])</f>
        <v>12 Площадка 3 кран\K07156189_20_20260215T134944Z.jpg</v>
      </c>
    </row>
    <row r="205" spans="1:13" x14ac:dyDescent="0.25">
      <c r="A205" s="2" t="s">
        <v>22</v>
      </c>
      <c r="B205" s="4">
        <v>46068</v>
      </c>
      <c r="C205" s="5">
        <v>0.74337962962962967</v>
      </c>
      <c r="D205" s="10" t="s">
        <v>4</v>
      </c>
      <c r="E205" s="10" t="s">
        <v>8</v>
      </c>
      <c r="F205" s="10"/>
      <c r="H205" s="10" t="s">
        <v>2936</v>
      </c>
      <c r="I205" s="10" t="s">
        <v>12052</v>
      </c>
      <c r="J205" s="10" t="s">
        <v>2987</v>
      </c>
      <c r="K205" t="s">
        <v>12053</v>
      </c>
      <c r="L205" t="s">
        <v>12054</v>
      </c>
      <c r="M205" s="3" t="str">
        <f>HYPERLINK(склад2въезд13192021222378[[#This Row],[RelativePath]])</f>
        <v>12 Площадка 3 кран\K07156189_20_20260215T175028Z.jpg</v>
      </c>
    </row>
    <row r="206" spans="1:13" x14ac:dyDescent="0.25">
      <c r="A206" s="2" t="s">
        <v>13</v>
      </c>
      <c r="B206" s="4">
        <v>46069</v>
      </c>
      <c r="C206" s="5">
        <v>0.39932870370370371</v>
      </c>
      <c r="D206" s="10" t="s">
        <v>12</v>
      </c>
      <c r="E206" s="10" t="s">
        <v>1607</v>
      </c>
      <c r="F206" s="10"/>
      <c r="H206" s="10"/>
      <c r="I206" s="10" t="s">
        <v>12233</v>
      </c>
      <c r="J206" s="10" t="s">
        <v>2987</v>
      </c>
      <c r="K206" t="s">
        <v>12234</v>
      </c>
      <c r="L206" t="s">
        <v>12235</v>
      </c>
      <c r="M206" s="3" t="str">
        <f>HYPERLINK(склад2въезд13192021222378[[#This Row],[RelativePath]])</f>
        <v>12 Площадка 3 кран\K07156189_20_20260216T093502Z.jpg</v>
      </c>
    </row>
    <row r="207" spans="1:13" x14ac:dyDescent="0.25">
      <c r="A207" s="2" t="s">
        <v>13</v>
      </c>
      <c r="B207" s="4">
        <v>46069</v>
      </c>
      <c r="C207" s="5">
        <v>0.62368055555555557</v>
      </c>
      <c r="D207" s="10" t="s">
        <v>9211</v>
      </c>
      <c r="E207" s="10" t="s">
        <v>86</v>
      </c>
      <c r="F207" s="10"/>
      <c r="H207" s="10"/>
      <c r="I207" s="10" t="s">
        <v>12236</v>
      </c>
      <c r="J207" s="10" t="s">
        <v>2987</v>
      </c>
      <c r="K207" t="s">
        <v>12237</v>
      </c>
      <c r="L207" t="s">
        <v>12238</v>
      </c>
      <c r="M207" s="3" t="str">
        <f>HYPERLINK(склад2въезд13192021222378[[#This Row],[RelativePath]])</f>
        <v>12 Площадка 3 кран\K07156189_20_20260216T145806Z.jpg</v>
      </c>
    </row>
    <row r="208" spans="1:13" x14ac:dyDescent="0.25">
      <c r="A208" s="2" t="s">
        <v>13</v>
      </c>
      <c r="B208" s="4">
        <v>46069</v>
      </c>
      <c r="C208" s="5">
        <v>0.70622685185185186</v>
      </c>
      <c r="D208" s="10" t="s">
        <v>12</v>
      </c>
      <c r="E208" s="10" t="s">
        <v>1607</v>
      </c>
      <c r="F208" s="10"/>
      <c r="H208" s="10"/>
      <c r="I208" s="10" t="s">
        <v>12239</v>
      </c>
      <c r="J208" s="10" t="s">
        <v>2987</v>
      </c>
      <c r="K208" t="s">
        <v>12240</v>
      </c>
      <c r="L208" t="s">
        <v>12241</v>
      </c>
      <c r="M208" s="3" t="str">
        <f>HYPERLINK(склад2въезд13192021222378[[#This Row],[RelativePath]])</f>
        <v>12 Площадка 3 кран\K07156189_20_20260216T165658Z.jpg</v>
      </c>
    </row>
    <row r="209" spans="1:13" x14ac:dyDescent="0.25">
      <c r="A209" s="2" t="s">
        <v>14</v>
      </c>
      <c r="B209" s="4">
        <v>46070</v>
      </c>
      <c r="C209" s="5">
        <v>0.46946759259259258</v>
      </c>
      <c r="D209" s="10" t="s">
        <v>7</v>
      </c>
      <c r="E209" s="10"/>
      <c r="F209" s="10"/>
      <c r="H209" s="10"/>
      <c r="I209" s="10" t="s">
        <v>12242</v>
      </c>
      <c r="J209" s="10" t="s">
        <v>2987</v>
      </c>
      <c r="K209" t="s">
        <v>12243</v>
      </c>
      <c r="L209" t="s">
        <v>12244</v>
      </c>
      <c r="M209" s="3" t="str">
        <f>HYPERLINK(склад2въезд13192021222378[[#This Row],[RelativePath]])</f>
        <v>12 Площадка 3 кран\K07156189_20_20260217T111602Z.jpg</v>
      </c>
    </row>
    <row r="210" spans="1:13" x14ac:dyDescent="0.25">
      <c r="A210" s="2" t="s">
        <v>14</v>
      </c>
      <c r="B210" s="4">
        <v>46070</v>
      </c>
      <c r="C210" s="5">
        <v>0.53052083333333333</v>
      </c>
      <c r="D210" s="10" t="s">
        <v>12381</v>
      </c>
      <c r="E210" s="10" t="s">
        <v>1607</v>
      </c>
      <c r="F210" s="10"/>
      <c r="H210" s="10"/>
      <c r="I210" s="10" t="s">
        <v>12245</v>
      </c>
      <c r="J210" s="10" t="s">
        <v>2987</v>
      </c>
      <c r="K210" t="s">
        <v>12246</v>
      </c>
      <c r="L210" t="s">
        <v>12247</v>
      </c>
      <c r="M210" s="3" t="str">
        <f>HYPERLINK(склад2въезд13192021222378[[#This Row],[RelativePath]])</f>
        <v>12 Площадка 3 кран\K07156189_20_20260217T124357Z.jpg</v>
      </c>
    </row>
    <row r="211" spans="1:13" x14ac:dyDescent="0.25">
      <c r="A211" s="2" t="s">
        <v>14</v>
      </c>
      <c r="B211" s="4">
        <v>46070</v>
      </c>
      <c r="C211" s="5">
        <v>0.76012731481481477</v>
      </c>
      <c r="D211" s="10" t="s">
        <v>4</v>
      </c>
      <c r="E211" s="10" t="s">
        <v>8</v>
      </c>
      <c r="F211" s="10"/>
      <c r="H211" s="10"/>
      <c r="I211" s="10" t="s">
        <v>12248</v>
      </c>
      <c r="J211" s="10" t="s">
        <v>2987</v>
      </c>
      <c r="K211" t="s">
        <v>12249</v>
      </c>
      <c r="L211" t="s">
        <v>12250</v>
      </c>
      <c r="M211" s="3" t="str">
        <f>HYPERLINK(склад2въезд13192021222378[[#This Row],[RelativePath]])</f>
        <v>12 Площадка 3 кран\K07156189_20_20260217T181435Z.jpg</v>
      </c>
    </row>
    <row r="212" spans="1:13" x14ac:dyDescent="0.25">
      <c r="A212" s="2" t="s">
        <v>15</v>
      </c>
      <c r="B212" s="4">
        <v>46071</v>
      </c>
      <c r="C212" s="5">
        <v>0.50296296296296295</v>
      </c>
      <c r="D212" s="10" t="s">
        <v>9211</v>
      </c>
      <c r="E212" s="10" t="s">
        <v>86</v>
      </c>
      <c r="F212" s="10"/>
      <c r="H212" s="10"/>
      <c r="I212" s="10" t="s">
        <v>12251</v>
      </c>
      <c r="J212" s="10" t="s">
        <v>2987</v>
      </c>
      <c r="K212" t="s">
        <v>12252</v>
      </c>
      <c r="L212" t="s">
        <v>12253</v>
      </c>
      <c r="M212" s="3" t="str">
        <f>HYPERLINK(склад2въезд13192021222378[[#This Row],[RelativePath]])</f>
        <v>12 Площадка 3 кран\K07156189_20_20260218T120416Z.jpg</v>
      </c>
    </row>
    <row r="213" spans="1:13" x14ac:dyDescent="0.25">
      <c r="A213" s="2" t="s">
        <v>15</v>
      </c>
      <c r="B213" s="4">
        <v>46071</v>
      </c>
      <c r="C213" s="5">
        <v>0.74914351851851857</v>
      </c>
      <c r="D213" s="10" t="s">
        <v>4</v>
      </c>
      <c r="E213" s="10" t="s">
        <v>8</v>
      </c>
      <c r="F213" s="10"/>
      <c r="H213" s="10"/>
      <c r="I213" s="10" t="s">
        <v>12254</v>
      </c>
      <c r="J213" s="10" t="s">
        <v>2987</v>
      </c>
      <c r="K213" t="s">
        <v>12255</v>
      </c>
      <c r="L213" t="s">
        <v>12256</v>
      </c>
      <c r="M213" s="3" t="str">
        <f>HYPERLINK(склад2въезд13192021222378[[#This Row],[RelativePath]])</f>
        <v>12 Площадка 3 кран\K07156189_20_20260218T175846Z.jpg</v>
      </c>
    </row>
    <row r="214" spans="1:13" x14ac:dyDescent="0.25">
      <c r="A214" s="2" t="s">
        <v>16</v>
      </c>
      <c r="B214" s="4">
        <v>46072</v>
      </c>
      <c r="C214" s="5">
        <v>0.40037037037037038</v>
      </c>
      <c r="D214" s="10" t="s">
        <v>12381</v>
      </c>
      <c r="E214" s="10"/>
      <c r="F214" s="10"/>
      <c r="H214" s="10"/>
      <c r="I214" s="10" t="s">
        <v>12385</v>
      </c>
      <c r="J214" s="10" t="s">
        <v>2987</v>
      </c>
      <c r="K214" t="s">
        <v>12386</v>
      </c>
      <c r="L214" t="s">
        <v>12387</v>
      </c>
      <c r="M214" s="3" t="str">
        <f>HYPERLINK(склад2въезд13192021222378[[#This Row],[RelativePath]])</f>
        <v>12 Площадка 3 кран\K07156189_20_20260219T093632Z.jpg</v>
      </c>
    </row>
    <row r="215" spans="1:13" x14ac:dyDescent="0.25">
      <c r="A215" s="2" t="s">
        <v>16</v>
      </c>
      <c r="B215" s="4">
        <v>46072</v>
      </c>
      <c r="C215" s="5">
        <v>0.41289351851851852</v>
      </c>
      <c r="D215" s="10" t="s">
        <v>9211</v>
      </c>
      <c r="E215" s="10" t="s">
        <v>86</v>
      </c>
      <c r="F215" s="10"/>
      <c r="H215" s="10"/>
      <c r="I215" s="10" t="s">
        <v>12388</v>
      </c>
      <c r="J215" s="10" t="s">
        <v>2987</v>
      </c>
      <c r="K215" t="s">
        <v>12389</v>
      </c>
      <c r="L215" t="s">
        <v>12390</v>
      </c>
      <c r="M215" s="3" t="str">
        <f>HYPERLINK(склад2въезд13192021222378[[#This Row],[RelativePath]])</f>
        <v>12 Площадка 3 кран\K07156189_20_20260219T095434Z.jpg</v>
      </c>
    </row>
    <row r="216" spans="1:13" x14ac:dyDescent="0.25">
      <c r="A216" s="2" t="s">
        <v>16</v>
      </c>
      <c r="B216" s="4">
        <v>46072</v>
      </c>
      <c r="C216" s="5">
        <v>0.48055555555555557</v>
      </c>
      <c r="D216" s="10" t="s">
        <v>12381</v>
      </c>
      <c r="E216" s="10"/>
      <c r="F216" s="10"/>
      <c r="H216" s="10"/>
      <c r="I216" s="10" t="s">
        <v>12391</v>
      </c>
      <c r="J216" s="10" t="s">
        <v>2987</v>
      </c>
      <c r="K216" t="s">
        <v>12392</v>
      </c>
      <c r="L216" t="s">
        <v>12393</v>
      </c>
      <c r="M216" s="3" t="str">
        <f>HYPERLINK(склад2въезд13192021222378[[#This Row],[RelativePath]])</f>
        <v>12 Площадка 3 кран\K07156189_20_20260219T113200Z.jpg</v>
      </c>
    </row>
    <row r="217" spans="1:13" x14ac:dyDescent="0.25">
      <c r="A217" s="2" t="s">
        <v>16</v>
      </c>
      <c r="B217" s="4">
        <v>46072</v>
      </c>
      <c r="C217" s="5">
        <v>0.62585648148148143</v>
      </c>
      <c r="D217" s="10" t="s">
        <v>12381</v>
      </c>
      <c r="E217" s="10"/>
      <c r="F217" s="10"/>
      <c r="H217" s="10"/>
      <c r="I217" s="10" t="s">
        <v>12394</v>
      </c>
      <c r="J217" s="10" t="s">
        <v>2987</v>
      </c>
      <c r="K217" t="s">
        <v>12395</v>
      </c>
      <c r="L217" t="s">
        <v>12396</v>
      </c>
      <c r="M217" s="3" t="str">
        <f>HYPERLINK(склад2въезд13192021222378[[#This Row],[RelativePath]])</f>
        <v>12 Площадка 3 кран\K07156189_20_20260219T150114Z.jpg</v>
      </c>
    </row>
    <row r="218" spans="1:13" x14ac:dyDescent="0.25">
      <c r="A218" s="2" t="s">
        <v>16</v>
      </c>
      <c r="B218" s="4">
        <v>46072</v>
      </c>
      <c r="C218" s="5">
        <v>0.67208333333333337</v>
      </c>
      <c r="D218" s="10" t="s">
        <v>12381</v>
      </c>
      <c r="E218" s="10"/>
      <c r="F218" s="10"/>
      <c r="H218" s="10"/>
      <c r="I218" s="10" t="s">
        <v>12397</v>
      </c>
      <c r="J218" s="10" t="s">
        <v>2987</v>
      </c>
      <c r="K218" t="s">
        <v>12398</v>
      </c>
      <c r="L218" t="s">
        <v>12399</v>
      </c>
      <c r="M218" s="3" t="str">
        <f>HYPERLINK(склад2въезд13192021222378[[#This Row],[RelativePath]])</f>
        <v>12 Площадка 3 кран\K07156189_20_20260219T160748Z.jpg</v>
      </c>
    </row>
    <row r="219" spans="1:13" x14ac:dyDescent="0.25">
      <c r="A219" s="2" t="s">
        <v>16</v>
      </c>
      <c r="B219" s="4">
        <v>46072</v>
      </c>
      <c r="C219" s="5">
        <v>0.73247685185185185</v>
      </c>
      <c r="D219" s="10" t="s">
        <v>12381</v>
      </c>
      <c r="E219" s="10"/>
      <c r="F219" s="10"/>
      <c r="H219" s="10"/>
      <c r="I219" s="10" t="s">
        <v>12400</v>
      </c>
      <c r="J219" s="10" t="s">
        <v>2987</v>
      </c>
      <c r="K219" t="s">
        <v>12401</v>
      </c>
      <c r="L219" t="s">
        <v>12402</v>
      </c>
      <c r="M219" s="3" t="str">
        <f>HYPERLINK(склад2въезд13192021222378[[#This Row],[RelativePath]])</f>
        <v>12 Площадка 3 кран\K07156189_20_20260219T173446Z.jpg</v>
      </c>
    </row>
    <row r="220" spans="1:13" x14ac:dyDescent="0.25">
      <c r="A220" s="2" t="s">
        <v>16</v>
      </c>
      <c r="B220" s="4">
        <v>46072</v>
      </c>
      <c r="C220" s="5">
        <v>0.79925925925925922</v>
      </c>
      <c r="D220" s="10" t="s">
        <v>12381</v>
      </c>
      <c r="E220" s="10"/>
      <c r="F220" s="10"/>
      <c r="H220" s="10"/>
      <c r="I220" s="10" t="s">
        <v>12403</v>
      </c>
      <c r="J220" s="10" t="s">
        <v>2987</v>
      </c>
      <c r="K220" t="s">
        <v>12404</v>
      </c>
      <c r="L220" t="s">
        <v>12405</v>
      </c>
      <c r="M220" s="3" t="str">
        <f>HYPERLINK(склад2въезд13192021222378[[#This Row],[RelativePath]])</f>
        <v>12 Площадка 3 кран\K07156189_20_20260219T191056Z.jpg</v>
      </c>
    </row>
    <row r="221" spans="1:13" x14ac:dyDescent="0.25">
      <c r="A221" s="2" t="s">
        <v>17</v>
      </c>
      <c r="B221" s="4">
        <v>46073</v>
      </c>
      <c r="C221" s="5">
        <v>0.36555555555555558</v>
      </c>
      <c r="D221" s="10" t="s">
        <v>12381</v>
      </c>
      <c r="E221" s="10"/>
      <c r="F221" s="10"/>
      <c r="H221" s="10"/>
      <c r="I221" s="10" t="s">
        <v>12543</v>
      </c>
      <c r="J221" s="10" t="s">
        <v>2987</v>
      </c>
      <c r="K221" t="s">
        <v>12544</v>
      </c>
      <c r="L221" t="s">
        <v>12545</v>
      </c>
      <c r="M221" s="3" t="str">
        <f>HYPERLINK(склад2въезд13192021222378[[#This Row],[RelativePath]])</f>
        <v>12 Площадка 3 кран\K07156189_20_20260220T084624Z.jpg</v>
      </c>
    </row>
    <row r="222" spans="1:13" x14ac:dyDescent="0.25">
      <c r="A222" s="2" t="s">
        <v>17</v>
      </c>
      <c r="B222" s="4">
        <v>46073</v>
      </c>
      <c r="C222" s="5">
        <v>0.46980324074074076</v>
      </c>
      <c r="D222" s="10" t="s">
        <v>12381</v>
      </c>
      <c r="E222" s="10"/>
      <c r="F222" s="10"/>
      <c r="H222" s="10"/>
      <c r="I222" s="10" t="s">
        <v>12546</v>
      </c>
      <c r="J222" s="10" t="s">
        <v>2987</v>
      </c>
      <c r="K222" t="s">
        <v>12547</v>
      </c>
      <c r="L222" t="s">
        <v>12548</v>
      </c>
      <c r="M222" s="3" t="str">
        <f>HYPERLINK(склад2въезд13192021222378[[#This Row],[RelativePath]])</f>
        <v>12 Площадка 3 кран\K07156189_20_20260220T111631Z.jpg</v>
      </c>
    </row>
    <row r="223" spans="1:13" x14ac:dyDescent="0.25">
      <c r="A223" s="2" t="s">
        <v>17</v>
      </c>
      <c r="B223" s="4">
        <v>46073</v>
      </c>
      <c r="C223" s="5">
        <v>0.60820601851851852</v>
      </c>
      <c r="D223" s="10" t="s">
        <v>12381</v>
      </c>
      <c r="E223" s="10"/>
      <c r="F223" s="10"/>
      <c r="H223" s="10"/>
      <c r="I223" s="10" t="s">
        <v>12549</v>
      </c>
      <c r="J223" s="10" t="s">
        <v>2987</v>
      </c>
      <c r="K223" t="s">
        <v>12550</v>
      </c>
      <c r="L223" t="s">
        <v>12551</v>
      </c>
      <c r="M223" s="3" t="str">
        <f>HYPERLINK(склад2въезд13192021222378[[#This Row],[RelativePath]])</f>
        <v>12 Площадка 3 кран\K07156189_20_20260220T143549Z.jpg</v>
      </c>
    </row>
    <row r="224" spans="1:13" x14ac:dyDescent="0.25">
      <c r="A224" s="2" t="s">
        <v>17</v>
      </c>
      <c r="B224" s="4">
        <v>46073</v>
      </c>
      <c r="C224" s="5">
        <v>0.7139699074074074</v>
      </c>
      <c r="D224" s="10" t="s">
        <v>12381</v>
      </c>
      <c r="E224" s="10"/>
      <c r="F224" s="10"/>
      <c r="H224" s="10"/>
      <c r="I224" s="10" t="s">
        <v>12552</v>
      </c>
      <c r="J224" s="10" t="s">
        <v>2987</v>
      </c>
      <c r="K224" t="s">
        <v>12553</v>
      </c>
      <c r="L224" t="s">
        <v>12554</v>
      </c>
      <c r="M224" s="3" t="str">
        <f>HYPERLINK(склад2въезд13192021222378[[#This Row],[RelativePath]])</f>
        <v>12 Площадка 3 кран\K07156189_20_20260220T170807Z.jpg</v>
      </c>
    </row>
    <row r="225" spans="1:13" x14ac:dyDescent="0.25">
      <c r="A225" s="2" t="s">
        <v>17</v>
      </c>
      <c r="B225" s="4">
        <v>46073</v>
      </c>
      <c r="C225" s="5">
        <v>0.72776620370370371</v>
      </c>
      <c r="D225" s="10" t="s">
        <v>12381</v>
      </c>
      <c r="E225" s="10"/>
      <c r="F225" s="10"/>
      <c r="H225" s="10"/>
      <c r="I225" s="10" t="s">
        <v>12555</v>
      </c>
      <c r="J225" s="10" t="s">
        <v>2987</v>
      </c>
      <c r="K225" t="s">
        <v>12556</v>
      </c>
      <c r="L225" t="s">
        <v>12557</v>
      </c>
      <c r="M225" s="3" t="str">
        <f>HYPERLINK(склад2въезд13192021222378[[#This Row],[RelativePath]])</f>
        <v>12 Площадка 3 кран\K07156189_20_20260220T172759Z.jpg</v>
      </c>
    </row>
    <row r="226" spans="1:13" x14ac:dyDescent="0.25">
      <c r="A226" s="2" t="s">
        <v>17</v>
      </c>
      <c r="B226" s="4">
        <v>46073</v>
      </c>
      <c r="C226" s="5">
        <v>0.77619212962962958</v>
      </c>
      <c r="D226" s="10" t="s">
        <v>12381</v>
      </c>
      <c r="E226" s="10"/>
      <c r="F226" s="10"/>
      <c r="H226" s="10"/>
      <c r="I226" s="10" t="s">
        <v>12558</v>
      </c>
      <c r="J226" s="10" t="s">
        <v>2987</v>
      </c>
      <c r="K226" t="s">
        <v>12559</v>
      </c>
      <c r="L226" t="s">
        <v>12560</v>
      </c>
      <c r="M226" s="3" t="str">
        <f>HYPERLINK(склад2въезд13192021222378[[#This Row],[RelativePath]])</f>
        <v>12 Площадка 3 кран\K07156189_20_20260220T183743Z.jpg</v>
      </c>
    </row>
    <row r="227" spans="1:13" x14ac:dyDescent="0.25">
      <c r="A227" s="2" t="s">
        <v>17</v>
      </c>
      <c r="B227" s="4">
        <v>46073</v>
      </c>
      <c r="C227" s="5">
        <v>0.79792824074074076</v>
      </c>
      <c r="D227" s="10" t="s">
        <v>4</v>
      </c>
      <c r="E227" s="10" t="s">
        <v>8</v>
      </c>
      <c r="F227" s="10"/>
      <c r="H227" s="10"/>
      <c r="I227" s="10" t="s">
        <v>12561</v>
      </c>
      <c r="J227" s="10" t="s">
        <v>2987</v>
      </c>
      <c r="K227" t="s">
        <v>12562</v>
      </c>
      <c r="L227" t="s">
        <v>12563</v>
      </c>
      <c r="M227" s="3" t="str">
        <f>HYPERLINK(склад2въезд13192021222378[[#This Row],[RelativePath]])</f>
        <v>12 Площадка 3 кран\K07156189_20_20260220T190901Z.jpg</v>
      </c>
    </row>
    <row r="228" spans="1:13" x14ac:dyDescent="0.25">
      <c r="A228" s="2" t="s">
        <v>18</v>
      </c>
      <c r="B228" s="4">
        <v>46074</v>
      </c>
      <c r="C228" s="5">
        <v>0.35754629629629631</v>
      </c>
      <c r="D228" s="10" t="s">
        <v>12381</v>
      </c>
      <c r="E228" s="10"/>
      <c r="F228" s="10"/>
      <c r="H228" s="10"/>
      <c r="I228" s="10" t="s">
        <v>12632</v>
      </c>
      <c r="J228" s="10" t="s">
        <v>2987</v>
      </c>
      <c r="K228" t="s">
        <v>12633</v>
      </c>
      <c r="L228" t="s">
        <v>12634</v>
      </c>
      <c r="M228" s="3" t="str">
        <f>HYPERLINK(склад2въезд13192021222378[[#This Row],[RelativePath]])</f>
        <v>12 Площадка 3 кран\K07156189_20_20260221T083452Z.jpg</v>
      </c>
    </row>
    <row r="229" spans="1:13" x14ac:dyDescent="0.25">
      <c r="A229" s="2" t="s">
        <v>18</v>
      </c>
      <c r="B229" s="4">
        <v>46074</v>
      </c>
      <c r="C229" s="5">
        <v>0.39662037037037035</v>
      </c>
      <c r="D229" s="10" t="s">
        <v>12381</v>
      </c>
      <c r="E229" s="10"/>
      <c r="F229" s="10"/>
      <c r="H229" s="10"/>
      <c r="I229" s="10" t="s">
        <v>12635</v>
      </c>
      <c r="J229" s="10" t="s">
        <v>2987</v>
      </c>
      <c r="K229" t="s">
        <v>12636</v>
      </c>
      <c r="L229" t="s">
        <v>12637</v>
      </c>
      <c r="M229" s="3" t="str">
        <f>HYPERLINK(склад2въезд13192021222378[[#This Row],[RelativePath]])</f>
        <v>12 Площадка 3 кран\K07156189_20_20260221T093108Z.jpg</v>
      </c>
    </row>
    <row r="230" spans="1:13" x14ac:dyDescent="0.25">
      <c r="A230" s="2" t="s">
        <v>18</v>
      </c>
      <c r="B230" s="4">
        <v>46074</v>
      </c>
      <c r="C230" s="5">
        <v>0.43799768518518517</v>
      </c>
      <c r="D230" s="10" t="s">
        <v>12381</v>
      </c>
      <c r="E230" s="10"/>
      <c r="F230" s="10"/>
      <c r="H230" s="10"/>
      <c r="I230" s="10" t="s">
        <v>12638</v>
      </c>
      <c r="J230" s="10" t="s">
        <v>2987</v>
      </c>
      <c r="K230" t="s">
        <v>12639</v>
      </c>
      <c r="L230" t="s">
        <v>12640</v>
      </c>
      <c r="M230" s="3" t="str">
        <f>HYPERLINK(склад2въезд13192021222378[[#This Row],[RelativePath]])</f>
        <v>12 Площадка 3 кран\K07156189_20_20260221T103043Z.jpg</v>
      </c>
    </row>
    <row r="231" spans="1:13" x14ac:dyDescent="0.25">
      <c r="A231" s="2" t="s">
        <v>18</v>
      </c>
      <c r="B231" s="4">
        <v>46074</v>
      </c>
      <c r="C231" s="5">
        <v>0.46243055555555557</v>
      </c>
      <c r="D231" s="10" t="s">
        <v>12381</v>
      </c>
      <c r="E231" s="10"/>
      <c r="F231" s="10"/>
      <c r="H231" s="10"/>
      <c r="I231" s="10" t="s">
        <v>12641</v>
      </c>
      <c r="J231" s="10" t="s">
        <v>2987</v>
      </c>
      <c r="K231" t="s">
        <v>12642</v>
      </c>
      <c r="L231" t="s">
        <v>12643</v>
      </c>
      <c r="M231" s="3" t="str">
        <f>HYPERLINK(склад2въезд13192021222378[[#This Row],[RelativePath]])</f>
        <v>12 Площадка 3 кран\K07156189_20_20260221T110554Z.jpg</v>
      </c>
    </row>
    <row r="232" spans="1:13" x14ac:dyDescent="0.25">
      <c r="A232" s="2" t="s">
        <v>18</v>
      </c>
      <c r="B232" s="4">
        <v>46074</v>
      </c>
      <c r="C232" s="5">
        <v>0.75148148148148153</v>
      </c>
      <c r="D232" s="10" t="s">
        <v>12381</v>
      </c>
      <c r="E232" s="10"/>
      <c r="F232" s="10"/>
      <c r="H232" s="10"/>
      <c r="I232" s="10" t="s">
        <v>12644</v>
      </c>
      <c r="J232" s="10" t="s">
        <v>2987</v>
      </c>
      <c r="K232" t="s">
        <v>12645</v>
      </c>
      <c r="L232" t="s">
        <v>12646</v>
      </c>
      <c r="M232" s="3" t="str">
        <f>HYPERLINK(склад2въезд13192021222378[[#This Row],[RelativePath]])</f>
        <v>12 Площадка 3 кран\K07156189_20_20260221T180208Z.jpg</v>
      </c>
    </row>
    <row r="233" spans="1:13" x14ac:dyDescent="0.25">
      <c r="A233" s="2" t="s">
        <v>18</v>
      </c>
      <c r="B233" s="4">
        <v>46074</v>
      </c>
      <c r="C233" s="5">
        <v>0.79027777777777775</v>
      </c>
      <c r="D233" s="10" t="s">
        <v>12381</v>
      </c>
      <c r="E233" s="10"/>
      <c r="F233" s="10"/>
      <c r="H233" s="10"/>
      <c r="I233" s="10" t="s">
        <v>12647</v>
      </c>
      <c r="J233" s="10" t="s">
        <v>2987</v>
      </c>
      <c r="K233" t="s">
        <v>12648</v>
      </c>
      <c r="L233" t="s">
        <v>12649</v>
      </c>
      <c r="M233" s="3" t="str">
        <f>HYPERLINK(склад2въезд13192021222378[[#This Row],[RelativePath]])</f>
        <v>12 Площадка 3 кран\K07156189_20_20260221T185800Z.jpg</v>
      </c>
    </row>
    <row r="234" spans="1:13" x14ac:dyDescent="0.25">
      <c r="A234" s="2" t="s">
        <v>22</v>
      </c>
      <c r="B234" s="4">
        <v>46075</v>
      </c>
      <c r="C234" s="5">
        <v>0.39399305555555558</v>
      </c>
      <c r="D234" s="10" t="s">
        <v>4</v>
      </c>
      <c r="E234" s="10" t="s">
        <v>8</v>
      </c>
      <c r="F234" s="10"/>
      <c r="H234" s="10"/>
      <c r="I234" s="10" t="s">
        <v>12650</v>
      </c>
      <c r="J234" s="10" t="s">
        <v>2987</v>
      </c>
      <c r="K234" t="s">
        <v>12651</v>
      </c>
      <c r="L234" t="s">
        <v>12652</v>
      </c>
      <c r="M234" s="3" t="str">
        <f>HYPERLINK(склад2въезд13192021222378[[#This Row],[RelativePath]])</f>
        <v>12 Площадка 3 кран\K07156189_20_20260222T092721Z.jpg</v>
      </c>
    </row>
    <row r="235" spans="1:13" x14ac:dyDescent="0.25">
      <c r="A235" s="2" t="s">
        <v>22</v>
      </c>
      <c r="B235" s="4">
        <v>46075</v>
      </c>
      <c r="C235" s="5">
        <v>0.58064814814814814</v>
      </c>
      <c r="D235" s="10" t="s">
        <v>12381</v>
      </c>
      <c r="E235" s="10"/>
      <c r="F235" s="10"/>
      <c r="H235" s="10"/>
      <c r="I235" s="10" t="s">
        <v>12653</v>
      </c>
      <c r="J235" s="10" t="s">
        <v>2987</v>
      </c>
      <c r="K235" t="s">
        <v>12654</v>
      </c>
      <c r="L235" t="s">
        <v>12655</v>
      </c>
      <c r="M235" s="3" t="str">
        <f>HYPERLINK(склад2въезд13192021222378[[#This Row],[RelativePath]])</f>
        <v>12 Площадка 3 кран\K07156189_20_20260222T135608Z.jpg</v>
      </c>
    </row>
    <row r="236" spans="1:13" x14ac:dyDescent="0.25">
      <c r="A236" s="2" t="s">
        <v>22</v>
      </c>
      <c r="B236" s="4">
        <v>46075</v>
      </c>
      <c r="C236" s="5">
        <v>0.72416666666666663</v>
      </c>
      <c r="D236" s="10" t="s">
        <v>12381</v>
      </c>
      <c r="E236" s="10"/>
      <c r="F236" s="10"/>
      <c r="H236" s="10"/>
      <c r="I236" s="10" t="s">
        <v>12656</v>
      </c>
      <c r="J236" s="10" t="s">
        <v>2987</v>
      </c>
      <c r="K236" t="s">
        <v>12657</v>
      </c>
      <c r="L236" t="s">
        <v>12658</v>
      </c>
      <c r="M236" s="3" t="str">
        <f>HYPERLINK(склад2въезд13192021222378[[#This Row],[RelativePath]])</f>
        <v>12 Площадка 3 кран\K07156189_20_20260222T172248Z.jpg</v>
      </c>
    </row>
    <row r="237" spans="1:13" x14ac:dyDescent="0.25">
      <c r="A237" s="2" t="s">
        <v>22</v>
      </c>
      <c r="B237" s="4">
        <v>46075</v>
      </c>
      <c r="C237" s="5">
        <v>0.7884606481481482</v>
      </c>
      <c r="D237" s="10" t="s">
        <v>4</v>
      </c>
      <c r="E237" s="10" t="s">
        <v>8</v>
      </c>
      <c r="F237" s="10"/>
      <c r="H237" s="10"/>
      <c r="I237" s="10" t="s">
        <v>12659</v>
      </c>
      <c r="J237" s="10" t="s">
        <v>2987</v>
      </c>
      <c r="K237" t="s">
        <v>12660</v>
      </c>
      <c r="L237" t="s">
        <v>12661</v>
      </c>
      <c r="M237" s="3" t="str">
        <f>HYPERLINK(склад2въезд13192021222378[[#This Row],[RelativePath]])</f>
        <v>12 Площадка 3 кран\K07156189_20_20260222T185523Z.jpg</v>
      </c>
    </row>
    <row r="238" spans="1:13" x14ac:dyDescent="0.25">
      <c r="A238" s="2" t="s">
        <v>13</v>
      </c>
      <c r="B238" s="4">
        <v>46076</v>
      </c>
      <c r="C238" s="5">
        <v>0.38826388888888891</v>
      </c>
      <c r="D238" s="10" t="s">
        <v>12</v>
      </c>
      <c r="E238" s="10"/>
      <c r="F238" s="10"/>
      <c r="H238" s="10"/>
      <c r="I238" s="10" t="s">
        <v>12908</v>
      </c>
      <c r="J238" s="10" t="s">
        <v>2987</v>
      </c>
      <c r="K238" t="s">
        <v>12909</v>
      </c>
      <c r="L238" t="s">
        <v>12910</v>
      </c>
      <c r="M238" s="3" t="str">
        <f>HYPERLINK(склад2въезд13192021222378[[#This Row],[RelativePath]])</f>
        <v>12 Площадка 3 кран\K07156189_20_20260223T091906Z.jpg</v>
      </c>
    </row>
    <row r="239" spans="1:13" x14ac:dyDescent="0.25">
      <c r="A239" s="2" t="s">
        <v>13</v>
      </c>
      <c r="B239" s="4">
        <v>46076</v>
      </c>
      <c r="C239" s="5">
        <v>0.87138888888888888</v>
      </c>
      <c r="D239" s="10" t="s">
        <v>4</v>
      </c>
      <c r="E239" s="10" t="s">
        <v>8</v>
      </c>
      <c r="F239" s="10"/>
      <c r="H239" s="10"/>
      <c r="I239" s="10" t="s">
        <v>12911</v>
      </c>
      <c r="J239" s="10" t="s">
        <v>2987</v>
      </c>
      <c r="K239" t="s">
        <v>12912</v>
      </c>
      <c r="L239" t="s">
        <v>12913</v>
      </c>
      <c r="M239" s="3" t="str">
        <f>HYPERLINK(склад2въезд13192021222378[[#This Row],[RelativePath]])</f>
        <v>12 Площадка 3 кран\K07156189_20_20260223T205448Z.jpg</v>
      </c>
    </row>
  </sheetData>
  <conditionalFormatting sqref="D240:D250 E240:E253 G2:H239 D2:E239">
    <cfRule type="containsText" dxfId="665" priority="14" operator="containsText" text="Выезд с территории">
      <formula>NOT(ISERROR(SEARCH("Выезд с территории",D2)))</formula>
    </cfRule>
  </conditionalFormatting>
  <conditionalFormatting sqref="F2:F239">
    <cfRule type="notContainsText" dxfId="664" priority="13" operator="notContains" text="порожний">
      <formula>ISERROR(SEARCH("порожний",F2))</formula>
    </cfRule>
  </conditionalFormatting>
  <conditionalFormatting sqref="E2:E253">
    <cfRule type="containsText" dxfId="663" priority="11" operator="containsText" text="Газель базы">
      <formula>NOT(ISERROR(SEARCH("Газель базы",E2)))</formula>
    </cfRule>
    <cfRule type="containsText" dxfId="662" priority="12" operator="containsText" text="Погрузчик базы">
      <formula>NOT(ISERROR(SEARCH("Погрузчик базы",E2)))</formula>
    </cfRule>
  </conditionalFormatting>
  <conditionalFormatting sqref="E2:E253">
    <cfRule type="containsText" dxfId="661" priority="10" operator="containsText" text="Трактор базы">
      <formula>NOT(ISERROR(SEARCH("Трактор базы",E2)))</formula>
    </cfRule>
  </conditionalFormatting>
  <conditionalFormatting sqref="A2:C239">
    <cfRule type="expression" dxfId="660" priority="9">
      <formula>$A2="пн"</formula>
    </cfRule>
  </conditionalFormatting>
  <conditionalFormatting sqref="A2:C241">
    <cfRule type="expression" dxfId="659" priority="3">
      <formula>$A2="вс"</formula>
    </cfRule>
    <cfRule type="expression" dxfId="658" priority="4">
      <formula>$A2="сб"</formula>
    </cfRule>
    <cfRule type="expression" dxfId="657" priority="5">
      <formula>$A2="пт"</formula>
    </cfRule>
    <cfRule type="expression" dxfId="656" priority="6">
      <formula>$A2="чт"</formula>
    </cfRule>
    <cfRule type="expression" dxfId="655" priority="7">
      <formula>$A2="ср"</formula>
    </cfRule>
    <cfRule type="expression" dxfId="654" priority="8">
      <formula>$A2="вт"</formula>
    </cfRule>
  </conditionalFormatting>
  <conditionalFormatting sqref="D2:D250">
    <cfRule type="containsText" dxfId="6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0">
    <cfRule type="containsText" dxfId="6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03"/>
  <sheetViews>
    <sheetView zoomScale="90" zoomScaleNormal="90" workbookViewId="0">
      <pane ySplit="1" topLeftCell="A188" activePane="bottomLeft" state="frozen"/>
      <selection pane="bottomLeft" activeCell="I203" sqref="I2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10" t="s">
        <v>4</v>
      </c>
      <c r="E2" s="10" t="s">
        <v>8</v>
      </c>
      <c r="F2" s="10"/>
      <c r="H2" s="10"/>
      <c r="I2" s="10" t="s">
        <v>1937</v>
      </c>
      <c r="J2" s="10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10" t="s">
        <v>4</v>
      </c>
      <c r="E3" s="10" t="s">
        <v>8</v>
      </c>
      <c r="F3" s="10"/>
      <c r="H3" s="10"/>
      <c r="I3" s="10" t="s">
        <v>1940</v>
      </c>
      <c r="J3" s="10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10" t="s">
        <v>4</v>
      </c>
      <c r="E4" s="10" t="s">
        <v>8</v>
      </c>
      <c r="F4" s="10"/>
      <c r="H4" s="10"/>
      <c r="I4" s="10" t="s">
        <v>1943</v>
      </c>
      <c r="J4" s="10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10" t="s">
        <v>4</v>
      </c>
      <c r="E5" s="10" t="s">
        <v>8</v>
      </c>
      <c r="F5" s="10"/>
      <c r="H5" s="10"/>
      <c r="I5" s="10" t="s">
        <v>1946</v>
      </c>
      <c r="J5" s="10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10" t="s">
        <v>4</v>
      </c>
      <c r="E6" s="10" t="s">
        <v>8</v>
      </c>
      <c r="F6" s="10"/>
      <c r="H6" s="10"/>
      <c r="I6" s="10" t="s">
        <v>1949</v>
      </c>
      <c r="J6" s="10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10" t="s">
        <v>289</v>
      </c>
      <c r="E7" s="10" t="s">
        <v>86</v>
      </c>
      <c r="F7" s="10" t="s">
        <v>1998</v>
      </c>
      <c r="H7" s="10"/>
      <c r="I7" s="10" t="s">
        <v>1952</v>
      </c>
      <c r="J7" s="10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10" t="s">
        <v>1999</v>
      </c>
      <c r="E8" s="10" t="s">
        <v>86</v>
      </c>
      <c r="F8" s="10" t="s">
        <v>1998</v>
      </c>
      <c r="H8" s="10"/>
      <c r="I8" s="10" t="s">
        <v>1955</v>
      </c>
      <c r="J8" s="10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10" t="s">
        <v>1999</v>
      </c>
      <c r="E9" s="10" t="s">
        <v>86</v>
      </c>
      <c r="F9" s="10" t="s">
        <v>1998</v>
      </c>
      <c r="H9" s="10"/>
      <c r="I9" s="10" t="s">
        <v>1958</v>
      </c>
      <c r="J9" s="10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10" t="s">
        <v>4</v>
      </c>
      <c r="E10" s="10" t="s">
        <v>8</v>
      </c>
      <c r="F10" s="10"/>
      <c r="H10" s="10"/>
      <c r="I10" s="10" t="s">
        <v>1961</v>
      </c>
      <c r="J10" s="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10" t="s">
        <v>4</v>
      </c>
      <c r="E11" s="10" t="s">
        <v>8</v>
      </c>
      <c r="F11" s="10"/>
      <c r="H11" s="10"/>
      <c r="I11" s="10" t="s">
        <v>1964</v>
      </c>
      <c r="J11" s="10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10" t="s">
        <v>4</v>
      </c>
      <c r="E12" s="10" t="s">
        <v>8</v>
      </c>
      <c r="F12" s="10"/>
      <c r="H12" s="10"/>
      <c r="I12" s="10" t="s">
        <v>1967</v>
      </c>
      <c r="J12" s="10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10" t="s">
        <v>4</v>
      </c>
      <c r="E13" s="10" t="s">
        <v>8</v>
      </c>
      <c r="F13" s="10"/>
      <c r="H13" s="10"/>
      <c r="I13" s="10" t="s">
        <v>1970</v>
      </c>
      <c r="J13" s="10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10" t="s">
        <v>4</v>
      </c>
      <c r="E14" s="10" t="s">
        <v>8</v>
      </c>
      <c r="F14" s="10"/>
      <c r="H14" s="10"/>
      <c r="I14" s="10" t="s">
        <v>1973</v>
      </c>
      <c r="J14" s="10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10" t="s">
        <v>4</v>
      </c>
      <c r="E15" s="10" t="s">
        <v>8</v>
      </c>
      <c r="F15" s="10"/>
      <c r="H15" s="10"/>
      <c r="I15" s="10" t="s">
        <v>1976</v>
      </c>
      <c r="J15" s="10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10" t="s">
        <v>4</v>
      </c>
      <c r="E16" s="10" t="s">
        <v>8</v>
      </c>
      <c r="F16" s="10"/>
      <c r="H16" s="10"/>
      <c r="I16" s="10" t="s">
        <v>1979</v>
      </c>
      <c r="J16" s="10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10" t="s">
        <v>4</v>
      </c>
      <c r="E17" s="10" t="s">
        <v>8</v>
      </c>
      <c r="F17" s="10"/>
      <c r="H17" s="10"/>
      <c r="I17" s="10" t="s">
        <v>1982</v>
      </c>
      <c r="J17" s="10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10" t="s">
        <v>4</v>
      </c>
      <c r="E18" s="10" t="s">
        <v>8</v>
      </c>
      <c r="F18" s="10"/>
      <c r="H18" s="10"/>
      <c r="I18" s="10" t="s">
        <v>1985</v>
      </c>
      <c r="J18" s="10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10" t="s">
        <v>4</v>
      </c>
      <c r="E19" s="10" t="s">
        <v>8</v>
      </c>
      <c r="F19" s="10"/>
      <c r="H19" s="10"/>
      <c r="I19" s="10" t="s">
        <v>1988</v>
      </c>
      <c r="J19" s="10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10" t="s">
        <v>4</v>
      </c>
      <c r="E20" s="10" t="s">
        <v>8</v>
      </c>
      <c r="F20" s="10"/>
      <c r="H20" s="10"/>
      <c r="I20" s="10" t="s">
        <v>1991</v>
      </c>
      <c r="J20" s="1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10" t="s">
        <v>4</v>
      </c>
      <c r="E21" s="10" t="s">
        <v>8</v>
      </c>
      <c r="F21" s="10"/>
      <c r="H21" s="10"/>
      <c r="I21" s="10" t="s">
        <v>1994</v>
      </c>
      <c r="J21" s="10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10" t="s">
        <v>4</v>
      </c>
      <c r="E22" s="10" t="s">
        <v>8</v>
      </c>
      <c r="F22" s="10"/>
      <c r="H22" s="10"/>
      <c r="I22" s="10" t="s">
        <v>2976</v>
      </c>
      <c r="J22" s="10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10" t="s">
        <v>533</v>
      </c>
      <c r="E23" s="10" t="s">
        <v>531</v>
      </c>
      <c r="F23" s="10" t="s">
        <v>58</v>
      </c>
      <c r="H23" s="10" t="s">
        <v>2979</v>
      </c>
      <c r="I23" s="10" t="s">
        <v>2896</v>
      </c>
      <c r="J23" s="10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10" t="s">
        <v>533</v>
      </c>
      <c r="E24" s="10" t="s">
        <v>531</v>
      </c>
      <c r="F24" s="10" t="s">
        <v>58</v>
      </c>
      <c r="H24" s="10" t="s">
        <v>2979</v>
      </c>
      <c r="I24" s="10" t="s">
        <v>2899</v>
      </c>
      <c r="J24" s="10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10" t="s">
        <v>533</v>
      </c>
      <c r="E25" s="10" t="s">
        <v>531</v>
      </c>
      <c r="F25" s="10" t="s">
        <v>58</v>
      </c>
      <c r="H25" s="10" t="s">
        <v>2979</v>
      </c>
      <c r="I25" s="10" t="s">
        <v>2902</v>
      </c>
      <c r="J25" s="10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10" t="s">
        <v>2004</v>
      </c>
      <c r="E26" s="10"/>
      <c r="F26" s="10"/>
      <c r="H26" s="10"/>
      <c r="I26" s="10" t="s">
        <v>2905</v>
      </c>
      <c r="J26" s="10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10" t="s">
        <v>2004</v>
      </c>
      <c r="E27" s="10"/>
      <c r="F27" s="10"/>
      <c r="H27" s="10"/>
      <c r="I27" s="10" t="s">
        <v>2908</v>
      </c>
      <c r="J27" s="10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10" t="s">
        <v>2014</v>
      </c>
      <c r="E28" s="10"/>
      <c r="F28" s="10"/>
      <c r="H28" s="10"/>
      <c r="I28" s="10" t="s">
        <v>2911</v>
      </c>
      <c r="J28" s="10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10" t="s">
        <v>2004</v>
      </c>
      <c r="E29" s="10"/>
      <c r="F29" s="10"/>
      <c r="H29" s="10"/>
      <c r="I29" s="10" t="s">
        <v>2914</v>
      </c>
      <c r="J29" s="10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10" t="s">
        <v>2004</v>
      </c>
      <c r="E30" s="10"/>
      <c r="F30" s="10"/>
      <c r="H30" s="10"/>
      <c r="I30" s="10" t="s">
        <v>2917</v>
      </c>
      <c r="J30" s="1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10" t="s">
        <v>2014</v>
      </c>
      <c r="E31" s="10"/>
      <c r="F31" s="10"/>
      <c r="H31" s="10"/>
      <c r="I31" s="10" t="s">
        <v>4166</v>
      </c>
      <c r="J31" s="10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10" t="s">
        <v>4</v>
      </c>
      <c r="E32" s="10" t="s">
        <v>4249</v>
      </c>
      <c r="F32" s="10"/>
      <c r="H32" s="10"/>
      <c r="I32" s="10" t="s">
        <v>4169</v>
      </c>
      <c r="J32" s="10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10" t="s">
        <v>4</v>
      </c>
      <c r="E33" s="10" t="s">
        <v>4250</v>
      </c>
      <c r="F33" s="10"/>
      <c r="H33" s="10"/>
      <c r="I33" s="10" t="s">
        <v>4172</v>
      </c>
      <c r="J33" s="10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10" t="s">
        <v>4</v>
      </c>
      <c r="E34" s="10" t="s">
        <v>4251</v>
      </c>
      <c r="F34" s="10"/>
      <c r="H34" s="10"/>
      <c r="I34" s="10" t="s">
        <v>4175</v>
      </c>
      <c r="J34" s="10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10" t="s">
        <v>4</v>
      </c>
      <c r="E35" s="10" t="s">
        <v>8</v>
      </c>
      <c r="F35" s="10"/>
      <c r="H35" s="10"/>
      <c r="I35" s="10" t="s">
        <v>4178</v>
      </c>
      <c r="J35" s="10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10" t="s">
        <v>4</v>
      </c>
      <c r="E36" s="10" t="s">
        <v>8</v>
      </c>
      <c r="F36" s="10"/>
      <c r="H36" s="10"/>
      <c r="I36" s="10" t="s">
        <v>4181</v>
      </c>
      <c r="J36" s="10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10" t="s">
        <v>4212</v>
      </c>
      <c r="E37" s="10"/>
      <c r="F37" s="10"/>
      <c r="H37" s="10"/>
      <c r="I37" s="10" t="s">
        <v>4187</v>
      </c>
      <c r="J37" s="10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10" t="s">
        <v>2004</v>
      </c>
      <c r="E38" s="10"/>
      <c r="F38" s="10"/>
      <c r="H38" s="10"/>
      <c r="I38" s="10" t="s">
        <v>4184</v>
      </c>
      <c r="J38" s="10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10" t="s">
        <v>4298</v>
      </c>
      <c r="E39" s="10"/>
      <c r="F39" s="10"/>
      <c r="H39" s="10"/>
      <c r="I39" s="10" t="s">
        <v>4294</v>
      </c>
      <c r="J39" s="10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10" t="s">
        <v>2014</v>
      </c>
      <c r="E40" s="10"/>
      <c r="F40" s="10"/>
      <c r="H40" s="10"/>
      <c r="I40" s="10" t="s">
        <v>4981</v>
      </c>
      <c r="J40" s="1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10" t="s">
        <v>2014</v>
      </c>
      <c r="E41" s="10"/>
      <c r="F41" s="10"/>
      <c r="H41" s="10"/>
      <c r="I41" s="10" t="s">
        <v>4984</v>
      </c>
      <c r="J41" s="10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10" t="s">
        <v>2014</v>
      </c>
      <c r="E42" s="10"/>
      <c r="F42" s="10"/>
      <c r="H42" s="10"/>
      <c r="I42" s="10" t="s">
        <v>4987</v>
      </c>
      <c r="J42" s="10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10" t="s">
        <v>2014</v>
      </c>
      <c r="E43" s="10"/>
      <c r="F43" s="10"/>
      <c r="H43" s="10"/>
      <c r="I43" s="10" t="s">
        <v>4990</v>
      </c>
      <c r="J43" s="10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10" t="s">
        <v>2014</v>
      </c>
      <c r="E44" s="10"/>
      <c r="F44" s="10"/>
      <c r="H44" s="10"/>
      <c r="I44" s="10" t="s">
        <v>4993</v>
      </c>
      <c r="J44" s="10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10" t="s">
        <v>2014</v>
      </c>
      <c r="E45" s="10"/>
      <c r="F45" s="10"/>
      <c r="H45" s="10"/>
      <c r="I45" s="10" t="s">
        <v>4996</v>
      </c>
      <c r="J45" s="10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10" t="s">
        <v>4</v>
      </c>
      <c r="E46" s="10" t="s">
        <v>5266</v>
      </c>
      <c r="F46" s="10"/>
      <c r="H46" s="10"/>
      <c r="I46" s="10" t="s">
        <v>5220</v>
      </c>
      <c r="J46" s="10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10" t="s">
        <v>4</v>
      </c>
      <c r="E47" s="10" t="s">
        <v>5267</v>
      </c>
      <c r="F47" s="10"/>
      <c r="H47" s="10"/>
      <c r="I47" s="10" t="s">
        <v>5223</v>
      </c>
      <c r="J47" s="10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10" t="s">
        <v>159</v>
      </c>
      <c r="E48" s="10" t="s">
        <v>5480</v>
      </c>
      <c r="F48" s="10" t="s">
        <v>4240</v>
      </c>
      <c r="H48" s="10"/>
      <c r="I48" s="10" t="s">
        <v>5468</v>
      </c>
      <c r="J48" s="10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10" t="s">
        <v>4</v>
      </c>
      <c r="E49" s="10" t="s">
        <v>8</v>
      </c>
      <c r="F49" s="10"/>
      <c r="H49" s="10"/>
      <c r="I49" s="10" t="s">
        <v>5471</v>
      </c>
      <c r="J49" s="10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10" t="s">
        <v>6191</v>
      </c>
      <c r="E50" s="10" t="s">
        <v>5480</v>
      </c>
      <c r="F50" s="10" t="s">
        <v>6182</v>
      </c>
      <c r="H50" s="10"/>
      <c r="I50" s="10" t="s">
        <v>5666</v>
      </c>
      <c r="J50" s="1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10" t="s">
        <v>6191</v>
      </c>
      <c r="E51" s="10" t="s">
        <v>5480</v>
      </c>
      <c r="F51" s="10" t="s">
        <v>6182</v>
      </c>
      <c r="H51" s="10" t="s">
        <v>2936</v>
      </c>
      <c r="I51" s="10" t="s">
        <v>5669</v>
      </c>
      <c r="J51" s="10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10" t="s">
        <v>4</v>
      </c>
      <c r="E52" s="10" t="s">
        <v>8</v>
      </c>
      <c r="F52" s="10"/>
      <c r="H52" s="10"/>
      <c r="I52" s="10" t="s">
        <v>5672</v>
      </c>
      <c r="J52" s="10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10" t="s">
        <v>4</v>
      </c>
      <c r="E53" s="10" t="s">
        <v>8</v>
      </c>
      <c r="F53" s="10"/>
      <c r="H53" s="10"/>
      <c r="I53" s="10" t="s">
        <v>5675</v>
      </c>
      <c r="J53" s="10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10" t="s">
        <v>4</v>
      </c>
      <c r="E54" s="10" t="s">
        <v>8</v>
      </c>
      <c r="F54" s="10"/>
      <c r="H54" s="10"/>
      <c r="I54" s="10" t="s">
        <v>5678</v>
      </c>
      <c r="J54" s="10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10" t="s">
        <v>2014</v>
      </c>
      <c r="E55" s="10"/>
      <c r="F55" s="10"/>
      <c r="H55" s="10"/>
      <c r="I55" s="10" t="s">
        <v>5681</v>
      </c>
      <c r="J55" s="10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10" t="s">
        <v>6191</v>
      </c>
      <c r="E56" s="10" t="s">
        <v>5480</v>
      </c>
      <c r="F56" s="10" t="s">
        <v>6172</v>
      </c>
      <c r="H56" s="10"/>
      <c r="I56" s="10" t="s">
        <v>5990</v>
      </c>
      <c r="J56" s="10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10" t="s">
        <v>4</v>
      </c>
      <c r="E57" s="10" t="s">
        <v>8</v>
      </c>
      <c r="F57" s="10"/>
      <c r="H57" s="10"/>
      <c r="I57" s="10" t="s">
        <v>5993</v>
      </c>
      <c r="J57" s="10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10" t="s">
        <v>4</v>
      </c>
      <c r="E58" s="10" t="s">
        <v>8</v>
      </c>
      <c r="F58" s="10"/>
      <c r="H58" s="10"/>
      <c r="I58" s="10" t="s">
        <v>5996</v>
      </c>
      <c r="J58" s="10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10" t="s">
        <v>4</v>
      </c>
      <c r="E59" s="10" t="s">
        <v>6167</v>
      </c>
      <c r="F59" s="10"/>
      <c r="H59" s="10"/>
      <c r="I59" s="10" t="s">
        <v>5999</v>
      </c>
      <c r="J59" s="10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10" t="s">
        <v>4</v>
      </c>
      <c r="E60" s="10" t="s">
        <v>8</v>
      </c>
      <c r="F60" s="10"/>
      <c r="H60" s="10"/>
      <c r="I60" s="10" t="s">
        <v>6002</v>
      </c>
      <c r="J60" s="1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10" t="s">
        <v>2004</v>
      </c>
      <c r="E61" s="10" t="s">
        <v>8</v>
      </c>
      <c r="F61" s="10"/>
      <c r="H61" s="10"/>
      <c r="I61" s="10" t="s">
        <v>6255</v>
      </c>
      <c r="J61" s="10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10" t="s">
        <v>289</v>
      </c>
      <c r="E62" s="10" t="s">
        <v>5480</v>
      </c>
      <c r="F62" s="10" t="s">
        <v>528</v>
      </c>
      <c r="H62" s="10"/>
      <c r="I62" s="10" t="s">
        <v>6515</v>
      </c>
      <c r="J62" s="10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10" t="s">
        <v>289</v>
      </c>
      <c r="E63" s="10" t="s">
        <v>5480</v>
      </c>
      <c r="F63" s="10" t="s">
        <v>528</v>
      </c>
      <c r="H63" s="10"/>
      <c r="I63" s="10" t="s">
        <v>6518</v>
      </c>
      <c r="J63" s="10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10" t="s">
        <v>289</v>
      </c>
      <c r="E64" s="10" t="s">
        <v>5480</v>
      </c>
      <c r="F64" s="10" t="s">
        <v>1621</v>
      </c>
      <c r="H64" s="10"/>
      <c r="I64" s="10" t="s">
        <v>6521</v>
      </c>
      <c r="J64" s="10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10" t="s">
        <v>533</v>
      </c>
      <c r="E65" s="10" t="s">
        <v>531</v>
      </c>
      <c r="F65" s="10" t="s">
        <v>58</v>
      </c>
      <c r="H65" s="10"/>
      <c r="I65" s="10" t="s">
        <v>6644</v>
      </c>
      <c r="J65" s="10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10" t="s">
        <v>533</v>
      </c>
      <c r="E66" s="10" t="s">
        <v>531</v>
      </c>
      <c r="F66" s="10" t="s">
        <v>58</v>
      </c>
      <c r="H66" s="10"/>
      <c r="I66" s="10" t="s">
        <v>6647</v>
      </c>
      <c r="J66" s="10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10" t="s">
        <v>533</v>
      </c>
      <c r="E67" s="10" t="s">
        <v>531</v>
      </c>
      <c r="F67" s="10" t="s">
        <v>58</v>
      </c>
      <c r="H67" s="10"/>
      <c r="I67" s="10" t="s">
        <v>6650</v>
      </c>
      <c r="J67" s="10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10" t="s">
        <v>4</v>
      </c>
      <c r="E68" s="10" t="s">
        <v>8</v>
      </c>
      <c r="F68" s="10"/>
      <c r="H68" s="10"/>
      <c r="I68" s="10" t="s">
        <v>6653</v>
      </c>
      <c r="J68" s="10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10" t="s">
        <v>289</v>
      </c>
      <c r="E69" s="10" t="s">
        <v>5480</v>
      </c>
      <c r="F69" s="10" t="s">
        <v>528</v>
      </c>
      <c r="H69" s="10"/>
      <c r="I69" s="10" t="s">
        <v>6829</v>
      </c>
      <c r="J69" s="10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10" t="s">
        <v>289</v>
      </c>
      <c r="E70" s="10" t="s">
        <v>5480</v>
      </c>
      <c r="F70" s="10" t="s">
        <v>528</v>
      </c>
      <c r="H70" s="10" t="s">
        <v>2936</v>
      </c>
      <c r="I70" s="10" t="s">
        <v>6832</v>
      </c>
      <c r="J70" s="1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10" t="s">
        <v>158</v>
      </c>
      <c r="E71" s="10" t="s">
        <v>5480</v>
      </c>
      <c r="F71" s="10" t="s">
        <v>528</v>
      </c>
      <c r="H71" s="10" t="s">
        <v>5102</v>
      </c>
      <c r="I71" s="10" t="s">
        <v>6835</v>
      </c>
      <c r="J71" s="10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10" t="s">
        <v>289</v>
      </c>
      <c r="E72" s="10" t="s">
        <v>5480</v>
      </c>
      <c r="F72" s="10" t="s">
        <v>528</v>
      </c>
      <c r="H72" s="10"/>
      <c r="I72" s="10" t="s">
        <v>6838</v>
      </c>
      <c r="J72" s="10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10" t="s">
        <v>158</v>
      </c>
      <c r="E73" s="10" t="s">
        <v>5480</v>
      </c>
      <c r="F73" s="10" t="s">
        <v>528</v>
      </c>
      <c r="H73" s="10" t="s">
        <v>5102</v>
      </c>
      <c r="I73" s="10" t="s">
        <v>6841</v>
      </c>
      <c r="J73" s="10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10" t="s">
        <v>4223</v>
      </c>
      <c r="E74" s="10" t="s">
        <v>5480</v>
      </c>
      <c r="F74" s="10" t="s">
        <v>6872</v>
      </c>
      <c r="H74" s="10" t="s">
        <v>6531</v>
      </c>
      <c r="I74" s="10" t="s">
        <v>6844</v>
      </c>
      <c r="J74" s="10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10" t="s">
        <v>4223</v>
      </c>
      <c r="E75" s="10" t="s">
        <v>5480</v>
      </c>
      <c r="F75" s="10" t="s">
        <v>6872</v>
      </c>
      <c r="H75" s="10" t="s">
        <v>2936</v>
      </c>
      <c r="I75" s="10" t="s">
        <v>6847</v>
      </c>
      <c r="J75" s="10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10" t="s">
        <v>158</v>
      </c>
      <c r="E76" s="10" t="s">
        <v>5480</v>
      </c>
      <c r="F76" s="10" t="s">
        <v>6872</v>
      </c>
      <c r="H76" s="10" t="s">
        <v>5102</v>
      </c>
      <c r="I76" s="10" t="s">
        <v>6850</v>
      </c>
      <c r="J76" s="10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10" t="s">
        <v>4</v>
      </c>
      <c r="E77" s="10" t="s">
        <v>6873</v>
      </c>
      <c r="F77" s="10"/>
      <c r="H77" s="10" t="s">
        <v>6531</v>
      </c>
      <c r="I77" s="10" t="s">
        <v>6853</v>
      </c>
      <c r="J77" s="10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10" t="s">
        <v>4</v>
      </c>
      <c r="E78" s="10" t="s">
        <v>2932</v>
      </c>
      <c r="F78" s="10"/>
      <c r="H78" s="10"/>
      <c r="I78" s="10" t="s">
        <v>6856</v>
      </c>
      <c r="J78" s="10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10" t="s">
        <v>4</v>
      </c>
      <c r="E79" s="10" t="s">
        <v>6874</v>
      </c>
      <c r="F79" s="10"/>
      <c r="H79" s="10"/>
      <c r="I79" s="10" t="s">
        <v>6859</v>
      </c>
      <c r="J79" s="10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10" t="s">
        <v>4</v>
      </c>
      <c r="E80" s="10" t="s">
        <v>8</v>
      </c>
      <c r="F80" s="10"/>
      <c r="H80" s="10"/>
      <c r="I80" s="10" t="s">
        <v>6862</v>
      </c>
      <c r="J80" s="1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10" t="s">
        <v>2004</v>
      </c>
      <c r="E81" s="10" t="s">
        <v>8</v>
      </c>
      <c r="F81" s="10"/>
      <c r="H81" s="10"/>
      <c r="I81" s="10" t="s">
        <v>7163</v>
      </c>
      <c r="J81" s="10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10" t="s">
        <v>2004</v>
      </c>
      <c r="E82" s="10" t="s">
        <v>8</v>
      </c>
      <c r="F82" s="10"/>
      <c r="H82" s="10"/>
      <c r="I82" s="10" t="s">
        <v>7157</v>
      </c>
      <c r="J82" s="10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10" t="s">
        <v>2004</v>
      </c>
      <c r="E83" s="10" t="s">
        <v>8</v>
      </c>
      <c r="F83" s="10"/>
      <c r="H83" s="10"/>
      <c r="I83" s="10" t="s">
        <v>7211</v>
      </c>
      <c r="J83" s="10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10" t="s">
        <v>2004</v>
      </c>
      <c r="E84" s="10" t="s">
        <v>8</v>
      </c>
      <c r="F84" s="10"/>
      <c r="H84" s="10"/>
      <c r="I84" s="10" t="s">
        <v>7311</v>
      </c>
      <c r="J84" s="10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10" t="s">
        <v>2004</v>
      </c>
      <c r="E85" s="10" t="s">
        <v>8</v>
      </c>
      <c r="F85" s="10"/>
      <c r="H85" s="10"/>
      <c r="I85" s="10" t="s">
        <v>7314</v>
      </c>
      <c r="J85" s="10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10" t="s">
        <v>4223</v>
      </c>
      <c r="E86" s="10" t="s">
        <v>5480</v>
      </c>
      <c r="F86" s="10" t="s">
        <v>60</v>
      </c>
      <c r="H86" s="10"/>
      <c r="I86" s="10" t="s">
        <v>7679</v>
      </c>
      <c r="J86" s="10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10" t="s">
        <v>2004</v>
      </c>
      <c r="E87" s="10" t="s">
        <v>8</v>
      </c>
      <c r="F87" s="10"/>
      <c r="H87" s="10"/>
      <c r="I87" s="10" t="s">
        <v>7682</v>
      </c>
      <c r="J87" s="10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10" t="s">
        <v>4</v>
      </c>
      <c r="E88" s="10" t="s">
        <v>4193</v>
      </c>
      <c r="F88" s="10"/>
      <c r="H88" s="10" t="s">
        <v>7718</v>
      </c>
      <c r="I88" s="10" t="s">
        <v>7685</v>
      </c>
      <c r="J88" s="10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10" t="s">
        <v>4223</v>
      </c>
      <c r="E89" s="10" t="s">
        <v>5480</v>
      </c>
      <c r="F89" s="10" t="s">
        <v>7713</v>
      </c>
      <c r="H89" s="10"/>
      <c r="I89" s="10" t="s">
        <v>7688</v>
      </c>
      <c r="J89" s="10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10" t="s">
        <v>4223</v>
      </c>
      <c r="E90" s="10" t="s">
        <v>5480</v>
      </c>
      <c r="F90" s="10" t="s">
        <v>7719</v>
      </c>
      <c r="H90" s="10"/>
      <c r="I90" s="10" t="s">
        <v>7691</v>
      </c>
      <c r="J90" s="1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10" t="s">
        <v>4223</v>
      </c>
      <c r="E91" s="10" t="s">
        <v>5480</v>
      </c>
      <c r="F91" s="10" t="s">
        <v>60</v>
      </c>
      <c r="H91" s="10"/>
      <c r="I91" s="10" t="s">
        <v>7792</v>
      </c>
      <c r="J91" s="10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10" t="s">
        <v>4223</v>
      </c>
      <c r="E92" s="10" t="s">
        <v>5480</v>
      </c>
      <c r="F92" s="10" t="s">
        <v>60</v>
      </c>
      <c r="H92" s="10"/>
      <c r="I92" s="10" t="s">
        <v>7795</v>
      </c>
      <c r="J92" s="10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10" t="s">
        <v>4223</v>
      </c>
      <c r="E93" s="10" t="s">
        <v>5480</v>
      </c>
      <c r="F93" s="10" t="s">
        <v>7719</v>
      </c>
      <c r="H93" s="10"/>
      <c r="I93" s="10" t="s">
        <v>7798</v>
      </c>
      <c r="J93" s="10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10" t="s">
        <v>4</v>
      </c>
      <c r="E94" s="10" t="s">
        <v>4193</v>
      </c>
      <c r="F94" s="10"/>
      <c r="H94" s="10" t="s">
        <v>7718</v>
      </c>
      <c r="I94" s="10" t="s">
        <v>7801</v>
      </c>
      <c r="J94" s="10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10" t="s">
        <v>4</v>
      </c>
      <c r="E95" s="10" t="s">
        <v>8</v>
      </c>
      <c r="F95" s="10"/>
      <c r="H95" s="10" t="s">
        <v>2936</v>
      </c>
      <c r="I95" s="10" t="s">
        <v>7804</v>
      </c>
      <c r="J95" s="10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10" t="s">
        <v>4</v>
      </c>
      <c r="E96" s="10" t="s">
        <v>8</v>
      </c>
      <c r="F96" s="10"/>
      <c r="H96" s="10" t="s">
        <v>2936</v>
      </c>
      <c r="I96" s="10" t="s">
        <v>7807</v>
      </c>
      <c r="J96" s="10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10" t="s">
        <v>4223</v>
      </c>
      <c r="E97" s="10" t="s">
        <v>5480</v>
      </c>
      <c r="F97" s="10" t="s">
        <v>7714</v>
      </c>
      <c r="H97" s="10"/>
      <c r="I97" s="10" t="s">
        <v>7810</v>
      </c>
      <c r="J97" s="10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10" t="s">
        <v>4223</v>
      </c>
      <c r="E98" s="10" t="s">
        <v>5480</v>
      </c>
      <c r="F98" s="10" t="s">
        <v>60</v>
      </c>
      <c r="H98" s="10"/>
      <c r="I98" s="10" t="s">
        <v>7813</v>
      </c>
      <c r="J98" s="10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10" t="s">
        <v>4</v>
      </c>
      <c r="E99" s="10" t="s">
        <v>8</v>
      </c>
      <c r="F99" s="10"/>
      <c r="H99" s="10"/>
      <c r="I99" s="10" t="s">
        <v>7816</v>
      </c>
      <c r="J99" s="10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10" t="s">
        <v>4</v>
      </c>
      <c r="E100" s="10" t="s">
        <v>8</v>
      </c>
      <c r="F100" s="10"/>
      <c r="H100" s="10"/>
      <c r="I100" s="10" t="s">
        <v>7983</v>
      </c>
      <c r="J100" s="1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10" t="s">
        <v>4</v>
      </c>
      <c r="E101" s="10" t="s">
        <v>8</v>
      </c>
      <c r="F101" s="10"/>
      <c r="H101" s="10"/>
      <c r="I101" s="10" t="s">
        <v>7986</v>
      </c>
      <c r="J101" s="10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10" t="s">
        <v>4</v>
      </c>
      <c r="E102" s="10" t="s">
        <v>8</v>
      </c>
      <c r="F102" s="10"/>
      <c r="H102" s="10"/>
      <c r="I102" s="10" t="s">
        <v>7989</v>
      </c>
      <c r="J102" s="10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10" t="s">
        <v>533</v>
      </c>
      <c r="E103" s="10" t="s">
        <v>531</v>
      </c>
      <c r="F103" s="10" t="s">
        <v>8361</v>
      </c>
      <c r="H103" s="10"/>
      <c r="I103" s="10" t="s">
        <v>8273</v>
      </c>
      <c r="J103" s="10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10" t="s">
        <v>2004</v>
      </c>
      <c r="E104" s="10" t="s">
        <v>8</v>
      </c>
      <c r="F104" s="10"/>
      <c r="H104" s="10"/>
      <c r="I104" s="10" t="s">
        <v>8276</v>
      </c>
      <c r="J104" s="10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10" t="s">
        <v>2004</v>
      </c>
      <c r="E105" s="10" t="s">
        <v>8</v>
      </c>
      <c r="F105" s="10"/>
      <c r="H105" s="10"/>
      <c r="I105" s="10" t="s">
        <v>8279</v>
      </c>
      <c r="J105" s="10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10" t="s">
        <v>2004</v>
      </c>
      <c r="E106" s="10" t="s">
        <v>8</v>
      </c>
      <c r="F106" s="10"/>
      <c r="H106" s="10"/>
      <c r="I106" s="10" t="s">
        <v>8282</v>
      </c>
      <c r="J106" s="10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10" t="s">
        <v>2004</v>
      </c>
      <c r="E107" s="10" t="s">
        <v>8</v>
      </c>
      <c r="F107" s="10"/>
      <c r="H107" s="10"/>
      <c r="I107" s="10" t="s">
        <v>8465</v>
      </c>
      <c r="J107" s="10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10" t="s">
        <v>2004</v>
      </c>
      <c r="E108" s="10" t="s">
        <v>8</v>
      </c>
      <c r="F108" s="10"/>
      <c r="H108" s="10"/>
      <c r="I108" s="10" t="s">
        <v>8468</v>
      </c>
      <c r="J108" s="10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10" t="s">
        <v>2004</v>
      </c>
      <c r="E109" s="10" t="s">
        <v>8</v>
      </c>
      <c r="F109" s="10"/>
      <c r="H109" s="10"/>
      <c r="I109" s="10" t="s">
        <v>8471</v>
      </c>
      <c r="J109" s="10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10" t="s">
        <v>2004</v>
      </c>
      <c r="E110" s="10" t="s">
        <v>8</v>
      </c>
      <c r="F110" s="10"/>
      <c r="H110" s="10"/>
      <c r="I110" s="10" t="s">
        <v>8778</v>
      </c>
      <c r="J110" s="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10" t="s">
        <v>2004</v>
      </c>
      <c r="E111" s="10" t="s">
        <v>8</v>
      </c>
      <c r="F111" s="10"/>
      <c r="H111" s="10"/>
      <c r="I111" s="10" t="s">
        <v>8781</v>
      </c>
      <c r="J111" s="10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10" t="s">
        <v>2004</v>
      </c>
      <c r="E112" s="10" t="s">
        <v>8</v>
      </c>
      <c r="F112" s="10"/>
      <c r="H112" s="10"/>
      <c r="I112" s="10" t="s">
        <v>8784</v>
      </c>
      <c r="J112" s="10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10" t="s">
        <v>2004</v>
      </c>
      <c r="E113" s="10" t="s">
        <v>8</v>
      </c>
      <c r="F113" s="10"/>
      <c r="H113" s="10"/>
      <c r="I113" s="10" t="s">
        <v>8787</v>
      </c>
      <c r="J113" s="10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10" t="s">
        <v>2004</v>
      </c>
      <c r="E114" s="10" t="s">
        <v>8</v>
      </c>
      <c r="F114" s="10"/>
      <c r="H114" s="10"/>
      <c r="I114" s="10" t="s">
        <v>8790</v>
      </c>
      <c r="J114" s="10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10" t="s">
        <v>2004</v>
      </c>
      <c r="E115" s="10" t="s">
        <v>8</v>
      </c>
      <c r="F115" s="10"/>
      <c r="H115" s="10"/>
      <c r="I115" s="10" t="s">
        <v>8793</v>
      </c>
      <c r="J115" s="10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10" t="s">
        <v>2004</v>
      </c>
      <c r="E116" s="10" t="s">
        <v>8</v>
      </c>
      <c r="F116" s="10"/>
      <c r="H116" s="10"/>
      <c r="I116" s="10" t="s">
        <v>8796</v>
      </c>
      <c r="J116" s="10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10" t="s">
        <v>4</v>
      </c>
      <c r="E117" s="10" t="s">
        <v>8045</v>
      </c>
      <c r="F117" s="10"/>
      <c r="H117" s="10"/>
      <c r="I117" s="10" t="s">
        <v>9168</v>
      </c>
      <c r="J117" s="10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10" t="s">
        <v>7171</v>
      </c>
      <c r="E118" s="10" t="s">
        <v>5480</v>
      </c>
      <c r="F118" s="10" t="s">
        <v>9202</v>
      </c>
      <c r="H118" s="10"/>
      <c r="I118" s="10" t="s">
        <v>9171</v>
      </c>
      <c r="J118" s="10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10" t="s">
        <v>4</v>
      </c>
      <c r="E119" s="10" t="s">
        <v>8</v>
      </c>
      <c r="F119" s="10"/>
      <c r="H119" s="10"/>
      <c r="I119" s="10" t="s">
        <v>9174</v>
      </c>
      <c r="J119" s="10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10" t="s">
        <v>4</v>
      </c>
      <c r="E120" s="10" t="s">
        <v>9212</v>
      </c>
      <c r="F120" s="10"/>
      <c r="H120" s="10"/>
      <c r="I120" s="10" t="s">
        <v>9177</v>
      </c>
      <c r="J120" s="1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10" t="s">
        <v>4</v>
      </c>
      <c r="E121" s="10" t="s">
        <v>9212</v>
      </c>
      <c r="F121" s="10"/>
      <c r="H121" s="10"/>
      <c r="I121" s="10" t="s">
        <v>9180</v>
      </c>
      <c r="J121" s="10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10" t="s">
        <v>4</v>
      </c>
      <c r="E122" s="10" t="s">
        <v>8</v>
      </c>
      <c r="F122" s="10"/>
      <c r="H122" s="10"/>
      <c r="I122" s="10" t="s">
        <v>9183</v>
      </c>
      <c r="J122" s="10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10" t="s">
        <v>4</v>
      </c>
      <c r="E123" s="10" t="s">
        <v>8045</v>
      </c>
      <c r="F123" s="10"/>
      <c r="H123" s="10"/>
      <c r="I123" s="10" t="s">
        <v>9324</v>
      </c>
      <c r="J123" s="10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10" t="s">
        <v>4</v>
      </c>
      <c r="E124" s="10" t="s">
        <v>8045</v>
      </c>
      <c r="F124" s="10"/>
      <c r="H124" s="10"/>
      <c r="I124" s="10" t="s">
        <v>9327</v>
      </c>
      <c r="J124" s="10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10" t="s">
        <v>4</v>
      </c>
      <c r="E125" s="10" t="s">
        <v>8045</v>
      </c>
      <c r="F125" s="10"/>
      <c r="H125" s="10"/>
      <c r="I125" s="10" t="s">
        <v>9330</v>
      </c>
      <c r="J125" s="10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10" t="s">
        <v>4</v>
      </c>
      <c r="E126" s="10" t="s">
        <v>8</v>
      </c>
      <c r="F126" s="10"/>
      <c r="H126" s="10"/>
      <c r="I126" s="10" t="s">
        <v>9333</v>
      </c>
      <c r="J126" s="10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10" t="s">
        <v>4</v>
      </c>
      <c r="E127" s="10" t="s">
        <v>8</v>
      </c>
      <c r="F127" s="10"/>
      <c r="H127" s="10"/>
      <c r="I127" s="10" t="s">
        <v>9549</v>
      </c>
      <c r="J127" s="10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10" t="s">
        <v>4</v>
      </c>
      <c r="E128" s="10" t="s">
        <v>8</v>
      </c>
      <c r="F128" s="10"/>
      <c r="H128" s="10"/>
      <c r="I128" s="10" t="s">
        <v>9552</v>
      </c>
      <c r="J128" s="10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10" t="s">
        <v>4</v>
      </c>
      <c r="E129" s="10" t="s">
        <v>9212</v>
      </c>
      <c r="F129" s="10"/>
      <c r="H129" s="10"/>
      <c r="I129" s="10" t="s">
        <v>9555</v>
      </c>
      <c r="J129" s="10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10" t="s">
        <v>4</v>
      </c>
      <c r="E130" s="10" t="s">
        <v>9212</v>
      </c>
      <c r="F130" s="10"/>
      <c r="H130" s="10"/>
      <c r="I130" s="10" t="s">
        <v>9558</v>
      </c>
      <c r="J130" s="1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10" t="s">
        <v>4</v>
      </c>
      <c r="E131" s="10" t="s">
        <v>9212</v>
      </c>
      <c r="F131" s="10"/>
      <c r="H131" s="10"/>
      <c r="I131" s="10" t="s">
        <v>9561</v>
      </c>
      <c r="J131" s="10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10" t="s">
        <v>4</v>
      </c>
      <c r="E132" s="10" t="s">
        <v>9212</v>
      </c>
      <c r="F132" s="10"/>
      <c r="H132" s="10"/>
      <c r="I132" s="10" t="s">
        <v>9564</v>
      </c>
      <c r="J132" s="10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10" t="s">
        <v>4</v>
      </c>
      <c r="E133" s="10" t="s">
        <v>8</v>
      </c>
      <c r="F133" s="10"/>
      <c r="H133" s="10"/>
      <c r="I133" s="10" t="s">
        <v>9567</v>
      </c>
      <c r="J133" s="10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10" t="s">
        <v>2004</v>
      </c>
      <c r="E134" s="10" t="s">
        <v>8</v>
      </c>
      <c r="F134" s="10"/>
      <c r="H134" s="10"/>
      <c r="I134" s="10" t="s">
        <v>9677</v>
      </c>
      <c r="J134" s="10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10" t="s">
        <v>2004</v>
      </c>
      <c r="E135" s="10" t="s">
        <v>8</v>
      </c>
      <c r="F135" s="10"/>
      <c r="H135" s="10"/>
      <c r="I135" s="10" t="s">
        <v>9680</v>
      </c>
      <c r="J135" s="10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10" t="s">
        <v>2004</v>
      </c>
      <c r="E136" s="10" t="s">
        <v>8</v>
      </c>
      <c r="F136" s="10"/>
      <c r="H136" s="10"/>
      <c r="I136" s="10" t="s">
        <v>9870</v>
      </c>
      <c r="J136" s="10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10" t="s">
        <v>2004</v>
      </c>
      <c r="E137" s="10" t="s">
        <v>8</v>
      </c>
      <c r="F137" s="10"/>
      <c r="H137" s="10"/>
      <c r="I137" s="10" t="s">
        <v>9873</v>
      </c>
      <c r="J137" s="10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10" t="s">
        <v>2004</v>
      </c>
      <c r="E138" s="10" t="s">
        <v>8</v>
      </c>
      <c r="F138" s="10"/>
      <c r="H138" s="10"/>
      <c r="I138" s="10" t="s">
        <v>10113</v>
      </c>
      <c r="J138" s="10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10" t="s">
        <v>7171</v>
      </c>
      <c r="E139" s="10" t="s">
        <v>5480</v>
      </c>
      <c r="F139" s="10" t="s">
        <v>9202</v>
      </c>
      <c r="H139" s="10"/>
      <c r="I139" s="10" t="s">
        <v>10116</v>
      </c>
      <c r="J139" s="10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10" t="s">
        <v>4</v>
      </c>
      <c r="E140" s="10" t="s">
        <v>8</v>
      </c>
      <c r="F140" s="10"/>
      <c r="H140" s="10"/>
      <c r="I140" s="10" t="s">
        <v>10119</v>
      </c>
      <c r="J140" s="1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10" t="s">
        <v>4</v>
      </c>
      <c r="E141" s="10" t="s">
        <v>8</v>
      </c>
      <c r="F141" s="10"/>
      <c r="H141" s="10"/>
      <c r="I141" s="10" t="s">
        <v>10433</v>
      </c>
      <c r="J141" s="10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10" t="s">
        <v>4</v>
      </c>
      <c r="E142" s="10" t="s">
        <v>8</v>
      </c>
      <c r="F142" s="10"/>
      <c r="H142" s="10" t="s">
        <v>2936</v>
      </c>
      <c r="I142" s="10" t="s">
        <v>10436</v>
      </c>
      <c r="J142" s="10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10" t="s">
        <v>4</v>
      </c>
      <c r="E143" s="10" t="s">
        <v>8</v>
      </c>
      <c r="F143" s="10"/>
      <c r="H143" s="10" t="s">
        <v>2936</v>
      </c>
      <c r="I143" s="10" t="s">
        <v>10439</v>
      </c>
      <c r="J143" s="10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10" t="s">
        <v>2004</v>
      </c>
      <c r="E144" s="10" t="s">
        <v>8</v>
      </c>
      <c r="F144" s="10"/>
      <c r="H144" s="10"/>
      <c r="I144" s="10" t="s">
        <v>10485</v>
      </c>
      <c r="J144" s="10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10" t="s">
        <v>2004</v>
      </c>
      <c r="E145" s="10" t="s">
        <v>8</v>
      </c>
      <c r="F145" s="10"/>
      <c r="H145" s="10"/>
      <c r="I145" s="10" t="s">
        <v>10488</v>
      </c>
      <c r="J145" s="10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10" t="s">
        <v>2004</v>
      </c>
      <c r="E146" s="10" t="s">
        <v>8</v>
      </c>
      <c r="F146" s="10"/>
      <c r="H146" s="10"/>
      <c r="I146" s="10" t="s">
        <v>10624</v>
      </c>
      <c r="J146" s="10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10" t="s">
        <v>2004</v>
      </c>
      <c r="E147" s="10" t="s">
        <v>8</v>
      </c>
      <c r="F147" s="10"/>
      <c r="H147" s="10"/>
      <c r="I147" s="10" t="s">
        <v>10627</v>
      </c>
      <c r="J147" s="10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10" t="s">
        <v>2004</v>
      </c>
      <c r="E148" s="10" t="s">
        <v>8</v>
      </c>
      <c r="F148" s="10"/>
      <c r="H148" s="10"/>
      <c r="I148" s="10" t="s">
        <v>10872</v>
      </c>
      <c r="J148" s="10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10" t="s">
        <v>2004</v>
      </c>
      <c r="E149" s="10" t="s">
        <v>8</v>
      </c>
      <c r="F149" s="10"/>
      <c r="H149" s="10"/>
      <c r="I149" s="10" t="s">
        <v>10875</v>
      </c>
      <c r="J149" s="10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10" t="s">
        <v>2004</v>
      </c>
      <c r="E150" s="10" t="s">
        <v>8</v>
      </c>
      <c r="F150" s="10"/>
      <c r="H150" s="10"/>
      <c r="I150" s="10" t="s">
        <v>11001</v>
      </c>
      <c r="J150" s="1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10" t="s">
        <v>2014</v>
      </c>
      <c r="E151" s="10"/>
      <c r="F151" s="10"/>
      <c r="H151" s="10"/>
      <c r="I151" s="10" t="s">
        <v>11055</v>
      </c>
      <c r="J151" s="10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10" t="s">
        <v>2004</v>
      </c>
      <c r="E152" s="10" t="s">
        <v>8</v>
      </c>
      <c r="F152" s="10"/>
      <c r="H152" s="10"/>
      <c r="I152" s="10" t="s">
        <v>11058</v>
      </c>
      <c r="J152" s="10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10" t="s">
        <v>2004</v>
      </c>
      <c r="E153" s="10" t="s">
        <v>8</v>
      </c>
      <c r="F153" s="10"/>
      <c r="H153" s="10"/>
      <c r="I153" s="10" t="s">
        <v>11391</v>
      </c>
      <c r="J153" s="10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10" t="s">
        <v>4</v>
      </c>
      <c r="E154" s="10" t="s">
        <v>8</v>
      </c>
      <c r="F154" s="10"/>
      <c r="H154" s="10"/>
      <c r="I154" s="10" t="s">
        <v>11394</v>
      </c>
      <c r="J154" s="10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10" t="s">
        <v>159</v>
      </c>
      <c r="E155" s="10" t="s">
        <v>11424</v>
      </c>
      <c r="F155" s="10"/>
      <c r="H155" s="10"/>
      <c r="I155" s="10" t="s">
        <v>11397</v>
      </c>
      <c r="J155" s="10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10" t="s">
        <v>4</v>
      </c>
      <c r="E156" s="10" t="s">
        <v>8</v>
      </c>
      <c r="F156" s="10"/>
      <c r="H156" s="10"/>
      <c r="I156" s="10" t="s">
        <v>11400</v>
      </c>
      <c r="J156" s="10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10" t="s">
        <v>4</v>
      </c>
      <c r="E157" s="10" t="s">
        <v>8</v>
      </c>
      <c r="F157" s="10"/>
      <c r="H157" s="10"/>
      <c r="I157" s="10" t="s">
        <v>11403</v>
      </c>
      <c r="J157" s="10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10" t="s">
        <v>11425</v>
      </c>
      <c r="E158" s="10"/>
      <c r="F158" s="10"/>
      <c r="H158" s="10"/>
      <c r="I158" s="10" t="s">
        <v>11406</v>
      </c>
      <c r="J158" s="10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10" t="s">
        <v>4</v>
      </c>
      <c r="E159" s="10" t="s">
        <v>11426</v>
      </c>
      <c r="F159" s="10"/>
      <c r="H159" s="10"/>
      <c r="I159" s="10" t="s">
        <v>11409</v>
      </c>
      <c r="J159" s="10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10" t="s">
        <v>4</v>
      </c>
      <c r="E160" s="10" t="s">
        <v>11424</v>
      </c>
      <c r="F160" s="10"/>
      <c r="H160" s="10"/>
      <c r="I160" s="10" t="s">
        <v>11562</v>
      </c>
      <c r="J160" s="10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10" t="s">
        <v>4</v>
      </c>
      <c r="E161" s="10" t="s">
        <v>11659</v>
      </c>
      <c r="F161" s="10"/>
      <c r="H161" s="10"/>
      <c r="I161" s="10" t="s">
        <v>11565</v>
      </c>
      <c r="J161" s="10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10" t="s">
        <v>11660</v>
      </c>
      <c r="E162" s="10"/>
      <c r="F162" s="10"/>
      <c r="H162" s="10"/>
      <c r="I162" s="10" t="s">
        <v>11568</v>
      </c>
      <c r="J162" s="10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10" t="s">
        <v>4</v>
      </c>
      <c r="E163" s="10" t="s">
        <v>8</v>
      </c>
      <c r="F163" s="10"/>
      <c r="H163" s="10"/>
      <c r="I163" s="10" t="s">
        <v>11571</v>
      </c>
      <c r="J163" s="10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10" t="s">
        <v>2004</v>
      </c>
      <c r="E164" s="10" t="s">
        <v>8</v>
      </c>
      <c r="F164" s="10"/>
      <c r="H164" s="10"/>
      <c r="I164" s="10" t="s">
        <v>11766</v>
      </c>
      <c r="J164" s="10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10" t="s">
        <v>2004</v>
      </c>
      <c r="E165" s="10" t="s">
        <v>8</v>
      </c>
      <c r="F165" s="10"/>
      <c r="H165" s="10"/>
      <c r="I165" s="10" t="s">
        <v>11769</v>
      </c>
      <c r="J165" s="10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10" t="s">
        <v>4</v>
      </c>
      <c r="E166" s="10" t="s">
        <v>8</v>
      </c>
      <c r="F166" s="10"/>
      <c r="H166" s="10"/>
      <c r="I166" s="10" t="s">
        <v>11847</v>
      </c>
      <c r="J166" s="10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10" t="s">
        <v>4</v>
      </c>
      <c r="E167" s="10" t="s">
        <v>8</v>
      </c>
      <c r="F167" s="10"/>
      <c r="H167" s="10"/>
      <c r="I167" s="10" t="s">
        <v>11850</v>
      </c>
      <c r="J167" s="10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10" t="s">
        <v>159</v>
      </c>
      <c r="E168" s="10" t="s">
        <v>11958</v>
      </c>
      <c r="F168" s="10"/>
      <c r="H168" s="10"/>
      <c r="I168" s="10" t="s">
        <v>11853</v>
      </c>
      <c r="J168" s="10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10" t="s">
        <v>4</v>
      </c>
      <c r="E169" s="10" t="s">
        <v>8</v>
      </c>
      <c r="F169" s="10"/>
      <c r="H169" s="10"/>
      <c r="I169" s="10" t="s">
        <v>11856</v>
      </c>
      <c r="J169" s="10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10" t="s">
        <v>6171</v>
      </c>
      <c r="E170" s="10" t="s">
        <v>4193</v>
      </c>
      <c r="F170" s="10"/>
      <c r="H170" s="10"/>
      <c r="I170" s="10" t="s">
        <v>11859</v>
      </c>
      <c r="J170" s="10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10" t="s">
        <v>11957</v>
      </c>
      <c r="E171" s="10" t="s">
        <v>4193</v>
      </c>
      <c r="F171" s="10"/>
      <c r="H171" s="10"/>
      <c r="I171" s="10" t="s">
        <v>11862</v>
      </c>
      <c r="J171" s="10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10" t="s">
        <v>4</v>
      </c>
      <c r="E172" s="10" t="s">
        <v>8</v>
      </c>
      <c r="F172" s="10"/>
      <c r="H172" s="10"/>
      <c r="I172" s="10" t="s">
        <v>11865</v>
      </c>
      <c r="J172" s="10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10" t="s">
        <v>651</v>
      </c>
      <c r="E173" s="10" t="s">
        <v>86</v>
      </c>
      <c r="F173" s="10"/>
      <c r="H173" s="10"/>
      <c r="I173" s="10" t="s">
        <v>11868</v>
      </c>
      <c r="J173" s="10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10" t="s">
        <v>651</v>
      </c>
      <c r="E174" s="10" t="s">
        <v>86</v>
      </c>
      <c r="F174" s="10"/>
      <c r="H174" s="10" t="s">
        <v>2936</v>
      </c>
      <c r="I174" s="10" t="s">
        <v>11870</v>
      </c>
      <c r="J174" s="10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10" t="s">
        <v>11964</v>
      </c>
      <c r="E175" s="10" t="s">
        <v>86</v>
      </c>
      <c r="F175" s="10"/>
      <c r="H175" s="10"/>
      <c r="I175" s="10" t="s">
        <v>11873</v>
      </c>
      <c r="J175" s="10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s="10" t="s">
        <v>651</v>
      </c>
      <c r="E176" s="10" t="s">
        <v>86</v>
      </c>
      <c r="F176" s="10"/>
      <c r="H176" s="10"/>
      <c r="I176" s="10" t="s">
        <v>11971</v>
      </c>
      <c r="J176" s="10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s="10" t="s">
        <v>2004</v>
      </c>
      <c r="E177" s="10" t="s">
        <v>8</v>
      </c>
      <c r="F177" s="10"/>
      <c r="H177" s="10"/>
      <c r="I177" s="10" t="s">
        <v>11974</v>
      </c>
      <c r="J177" s="10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  <row r="178" spans="1:13" x14ac:dyDescent="0.25">
      <c r="A178" s="2" t="s">
        <v>22</v>
      </c>
      <c r="B178" s="4">
        <v>46068</v>
      </c>
      <c r="C178" s="5">
        <v>0.65905092592592596</v>
      </c>
      <c r="D178" s="10" t="s">
        <v>2004</v>
      </c>
      <c r="E178" s="10" t="s">
        <v>8</v>
      </c>
      <c r="F178" s="10"/>
      <c r="H178" s="10"/>
      <c r="I178" s="10" t="s">
        <v>12055</v>
      </c>
      <c r="J178" s="10" t="s">
        <v>2988</v>
      </c>
      <c r="K178" t="s">
        <v>12056</v>
      </c>
      <c r="L178" t="s">
        <v>12057</v>
      </c>
      <c r="M178" s="3" t="str">
        <f>HYPERLINK(склад2въезд131920212223789[[#This Row],[RelativePath]])</f>
        <v>13 Склад хол\K07156189_23_20260215T154902Z.jpg</v>
      </c>
    </row>
    <row r="179" spans="1:13" x14ac:dyDescent="0.25">
      <c r="A179" s="2" t="s">
        <v>13</v>
      </c>
      <c r="B179" s="4">
        <v>46069</v>
      </c>
      <c r="C179" s="5">
        <v>0.50408564814814816</v>
      </c>
      <c r="D179" s="10" t="s">
        <v>4</v>
      </c>
      <c r="E179" s="10" t="s">
        <v>12382</v>
      </c>
      <c r="F179" s="10"/>
      <c r="H179" s="10"/>
      <c r="I179" s="10" t="s">
        <v>12299</v>
      </c>
      <c r="J179" s="10" t="s">
        <v>2988</v>
      </c>
      <c r="K179" t="s">
        <v>12300</v>
      </c>
      <c r="L179" t="s">
        <v>12301</v>
      </c>
      <c r="M179" s="3" t="str">
        <f>HYPERLINK(склад2въезд131920212223789[[#This Row],[RelativePath]])</f>
        <v>13 Склад хол\K07156189_23_20260216T120553Z.jpg</v>
      </c>
    </row>
    <row r="180" spans="1:13" x14ac:dyDescent="0.25">
      <c r="A180" s="2" t="s">
        <v>13</v>
      </c>
      <c r="B180" s="4">
        <v>46069</v>
      </c>
      <c r="C180" s="5">
        <v>0.5995138888888889</v>
      </c>
      <c r="D180" s="10" t="s">
        <v>651</v>
      </c>
      <c r="E180" s="10" t="s">
        <v>86</v>
      </c>
      <c r="F180" s="10"/>
      <c r="H180" s="10"/>
      <c r="I180" s="10" t="s">
        <v>12302</v>
      </c>
      <c r="J180" s="10" t="s">
        <v>2988</v>
      </c>
      <c r="K180" t="s">
        <v>12303</v>
      </c>
      <c r="L180" t="s">
        <v>12304</v>
      </c>
      <c r="M180" s="3" t="str">
        <f>HYPERLINK(склад2въезд131920212223789[[#This Row],[RelativePath]])</f>
        <v>13 Склад хол\K07156189_23_20260216T142318Z.jpg</v>
      </c>
    </row>
    <row r="181" spans="1:13" x14ac:dyDescent="0.25">
      <c r="A181" s="2" t="s">
        <v>13</v>
      </c>
      <c r="B181" s="4">
        <v>46069</v>
      </c>
      <c r="C181" s="5">
        <v>0.61488425925925927</v>
      </c>
      <c r="D181" s="10" t="s">
        <v>651</v>
      </c>
      <c r="E181" s="10" t="s">
        <v>86</v>
      </c>
      <c r="F181" s="10"/>
      <c r="H181" s="10"/>
      <c r="I181" s="10" t="s">
        <v>12305</v>
      </c>
      <c r="J181" s="10" t="s">
        <v>2988</v>
      </c>
      <c r="K181" t="s">
        <v>12306</v>
      </c>
      <c r="L181" t="s">
        <v>12307</v>
      </c>
      <c r="M181" s="3" t="str">
        <f>HYPERLINK(склад2въезд131920212223789[[#This Row],[RelativePath]])</f>
        <v>13 Склад хол\K07156189_23_20260216T144526Z.jpg</v>
      </c>
    </row>
    <row r="182" spans="1:13" x14ac:dyDescent="0.25">
      <c r="A182" s="2" t="s">
        <v>14</v>
      </c>
      <c r="B182" s="4">
        <v>46070</v>
      </c>
      <c r="C182" s="5">
        <v>0.69388888888888889</v>
      </c>
      <c r="D182" s="10" t="s">
        <v>11961</v>
      </c>
      <c r="E182" s="10"/>
      <c r="F182" s="10"/>
      <c r="H182" s="10"/>
      <c r="I182" s="10" t="s">
        <v>12308</v>
      </c>
      <c r="J182" s="10" t="s">
        <v>2988</v>
      </c>
      <c r="K182" t="s">
        <v>12309</v>
      </c>
      <c r="L182" t="s">
        <v>12310</v>
      </c>
      <c r="M182" s="3" t="str">
        <f>HYPERLINK(склад2въезд131920212223789[[#This Row],[RelativePath]])</f>
        <v>13 Склад хол\K07156189_23_20260217T163912Z.jpg</v>
      </c>
    </row>
    <row r="183" spans="1:13" x14ac:dyDescent="0.25">
      <c r="A183" s="2" t="s">
        <v>14</v>
      </c>
      <c r="B183" s="4">
        <v>46070</v>
      </c>
      <c r="C183" s="5">
        <v>0.78380787037037036</v>
      </c>
      <c r="D183" s="10" t="s">
        <v>1936</v>
      </c>
      <c r="E183" s="10" t="s">
        <v>531</v>
      </c>
      <c r="F183" s="10"/>
      <c r="H183" s="10"/>
      <c r="I183" s="10" t="s">
        <v>12311</v>
      </c>
      <c r="J183" s="10" t="s">
        <v>2988</v>
      </c>
      <c r="K183" t="s">
        <v>12312</v>
      </c>
      <c r="L183" t="s">
        <v>12313</v>
      </c>
      <c r="M183" s="3" t="str">
        <f>HYPERLINK(склад2въезд131920212223789[[#This Row],[RelativePath]])</f>
        <v>13 Склад хол\K07156189_23_20260217T184841Z.jpg</v>
      </c>
    </row>
    <row r="184" spans="1:13" x14ac:dyDescent="0.25">
      <c r="A184" s="2" t="s">
        <v>14</v>
      </c>
      <c r="B184" s="4">
        <v>46070</v>
      </c>
      <c r="C184" s="5">
        <v>0.80151620370370369</v>
      </c>
      <c r="D184" s="10" t="s">
        <v>1936</v>
      </c>
      <c r="E184" s="10" t="s">
        <v>531</v>
      </c>
      <c r="F184" s="10"/>
      <c r="H184" s="10"/>
      <c r="I184" s="10" t="s">
        <v>12314</v>
      </c>
      <c r="J184" s="10" t="s">
        <v>2988</v>
      </c>
      <c r="K184" t="s">
        <v>12315</v>
      </c>
      <c r="L184" t="s">
        <v>12316</v>
      </c>
      <c r="M184" s="3" t="str">
        <f>HYPERLINK(склад2въезд131920212223789[[#This Row],[RelativePath]])</f>
        <v>13 Склад хол\K07156189_23_20260217T191411Z.jpg</v>
      </c>
    </row>
    <row r="185" spans="1:13" x14ac:dyDescent="0.25">
      <c r="A185" s="2" t="s">
        <v>15</v>
      </c>
      <c r="B185" s="4">
        <v>46071</v>
      </c>
      <c r="C185" s="5">
        <v>0.43542824074074077</v>
      </c>
      <c r="D185" s="10" t="s">
        <v>651</v>
      </c>
      <c r="E185" s="10" t="s">
        <v>86</v>
      </c>
      <c r="F185" s="10"/>
      <c r="H185" s="10"/>
      <c r="I185" s="10" t="s">
        <v>12317</v>
      </c>
      <c r="J185" s="10" t="s">
        <v>2988</v>
      </c>
      <c r="K185" t="s">
        <v>12318</v>
      </c>
      <c r="L185" t="s">
        <v>12319</v>
      </c>
      <c r="M185" s="3" t="str">
        <f>HYPERLINK(склад2въезд131920212223789[[#This Row],[RelativePath]])</f>
        <v>13 Склад хол\K07156189_23_20260218T102701Z.jpg</v>
      </c>
    </row>
    <row r="186" spans="1:13" x14ac:dyDescent="0.25">
      <c r="A186" s="2" t="s">
        <v>15</v>
      </c>
      <c r="B186" s="4">
        <v>46071</v>
      </c>
      <c r="C186" s="5">
        <v>0.43578703703703703</v>
      </c>
      <c r="D186" s="10" t="s">
        <v>651</v>
      </c>
      <c r="E186" s="10" t="s">
        <v>86</v>
      </c>
      <c r="F186" s="10"/>
      <c r="H186" s="10"/>
      <c r="I186" s="10" t="s">
        <v>12320</v>
      </c>
      <c r="J186" s="10" t="s">
        <v>2988</v>
      </c>
      <c r="K186" t="s">
        <v>12321</v>
      </c>
      <c r="L186" t="s">
        <v>12322</v>
      </c>
      <c r="M186" s="3" t="str">
        <f>HYPERLINK(склад2въезд131920212223789[[#This Row],[RelativePath]])</f>
        <v>13 Склад хол\K07156189_23_20260218T102732Z.jpg</v>
      </c>
    </row>
    <row r="187" spans="1:13" x14ac:dyDescent="0.25">
      <c r="A187" s="2" t="s">
        <v>15</v>
      </c>
      <c r="B187" s="4">
        <v>46071</v>
      </c>
      <c r="C187" s="5">
        <v>0.53273148148148153</v>
      </c>
      <c r="D187" s="10" t="s">
        <v>1936</v>
      </c>
      <c r="E187" s="10" t="s">
        <v>531</v>
      </c>
      <c r="F187" s="10"/>
      <c r="H187" s="10"/>
      <c r="I187" s="10" t="s">
        <v>12323</v>
      </c>
      <c r="J187" s="10" t="s">
        <v>2988</v>
      </c>
      <c r="K187" t="s">
        <v>12324</v>
      </c>
      <c r="L187" t="s">
        <v>12325</v>
      </c>
      <c r="M187" s="3" t="str">
        <f>HYPERLINK(склад2въезд131920212223789[[#This Row],[RelativePath]])</f>
        <v>13 Склад хол\K07156189_23_20260218T124708Z.jpg</v>
      </c>
    </row>
    <row r="188" spans="1:13" x14ac:dyDescent="0.25">
      <c r="A188" s="2" t="s">
        <v>15</v>
      </c>
      <c r="B188" s="4">
        <v>46071</v>
      </c>
      <c r="C188" s="5">
        <v>0.70256944444444447</v>
      </c>
      <c r="D188" s="10" t="s">
        <v>1936</v>
      </c>
      <c r="E188" s="10" t="s">
        <v>531</v>
      </c>
      <c r="F188" s="10"/>
      <c r="H188" s="10"/>
      <c r="I188" s="10" t="s">
        <v>12326</v>
      </c>
      <c r="J188" s="10" t="s">
        <v>2988</v>
      </c>
      <c r="K188" t="s">
        <v>12327</v>
      </c>
      <c r="L188" t="s">
        <v>12328</v>
      </c>
      <c r="M188" s="3" t="str">
        <f>HYPERLINK(склад2въезд131920212223789[[#This Row],[RelativePath]])</f>
        <v>13 Склад хол\K07156189_23_20260218T165142Z.jpg</v>
      </c>
    </row>
    <row r="189" spans="1:13" x14ac:dyDescent="0.25">
      <c r="A189" s="2" t="s">
        <v>15</v>
      </c>
      <c r="B189" s="4">
        <v>46071</v>
      </c>
      <c r="C189" s="5">
        <v>0.76046296296296301</v>
      </c>
      <c r="D189" s="10" t="s">
        <v>1936</v>
      </c>
      <c r="E189" s="10" t="s">
        <v>531</v>
      </c>
      <c r="F189" s="10"/>
      <c r="H189" s="10"/>
      <c r="I189" s="10" t="s">
        <v>12329</v>
      </c>
      <c r="J189" s="10" t="s">
        <v>2988</v>
      </c>
      <c r="K189" t="s">
        <v>12330</v>
      </c>
      <c r="L189" t="s">
        <v>12331</v>
      </c>
      <c r="M189" s="3" t="str">
        <f>HYPERLINK(склад2въезд131920212223789[[#This Row],[RelativePath]])</f>
        <v>13 Склад хол\K07156189_23_20260218T181504Z.jpg</v>
      </c>
    </row>
    <row r="190" spans="1:13" x14ac:dyDescent="0.25">
      <c r="A190" s="2" t="s">
        <v>16</v>
      </c>
      <c r="B190" s="4">
        <v>46072</v>
      </c>
      <c r="C190" s="5">
        <v>0.42304398148148148</v>
      </c>
      <c r="D190" s="10" t="s">
        <v>651</v>
      </c>
      <c r="E190" s="10" t="s">
        <v>86</v>
      </c>
      <c r="F190" s="10"/>
      <c r="H190" s="10"/>
      <c r="I190" s="10" t="s">
        <v>12406</v>
      </c>
      <c r="J190" s="10" t="s">
        <v>2988</v>
      </c>
      <c r="K190" t="s">
        <v>12407</v>
      </c>
      <c r="L190" t="s">
        <v>12408</v>
      </c>
      <c r="M190" s="3" t="str">
        <f>HYPERLINK(склад2въезд131920212223789[[#This Row],[RelativePath]])</f>
        <v>13 Склад хол\K07156189_23_20260219T100911Z.jpg</v>
      </c>
    </row>
    <row r="191" spans="1:13" x14ac:dyDescent="0.25">
      <c r="A191" s="2" t="s">
        <v>16</v>
      </c>
      <c r="B191" s="4">
        <v>46072</v>
      </c>
      <c r="C191" s="5">
        <v>0.42394675925925923</v>
      </c>
      <c r="D191" s="10" t="s">
        <v>651</v>
      </c>
      <c r="E191" s="10" t="s">
        <v>86</v>
      </c>
      <c r="F191" s="10"/>
      <c r="H191" s="10"/>
      <c r="I191" s="10" t="s">
        <v>12409</v>
      </c>
      <c r="J191" s="10" t="s">
        <v>2988</v>
      </c>
      <c r="K191" t="s">
        <v>12410</v>
      </c>
      <c r="L191" t="s">
        <v>12411</v>
      </c>
      <c r="M191" s="3" t="str">
        <f>HYPERLINK(склад2въезд131920212223789[[#This Row],[RelativePath]])</f>
        <v>13 Склад хол\K07156189_23_20260219T101029Z.jpg</v>
      </c>
    </row>
    <row r="192" spans="1:13" x14ac:dyDescent="0.25">
      <c r="A192" s="2" t="s">
        <v>16</v>
      </c>
      <c r="B192" s="4">
        <v>46072</v>
      </c>
      <c r="C192" s="5">
        <v>0.46238425925925924</v>
      </c>
      <c r="D192" s="10" t="s">
        <v>12495</v>
      </c>
      <c r="E192" s="10" t="s">
        <v>4193</v>
      </c>
      <c r="F192" s="10"/>
      <c r="H192" s="10"/>
      <c r="I192" s="10" t="s">
        <v>12412</v>
      </c>
      <c r="J192" s="10" t="s">
        <v>2988</v>
      </c>
      <c r="K192" t="s">
        <v>12413</v>
      </c>
      <c r="L192" t="s">
        <v>12414</v>
      </c>
      <c r="M192" s="3" t="str">
        <f>HYPERLINK(склад2въезд131920212223789[[#This Row],[RelativePath]])</f>
        <v>13 Склад хол\K07156189_23_20260219T110550Z.jpg</v>
      </c>
    </row>
    <row r="193" spans="1:13" x14ac:dyDescent="0.25">
      <c r="A193" s="2" t="s">
        <v>16</v>
      </c>
      <c r="B193" s="4">
        <v>46072</v>
      </c>
      <c r="C193" s="5">
        <v>0.57881944444444444</v>
      </c>
      <c r="D193" s="10" t="s">
        <v>6171</v>
      </c>
      <c r="E193" s="10" t="s">
        <v>4193</v>
      </c>
      <c r="F193" s="10"/>
      <c r="H193" s="10"/>
      <c r="I193" s="10" t="s">
        <v>12415</v>
      </c>
      <c r="J193" s="10" t="s">
        <v>2988</v>
      </c>
      <c r="K193" t="s">
        <v>12416</v>
      </c>
      <c r="L193" t="s">
        <v>12417</v>
      </c>
      <c r="M193" s="3" t="str">
        <f>HYPERLINK(склад2въезд131920212223789[[#This Row],[RelativePath]])</f>
        <v>13 Склад хол\K07156189_23_20260219T135330Z.jpg</v>
      </c>
    </row>
    <row r="194" spans="1:13" x14ac:dyDescent="0.25">
      <c r="A194" s="2" t="s">
        <v>16</v>
      </c>
      <c r="B194" s="4">
        <v>46072</v>
      </c>
      <c r="C194" s="5">
        <v>0.60603009259259255</v>
      </c>
      <c r="D194" s="10" t="s">
        <v>289</v>
      </c>
      <c r="E194" s="10" t="s">
        <v>12493</v>
      </c>
      <c r="F194" s="10" t="s">
        <v>12603</v>
      </c>
      <c r="H194" s="10" t="s">
        <v>12496</v>
      </c>
      <c r="I194" s="10" t="s">
        <v>12418</v>
      </c>
      <c r="J194" s="10" t="s">
        <v>2988</v>
      </c>
      <c r="K194" t="s">
        <v>12419</v>
      </c>
      <c r="L194" t="s">
        <v>12420</v>
      </c>
      <c r="M194" s="3" t="str">
        <f>HYPERLINK(склад2въезд131920212223789[[#This Row],[RelativePath]])</f>
        <v>13 Склад хол\K07156189_23_20260219T143241Z.jpg</v>
      </c>
    </row>
    <row r="195" spans="1:13" x14ac:dyDescent="0.25">
      <c r="A195" s="2" t="s">
        <v>16</v>
      </c>
      <c r="B195" s="4">
        <v>46072</v>
      </c>
      <c r="C195" s="5">
        <v>0.60628472222222218</v>
      </c>
      <c r="D195" s="10" t="s">
        <v>289</v>
      </c>
      <c r="E195" s="10" t="s">
        <v>12493</v>
      </c>
      <c r="F195" s="10" t="s">
        <v>12603</v>
      </c>
      <c r="H195" s="10" t="s">
        <v>2936</v>
      </c>
      <c r="I195" s="10" t="s">
        <v>12421</v>
      </c>
      <c r="J195" s="10" t="s">
        <v>2988</v>
      </c>
      <c r="K195" t="s">
        <v>12422</v>
      </c>
      <c r="L195" t="s">
        <v>12423</v>
      </c>
      <c r="M195" s="3" t="str">
        <f>HYPERLINK(склад2въезд131920212223789[[#This Row],[RelativePath]])</f>
        <v>13 Склад хол\K07156189_23_20260219T143303Z.jpg</v>
      </c>
    </row>
    <row r="196" spans="1:13" x14ac:dyDescent="0.25">
      <c r="A196" s="2" t="s">
        <v>16</v>
      </c>
      <c r="B196" s="4">
        <v>46072</v>
      </c>
      <c r="C196" s="5">
        <v>0.60662037037037042</v>
      </c>
      <c r="D196" s="10" t="s">
        <v>289</v>
      </c>
      <c r="E196" s="10" t="s">
        <v>12493</v>
      </c>
      <c r="F196" s="10" t="s">
        <v>12604</v>
      </c>
      <c r="H196" s="10" t="s">
        <v>12497</v>
      </c>
      <c r="I196" s="10" t="s">
        <v>12424</v>
      </c>
      <c r="J196" s="10" t="s">
        <v>2988</v>
      </c>
      <c r="K196" t="s">
        <v>12425</v>
      </c>
      <c r="L196" t="s">
        <v>12426</v>
      </c>
      <c r="M196" s="3" t="str">
        <f>HYPERLINK(склад2въезд131920212223789[[#This Row],[RelativePath]])</f>
        <v>13 Склад хол\K07156189_23_20260219T143332Z.jpg</v>
      </c>
    </row>
    <row r="197" spans="1:13" x14ac:dyDescent="0.25">
      <c r="A197" s="2" t="s">
        <v>17</v>
      </c>
      <c r="B197" s="4">
        <v>46073</v>
      </c>
      <c r="C197" s="5">
        <v>0.38214120370370369</v>
      </c>
      <c r="D197" s="10" t="s">
        <v>1936</v>
      </c>
      <c r="E197" s="10" t="s">
        <v>1607</v>
      </c>
      <c r="F197" s="10"/>
      <c r="H197" s="10"/>
      <c r="I197" s="10" t="s">
        <v>12564</v>
      </c>
      <c r="J197" s="10" t="s">
        <v>2988</v>
      </c>
      <c r="K197" t="s">
        <v>12565</v>
      </c>
      <c r="L197" t="s">
        <v>12566</v>
      </c>
      <c r="M197" s="3" t="str">
        <f>HYPERLINK(склад2въезд131920212223789[[#This Row],[RelativePath]])</f>
        <v>13 Склад хол\K07156189_23_20260220T091017Z.jpg</v>
      </c>
    </row>
    <row r="198" spans="1:13" x14ac:dyDescent="0.25">
      <c r="A198" s="2" t="s">
        <v>17</v>
      </c>
      <c r="B198" s="4">
        <v>46073</v>
      </c>
      <c r="C198" s="5">
        <v>0.43594907407407407</v>
      </c>
      <c r="D198" s="10" t="s">
        <v>651</v>
      </c>
      <c r="E198" s="10" t="s">
        <v>86</v>
      </c>
      <c r="F198" s="10"/>
      <c r="H198" s="10"/>
      <c r="I198" s="10" t="s">
        <v>12567</v>
      </c>
      <c r="J198" s="10" t="s">
        <v>2988</v>
      </c>
      <c r="K198" t="s">
        <v>12568</v>
      </c>
      <c r="L198" t="s">
        <v>12569</v>
      </c>
      <c r="M198" s="3" t="str">
        <f>HYPERLINK(склад2въезд131920212223789[[#This Row],[RelativePath]])</f>
        <v>13 Склад хол\K07156189_23_20260220T102746Z.jpg</v>
      </c>
    </row>
    <row r="199" spans="1:13" x14ac:dyDescent="0.25">
      <c r="A199" s="2" t="s">
        <v>17</v>
      </c>
      <c r="B199" s="4">
        <v>46073</v>
      </c>
      <c r="C199" s="5">
        <v>0.62873842592592588</v>
      </c>
      <c r="D199" s="10" t="s">
        <v>651</v>
      </c>
      <c r="E199" s="10" t="s">
        <v>86</v>
      </c>
      <c r="F199" s="10"/>
      <c r="H199" s="10"/>
      <c r="I199" s="10" t="s">
        <v>12570</v>
      </c>
      <c r="J199" s="10" t="s">
        <v>2988</v>
      </c>
      <c r="K199" t="s">
        <v>12571</v>
      </c>
      <c r="L199" t="s">
        <v>12572</v>
      </c>
      <c r="M199" s="3" t="str">
        <f>HYPERLINK(склад2въезд131920212223789[[#This Row],[RelativePath]])</f>
        <v>13 Склад хол\K07156189_23_20260220T150523Z.jpg</v>
      </c>
    </row>
    <row r="200" spans="1:13" x14ac:dyDescent="0.25">
      <c r="A200" s="2" t="s">
        <v>18</v>
      </c>
      <c r="B200" s="4">
        <v>46074</v>
      </c>
      <c r="C200" s="5">
        <v>0.42924768518518519</v>
      </c>
      <c r="D200" s="10" t="s">
        <v>4</v>
      </c>
      <c r="E200" s="10" t="s">
        <v>8</v>
      </c>
      <c r="F200" s="10"/>
      <c r="H200" s="10"/>
      <c r="I200" s="10" t="s">
        <v>12662</v>
      </c>
      <c r="J200" s="10" t="s">
        <v>2988</v>
      </c>
      <c r="K200" t="s">
        <v>12663</v>
      </c>
      <c r="L200" t="s">
        <v>12664</v>
      </c>
      <c r="M200" s="3" t="str">
        <f>HYPERLINK(склад2въезд131920212223789[[#This Row],[RelativePath]])</f>
        <v>13 Склад хол\K07156189_23_20260221T101807Z.jpg</v>
      </c>
    </row>
    <row r="201" spans="1:13" x14ac:dyDescent="0.25">
      <c r="A201" s="2" t="s">
        <v>18</v>
      </c>
      <c r="B201" s="4">
        <v>46074</v>
      </c>
      <c r="C201" s="5">
        <v>0.70633101851851854</v>
      </c>
      <c r="D201" s="10" t="s">
        <v>2004</v>
      </c>
      <c r="E201" s="10" t="s">
        <v>8</v>
      </c>
      <c r="F201" s="10"/>
      <c r="H201" s="10"/>
      <c r="I201" s="10" t="s">
        <v>12665</v>
      </c>
      <c r="J201" s="10" t="s">
        <v>2988</v>
      </c>
      <c r="K201" t="s">
        <v>12666</v>
      </c>
      <c r="L201" t="s">
        <v>12667</v>
      </c>
      <c r="M201" s="3" t="str">
        <f>HYPERLINK(склад2въезд131920212223789[[#This Row],[RelativePath]])</f>
        <v>13 Склад хол\K07156189_23_20260221T165707Z.jpg</v>
      </c>
    </row>
    <row r="202" spans="1:13" x14ac:dyDescent="0.25">
      <c r="A202" s="2" t="s">
        <v>22</v>
      </c>
      <c r="B202" s="4">
        <v>46075</v>
      </c>
      <c r="C202" s="5">
        <v>0.74950231481481477</v>
      </c>
      <c r="D202" s="10" t="s">
        <v>2004</v>
      </c>
      <c r="E202" s="10" t="s">
        <v>8</v>
      </c>
      <c r="F202" s="10"/>
      <c r="H202" s="10"/>
      <c r="I202" s="10" t="s">
        <v>12668</v>
      </c>
      <c r="J202" s="10" t="s">
        <v>2988</v>
      </c>
      <c r="K202" t="s">
        <v>12669</v>
      </c>
      <c r="L202" t="s">
        <v>12670</v>
      </c>
      <c r="M202" s="3" t="str">
        <f>HYPERLINK(склад2въезд131920212223789[[#This Row],[RelativePath]])</f>
        <v>13 Склад хол\K07156189_23_20260222T175917Z.jpg</v>
      </c>
    </row>
    <row r="203" spans="1:13" x14ac:dyDescent="0.25">
      <c r="A203" s="2" t="s">
        <v>13</v>
      </c>
      <c r="B203" s="4">
        <v>46076</v>
      </c>
      <c r="C203" s="5">
        <v>0.76923611111111112</v>
      </c>
      <c r="D203" s="10" t="s">
        <v>2004</v>
      </c>
      <c r="E203" s="10" t="s">
        <v>8</v>
      </c>
      <c r="F203" s="10"/>
      <c r="H203" s="10"/>
      <c r="I203" s="10" t="s">
        <v>12914</v>
      </c>
      <c r="J203" s="10" t="s">
        <v>2988</v>
      </c>
      <c r="K203" t="s">
        <v>12915</v>
      </c>
      <c r="L203" t="s">
        <v>12916</v>
      </c>
      <c r="M203" s="3" t="str">
        <f>HYPERLINK(склад2въезд131920212223789[[#This Row],[RelativePath]])</f>
        <v>13 Склад хол\K07156189_23_20260223T182742Z.jpg</v>
      </c>
    </row>
  </sheetData>
  <conditionalFormatting sqref="D204:D214 E204:E217 G2:H203 D2:E203">
    <cfRule type="containsText" dxfId="651" priority="14" operator="containsText" text="Выезд с территории">
      <formula>NOT(ISERROR(SEARCH("Выезд с территории",D2)))</formula>
    </cfRule>
  </conditionalFormatting>
  <conditionalFormatting sqref="F2:F203">
    <cfRule type="notContainsText" dxfId="650" priority="13" operator="notContains" text="порожний">
      <formula>ISERROR(SEARCH("порожний",F2))</formula>
    </cfRule>
  </conditionalFormatting>
  <conditionalFormatting sqref="E2:E217">
    <cfRule type="containsText" dxfId="649" priority="11" operator="containsText" text="Газель базы">
      <formula>NOT(ISERROR(SEARCH("Газель базы",E2)))</formula>
    </cfRule>
    <cfRule type="containsText" dxfId="648" priority="12" operator="containsText" text="Погрузчик базы">
      <formula>NOT(ISERROR(SEARCH("Погрузчик базы",E2)))</formula>
    </cfRule>
  </conditionalFormatting>
  <conditionalFormatting sqref="E2:E217">
    <cfRule type="containsText" dxfId="647" priority="10" operator="containsText" text="Трактор базы">
      <formula>NOT(ISERROR(SEARCH("Трактор базы",E2)))</formula>
    </cfRule>
  </conditionalFormatting>
  <conditionalFormatting sqref="A2:C203">
    <cfRule type="expression" dxfId="646" priority="9">
      <formula>$A2="пн"</formula>
    </cfRule>
  </conditionalFormatting>
  <conditionalFormatting sqref="A2:C205">
    <cfRule type="expression" dxfId="645" priority="3">
      <formula>$A2="вс"</formula>
    </cfRule>
    <cfRule type="expression" dxfId="644" priority="4">
      <formula>$A2="сб"</formula>
    </cfRule>
    <cfRule type="expression" dxfId="643" priority="5">
      <formula>$A2="пт"</formula>
    </cfRule>
    <cfRule type="expression" dxfId="642" priority="6">
      <formula>$A2="чт"</formula>
    </cfRule>
    <cfRule type="expression" dxfId="641" priority="7">
      <formula>$A2="ср"</formula>
    </cfRule>
    <cfRule type="expression" dxfId="640" priority="8">
      <formula>$A2="вт"</formula>
    </cfRule>
  </conditionalFormatting>
  <conditionalFormatting sqref="D2:D214">
    <cfRule type="containsText" dxfId="6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4">
    <cfRule type="containsText" dxfId="6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8" tint="-0.499984740745262"/>
  </sheetPr>
  <dimension ref="A1:M31"/>
  <sheetViews>
    <sheetView zoomScale="90" zoomScaleNormal="90" workbookViewId="0">
      <pane ySplit="1" topLeftCell="A14" activePane="bottomLeft" state="frozen"/>
      <selection pane="bottomLeft" activeCell="I29" sqref="I29:I3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.42578125" bestFit="1" customWidth="1"/>
    <col min="5" max="5" width="36.28515625" bestFit="1" customWidth="1"/>
    <col min="6" max="6" width="5" customWidth="1"/>
    <col min="7" max="7" width="7.28515625" style="9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14</v>
      </c>
      <c r="B2" s="4">
        <v>46070</v>
      </c>
      <c r="C2" s="5">
        <v>0.68791666666666662</v>
      </c>
      <c r="D2" s="10" t="s">
        <v>4</v>
      </c>
      <c r="E2" s="10" t="s">
        <v>8</v>
      </c>
      <c r="F2" s="10"/>
      <c r="H2" s="10"/>
      <c r="I2" s="10" t="s">
        <v>12184</v>
      </c>
      <c r="J2" s="10" t="s">
        <v>12427</v>
      </c>
      <c r="K2" t="s">
        <v>12185</v>
      </c>
      <c r="L2" t="s">
        <v>12186</v>
      </c>
      <c r="M2" s="3" t="str">
        <f>HYPERLINK(склад2въезд131920212223789106[[#This Row],[RelativePath]])</f>
        <v>14 На гаражи\GD7678666_1_20260217T163036Z.jpg</v>
      </c>
    </row>
    <row r="3" spans="1:13" x14ac:dyDescent="0.25">
      <c r="A3" s="2" t="s">
        <v>15</v>
      </c>
      <c r="B3" s="4">
        <v>46071</v>
      </c>
      <c r="C3" s="5">
        <v>0.50854166666666667</v>
      </c>
      <c r="D3" s="10" t="s">
        <v>12384</v>
      </c>
      <c r="E3" s="10" t="s">
        <v>12372</v>
      </c>
      <c r="F3" s="10"/>
      <c r="H3" s="10"/>
      <c r="I3" s="10" t="s">
        <v>12187</v>
      </c>
      <c r="J3" s="10" t="s">
        <v>12427</v>
      </c>
      <c r="K3" t="s">
        <v>12188</v>
      </c>
      <c r="L3" t="s">
        <v>12189</v>
      </c>
      <c r="M3" s="3" t="str">
        <f>HYPERLINK(склад2въезд131920212223789106[[#This Row],[RelativePath]])</f>
        <v>14 На гаражи\GD7678666_1_20260218T121218Z.jpg</v>
      </c>
    </row>
    <row r="4" spans="1:13" x14ac:dyDescent="0.25">
      <c r="A4" s="2" t="s">
        <v>16</v>
      </c>
      <c r="B4" s="4">
        <v>46072</v>
      </c>
      <c r="C4" s="5">
        <v>0.64526620370370369</v>
      </c>
      <c r="D4" s="10" t="s">
        <v>4</v>
      </c>
      <c r="E4" s="10" t="s">
        <v>8</v>
      </c>
      <c r="F4" s="10"/>
      <c r="H4" s="10"/>
      <c r="I4" s="10" t="s">
        <v>12498</v>
      </c>
      <c r="J4" s="10" t="s">
        <v>12427</v>
      </c>
      <c r="K4" t="s">
        <v>12499</v>
      </c>
      <c r="L4" t="s">
        <v>12500</v>
      </c>
      <c r="M4" s="3" t="str">
        <f>HYPERLINK(склад2въезд131920212223789106[[#This Row],[RelativePath]])</f>
        <v>14 На гаражи\GD7678666_1_20260219T152911Z.jpg</v>
      </c>
    </row>
    <row r="5" spans="1:13" x14ac:dyDescent="0.25">
      <c r="A5" s="2" t="s">
        <v>16</v>
      </c>
      <c r="B5" s="4">
        <v>46072</v>
      </c>
      <c r="C5" s="5">
        <v>0.6557291666666667</v>
      </c>
      <c r="D5" s="10" t="s">
        <v>11961</v>
      </c>
      <c r="E5" s="10"/>
      <c r="F5" s="10"/>
      <c r="H5" s="10"/>
      <c r="I5" s="10" t="s">
        <v>12501</v>
      </c>
      <c r="J5" s="10" t="s">
        <v>12427</v>
      </c>
      <c r="K5" t="s">
        <v>12502</v>
      </c>
      <c r="L5" t="s">
        <v>12503</v>
      </c>
      <c r="M5" s="3" t="str">
        <f>HYPERLINK(склад2въезд131920212223789106[[#This Row],[RelativePath]])</f>
        <v>14 На гаражи\GD7678666_1_20260219T154415Z.jpg</v>
      </c>
    </row>
    <row r="6" spans="1:13" x14ac:dyDescent="0.25">
      <c r="A6" s="2" t="s">
        <v>17</v>
      </c>
      <c r="B6" s="4">
        <v>46073</v>
      </c>
      <c r="C6" s="5">
        <v>0.51657407407407407</v>
      </c>
      <c r="D6" s="10" t="s">
        <v>12602</v>
      </c>
      <c r="E6" s="10" t="s">
        <v>86</v>
      </c>
      <c r="F6" s="10"/>
      <c r="H6" s="10"/>
      <c r="I6" s="10" t="s">
        <v>12573</v>
      </c>
      <c r="J6" s="10" t="s">
        <v>12427</v>
      </c>
      <c r="K6" t="s">
        <v>12574</v>
      </c>
      <c r="L6" t="s">
        <v>12575</v>
      </c>
      <c r="M6" s="3" t="str">
        <f>HYPERLINK(склад2въезд131920212223789106[[#This Row],[RelativePath]])</f>
        <v>14 На гаражи\GD7678666_1_20260220T122352Z.jpg</v>
      </c>
    </row>
    <row r="7" spans="1:13" x14ac:dyDescent="0.25">
      <c r="A7" s="2" t="s">
        <v>17</v>
      </c>
      <c r="B7" s="4">
        <v>46073</v>
      </c>
      <c r="C7" s="5">
        <v>0.61775462962962968</v>
      </c>
      <c r="D7" s="10" t="s">
        <v>7</v>
      </c>
      <c r="E7" s="10"/>
      <c r="F7" s="10"/>
      <c r="H7" s="10"/>
      <c r="I7" s="10" t="s">
        <v>12576</v>
      </c>
      <c r="J7" s="10" t="s">
        <v>12427</v>
      </c>
      <c r="K7" t="s">
        <v>12577</v>
      </c>
      <c r="L7" t="s">
        <v>12578</v>
      </c>
      <c r="M7" s="3" t="str">
        <f>HYPERLINK(склад2въезд131920212223789106[[#This Row],[RelativePath]])</f>
        <v>14 На гаражи\GD7678666_1_20260220T144934Z.jpg</v>
      </c>
    </row>
    <row r="8" spans="1:13" x14ac:dyDescent="0.25">
      <c r="A8" s="2" t="s">
        <v>17</v>
      </c>
      <c r="B8" s="4">
        <v>46073</v>
      </c>
      <c r="C8" s="5">
        <v>0.62700231481481483</v>
      </c>
      <c r="D8" s="10" t="s">
        <v>4</v>
      </c>
      <c r="E8" s="10" t="s">
        <v>8</v>
      </c>
      <c r="F8" s="10"/>
      <c r="H8" s="10"/>
      <c r="I8" s="10" t="s">
        <v>12579</v>
      </c>
      <c r="J8" s="10" t="s">
        <v>12427</v>
      </c>
      <c r="K8" t="s">
        <v>12580</v>
      </c>
      <c r="L8" t="s">
        <v>12581</v>
      </c>
      <c r="M8" s="3" t="str">
        <f>HYPERLINK(склад2въезд131920212223789106[[#This Row],[RelativePath]])</f>
        <v>14 На гаражи\GD7678666_1_20260220T150253Z.jpg</v>
      </c>
    </row>
    <row r="9" spans="1:13" x14ac:dyDescent="0.25">
      <c r="A9" s="2" t="s">
        <v>17</v>
      </c>
      <c r="B9" s="4">
        <v>46073</v>
      </c>
      <c r="C9" s="5">
        <v>0.73851851851851846</v>
      </c>
      <c r="D9" s="10" t="s">
        <v>4</v>
      </c>
      <c r="E9" s="10" t="s">
        <v>8</v>
      </c>
      <c r="F9" s="10"/>
      <c r="H9" s="10" t="s">
        <v>2936</v>
      </c>
      <c r="I9" s="10" t="s">
        <v>12582</v>
      </c>
      <c r="J9" s="10" t="s">
        <v>12427</v>
      </c>
      <c r="K9" t="s">
        <v>12583</v>
      </c>
      <c r="L9" t="s">
        <v>12584</v>
      </c>
      <c r="M9" s="3" t="str">
        <f>HYPERLINK(склад2въезд131920212223789106[[#This Row],[RelativePath]])</f>
        <v>14 На гаражи\GD7678666_1_20260220T174328Z.jpg</v>
      </c>
    </row>
    <row r="10" spans="1:13" x14ac:dyDescent="0.25">
      <c r="A10" s="2" t="s">
        <v>17</v>
      </c>
      <c r="B10" s="4">
        <v>46073</v>
      </c>
      <c r="C10" s="5">
        <v>0.7446990740740741</v>
      </c>
      <c r="D10" s="10" t="s">
        <v>4</v>
      </c>
      <c r="E10" s="10" t="s">
        <v>8</v>
      </c>
      <c r="F10" s="10"/>
      <c r="H10" s="10" t="s">
        <v>2936</v>
      </c>
      <c r="I10" s="10" t="s">
        <v>12585</v>
      </c>
      <c r="J10" s="10" t="s">
        <v>12427</v>
      </c>
      <c r="K10" t="s">
        <v>12586</v>
      </c>
      <c r="L10" t="s">
        <v>12587</v>
      </c>
      <c r="M10" s="3" t="str">
        <f>HYPERLINK(склад2въезд131920212223789106[[#This Row],[RelativePath]])</f>
        <v>14 На гаражи\GD7678666_1_20260220T175222Z.jpg</v>
      </c>
    </row>
    <row r="11" spans="1:13" x14ac:dyDescent="0.25">
      <c r="A11" s="2" t="s">
        <v>17</v>
      </c>
      <c r="B11" s="4">
        <v>46073</v>
      </c>
      <c r="C11" s="5">
        <v>0.765162037037037</v>
      </c>
      <c r="D11" s="10" t="s">
        <v>12381</v>
      </c>
      <c r="E11" s="10"/>
      <c r="F11" s="10"/>
      <c r="H11" s="10"/>
      <c r="I11" s="10" t="s">
        <v>12588</v>
      </c>
      <c r="J11" s="10" t="s">
        <v>12427</v>
      </c>
      <c r="K11" t="s">
        <v>12589</v>
      </c>
      <c r="L11" t="s">
        <v>12590</v>
      </c>
      <c r="M11" s="3" t="str">
        <f>HYPERLINK(склад2въезд131920212223789106[[#This Row],[RelativePath]])</f>
        <v>14 На гаражи\GD7678666_1_20260220T182150Z.jpg</v>
      </c>
    </row>
    <row r="12" spans="1:13" x14ac:dyDescent="0.25">
      <c r="A12" s="2" t="s">
        <v>17</v>
      </c>
      <c r="B12" s="4">
        <v>46073</v>
      </c>
      <c r="C12" s="5">
        <v>0.77432870370370366</v>
      </c>
      <c r="D12" s="10" t="s">
        <v>12381</v>
      </c>
      <c r="E12" s="10"/>
      <c r="F12" s="10"/>
      <c r="H12" s="10"/>
      <c r="I12" s="10" t="s">
        <v>12591</v>
      </c>
      <c r="J12" s="10" t="s">
        <v>12427</v>
      </c>
      <c r="K12" t="s">
        <v>12592</v>
      </c>
      <c r="L12" t="s">
        <v>12593</v>
      </c>
      <c r="M12" s="3" t="str">
        <f>HYPERLINK(склад2въезд131920212223789106[[#This Row],[RelativePath]])</f>
        <v>14 На гаражи\GD7678666_1_20260220T183502Z.jpg</v>
      </c>
    </row>
    <row r="13" spans="1:13" x14ac:dyDescent="0.25">
      <c r="A13" s="2" t="s">
        <v>17</v>
      </c>
      <c r="B13" s="4">
        <v>46073</v>
      </c>
      <c r="C13" s="5">
        <v>0.7988425925925926</v>
      </c>
      <c r="D13" s="10" t="s">
        <v>4</v>
      </c>
      <c r="E13" s="10" t="s">
        <v>8</v>
      </c>
      <c r="F13" s="10"/>
      <c r="H13" s="10"/>
      <c r="I13" s="10" t="s">
        <v>12594</v>
      </c>
      <c r="J13" s="10" t="s">
        <v>12427</v>
      </c>
      <c r="K13" t="s">
        <v>12595</v>
      </c>
      <c r="L13" t="s">
        <v>12596</v>
      </c>
      <c r="M13" s="3" t="str">
        <f>HYPERLINK(склад2въезд131920212223789106[[#This Row],[RelativePath]])</f>
        <v>14 На гаражи\GD7678666_1_20260220T191020Z.jpg</v>
      </c>
    </row>
    <row r="14" spans="1:13" x14ac:dyDescent="0.25">
      <c r="A14" s="2" t="s">
        <v>18</v>
      </c>
      <c r="B14" s="4">
        <v>46074</v>
      </c>
      <c r="C14" s="5">
        <v>0.39398148148148149</v>
      </c>
      <c r="D14" s="10" t="s">
        <v>12381</v>
      </c>
      <c r="E14" s="10"/>
      <c r="F14" s="10"/>
      <c r="H14" s="10"/>
      <c r="I14" s="10" t="s">
        <v>12671</v>
      </c>
      <c r="J14" s="10" t="s">
        <v>12427</v>
      </c>
      <c r="K14" t="s">
        <v>12672</v>
      </c>
      <c r="L14" t="s">
        <v>12673</v>
      </c>
      <c r="M14" s="3" t="str">
        <f>HYPERLINK(склад2въезд131920212223789106[[#This Row],[RelativePath]])</f>
        <v>14 На гаражи\GD7678666_1_20260221T092720Z.jpg</v>
      </c>
    </row>
    <row r="15" spans="1:13" x14ac:dyDescent="0.25">
      <c r="A15" s="2" t="s">
        <v>18</v>
      </c>
      <c r="B15" s="4">
        <v>46074</v>
      </c>
      <c r="C15" s="5">
        <v>0.47184027777777776</v>
      </c>
      <c r="D15" s="10" t="s">
        <v>12381</v>
      </c>
      <c r="E15" s="10"/>
      <c r="F15" s="10"/>
      <c r="H15" s="10"/>
      <c r="I15" s="10" t="s">
        <v>12674</v>
      </c>
      <c r="J15" s="10" t="s">
        <v>12427</v>
      </c>
      <c r="K15" t="s">
        <v>12675</v>
      </c>
      <c r="L15" t="s">
        <v>12676</v>
      </c>
      <c r="M15" s="3" t="str">
        <f>HYPERLINK(склад2въезд131920212223789106[[#This Row],[RelativePath]])</f>
        <v>14 На гаражи\GD7678666_1_20260221T111927Z.jpg</v>
      </c>
    </row>
    <row r="16" spans="1:13" x14ac:dyDescent="0.25">
      <c r="A16" s="2" t="s">
        <v>18</v>
      </c>
      <c r="B16" s="4">
        <v>46074</v>
      </c>
      <c r="C16" s="5">
        <v>0.66295138888888894</v>
      </c>
      <c r="D16" s="10" t="s">
        <v>12381</v>
      </c>
      <c r="E16" s="10"/>
      <c r="F16" s="10"/>
      <c r="H16" s="10"/>
      <c r="I16" s="10" t="s">
        <v>12677</v>
      </c>
      <c r="J16" s="10" t="s">
        <v>12427</v>
      </c>
      <c r="K16" t="s">
        <v>12678</v>
      </c>
      <c r="L16" t="s">
        <v>12679</v>
      </c>
      <c r="M16" s="3" t="str">
        <f>HYPERLINK(склад2въезд131920212223789106[[#This Row],[RelativePath]])</f>
        <v>14 На гаражи\GD7678666_1_20260221T155439Z.jpg</v>
      </c>
    </row>
    <row r="17" spans="1:13" x14ac:dyDescent="0.25">
      <c r="A17" s="2" t="s">
        <v>18</v>
      </c>
      <c r="B17" s="4">
        <v>46074</v>
      </c>
      <c r="C17" s="5">
        <v>0.68960648148148151</v>
      </c>
      <c r="D17" s="10" t="s">
        <v>12381</v>
      </c>
      <c r="E17" s="10"/>
      <c r="F17" s="10"/>
      <c r="H17" s="10"/>
      <c r="I17" s="10" t="s">
        <v>12680</v>
      </c>
      <c r="J17" s="10" t="s">
        <v>12427</v>
      </c>
      <c r="K17" t="s">
        <v>12681</v>
      </c>
      <c r="L17" t="s">
        <v>12682</v>
      </c>
      <c r="M17" s="3" t="str">
        <f>HYPERLINK(склад2въезд131920212223789106[[#This Row],[RelativePath]])</f>
        <v>14 На гаражи\GD7678666_1_20260221T163302Z.jpg</v>
      </c>
    </row>
    <row r="18" spans="1:13" x14ac:dyDescent="0.25">
      <c r="A18" s="2" t="s">
        <v>18</v>
      </c>
      <c r="B18" s="4">
        <v>46074</v>
      </c>
      <c r="C18" s="5">
        <v>0.79899305555555555</v>
      </c>
      <c r="D18" s="10" t="s">
        <v>12381</v>
      </c>
      <c r="E18" s="10"/>
      <c r="F18" s="10"/>
      <c r="H18" s="10"/>
      <c r="I18" s="10" t="s">
        <v>12683</v>
      </c>
      <c r="J18" s="10" t="s">
        <v>12427</v>
      </c>
      <c r="K18" t="s">
        <v>12684</v>
      </c>
      <c r="L18" t="s">
        <v>12685</v>
      </c>
      <c r="M18" s="3" t="str">
        <f>HYPERLINK(склад2въезд131920212223789106[[#This Row],[RelativePath]])</f>
        <v>14 На гаражи\GD7678666_1_20260221T191033Z.jpg</v>
      </c>
    </row>
    <row r="19" spans="1:13" x14ac:dyDescent="0.25">
      <c r="A19" s="2" t="s">
        <v>18</v>
      </c>
      <c r="B19" s="4">
        <v>46074</v>
      </c>
      <c r="C19" s="5">
        <v>0.80826388888888889</v>
      </c>
      <c r="D19" s="10" t="s">
        <v>12381</v>
      </c>
      <c r="E19" s="10"/>
      <c r="F19" s="10"/>
      <c r="H19" s="10"/>
      <c r="I19" s="10" t="s">
        <v>12686</v>
      </c>
      <c r="J19" s="10" t="s">
        <v>12427</v>
      </c>
      <c r="K19" t="s">
        <v>12687</v>
      </c>
      <c r="L19" t="s">
        <v>12688</v>
      </c>
      <c r="M19" s="3" t="str">
        <f>HYPERLINK(склад2въезд131920212223789106[[#This Row],[RelativePath]])</f>
        <v>14 На гаражи\GD7678666_1_20260221T192354Z.jpg</v>
      </c>
    </row>
    <row r="20" spans="1:13" x14ac:dyDescent="0.25">
      <c r="A20" s="2" t="s">
        <v>18</v>
      </c>
      <c r="B20" s="4">
        <v>46074</v>
      </c>
      <c r="C20" s="5">
        <v>0.81733796296296302</v>
      </c>
      <c r="D20" s="10" t="s">
        <v>12381</v>
      </c>
      <c r="E20" s="10"/>
      <c r="F20" s="10"/>
      <c r="H20" s="10"/>
      <c r="I20" s="10" t="s">
        <v>12689</v>
      </c>
      <c r="J20" s="10" t="s">
        <v>12427</v>
      </c>
      <c r="K20" t="s">
        <v>12690</v>
      </c>
      <c r="L20" t="s">
        <v>12691</v>
      </c>
      <c r="M20" s="3" t="str">
        <f>HYPERLINK(склад2въезд131920212223789106[[#This Row],[RelativePath]])</f>
        <v>14 На гаражи\GD7678666_1_20260221T193658Z.jpg</v>
      </c>
    </row>
    <row r="21" spans="1:13" x14ac:dyDescent="0.25">
      <c r="A21" s="2" t="s">
        <v>18</v>
      </c>
      <c r="B21" s="4">
        <v>46074</v>
      </c>
      <c r="C21" s="5">
        <v>0.82600694444444445</v>
      </c>
      <c r="D21" s="10" t="s">
        <v>12381</v>
      </c>
      <c r="E21" s="10"/>
      <c r="F21" s="10"/>
      <c r="H21" s="10"/>
      <c r="I21" s="10" t="s">
        <v>12692</v>
      </c>
      <c r="J21" s="10" t="s">
        <v>12427</v>
      </c>
      <c r="K21" t="s">
        <v>12693</v>
      </c>
      <c r="L21" t="s">
        <v>12694</v>
      </c>
      <c r="M21" s="3" t="str">
        <f>HYPERLINK(склад2въезд131920212223789106[[#This Row],[RelativePath]])</f>
        <v>14 На гаражи\GD7678666_1_20260221T194927Z.jpg</v>
      </c>
    </row>
    <row r="22" spans="1:13" x14ac:dyDescent="0.25">
      <c r="A22" s="2" t="s">
        <v>22</v>
      </c>
      <c r="B22" s="4">
        <v>46075</v>
      </c>
      <c r="C22" s="5">
        <v>0.36042824074074076</v>
      </c>
      <c r="D22" s="10" t="s">
        <v>4</v>
      </c>
      <c r="E22" s="10" t="s">
        <v>8</v>
      </c>
      <c r="F22" s="10"/>
      <c r="H22" s="10"/>
      <c r="I22" s="10" t="s">
        <v>12695</v>
      </c>
      <c r="J22" s="10" t="s">
        <v>12427</v>
      </c>
      <c r="K22" t="s">
        <v>12696</v>
      </c>
      <c r="L22" t="s">
        <v>12697</v>
      </c>
      <c r="M22" s="3" t="str">
        <f>HYPERLINK(склад2въезд131920212223789106[[#This Row],[RelativePath]])</f>
        <v>14 На гаражи\GD7678666_1_20260222T083901Z.jpg</v>
      </c>
    </row>
    <row r="23" spans="1:13" x14ac:dyDescent="0.25">
      <c r="A23" s="2" t="s">
        <v>22</v>
      </c>
      <c r="B23" s="4">
        <v>46075</v>
      </c>
      <c r="C23" s="5">
        <v>0.3848611111111111</v>
      </c>
      <c r="D23" s="10" t="s">
        <v>12381</v>
      </c>
      <c r="E23" s="10"/>
      <c r="F23" s="10"/>
      <c r="H23" s="10"/>
      <c r="I23" s="10" t="s">
        <v>12698</v>
      </c>
      <c r="J23" s="10" t="s">
        <v>12427</v>
      </c>
      <c r="K23" t="s">
        <v>12699</v>
      </c>
      <c r="L23" t="s">
        <v>12700</v>
      </c>
      <c r="M23" s="3" t="str">
        <f>HYPERLINK(склад2въезд131920212223789106[[#This Row],[RelativePath]])</f>
        <v>14 На гаражи\GD7678666_1_20260222T091412Z.jpg</v>
      </c>
    </row>
    <row r="24" spans="1:13" x14ac:dyDescent="0.25">
      <c r="A24" s="2" t="s">
        <v>22</v>
      </c>
      <c r="B24" s="4">
        <v>46075</v>
      </c>
      <c r="C24" s="5">
        <v>0.45</v>
      </c>
      <c r="D24" s="10" t="s">
        <v>12381</v>
      </c>
      <c r="E24" s="10"/>
      <c r="F24" s="10"/>
      <c r="H24" s="10"/>
      <c r="I24" s="10" t="s">
        <v>12701</v>
      </c>
      <c r="J24" s="10" t="s">
        <v>12427</v>
      </c>
      <c r="K24" t="s">
        <v>12702</v>
      </c>
      <c r="L24" t="s">
        <v>12703</v>
      </c>
      <c r="M24" s="3" t="str">
        <f>HYPERLINK(склад2въезд131920212223789106[[#This Row],[RelativePath]])</f>
        <v>14 На гаражи\GD7678666_1_20260222T104800Z.jpg</v>
      </c>
    </row>
    <row r="25" spans="1:13" x14ac:dyDescent="0.25">
      <c r="A25" s="2" t="s">
        <v>22</v>
      </c>
      <c r="B25" s="4">
        <v>46075</v>
      </c>
      <c r="C25" s="5">
        <v>0.59660879629629626</v>
      </c>
      <c r="D25" s="10" t="s">
        <v>12381</v>
      </c>
      <c r="E25" s="10"/>
      <c r="F25" s="10"/>
      <c r="H25" s="10"/>
      <c r="I25" s="10" t="s">
        <v>12704</v>
      </c>
      <c r="J25" s="10" t="s">
        <v>12427</v>
      </c>
      <c r="K25" t="s">
        <v>12705</v>
      </c>
      <c r="L25" t="s">
        <v>12706</v>
      </c>
      <c r="M25" s="3" t="str">
        <f>HYPERLINK(склад2въезд131920212223789106[[#This Row],[RelativePath]])</f>
        <v>14 На гаражи\GD7678666_1_20260222T141907Z.jpg</v>
      </c>
    </row>
    <row r="26" spans="1:13" x14ac:dyDescent="0.25">
      <c r="A26" s="2" t="s">
        <v>22</v>
      </c>
      <c r="B26" s="4">
        <v>46075</v>
      </c>
      <c r="C26" s="5">
        <v>0.74130787037037038</v>
      </c>
      <c r="D26" s="10" t="s">
        <v>12381</v>
      </c>
      <c r="E26" s="10"/>
      <c r="F26" s="10"/>
      <c r="H26" s="10"/>
      <c r="I26" s="10" t="s">
        <v>12707</v>
      </c>
      <c r="J26" s="10" t="s">
        <v>12427</v>
      </c>
      <c r="K26" t="s">
        <v>12708</v>
      </c>
      <c r="L26" t="s">
        <v>12709</v>
      </c>
      <c r="M26" s="3" t="str">
        <f>HYPERLINK(склад2въезд131920212223789106[[#This Row],[RelativePath]])</f>
        <v>14 На гаражи\GD7678666_1_20260222T174729Z.jpg</v>
      </c>
    </row>
    <row r="27" spans="1:13" x14ac:dyDescent="0.25">
      <c r="A27" s="2" t="s">
        <v>22</v>
      </c>
      <c r="B27" s="4">
        <v>46075</v>
      </c>
      <c r="C27" s="5">
        <v>0.79603009259259261</v>
      </c>
      <c r="D27" s="10" t="s">
        <v>12381</v>
      </c>
      <c r="E27" s="10"/>
      <c r="F27" s="10"/>
      <c r="H27" s="10"/>
      <c r="I27" s="10" t="s">
        <v>12710</v>
      </c>
      <c r="J27" s="10" t="s">
        <v>12427</v>
      </c>
      <c r="K27" t="s">
        <v>12711</v>
      </c>
      <c r="L27" t="s">
        <v>12712</v>
      </c>
      <c r="M27" s="3" t="str">
        <f>HYPERLINK(склад2въезд131920212223789106[[#This Row],[RelativePath]])</f>
        <v>14 На гаражи\GD7678666_1_20260222T190617Z.jpg</v>
      </c>
    </row>
    <row r="28" spans="1:13" x14ac:dyDescent="0.25">
      <c r="A28" s="2" t="s">
        <v>22</v>
      </c>
      <c r="B28" s="4">
        <v>46075</v>
      </c>
      <c r="C28" s="5">
        <v>0.80896990740740737</v>
      </c>
      <c r="D28" s="10" t="s">
        <v>4</v>
      </c>
      <c r="E28" s="10" t="s">
        <v>8</v>
      </c>
      <c r="F28" s="10"/>
      <c r="H28" s="10"/>
      <c r="I28" s="10" t="s">
        <v>12713</v>
      </c>
      <c r="J28" s="10" t="s">
        <v>12427</v>
      </c>
      <c r="K28" t="s">
        <v>12714</v>
      </c>
      <c r="L28" t="s">
        <v>12715</v>
      </c>
      <c r="M28" s="3" t="str">
        <f>HYPERLINK(склад2въезд131920212223789106[[#This Row],[RelativePath]])</f>
        <v>14 На гаражи\GD7678666_1_20260222T192455Z.jpg</v>
      </c>
    </row>
    <row r="29" spans="1:13" x14ac:dyDescent="0.25">
      <c r="A29" s="2" t="s">
        <v>13</v>
      </c>
      <c r="B29" s="4">
        <v>46076</v>
      </c>
      <c r="C29" s="5">
        <v>0.34606481481481483</v>
      </c>
      <c r="D29" s="10" t="s">
        <v>12381</v>
      </c>
      <c r="E29" s="10"/>
      <c r="F29" s="10"/>
      <c r="H29" s="10"/>
      <c r="I29" s="10" t="s">
        <v>12917</v>
      </c>
      <c r="J29" s="10" t="s">
        <v>12427</v>
      </c>
      <c r="K29" t="s">
        <v>12918</v>
      </c>
      <c r="L29" t="s">
        <v>12919</v>
      </c>
      <c r="M29" s="3" t="str">
        <f>HYPERLINK(склад2въезд131920212223789106[[#This Row],[RelativePath]])</f>
        <v>14 На гаражи\GD7678666_1_20260223T081820Z.jpg</v>
      </c>
    </row>
    <row r="30" spans="1:13" x14ac:dyDescent="0.25">
      <c r="A30" s="2" t="s">
        <v>13</v>
      </c>
      <c r="B30" s="4">
        <v>46076</v>
      </c>
      <c r="C30" s="5">
        <v>0.47099537037037037</v>
      </c>
      <c r="D30" s="10" t="s">
        <v>12381</v>
      </c>
      <c r="E30" s="10"/>
      <c r="F30" s="10"/>
      <c r="H30" s="10"/>
      <c r="I30" s="10" t="s">
        <v>12920</v>
      </c>
      <c r="J30" s="10" t="s">
        <v>12427</v>
      </c>
      <c r="K30" t="s">
        <v>12921</v>
      </c>
      <c r="L30" t="s">
        <v>12922</v>
      </c>
      <c r="M30" s="3" t="str">
        <f>HYPERLINK(склад2въезд131920212223789106[[#This Row],[RelativePath]])</f>
        <v>14 На гаражи\GD7678666_1_20260223T111814Z.jpg</v>
      </c>
    </row>
    <row r="31" spans="1:13" x14ac:dyDescent="0.25">
      <c r="A31" s="2" t="s">
        <v>13</v>
      </c>
      <c r="B31" s="4">
        <v>46076</v>
      </c>
      <c r="C31" s="5">
        <v>0.78638888888888892</v>
      </c>
      <c r="D31" s="10" t="s">
        <v>4</v>
      </c>
      <c r="E31" s="10" t="s">
        <v>8</v>
      </c>
      <c r="F31" s="10"/>
      <c r="H31" s="10"/>
      <c r="I31" s="10" t="s">
        <v>12923</v>
      </c>
      <c r="J31" s="10" t="s">
        <v>12427</v>
      </c>
      <c r="K31" t="s">
        <v>12924</v>
      </c>
      <c r="L31" t="s">
        <v>12925</v>
      </c>
      <c r="M31" s="3" t="str">
        <f>HYPERLINK(склад2въезд131920212223789106[[#This Row],[RelativePath]])</f>
        <v>14 На гаражи\GD7678666_1_20260223T185224Z.jpg</v>
      </c>
    </row>
  </sheetData>
  <conditionalFormatting sqref="D32:D42 E32:E45 D2:E31 G2:H31">
    <cfRule type="containsText" dxfId="637" priority="14" operator="containsText" text="Выезд с территории">
      <formula>NOT(ISERROR(SEARCH("Выезд с территории",D2)))</formula>
    </cfRule>
  </conditionalFormatting>
  <conditionalFormatting sqref="F2:F31">
    <cfRule type="notContainsText" dxfId="636" priority="13" operator="notContains" text="порожний">
      <formula>ISERROR(SEARCH("порожний",F2))</formula>
    </cfRule>
  </conditionalFormatting>
  <conditionalFormatting sqref="E2:E45">
    <cfRule type="containsText" dxfId="635" priority="11" operator="containsText" text="Газель базы">
      <formula>NOT(ISERROR(SEARCH("Газель базы",E2)))</formula>
    </cfRule>
    <cfRule type="containsText" dxfId="634" priority="12" operator="containsText" text="Погрузчик базы">
      <formula>NOT(ISERROR(SEARCH("Погрузчик базы",E2)))</formula>
    </cfRule>
  </conditionalFormatting>
  <conditionalFormatting sqref="E2:E45">
    <cfRule type="containsText" dxfId="633" priority="10" operator="containsText" text="Трактор базы">
      <formula>NOT(ISERROR(SEARCH("Трактор базы",E2)))</formula>
    </cfRule>
  </conditionalFormatting>
  <conditionalFormatting sqref="A2:C31">
    <cfRule type="expression" dxfId="632" priority="9">
      <formula>$A2="пн"</formula>
    </cfRule>
  </conditionalFormatting>
  <conditionalFormatting sqref="A2:C33">
    <cfRule type="expression" dxfId="631" priority="3">
      <formula>$A2="вс"</formula>
    </cfRule>
    <cfRule type="expression" dxfId="630" priority="4">
      <formula>$A2="сб"</formula>
    </cfRule>
    <cfRule type="expression" dxfId="629" priority="5">
      <formula>$A2="пт"</formula>
    </cfRule>
    <cfRule type="expression" dxfId="628" priority="6">
      <formula>$A2="чт"</formula>
    </cfRule>
    <cfRule type="expression" dxfId="627" priority="7">
      <formula>$A2="ср"</formula>
    </cfRule>
    <cfRule type="expression" dxfId="626" priority="8">
      <formula>$A2="вт"</formula>
    </cfRule>
  </conditionalFormatting>
  <conditionalFormatting sqref="D2:D42">
    <cfRule type="containsText" dxfId="6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">
    <cfRule type="containsText" dxfId="6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109"/>
  <sheetViews>
    <sheetView tabSelected="1" topLeftCell="A4052" zoomScale="90" zoomScaleNormal="90" workbookViewId="0">
      <selection activeCell="D4113" sqref="D411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hidden="1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hidden="1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hidden="1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hidden="1" x14ac:dyDescent="0.25">
      <c r="A3538" t="s">
        <v>2014</v>
      </c>
      <c r="F3538" t="s">
        <v>11055</v>
      </c>
      <c r="G3538" t="s">
        <v>1997</v>
      </c>
    </row>
    <row r="3539" spans="1:7" hidden="1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hidden="1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hidden="1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hidden="1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hidden="1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hidden="1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hidden="1" x14ac:dyDescent="0.25">
      <c r="A3628" t="s">
        <v>11425</v>
      </c>
      <c r="F3628" t="s">
        <v>11406</v>
      </c>
      <c r="G3628" t="s">
        <v>1997</v>
      </c>
    </row>
    <row r="3629" spans="1:7" hidden="1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hidden="1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hidden="1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hidden="1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hidden="1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hidden="1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hidden="1" x14ac:dyDescent="0.25">
      <c r="A3705" t="s">
        <v>11660</v>
      </c>
      <c r="F3705" t="s">
        <v>11568</v>
      </c>
      <c r="G3705" t="s">
        <v>1997</v>
      </c>
    </row>
    <row r="3706" spans="1:7" hidden="1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hidden="1" x14ac:dyDescent="0.25">
      <c r="A3709" t="s">
        <v>2004</v>
      </c>
      <c r="F3709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hidden="1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hidden="1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hidden="1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hidden="1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hidden="1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hidden="1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hidden="1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hidden="1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hidden="1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hidden="1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hidden="1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hidden="1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hidden="1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hidden="1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hidden="1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hidden="1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hidden="1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hidden="1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hidden="1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hidden="1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hidden="1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hidden="1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hidden="1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hidden="1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hidden="1" x14ac:dyDescent="0.25">
      <c r="A3767" t="s">
        <v>11960</v>
      </c>
      <c r="F3767" t="s">
        <v>11936</v>
      </c>
      <c r="G3767" t="s">
        <v>1106</v>
      </c>
    </row>
    <row r="3768" spans="1:7" hidden="1" x14ac:dyDescent="0.25">
      <c r="A3768" t="s">
        <v>11961</v>
      </c>
      <c r="F3768" t="s">
        <v>11939</v>
      </c>
      <c r="G3768" t="s">
        <v>1106</v>
      </c>
    </row>
    <row r="3769" spans="1:7" hidden="1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hidden="1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hidden="1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hidden="1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hidden="1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hidden="1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hidden="1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hidden="1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hidden="1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hidden="1" x14ac:dyDescent="0.25">
      <c r="A3778" t="s">
        <v>11961</v>
      </c>
      <c r="F3778" t="s">
        <v>11796</v>
      </c>
      <c r="G3778" t="s">
        <v>1107</v>
      </c>
    </row>
    <row r="3779" spans="1:7" hidden="1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hidden="1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hidden="1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hidden="1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hidden="1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hidden="1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hidden="1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hidden="1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hidden="1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hidden="1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hidden="1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hidden="1" x14ac:dyDescent="0.25">
      <c r="A3790" t="s">
        <v>11961</v>
      </c>
      <c r="F3790" t="s">
        <v>11832</v>
      </c>
      <c r="G3790" t="s">
        <v>1934</v>
      </c>
    </row>
    <row r="3791" spans="1:7" hidden="1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hidden="1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hidden="1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hidden="1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hidden="1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hidden="1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hidden="1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hidden="1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hidden="1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hidden="1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hidden="1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hidden="1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hidden="1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hidden="1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hidden="1" x14ac:dyDescent="0.25">
      <c r="A3805" t="s">
        <v>290</v>
      </c>
      <c r="B3805" t="s">
        <v>12013</v>
      </c>
      <c r="C3805" t="s">
        <v>1622</v>
      </c>
      <c r="D3805">
        <v>2</v>
      </c>
      <c r="F3805" t="s">
        <v>11977</v>
      </c>
      <c r="G3805" t="s">
        <v>1104</v>
      </c>
    </row>
    <row r="3806" spans="1:7" hidden="1" x14ac:dyDescent="0.25">
      <c r="A3806" t="s">
        <v>12017</v>
      </c>
      <c r="B3806" t="s">
        <v>12014</v>
      </c>
      <c r="F3806" t="s">
        <v>11980</v>
      </c>
      <c r="G3806" t="s">
        <v>1104</v>
      </c>
    </row>
    <row r="3807" spans="1:7" hidden="1" x14ac:dyDescent="0.25">
      <c r="A3807" t="s">
        <v>12015</v>
      </c>
      <c r="B3807" t="s">
        <v>12014</v>
      </c>
      <c r="F3807" t="s">
        <v>11983</v>
      </c>
      <c r="G3807" t="s">
        <v>1104</v>
      </c>
    </row>
    <row r="3808" spans="1:7" hidden="1" x14ac:dyDescent="0.25">
      <c r="A3808" t="s">
        <v>4</v>
      </c>
      <c r="B3808" t="s">
        <v>12016</v>
      </c>
      <c r="F3808" t="s">
        <v>11986</v>
      </c>
      <c r="G3808" t="s">
        <v>1104</v>
      </c>
    </row>
    <row r="3809" spans="1:7" hidden="1" x14ac:dyDescent="0.25">
      <c r="A3809" t="s">
        <v>12017</v>
      </c>
      <c r="B3809" t="s">
        <v>12014</v>
      </c>
      <c r="F3809" t="s">
        <v>11989</v>
      </c>
      <c r="G3809" t="s">
        <v>1104</v>
      </c>
    </row>
    <row r="3810" spans="1:7" hidden="1" x14ac:dyDescent="0.25">
      <c r="A3810" t="s">
        <v>62</v>
      </c>
      <c r="B3810" t="s">
        <v>12014</v>
      </c>
      <c r="F3810" t="s">
        <v>11992</v>
      </c>
      <c r="G3810" t="s">
        <v>1104</v>
      </c>
    </row>
    <row r="3811" spans="1:7" hidden="1" x14ac:dyDescent="0.25">
      <c r="A3811" t="s">
        <v>651</v>
      </c>
      <c r="B3811" t="s">
        <v>86</v>
      </c>
      <c r="F3811" t="s">
        <v>11995</v>
      </c>
      <c r="G3811" t="s">
        <v>1105</v>
      </c>
    </row>
    <row r="3812" spans="1:7" hidden="1" x14ac:dyDescent="0.25">
      <c r="A3812" t="s">
        <v>11957</v>
      </c>
      <c r="B3812" t="s">
        <v>12014</v>
      </c>
      <c r="F3812" t="s">
        <v>11998</v>
      </c>
      <c r="G3812" t="s">
        <v>1105</v>
      </c>
    </row>
    <row r="3813" spans="1:7" hidden="1" x14ac:dyDescent="0.25">
      <c r="A3813" t="s">
        <v>201</v>
      </c>
      <c r="B3813" t="s">
        <v>12014</v>
      </c>
      <c r="F3813" t="s">
        <v>12001</v>
      </c>
      <c r="G3813" t="s">
        <v>1105</v>
      </c>
    </row>
    <row r="3814" spans="1:7" hidden="1" x14ac:dyDescent="0.25">
      <c r="A3814" t="s">
        <v>4</v>
      </c>
      <c r="B3814" t="s">
        <v>8045</v>
      </c>
      <c r="F3814" t="s">
        <v>12004</v>
      </c>
      <c r="G3814" t="s">
        <v>1106</v>
      </c>
    </row>
    <row r="3815" spans="1:7" hidden="1" x14ac:dyDescent="0.25">
      <c r="A3815" t="s">
        <v>4</v>
      </c>
      <c r="B3815" t="s">
        <v>8</v>
      </c>
      <c r="F3815" t="s">
        <v>12007</v>
      </c>
      <c r="G3815" t="s">
        <v>1106</v>
      </c>
    </row>
    <row r="3816" spans="1:7" hidden="1" x14ac:dyDescent="0.25">
      <c r="A3816" t="s">
        <v>4</v>
      </c>
      <c r="B3816" t="s">
        <v>8045</v>
      </c>
      <c r="F3816" t="s">
        <v>12010</v>
      </c>
      <c r="G3816" t="s">
        <v>1106</v>
      </c>
    </row>
    <row r="3817" spans="1:7" hidden="1" x14ac:dyDescent="0.25">
      <c r="A3817" t="s">
        <v>4</v>
      </c>
      <c r="B3817" t="s">
        <v>4248</v>
      </c>
      <c r="F3817" t="s">
        <v>12018</v>
      </c>
      <c r="G3817" t="s">
        <v>1107</v>
      </c>
    </row>
    <row r="3818" spans="1:7" hidden="1" x14ac:dyDescent="0.25">
      <c r="A3818" t="s">
        <v>4</v>
      </c>
      <c r="B3818" t="s">
        <v>4248</v>
      </c>
      <c r="E3818" t="s">
        <v>2936</v>
      </c>
      <c r="F3818" t="s">
        <v>12021</v>
      </c>
      <c r="G3818" t="s">
        <v>1107</v>
      </c>
    </row>
    <row r="3819" spans="1:7" hidden="1" x14ac:dyDescent="0.25">
      <c r="A3819" t="s">
        <v>2004</v>
      </c>
      <c r="B3819" t="s">
        <v>8</v>
      </c>
      <c r="F3819" t="s">
        <v>12024</v>
      </c>
      <c r="G3819" t="s">
        <v>1107</v>
      </c>
    </row>
    <row r="3820" spans="1:7" hidden="1" x14ac:dyDescent="0.25">
      <c r="A3820" t="s">
        <v>4</v>
      </c>
      <c r="B3820" t="s">
        <v>12027</v>
      </c>
      <c r="F3820" t="s">
        <v>11965</v>
      </c>
      <c r="G3820" t="s">
        <v>1934</v>
      </c>
    </row>
    <row r="3821" spans="1:7" hidden="1" x14ac:dyDescent="0.25">
      <c r="A3821" t="s">
        <v>2004</v>
      </c>
      <c r="B3821" t="s">
        <v>8</v>
      </c>
      <c r="F3821" t="s">
        <v>11968</v>
      </c>
      <c r="G3821" t="s">
        <v>1934</v>
      </c>
    </row>
    <row r="3822" spans="1:7" hidden="1" x14ac:dyDescent="0.25">
      <c r="A3822" t="s">
        <v>651</v>
      </c>
      <c r="B3822" t="s">
        <v>86</v>
      </c>
      <c r="F3822" t="s">
        <v>11971</v>
      </c>
      <c r="G3822" t="s">
        <v>1997</v>
      </c>
    </row>
    <row r="3823" spans="1:7" hidden="1" x14ac:dyDescent="0.25">
      <c r="A3823" t="s">
        <v>2004</v>
      </c>
      <c r="B3823" t="s">
        <v>8</v>
      </c>
      <c r="F3823" t="s">
        <v>11974</v>
      </c>
      <c r="G3823" t="s">
        <v>1997</v>
      </c>
    </row>
    <row r="3824" spans="1:7" hidden="1" x14ac:dyDescent="0.25">
      <c r="A3824" t="s">
        <v>2004</v>
      </c>
      <c r="B3824" t="s">
        <v>8</v>
      </c>
      <c r="F3824" t="s">
        <v>12028</v>
      </c>
      <c r="G3824" t="s">
        <v>1105</v>
      </c>
    </row>
    <row r="3825" spans="1:7" hidden="1" x14ac:dyDescent="0.25">
      <c r="A3825" t="s">
        <v>2004</v>
      </c>
      <c r="B3825" t="s">
        <v>8</v>
      </c>
      <c r="F3825" t="s">
        <v>12037</v>
      </c>
      <c r="G3825" t="s">
        <v>1104</v>
      </c>
    </row>
    <row r="3826" spans="1:7" hidden="1" x14ac:dyDescent="0.25">
      <c r="A3826" t="s">
        <v>4</v>
      </c>
      <c r="B3826" t="s">
        <v>10638</v>
      </c>
      <c r="F3826" t="s">
        <v>12040</v>
      </c>
      <c r="G3826" t="s">
        <v>1105</v>
      </c>
    </row>
    <row r="3827" spans="1:7" hidden="1" x14ac:dyDescent="0.25">
      <c r="A3827" t="s">
        <v>4</v>
      </c>
      <c r="B3827" t="s">
        <v>8045</v>
      </c>
      <c r="F3827" t="s">
        <v>12031</v>
      </c>
      <c r="G3827" t="s">
        <v>1106</v>
      </c>
    </row>
    <row r="3828" spans="1:7" hidden="1" x14ac:dyDescent="0.25">
      <c r="A3828" t="s">
        <v>4</v>
      </c>
      <c r="B3828" t="s">
        <v>8</v>
      </c>
      <c r="E3828" t="s">
        <v>2936</v>
      </c>
      <c r="F3828" t="s">
        <v>12034</v>
      </c>
      <c r="G3828" t="s">
        <v>1106</v>
      </c>
    </row>
    <row r="3829" spans="1:7" hidden="1" x14ac:dyDescent="0.25">
      <c r="A3829" t="s">
        <v>2004</v>
      </c>
      <c r="B3829" t="s">
        <v>8</v>
      </c>
      <c r="F3829" t="s">
        <v>12058</v>
      </c>
      <c r="G3829" t="s">
        <v>1107</v>
      </c>
    </row>
    <row r="3830" spans="1:7" hidden="1" x14ac:dyDescent="0.25">
      <c r="A3830" t="s">
        <v>4</v>
      </c>
      <c r="B3830" t="s">
        <v>10638</v>
      </c>
      <c r="F3830" t="s">
        <v>12043</v>
      </c>
      <c r="G3830" t="s">
        <v>1934</v>
      </c>
    </row>
    <row r="3831" spans="1:7" hidden="1" x14ac:dyDescent="0.25">
      <c r="A3831" t="s">
        <v>4</v>
      </c>
      <c r="B3831" t="s">
        <v>12061</v>
      </c>
      <c r="E3831" t="s">
        <v>2936</v>
      </c>
      <c r="F3831" t="s">
        <v>12046</v>
      </c>
      <c r="G3831" t="s">
        <v>1934</v>
      </c>
    </row>
    <row r="3832" spans="1:7" hidden="1" x14ac:dyDescent="0.25">
      <c r="A3832" t="s">
        <v>12</v>
      </c>
      <c r="F3832" t="s">
        <v>12049</v>
      </c>
      <c r="G3832" t="s">
        <v>1934</v>
      </c>
    </row>
    <row r="3833" spans="1:7" hidden="1" x14ac:dyDescent="0.25">
      <c r="A3833" t="s">
        <v>4</v>
      </c>
      <c r="B3833" t="s">
        <v>8</v>
      </c>
      <c r="E3833" t="s">
        <v>2936</v>
      </c>
      <c r="F3833" t="s">
        <v>12052</v>
      </c>
      <c r="G3833" t="s">
        <v>1934</v>
      </c>
    </row>
    <row r="3834" spans="1:7" hidden="1" x14ac:dyDescent="0.25">
      <c r="A3834" t="s">
        <v>2004</v>
      </c>
      <c r="B3834" t="s">
        <v>8</v>
      </c>
      <c r="F3834" t="s">
        <v>12055</v>
      </c>
      <c r="G3834" t="s">
        <v>1997</v>
      </c>
    </row>
    <row r="3835" spans="1:7" hidden="1" x14ac:dyDescent="0.25">
      <c r="A3835" t="s">
        <v>12174</v>
      </c>
      <c r="B3835" t="s">
        <v>12175</v>
      </c>
      <c r="D3835" s="9"/>
      <c r="F3835" t="s">
        <v>12093</v>
      </c>
      <c r="G3835" t="s">
        <v>12173</v>
      </c>
    </row>
    <row r="3836" spans="1:7" hidden="1" x14ac:dyDescent="0.25">
      <c r="A3836" t="s">
        <v>12174</v>
      </c>
      <c r="B3836" t="s">
        <v>12176</v>
      </c>
      <c r="D3836" s="9"/>
      <c r="F3836" t="s">
        <v>12095</v>
      </c>
      <c r="G3836" t="s">
        <v>12173</v>
      </c>
    </row>
    <row r="3837" spans="1:7" hidden="1" x14ac:dyDescent="0.25">
      <c r="A3837" t="s">
        <v>12177</v>
      </c>
      <c r="B3837" t="s">
        <v>12178</v>
      </c>
      <c r="D3837" s="9"/>
      <c r="F3837" t="s">
        <v>12097</v>
      </c>
      <c r="G3837" t="s">
        <v>12173</v>
      </c>
    </row>
    <row r="3838" spans="1:7" hidden="1" x14ac:dyDescent="0.25">
      <c r="A3838" t="s">
        <v>12177</v>
      </c>
      <c r="B3838" t="s">
        <v>12178</v>
      </c>
      <c r="D3838" s="9"/>
      <c r="F3838" t="s">
        <v>12099</v>
      </c>
      <c r="G3838" t="s">
        <v>12173</v>
      </c>
    </row>
    <row r="3839" spans="1:7" hidden="1" x14ac:dyDescent="0.25">
      <c r="A3839" t="s">
        <v>12179</v>
      </c>
      <c r="B3839" t="s">
        <v>12175</v>
      </c>
      <c r="D3839" s="9"/>
      <c r="F3839" t="s">
        <v>12101</v>
      </c>
      <c r="G3839" t="s">
        <v>12173</v>
      </c>
    </row>
    <row r="3840" spans="1:7" hidden="1" x14ac:dyDescent="0.25">
      <c r="A3840" t="s">
        <v>12179</v>
      </c>
      <c r="B3840" t="s">
        <v>12176</v>
      </c>
      <c r="D3840" s="9"/>
      <c r="F3840" t="s">
        <v>12101</v>
      </c>
      <c r="G3840" t="s">
        <v>12173</v>
      </c>
    </row>
    <row r="3841" spans="1:7" hidden="1" x14ac:dyDescent="0.25">
      <c r="A3841" t="s">
        <v>12174</v>
      </c>
      <c r="B3841" t="s">
        <v>12175</v>
      </c>
      <c r="D3841" s="9"/>
      <c r="F3841" t="s">
        <v>12103</v>
      </c>
      <c r="G3841" t="s">
        <v>12173</v>
      </c>
    </row>
    <row r="3842" spans="1:7" hidden="1" x14ac:dyDescent="0.25">
      <c r="A3842" t="s">
        <v>12177</v>
      </c>
      <c r="B3842" t="s">
        <v>12175</v>
      </c>
      <c r="D3842" s="9"/>
      <c r="F3842" t="s">
        <v>12105</v>
      </c>
      <c r="G3842" t="s">
        <v>12173</v>
      </c>
    </row>
    <row r="3843" spans="1:7" hidden="1" x14ac:dyDescent="0.25">
      <c r="A3843" t="s">
        <v>12174</v>
      </c>
      <c r="B3843" t="s">
        <v>12176</v>
      </c>
      <c r="D3843" s="9"/>
      <c r="F3843" t="s">
        <v>12107</v>
      </c>
      <c r="G3843" t="s">
        <v>12173</v>
      </c>
    </row>
    <row r="3844" spans="1:7" hidden="1" x14ac:dyDescent="0.25">
      <c r="A3844" t="s">
        <v>12177</v>
      </c>
      <c r="B3844" t="s">
        <v>12178</v>
      </c>
      <c r="D3844" s="9"/>
      <c r="F3844" t="s">
        <v>12109</v>
      </c>
      <c r="G3844" t="s">
        <v>12173</v>
      </c>
    </row>
    <row r="3845" spans="1:7" hidden="1" x14ac:dyDescent="0.25">
      <c r="A3845" t="s">
        <v>12179</v>
      </c>
      <c r="B3845" t="s">
        <v>12176</v>
      </c>
      <c r="D3845" s="9"/>
      <c r="F3845" t="s">
        <v>12111</v>
      </c>
      <c r="G3845" t="s">
        <v>12173</v>
      </c>
    </row>
    <row r="3846" spans="1:7" hidden="1" x14ac:dyDescent="0.25">
      <c r="A3846" t="s">
        <v>12174</v>
      </c>
      <c r="B3846" t="s">
        <v>12176</v>
      </c>
      <c r="D3846" s="9"/>
      <c r="F3846" t="s">
        <v>12113</v>
      </c>
      <c r="G3846" t="s">
        <v>12173</v>
      </c>
    </row>
    <row r="3847" spans="1:7" hidden="1" x14ac:dyDescent="0.25">
      <c r="A3847" t="s">
        <v>12177</v>
      </c>
      <c r="B3847" t="s">
        <v>12178</v>
      </c>
      <c r="D3847" s="9"/>
      <c r="F3847" t="s">
        <v>12115</v>
      </c>
      <c r="G3847" t="s">
        <v>12173</v>
      </c>
    </row>
    <row r="3848" spans="1:7" hidden="1" x14ac:dyDescent="0.25">
      <c r="A3848" t="s">
        <v>12179</v>
      </c>
      <c r="B3848" t="s">
        <v>12176</v>
      </c>
      <c r="D3848" s="9"/>
      <c r="F3848" t="s">
        <v>12117</v>
      </c>
      <c r="G3848" t="s">
        <v>12173</v>
      </c>
    </row>
    <row r="3849" spans="1:7" hidden="1" x14ac:dyDescent="0.25">
      <c r="A3849" t="s">
        <v>12174</v>
      </c>
      <c r="B3849" t="s">
        <v>12176</v>
      </c>
      <c r="D3849" s="9"/>
      <c r="F3849" t="s">
        <v>12119</v>
      </c>
      <c r="G3849" t="s">
        <v>12173</v>
      </c>
    </row>
    <row r="3850" spans="1:7" hidden="1" x14ac:dyDescent="0.25">
      <c r="A3850" t="s">
        <v>12177</v>
      </c>
      <c r="B3850" t="s">
        <v>12178</v>
      </c>
      <c r="D3850" s="9"/>
      <c r="F3850" t="s">
        <v>12121</v>
      </c>
      <c r="G3850" t="s">
        <v>12173</v>
      </c>
    </row>
    <row r="3851" spans="1:7" hidden="1" x14ac:dyDescent="0.25">
      <c r="A3851" t="s">
        <v>12179</v>
      </c>
      <c r="B3851" t="s">
        <v>12176</v>
      </c>
      <c r="D3851" s="9"/>
      <c r="F3851" t="s">
        <v>12123</v>
      </c>
      <c r="G3851" t="s">
        <v>12173</v>
      </c>
    </row>
    <row r="3852" spans="1:7" hidden="1" x14ac:dyDescent="0.25">
      <c r="A3852" t="s">
        <v>12179</v>
      </c>
      <c r="B3852" t="s">
        <v>12175</v>
      </c>
      <c r="D3852" s="9"/>
      <c r="E3852" t="s">
        <v>12181</v>
      </c>
      <c r="F3852" t="s">
        <v>12072</v>
      </c>
      <c r="G3852" t="s">
        <v>12173</v>
      </c>
    </row>
    <row r="3853" spans="1:7" hidden="1" x14ac:dyDescent="0.25">
      <c r="A3853" t="s">
        <v>12174</v>
      </c>
      <c r="B3853" t="s">
        <v>12178</v>
      </c>
      <c r="D3853" s="9"/>
      <c r="F3853" t="s">
        <v>12125</v>
      </c>
      <c r="G3853" t="s">
        <v>12173</v>
      </c>
    </row>
    <row r="3854" spans="1:7" hidden="1" x14ac:dyDescent="0.25">
      <c r="A3854" t="s">
        <v>12177</v>
      </c>
      <c r="B3854" t="s">
        <v>12178</v>
      </c>
      <c r="D3854" s="9"/>
      <c r="F3854" t="s">
        <v>12127</v>
      </c>
      <c r="G3854" t="s">
        <v>12173</v>
      </c>
    </row>
    <row r="3855" spans="1:7" hidden="1" x14ac:dyDescent="0.25">
      <c r="A3855" t="s">
        <v>12179</v>
      </c>
      <c r="B3855" t="s">
        <v>12176</v>
      </c>
      <c r="D3855" s="9"/>
      <c r="F3855" t="s">
        <v>12129</v>
      </c>
      <c r="G3855" t="s">
        <v>12173</v>
      </c>
    </row>
    <row r="3856" spans="1:7" hidden="1" x14ac:dyDescent="0.25">
      <c r="A3856" t="s">
        <v>12174</v>
      </c>
      <c r="B3856" t="s">
        <v>12176</v>
      </c>
      <c r="D3856" s="9"/>
      <c r="E3856" t="s">
        <v>12180</v>
      </c>
      <c r="F3856" t="s">
        <v>12131</v>
      </c>
      <c r="G3856" t="s">
        <v>12173</v>
      </c>
    </row>
    <row r="3857" spans="1:7" hidden="1" x14ac:dyDescent="0.25">
      <c r="A3857" t="s">
        <v>12177</v>
      </c>
      <c r="B3857" t="s">
        <v>12178</v>
      </c>
      <c r="D3857" s="9"/>
      <c r="F3857" t="s">
        <v>12133</v>
      </c>
      <c r="G3857" t="s">
        <v>12173</v>
      </c>
    </row>
    <row r="3858" spans="1:7" hidden="1" x14ac:dyDescent="0.25">
      <c r="A3858" t="s">
        <v>12179</v>
      </c>
      <c r="B3858" t="s">
        <v>12176</v>
      </c>
      <c r="D3858" s="9"/>
      <c r="F3858" t="s">
        <v>12135</v>
      </c>
      <c r="G3858" t="s">
        <v>12173</v>
      </c>
    </row>
    <row r="3859" spans="1:7" hidden="1" x14ac:dyDescent="0.25">
      <c r="A3859" t="s">
        <v>12177</v>
      </c>
      <c r="B3859" t="s">
        <v>12175</v>
      </c>
      <c r="D3859" s="9"/>
      <c r="F3859" t="s">
        <v>12137</v>
      </c>
      <c r="G3859" t="s">
        <v>12173</v>
      </c>
    </row>
    <row r="3860" spans="1:7" hidden="1" x14ac:dyDescent="0.25">
      <c r="A3860" t="s">
        <v>12179</v>
      </c>
      <c r="B3860" t="s">
        <v>12175</v>
      </c>
      <c r="D3860" s="9"/>
      <c r="F3860" t="s">
        <v>12139</v>
      </c>
      <c r="G3860" t="s">
        <v>12173</v>
      </c>
    </row>
    <row r="3861" spans="1:7" hidden="1" x14ac:dyDescent="0.25">
      <c r="A3861" t="s">
        <v>12174</v>
      </c>
      <c r="B3861" t="s">
        <v>12175</v>
      </c>
      <c r="D3861" s="9"/>
      <c r="F3861" t="s">
        <v>12141</v>
      </c>
      <c r="G3861" t="s">
        <v>12173</v>
      </c>
    </row>
    <row r="3862" spans="1:7" hidden="1" x14ac:dyDescent="0.25">
      <c r="A3862" t="s">
        <v>12177</v>
      </c>
      <c r="B3862" t="s">
        <v>12175</v>
      </c>
      <c r="D3862" s="9"/>
      <c r="F3862" t="s">
        <v>12143</v>
      </c>
      <c r="G3862" t="s">
        <v>12173</v>
      </c>
    </row>
    <row r="3863" spans="1:7" hidden="1" x14ac:dyDescent="0.25">
      <c r="A3863" t="s">
        <v>12179</v>
      </c>
      <c r="B3863" t="s">
        <v>12175</v>
      </c>
      <c r="D3863" s="9"/>
      <c r="F3863" t="s">
        <v>12146</v>
      </c>
      <c r="G3863" t="s">
        <v>12173</v>
      </c>
    </row>
    <row r="3864" spans="1:7" hidden="1" x14ac:dyDescent="0.25">
      <c r="A3864" t="s">
        <v>12174</v>
      </c>
      <c r="B3864" t="s">
        <v>12175</v>
      </c>
      <c r="D3864" s="9"/>
      <c r="F3864" t="s">
        <v>12149</v>
      </c>
      <c r="G3864" t="s">
        <v>12173</v>
      </c>
    </row>
    <row r="3865" spans="1:7" hidden="1" x14ac:dyDescent="0.25">
      <c r="A3865" t="s">
        <v>12177</v>
      </c>
      <c r="B3865" t="s">
        <v>12175</v>
      </c>
      <c r="D3865" s="9"/>
      <c r="F3865" t="s">
        <v>12152</v>
      </c>
      <c r="G3865" t="s">
        <v>12173</v>
      </c>
    </row>
    <row r="3866" spans="1:7" hidden="1" x14ac:dyDescent="0.25">
      <c r="A3866" t="s">
        <v>12182</v>
      </c>
      <c r="B3866" t="s">
        <v>12175</v>
      </c>
      <c r="D3866" s="9"/>
      <c r="F3866" t="s">
        <v>12155</v>
      </c>
      <c r="G3866" t="s">
        <v>12173</v>
      </c>
    </row>
    <row r="3867" spans="1:7" hidden="1" x14ac:dyDescent="0.25">
      <c r="A3867" t="s">
        <v>12</v>
      </c>
      <c r="B3867" t="s">
        <v>12175</v>
      </c>
      <c r="D3867" s="9"/>
      <c r="F3867" t="s">
        <v>12158</v>
      </c>
      <c r="G3867" t="s">
        <v>12173</v>
      </c>
    </row>
    <row r="3868" spans="1:7" hidden="1" x14ac:dyDescent="0.25">
      <c r="A3868" t="s">
        <v>12183</v>
      </c>
      <c r="B3868" t="s">
        <v>12175</v>
      </c>
      <c r="D3868" s="9"/>
      <c r="F3868" t="s">
        <v>12161</v>
      </c>
      <c r="G3868" t="s">
        <v>12173</v>
      </c>
    </row>
    <row r="3869" spans="1:7" hidden="1" x14ac:dyDescent="0.25">
      <c r="A3869" t="s">
        <v>12179</v>
      </c>
      <c r="B3869" t="s">
        <v>12175</v>
      </c>
      <c r="D3869" s="9"/>
      <c r="F3869" t="s">
        <v>12164</v>
      </c>
      <c r="G3869" t="s">
        <v>12173</v>
      </c>
    </row>
    <row r="3870" spans="1:7" hidden="1" x14ac:dyDescent="0.25">
      <c r="A3870" t="s">
        <v>12174</v>
      </c>
      <c r="B3870" t="s">
        <v>12175</v>
      </c>
      <c r="D3870" s="9"/>
      <c r="F3870" t="s">
        <v>12166</v>
      </c>
      <c r="G3870" t="s">
        <v>12173</v>
      </c>
    </row>
    <row r="3871" spans="1:7" hidden="1" x14ac:dyDescent="0.25">
      <c r="A3871" t="s">
        <v>12183</v>
      </c>
      <c r="B3871" t="s">
        <v>12175</v>
      </c>
      <c r="D3871" s="9"/>
      <c r="F3871" t="s">
        <v>12169</v>
      </c>
      <c r="G3871" t="s">
        <v>12173</v>
      </c>
    </row>
    <row r="3872" spans="1:7" hidden="1" x14ac:dyDescent="0.25">
      <c r="A3872" t="s">
        <v>12179</v>
      </c>
      <c r="B3872" t="s">
        <v>12175</v>
      </c>
      <c r="D3872" s="9"/>
      <c r="F3872" t="s">
        <v>12171</v>
      </c>
      <c r="G3872" t="s">
        <v>12173</v>
      </c>
    </row>
    <row r="3873" spans="1:7" hidden="1" x14ac:dyDescent="0.25">
      <c r="A3873" t="s">
        <v>2004</v>
      </c>
      <c r="B3873" t="s">
        <v>8</v>
      </c>
      <c r="F3873" t="s">
        <v>12257</v>
      </c>
      <c r="G3873" t="s">
        <v>1104</v>
      </c>
    </row>
    <row r="3874" spans="1:7" hidden="1" x14ac:dyDescent="0.25">
      <c r="A3874" t="s">
        <v>12370</v>
      </c>
      <c r="B3874" t="s">
        <v>86</v>
      </c>
      <c r="F3874" t="s">
        <v>12260</v>
      </c>
      <c r="G3874" t="s">
        <v>1104</v>
      </c>
    </row>
    <row r="3875" spans="1:7" hidden="1" x14ac:dyDescent="0.25">
      <c r="A3875" t="s">
        <v>12370</v>
      </c>
      <c r="B3875" t="s">
        <v>86</v>
      </c>
      <c r="F3875" t="s">
        <v>12263</v>
      </c>
      <c r="G3875" t="s">
        <v>1104</v>
      </c>
    </row>
    <row r="3876" spans="1:7" hidden="1" x14ac:dyDescent="0.25">
      <c r="A3876" t="s">
        <v>12370</v>
      </c>
      <c r="B3876" t="s">
        <v>86</v>
      </c>
      <c r="F3876" t="s">
        <v>12266</v>
      </c>
      <c r="G3876" t="s">
        <v>1104</v>
      </c>
    </row>
    <row r="3877" spans="1:7" hidden="1" x14ac:dyDescent="0.25">
      <c r="A3877" t="s">
        <v>4</v>
      </c>
      <c r="B3877" t="s">
        <v>12371</v>
      </c>
      <c r="F3877" t="s">
        <v>12269</v>
      </c>
      <c r="G3877" t="s">
        <v>1104</v>
      </c>
    </row>
    <row r="3878" spans="1:7" hidden="1" x14ac:dyDescent="0.25">
      <c r="A3878" t="s">
        <v>12370</v>
      </c>
      <c r="B3878" t="s">
        <v>531</v>
      </c>
      <c r="F3878" t="s">
        <v>12272</v>
      </c>
      <c r="G3878" t="s">
        <v>1104</v>
      </c>
    </row>
    <row r="3879" spans="1:7" hidden="1" x14ac:dyDescent="0.25">
      <c r="A3879" t="s">
        <v>4</v>
      </c>
      <c r="B3879" t="s">
        <v>12371</v>
      </c>
      <c r="F3879" t="s">
        <v>12275</v>
      </c>
      <c r="G3879" t="s">
        <v>1104</v>
      </c>
    </row>
    <row r="3880" spans="1:7" hidden="1" x14ac:dyDescent="0.25">
      <c r="A3880" t="s">
        <v>11961</v>
      </c>
      <c r="F3880" t="s">
        <v>12278</v>
      </c>
      <c r="G3880" t="s">
        <v>1104</v>
      </c>
    </row>
    <row r="3881" spans="1:7" hidden="1" x14ac:dyDescent="0.25">
      <c r="A3881" t="s">
        <v>12017</v>
      </c>
      <c r="B3881" t="s">
        <v>4193</v>
      </c>
      <c r="F3881" t="s">
        <v>12373</v>
      </c>
      <c r="G3881" t="s">
        <v>1104</v>
      </c>
    </row>
    <row r="3882" spans="1:7" hidden="1" x14ac:dyDescent="0.25">
      <c r="A3882" t="s">
        <v>651</v>
      </c>
      <c r="B3882" t="s">
        <v>86</v>
      </c>
      <c r="F3882" t="s">
        <v>12281</v>
      </c>
      <c r="G3882" t="s">
        <v>1104</v>
      </c>
    </row>
    <row r="3883" spans="1:7" hidden="1" x14ac:dyDescent="0.25">
      <c r="A3883" t="s">
        <v>1606</v>
      </c>
      <c r="B3883" t="s">
        <v>12372</v>
      </c>
      <c r="F3883" t="s">
        <v>12284</v>
      </c>
      <c r="G3883" t="s">
        <v>1104</v>
      </c>
    </row>
    <row r="3884" spans="1:7" hidden="1" x14ac:dyDescent="0.25">
      <c r="A3884" t="s">
        <v>62</v>
      </c>
      <c r="B3884" t="s">
        <v>4193</v>
      </c>
      <c r="F3884" t="s">
        <v>12287</v>
      </c>
      <c r="G3884" t="s">
        <v>1104</v>
      </c>
    </row>
    <row r="3885" spans="1:7" hidden="1" x14ac:dyDescent="0.25">
      <c r="A3885" t="s">
        <v>12017</v>
      </c>
      <c r="B3885" t="s">
        <v>12372</v>
      </c>
      <c r="F3885" t="s">
        <v>12290</v>
      </c>
      <c r="G3885" t="s">
        <v>1104</v>
      </c>
    </row>
    <row r="3886" spans="1:7" hidden="1" x14ac:dyDescent="0.25">
      <c r="A3886" t="s">
        <v>62</v>
      </c>
      <c r="B3886" t="s">
        <v>12372</v>
      </c>
      <c r="F3886" t="s">
        <v>12293</v>
      </c>
      <c r="G3886" t="s">
        <v>1104</v>
      </c>
    </row>
    <row r="3887" spans="1:7" hidden="1" x14ac:dyDescent="0.25">
      <c r="A3887" t="s">
        <v>651</v>
      </c>
      <c r="B3887" t="s">
        <v>86</v>
      </c>
      <c r="F3887" t="s">
        <v>12296</v>
      </c>
      <c r="G3887" t="s">
        <v>1104</v>
      </c>
    </row>
    <row r="3888" spans="1:7" hidden="1" x14ac:dyDescent="0.25">
      <c r="A3888" t="s">
        <v>651</v>
      </c>
      <c r="B3888" t="s">
        <v>86</v>
      </c>
      <c r="F3888" t="s">
        <v>12190</v>
      </c>
      <c r="G3888" t="s">
        <v>1105</v>
      </c>
    </row>
    <row r="3889" spans="1:7" hidden="1" x14ac:dyDescent="0.25">
      <c r="A3889" t="s">
        <v>12376</v>
      </c>
      <c r="B3889" t="s">
        <v>86</v>
      </c>
      <c r="F3889" t="s">
        <v>12193</v>
      </c>
      <c r="G3889" t="s">
        <v>1105</v>
      </c>
    </row>
    <row r="3890" spans="1:7" hidden="1" x14ac:dyDescent="0.25">
      <c r="A3890" t="s">
        <v>11961</v>
      </c>
      <c r="F3890" t="s">
        <v>12196</v>
      </c>
      <c r="G3890" t="s">
        <v>1105</v>
      </c>
    </row>
    <row r="3891" spans="1:7" hidden="1" x14ac:dyDescent="0.25">
      <c r="A3891" t="s">
        <v>11957</v>
      </c>
      <c r="B3891" t="s">
        <v>12377</v>
      </c>
      <c r="F3891" t="s">
        <v>12199</v>
      </c>
      <c r="G3891" t="s">
        <v>1105</v>
      </c>
    </row>
    <row r="3892" spans="1:7" hidden="1" x14ac:dyDescent="0.25">
      <c r="A3892" t="s">
        <v>62</v>
      </c>
      <c r="B3892" t="s">
        <v>12377</v>
      </c>
      <c r="C3892" t="s">
        <v>12378</v>
      </c>
      <c r="E3892" t="s">
        <v>12379</v>
      </c>
      <c r="F3892" t="s">
        <v>12202</v>
      </c>
      <c r="G3892" t="s">
        <v>1105</v>
      </c>
    </row>
    <row r="3893" spans="1:7" hidden="1" x14ac:dyDescent="0.25">
      <c r="A3893" t="s">
        <v>159</v>
      </c>
      <c r="B3893" t="s">
        <v>4193</v>
      </c>
      <c r="F3893" t="s">
        <v>12205</v>
      </c>
      <c r="G3893" t="s">
        <v>1105</v>
      </c>
    </row>
    <row r="3894" spans="1:7" hidden="1" x14ac:dyDescent="0.25">
      <c r="A3894" t="s">
        <v>12380</v>
      </c>
      <c r="B3894" t="s">
        <v>86</v>
      </c>
      <c r="F3894" t="s">
        <v>12208</v>
      </c>
      <c r="G3894" t="s">
        <v>1105</v>
      </c>
    </row>
    <row r="3895" spans="1:7" hidden="1" x14ac:dyDescent="0.25">
      <c r="A3895" t="s">
        <v>12381</v>
      </c>
      <c r="F3895" t="s">
        <v>12332</v>
      </c>
      <c r="G3895" t="s">
        <v>1106</v>
      </c>
    </row>
    <row r="3896" spans="1:7" hidden="1" x14ac:dyDescent="0.25">
      <c r="A3896" t="s">
        <v>12381</v>
      </c>
      <c r="F3896" t="s">
        <v>12335</v>
      </c>
      <c r="G3896" t="s">
        <v>1106</v>
      </c>
    </row>
    <row r="3897" spans="1:7" hidden="1" x14ac:dyDescent="0.25">
      <c r="A3897" t="s">
        <v>12381</v>
      </c>
      <c r="F3897" t="s">
        <v>12338</v>
      </c>
      <c r="G3897" t="s">
        <v>1106</v>
      </c>
    </row>
    <row r="3898" spans="1:7" hidden="1" x14ac:dyDescent="0.25">
      <c r="A3898" t="s">
        <v>12381</v>
      </c>
      <c r="F3898" t="s">
        <v>12341</v>
      </c>
      <c r="G3898" t="s">
        <v>1106</v>
      </c>
    </row>
    <row r="3899" spans="1:7" hidden="1" x14ac:dyDescent="0.25">
      <c r="A3899" t="s">
        <v>12381</v>
      </c>
      <c r="F3899" t="s">
        <v>12344</v>
      </c>
      <c r="G3899" t="s">
        <v>1106</v>
      </c>
    </row>
    <row r="3900" spans="1:7" hidden="1" x14ac:dyDescent="0.25">
      <c r="A3900" t="s">
        <v>12381</v>
      </c>
      <c r="F3900" t="s">
        <v>12347</v>
      </c>
      <c r="G3900" t="s">
        <v>1106</v>
      </c>
    </row>
    <row r="3901" spans="1:7" hidden="1" x14ac:dyDescent="0.25">
      <c r="A3901" t="s">
        <v>4</v>
      </c>
      <c r="B3901" t="s">
        <v>8</v>
      </c>
      <c r="F3901" t="s">
        <v>12350</v>
      </c>
      <c r="G3901" t="s">
        <v>1106</v>
      </c>
    </row>
    <row r="3902" spans="1:7" hidden="1" x14ac:dyDescent="0.25">
      <c r="A3902" t="s">
        <v>2004</v>
      </c>
      <c r="B3902" t="s">
        <v>8</v>
      </c>
      <c r="F3902" t="s">
        <v>12353</v>
      </c>
      <c r="G3902" t="s">
        <v>1106</v>
      </c>
    </row>
    <row r="3903" spans="1:7" hidden="1" x14ac:dyDescent="0.25">
      <c r="A3903" t="s">
        <v>2004</v>
      </c>
      <c r="B3903" t="s">
        <v>8</v>
      </c>
      <c r="F3903" t="s">
        <v>12356</v>
      </c>
      <c r="G3903" t="s">
        <v>1106</v>
      </c>
    </row>
    <row r="3904" spans="1:7" hidden="1" x14ac:dyDescent="0.25">
      <c r="A3904" t="s">
        <v>4</v>
      </c>
      <c r="B3904" t="s">
        <v>12382</v>
      </c>
      <c r="F3904" t="s">
        <v>12211</v>
      </c>
      <c r="G3904" t="s">
        <v>1107</v>
      </c>
    </row>
    <row r="3905" spans="1:7" hidden="1" x14ac:dyDescent="0.25">
      <c r="A3905" t="s">
        <v>9876</v>
      </c>
      <c r="F3905" t="s">
        <v>12213</v>
      </c>
      <c r="G3905" t="s">
        <v>1107</v>
      </c>
    </row>
    <row r="3906" spans="1:7" hidden="1" x14ac:dyDescent="0.25">
      <c r="A3906" t="s">
        <v>9876</v>
      </c>
      <c r="F3906" t="s">
        <v>12215</v>
      </c>
      <c r="G3906" t="s">
        <v>1107</v>
      </c>
    </row>
    <row r="3907" spans="1:7" hidden="1" x14ac:dyDescent="0.25">
      <c r="A3907" t="s">
        <v>9876</v>
      </c>
      <c r="F3907" t="s">
        <v>12217</v>
      </c>
      <c r="G3907" t="s">
        <v>1107</v>
      </c>
    </row>
    <row r="3908" spans="1:7" hidden="1" x14ac:dyDescent="0.25">
      <c r="A3908" t="s">
        <v>9876</v>
      </c>
      <c r="F3908" t="s">
        <v>12219</v>
      </c>
      <c r="G3908" t="s">
        <v>1107</v>
      </c>
    </row>
    <row r="3909" spans="1:7" hidden="1" x14ac:dyDescent="0.25">
      <c r="A3909" t="s">
        <v>9876</v>
      </c>
      <c r="F3909" t="s">
        <v>12221</v>
      </c>
      <c r="G3909" t="s">
        <v>1107</v>
      </c>
    </row>
    <row r="3910" spans="1:7" hidden="1" x14ac:dyDescent="0.25">
      <c r="A3910" t="s">
        <v>9876</v>
      </c>
      <c r="F3910" t="s">
        <v>12223</v>
      </c>
      <c r="G3910" t="s">
        <v>1107</v>
      </c>
    </row>
    <row r="3911" spans="1:7" hidden="1" x14ac:dyDescent="0.25">
      <c r="A3911" t="s">
        <v>9876</v>
      </c>
      <c r="F3911" t="s">
        <v>12225</v>
      </c>
      <c r="G3911" t="s">
        <v>1107</v>
      </c>
    </row>
    <row r="3912" spans="1:7" hidden="1" x14ac:dyDescent="0.25">
      <c r="A3912" t="s">
        <v>9876</v>
      </c>
      <c r="F3912" t="s">
        <v>12227</v>
      </c>
      <c r="G3912" t="s">
        <v>1107</v>
      </c>
    </row>
    <row r="3913" spans="1:7" hidden="1" x14ac:dyDescent="0.25">
      <c r="A3913" t="s">
        <v>159</v>
      </c>
      <c r="B3913" t="s">
        <v>12372</v>
      </c>
      <c r="F3913" t="s">
        <v>12229</v>
      </c>
      <c r="G3913" t="s">
        <v>1107</v>
      </c>
    </row>
    <row r="3914" spans="1:7" hidden="1" x14ac:dyDescent="0.25">
      <c r="A3914" t="s">
        <v>4</v>
      </c>
      <c r="B3914" t="s">
        <v>8</v>
      </c>
      <c r="F3914" t="s">
        <v>12231</v>
      </c>
      <c r="G3914" t="s">
        <v>1107</v>
      </c>
    </row>
    <row r="3915" spans="1:7" hidden="1" x14ac:dyDescent="0.25">
      <c r="A3915" t="s">
        <v>12</v>
      </c>
      <c r="B3915" t="s">
        <v>1607</v>
      </c>
      <c r="F3915" t="s">
        <v>12233</v>
      </c>
      <c r="G3915" t="s">
        <v>1934</v>
      </c>
    </row>
    <row r="3916" spans="1:7" hidden="1" x14ac:dyDescent="0.25">
      <c r="A3916" t="s">
        <v>9211</v>
      </c>
      <c r="B3916" t="s">
        <v>86</v>
      </c>
      <c r="F3916" t="s">
        <v>12236</v>
      </c>
      <c r="G3916" t="s">
        <v>1934</v>
      </c>
    </row>
    <row r="3917" spans="1:7" hidden="1" x14ac:dyDescent="0.25">
      <c r="A3917" t="s">
        <v>12</v>
      </c>
      <c r="B3917" t="s">
        <v>1607</v>
      </c>
      <c r="F3917" t="s">
        <v>12239</v>
      </c>
      <c r="G3917" t="s">
        <v>1934</v>
      </c>
    </row>
    <row r="3918" spans="1:7" hidden="1" x14ac:dyDescent="0.25">
      <c r="A3918" t="s">
        <v>7</v>
      </c>
      <c r="F3918" t="s">
        <v>12242</v>
      </c>
      <c r="G3918" t="s">
        <v>1934</v>
      </c>
    </row>
    <row r="3919" spans="1:7" hidden="1" x14ac:dyDescent="0.25">
      <c r="A3919" t="s">
        <v>12381</v>
      </c>
      <c r="B3919" t="s">
        <v>1607</v>
      </c>
      <c r="F3919" t="s">
        <v>12245</v>
      </c>
      <c r="G3919" t="s">
        <v>1934</v>
      </c>
    </row>
    <row r="3920" spans="1:7" hidden="1" x14ac:dyDescent="0.25">
      <c r="A3920" t="s">
        <v>4</v>
      </c>
      <c r="B3920" t="s">
        <v>8</v>
      </c>
      <c r="F3920" t="s">
        <v>12248</v>
      </c>
      <c r="G3920" t="s">
        <v>1934</v>
      </c>
    </row>
    <row r="3921" spans="1:7" hidden="1" x14ac:dyDescent="0.25">
      <c r="A3921" t="s">
        <v>9211</v>
      </c>
      <c r="B3921" t="s">
        <v>86</v>
      </c>
      <c r="F3921" t="s">
        <v>12251</v>
      </c>
      <c r="G3921" t="s">
        <v>1934</v>
      </c>
    </row>
    <row r="3922" spans="1:7" hidden="1" x14ac:dyDescent="0.25">
      <c r="A3922" t="s">
        <v>4</v>
      </c>
      <c r="B3922" t="s">
        <v>8</v>
      </c>
      <c r="F3922" t="s">
        <v>12254</v>
      </c>
      <c r="G3922" t="s">
        <v>1934</v>
      </c>
    </row>
    <row r="3923" spans="1:7" hidden="1" x14ac:dyDescent="0.25">
      <c r="A3923" t="s">
        <v>4</v>
      </c>
      <c r="B3923" t="s">
        <v>12382</v>
      </c>
      <c r="F3923" t="s">
        <v>12299</v>
      </c>
      <c r="G3923" t="s">
        <v>1997</v>
      </c>
    </row>
    <row r="3924" spans="1:7" hidden="1" x14ac:dyDescent="0.25">
      <c r="A3924" t="s">
        <v>651</v>
      </c>
      <c r="B3924" t="s">
        <v>86</v>
      </c>
      <c r="F3924" t="s">
        <v>12302</v>
      </c>
      <c r="G3924" t="s">
        <v>1997</v>
      </c>
    </row>
    <row r="3925" spans="1:7" hidden="1" x14ac:dyDescent="0.25">
      <c r="A3925" t="s">
        <v>651</v>
      </c>
      <c r="B3925" t="s">
        <v>86</v>
      </c>
      <c r="F3925" t="s">
        <v>12305</v>
      </c>
      <c r="G3925" t="s">
        <v>1997</v>
      </c>
    </row>
    <row r="3926" spans="1:7" hidden="1" x14ac:dyDescent="0.25">
      <c r="A3926" t="s">
        <v>11961</v>
      </c>
      <c r="F3926" t="s">
        <v>12308</v>
      </c>
      <c r="G3926" t="s">
        <v>1997</v>
      </c>
    </row>
    <row r="3927" spans="1:7" hidden="1" x14ac:dyDescent="0.25">
      <c r="A3927" t="s">
        <v>1936</v>
      </c>
      <c r="B3927" t="s">
        <v>531</v>
      </c>
      <c r="F3927" t="s">
        <v>12311</v>
      </c>
      <c r="G3927" t="s">
        <v>1997</v>
      </c>
    </row>
    <row r="3928" spans="1:7" hidden="1" x14ac:dyDescent="0.25">
      <c r="A3928" t="s">
        <v>1936</v>
      </c>
      <c r="B3928" t="s">
        <v>531</v>
      </c>
      <c r="F3928" t="s">
        <v>12314</v>
      </c>
      <c r="G3928" t="s">
        <v>1997</v>
      </c>
    </row>
    <row r="3929" spans="1:7" hidden="1" x14ac:dyDescent="0.25">
      <c r="A3929" t="s">
        <v>651</v>
      </c>
      <c r="B3929" t="s">
        <v>86</v>
      </c>
      <c r="F3929" t="s">
        <v>12317</v>
      </c>
      <c r="G3929" t="s">
        <v>1997</v>
      </c>
    </row>
    <row r="3930" spans="1:7" hidden="1" x14ac:dyDescent="0.25">
      <c r="A3930" t="s">
        <v>651</v>
      </c>
      <c r="B3930" t="s">
        <v>86</v>
      </c>
      <c r="F3930" t="s">
        <v>12320</v>
      </c>
      <c r="G3930" t="s">
        <v>1997</v>
      </c>
    </row>
    <row r="3931" spans="1:7" hidden="1" x14ac:dyDescent="0.25">
      <c r="A3931" t="s">
        <v>1936</v>
      </c>
      <c r="B3931" t="s">
        <v>531</v>
      </c>
      <c r="F3931" t="s">
        <v>12323</v>
      </c>
      <c r="G3931" t="s">
        <v>1997</v>
      </c>
    </row>
    <row r="3932" spans="1:7" hidden="1" x14ac:dyDescent="0.25">
      <c r="A3932" t="s">
        <v>1936</v>
      </c>
      <c r="B3932" t="s">
        <v>531</v>
      </c>
      <c r="F3932" t="s">
        <v>12326</v>
      </c>
      <c r="G3932" t="s">
        <v>1997</v>
      </c>
    </row>
    <row r="3933" spans="1:7" hidden="1" x14ac:dyDescent="0.25">
      <c r="A3933" t="s">
        <v>1936</v>
      </c>
      <c r="B3933" t="s">
        <v>531</v>
      </c>
      <c r="F3933" t="s">
        <v>12329</v>
      </c>
      <c r="G3933" t="s">
        <v>1997</v>
      </c>
    </row>
    <row r="3934" spans="1:7" x14ac:dyDescent="0.25">
      <c r="A3934" t="s">
        <v>4</v>
      </c>
      <c r="B3934" t="s">
        <v>8</v>
      </c>
      <c r="F3934" t="s">
        <v>12184</v>
      </c>
      <c r="G3934" t="s">
        <v>12383</v>
      </c>
    </row>
    <row r="3935" spans="1:7" x14ac:dyDescent="0.25">
      <c r="A3935" t="s">
        <v>12384</v>
      </c>
      <c r="B3935" t="s">
        <v>12372</v>
      </c>
      <c r="F3935" t="s">
        <v>12187</v>
      </c>
      <c r="G3935" t="s">
        <v>12383</v>
      </c>
    </row>
    <row r="3936" spans="1:7" hidden="1" x14ac:dyDescent="0.25">
      <c r="A3936" t="s">
        <v>651</v>
      </c>
      <c r="B3936" t="s">
        <v>86</v>
      </c>
      <c r="F3936" t="s">
        <v>12443</v>
      </c>
      <c r="G3936" t="s">
        <v>1104</v>
      </c>
    </row>
    <row r="3937" spans="1:7" hidden="1" x14ac:dyDescent="0.25">
      <c r="A3937" t="s">
        <v>12017</v>
      </c>
      <c r="B3937" t="s">
        <v>4193</v>
      </c>
      <c r="F3937" t="s">
        <v>12446</v>
      </c>
      <c r="G3937" t="s">
        <v>1104</v>
      </c>
    </row>
    <row r="3938" spans="1:7" hidden="1" x14ac:dyDescent="0.25">
      <c r="A3938" t="s">
        <v>12017</v>
      </c>
      <c r="B3938" t="s">
        <v>12491</v>
      </c>
      <c r="E3938" t="s">
        <v>12492</v>
      </c>
      <c r="F3938" t="s">
        <v>12449</v>
      </c>
      <c r="G3938" t="s">
        <v>1104</v>
      </c>
    </row>
    <row r="3939" spans="1:7" hidden="1" x14ac:dyDescent="0.25">
      <c r="A3939" t="s">
        <v>62</v>
      </c>
      <c r="B3939" t="s">
        <v>4193</v>
      </c>
      <c r="F3939" t="s">
        <v>12452</v>
      </c>
      <c r="G3939" t="s">
        <v>1104</v>
      </c>
    </row>
    <row r="3940" spans="1:7" hidden="1" x14ac:dyDescent="0.25">
      <c r="A3940" t="s">
        <v>12017</v>
      </c>
      <c r="B3940" t="s">
        <v>12493</v>
      </c>
      <c r="F3940" t="s">
        <v>12455</v>
      </c>
      <c r="G3940" t="s">
        <v>1104</v>
      </c>
    </row>
    <row r="3941" spans="1:7" hidden="1" x14ac:dyDescent="0.25">
      <c r="A3941" t="s">
        <v>62</v>
      </c>
      <c r="B3941" t="s">
        <v>12493</v>
      </c>
      <c r="C3941" t="s">
        <v>12597</v>
      </c>
      <c r="F3941" t="s">
        <v>12458</v>
      </c>
      <c r="G3941" t="s">
        <v>1104</v>
      </c>
    </row>
    <row r="3942" spans="1:7" hidden="1" x14ac:dyDescent="0.25">
      <c r="A3942" t="s">
        <v>651</v>
      </c>
      <c r="B3942" t="s">
        <v>86</v>
      </c>
      <c r="F3942" t="s">
        <v>12428</v>
      </c>
      <c r="G3942" t="s">
        <v>1105</v>
      </c>
    </row>
    <row r="3943" spans="1:7" hidden="1" x14ac:dyDescent="0.25">
      <c r="A3943" t="s">
        <v>159</v>
      </c>
      <c r="B3943" t="s">
        <v>4193</v>
      </c>
      <c r="F3943" t="s">
        <v>12431</v>
      </c>
      <c r="G3943" t="s">
        <v>1105</v>
      </c>
    </row>
    <row r="3944" spans="1:7" hidden="1" x14ac:dyDescent="0.25">
      <c r="A3944" t="s">
        <v>6171</v>
      </c>
      <c r="B3944" t="s">
        <v>4193</v>
      </c>
      <c r="F3944" t="s">
        <v>12434</v>
      </c>
      <c r="G3944" t="s">
        <v>1105</v>
      </c>
    </row>
    <row r="3945" spans="1:7" hidden="1" x14ac:dyDescent="0.25">
      <c r="A3945" t="s">
        <v>159</v>
      </c>
      <c r="B3945" t="s">
        <v>12493</v>
      </c>
      <c r="F3945" t="s">
        <v>12437</v>
      </c>
      <c r="G3945" t="s">
        <v>1105</v>
      </c>
    </row>
    <row r="3946" spans="1:7" hidden="1" x14ac:dyDescent="0.25">
      <c r="A3946" t="s">
        <v>62</v>
      </c>
      <c r="B3946" t="s">
        <v>12491</v>
      </c>
      <c r="E3946" t="s">
        <v>12492</v>
      </c>
      <c r="F3946" t="s">
        <v>12440</v>
      </c>
      <c r="G3946" t="s">
        <v>1105</v>
      </c>
    </row>
    <row r="3947" spans="1:7" hidden="1" x14ac:dyDescent="0.25">
      <c r="A3947" t="s">
        <v>7</v>
      </c>
      <c r="F3947" t="s">
        <v>12461</v>
      </c>
      <c r="G3947" t="s">
        <v>1106</v>
      </c>
    </row>
    <row r="3948" spans="1:7" hidden="1" x14ac:dyDescent="0.25">
      <c r="A3948" t="s">
        <v>9211</v>
      </c>
      <c r="B3948" t="s">
        <v>86</v>
      </c>
      <c r="E3948" t="s">
        <v>12494</v>
      </c>
      <c r="F3948" t="s">
        <v>12464</v>
      </c>
      <c r="G3948" t="s">
        <v>1106</v>
      </c>
    </row>
    <row r="3949" spans="1:7" hidden="1" x14ac:dyDescent="0.25">
      <c r="A3949" t="s">
        <v>9211</v>
      </c>
      <c r="B3949" t="s">
        <v>86</v>
      </c>
      <c r="E3949" t="s">
        <v>2936</v>
      </c>
      <c r="F3949" t="s">
        <v>12467</v>
      </c>
      <c r="G3949" t="s">
        <v>1106</v>
      </c>
    </row>
    <row r="3950" spans="1:7" hidden="1" x14ac:dyDescent="0.25">
      <c r="A3950" t="s">
        <v>11961</v>
      </c>
      <c r="F3950" t="s">
        <v>12470</v>
      </c>
      <c r="G3950" t="s">
        <v>1106</v>
      </c>
    </row>
    <row r="3951" spans="1:7" hidden="1" x14ac:dyDescent="0.25">
      <c r="A3951" t="s">
        <v>11</v>
      </c>
      <c r="E3951" t="s">
        <v>2936</v>
      </c>
      <c r="F3951" t="s">
        <v>12473</v>
      </c>
      <c r="G3951" t="s">
        <v>1106</v>
      </c>
    </row>
    <row r="3952" spans="1:7" hidden="1" x14ac:dyDescent="0.25">
      <c r="A3952" t="s">
        <v>11</v>
      </c>
      <c r="E3952" t="s">
        <v>2936</v>
      </c>
      <c r="F3952" t="s">
        <v>12476</v>
      </c>
      <c r="G3952" t="s">
        <v>1106</v>
      </c>
    </row>
    <row r="3953" spans="1:7" hidden="1" x14ac:dyDescent="0.25">
      <c r="A3953" t="s">
        <v>11</v>
      </c>
      <c r="F3953" t="s">
        <v>12479</v>
      </c>
      <c r="G3953" t="s">
        <v>1106</v>
      </c>
    </row>
    <row r="3954" spans="1:7" hidden="1" x14ac:dyDescent="0.25">
      <c r="A3954" t="s">
        <v>11961</v>
      </c>
      <c r="F3954" t="s">
        <v>12482</v>
      </c>
      <c r="G3954" t="s">
        <v>1106</v>
      </c>
    </row>
    <row r="3955" spans="1:7" hidden="1" x14ac:dyDescent="0.25">
      <c r="A3955" t="s">
        <v>12381</v>
      </c>
      <c r="F3955" t="s">
        <v>12485</v>
      </c>
      <c r="G3955" t="s">
        <v>1106</v>
      </c>
    </row>
    <row r="3956" spans="1:7" hidden="1" x14ac:dyDescent="0.25">
      <c r="A3956" t="s">
        <v>12381</v>
      </c>
      <c r="F3956" t="s">
        <v>12488</v>
      </c>
      <c r="G3956" t="s">
        <v>1106</v>
      </c>
    </row>
    <row r="3957" spans="1:7" hidden="1" x14ac:dyDescent="0.25">
      <c r="A3957" t="s">
        <v>12381</v>
      </c>
      <c r="F3957" t="s">
        <v>12385</v>
      </c>
      <c r="G3957" t="s">
        <v>1934</v>
      </c>
    </row>
    <row r="3958" spans="1:7" hidden="1" x14ac:dyDescent="0.25">
      <c r="A3958" t="s">
        <v>9211</v>
      </c>
      <c r="B3958" t="s">
        <v>86</v>
      </c>
      <c r="F3958" t="s">
        <v>12388</v>
      </c>
      <c r="G3958" t="s">
        <v>1934</v>
      </c>
    </row>
    <row r="3959" spans="1:7" hidden="1" x14ac:dyDescent="0.25">
      <c r="A3959" t="s">
        <v>12381</v>
      </c>
      <c r="F3959" t="s">
        <v>12391</v>
      </c>
      <c r="G3959" t="s">
        <v>1934</v>
      </c>
    </row>
    <row r="3960" spans="1:7" hidden="1" x14ac:dyDescent="0.25">
      <c r="A3960" t="s">
        <v>12381</v>
      </c>
      <c r="F3960" t="s">
        <v>12394</v>
      </c>
      <c r="G3960" t="s">
        <v>1934</v>
      </c>
    </row>
    <row r="3961" spans="1:7" hidden="1" x14ac:dyDescent="0.25">
      <c r="A3961" t="s">
        <v>12381</v>
      </c>
      <c r="F3961" t="s">
        <v>12397</v>
      </c>
      <c r="G3961" t="s">
        <v>1934</v>
      </c>
    </row>
    <row r="3962" spans="1:7" hidden="1" x14ac:dyDescent="0.25">
      <c r="A3962" t="s">
        <v>12381</v>
      </c>
      <c r="F3962" t="s">
        <v>12400</v>
      </c>
      <c r="G3962" t="s">
        <v>1934</v>
      </c>
    </row>
    <row r="3963" spans="1:7" hidden="1" x14ac:dyDescent="0.25">
      <c r="A3963" t="s">
        <v>12381</v>
      </c>
      <c r="F3963" t="s">
        <v>12403</v>
      </c>
      <c r="G3963" t="s">
        <v>1934</v>
      </c>
    </row>
    <row r="3964" spans="1:7" hidden="1" x14ac:dyDescent="0.25">
      <c r="A3964" t="s">
        <v>651</v>
      </c>
      <c r="B3964" t="s">
        <v>86</v>
      </c>
      <c r="F3964" t="s">
        <v>12406</v>
      </c>
      <c r="G3964" t="s">
        <v>1997</v>
      </c>
    </row>
    <row r="3965" spans="1:7" hidden="1" x14ac:dyDescent="0.25">
      <c r="A3965" t="s">
        <v>651</v>
      </c>
      <c r="B3965" t="s">
        <v>86</v>
      </c>
      <c r="F3965" t="s">
        <v>12409</v>
      </c>
      <c r="G3965" t="s">
        <v>1997</v>
      </c>
    </row>
    <row r="3966" spans="1:7" hidden="1" x14ac:dyDescent="0.25">
      <c r="A3966" t="s">
        <v>12495</v>
      </c>
      <c r="B3966" t="s">
        <v>4193</v>
      </c>
      <c r="F3966" t="s">
        <v>12412</v>
      </c>
      <c r="G3966" t="s">
        <v>1997</v>
      </c>
    </row>
    <row r="3967" spans="1:7" hidden="1" x14ac:dyDescent="0.25">
      <c r="A3967" t="s">
        <v>6171</v>
      </c>
      <c r="B3967" t="s">
        <v>4193</v>
      </c>
      <c r="F3967" t="s">
        <v>12415</v>
      </c>
      <c r="G3967" t="s">
        <v>1997</v>
      </c>
    </row>
    <row r="3968" spans="1:7" hidden="1" x14ac:dyDescent="0.25">
      <c r="A3968" t="s">
        <v>289</v>
      </c>
      <c r="B3968" t="s">
        <v>12493</v>
      </c>
      <c r="C3968" t="s">
        <v>12603</v>
      </c>
      <c r="E3968" t="s">
        <v>12496</v>
      </c>
      <c r="F3968" t="s">
        <v>12418</v>
      </c>
      <c r="G3968" t="s">
        <v>1997</v>
      </c>
    </row>
    <row r="3969" spans="1:7" hidden="1" x14ac:dyDescent="0.25">
      <c r="A3969" t="s">
        <v>289</v>
      </c>
      <c r="B3969" t="s">
        <v>12493</v>
      </c>
      <c r="C3969" t="s">
        <v>12603</v>
      </c>
      <c r="E3969" t="s">
        <v>2936</v>
      </c>
      <c r="F3969" t="s">
        <v>12421</v>
      </c>
      <c r="G3969" t="s">
        <v>1997</v>
      </c>
    </row>
    <row r="3970" spans="1:7" hidden="1" x14ac:dyDescent="0.25">
      <c r="A3970" t="s">
        <v>289</v>
      </c>
      <c r="B3970" t="s">
        <v>12493</v>
      </c>
      <c r="C3970" t="s">
        <v>12604</v>
      </c>
      <c r="E3970" t="s">
        <v>12497</v>
      </c>
      <c r="F3970" t="s">
        <v>12424</v>
      </c>
      <c r="G3970" t="s">
        <v>1997</v>
      </c>
    </row>
    <row r="3971" spans="1:7" x14ac:dyDescent="0.25">
      <c r="A3971" t="s">
        <v>4</v>
      </c>
      <c r="B3971" t="s">
        <v>8</v>
      </c>
      <c r="F3971" t="s">
        <v>12498</v>
      </c>
      <c r="G3971" t="s">
        <v>12383</v>
      </c>
    </row>
    <row r="3972" spans="1:7" x14ac:dyDescent="0.25">
      <c r="A3972" t="s">
        <v>11961</v>
      </c>
      <c r="F3972" t="s">
        <v>12501</v>
      </c>
      <c r="G3972" t="s">
        <v>12383</v>
      </c>
    </row>
    <row r="3973" spans="1:7" hidden="1" x14ac:dyDescent="0.25">
      <c r="A3973" t="s">
        <v>12017</v>
      </c>
      <c r="B3973" t="s">
        <v>12493</v>
      </c>
      <c r="F3973" t="s">
        <v>12504</v>
      </c>
      <c r="G3973" t="s">
        <v>1104</v>
      </c>
    </row>
    <row r="3974" spans="1:7" hidden="1" x14ac:dyDescent="0.25">
      <c r="A3974" t="s">
        <v>12598</v>
      </c>
      <c r="B3974" t="s">
        <v>12493</v>
      </c>
      <c r="F3974" t="s">
        <v>12507</v>
      </c>
      <c r="G3974" t="s">
        <v>1104</v>
      </c>
    </row>
    <row r="3975" spans="1:7" hidden="1" x14ac:dyDescent="0.25">
      <c r="A3975" t="s">
        <v>6171</v>
      </c>
      <c r="B3975" t="s">
        <v>12493</v>
      </c>
      <c r="F3975" t="s">
        <v>12510</v>
      </c>
      <c r="G3975" t="s">
        <v>1104</v>
      </c>
    </row>
    <row r="3976" spans="1:7" hidden="1" x14ac:dyDescent="0.25">
      <c r="A3976" t="s">
        <v>12599</v>
      </c>
      <c r="B3976" t="s">
        <v>12493</v>
      </c>
      <c r="F3976" t="s">
        <v>12525</v>
      </c>
      <c r="G3976" t="s">
        <v>1105</v>
      </c>
    </row>
    <row r="3977" spans="1:7" hidden="1" x14ac:dyDescent="0.25">
      <c r="A3977" t="s">
        <v>4</v>
      </c>
      <c r="B3977" t="s">
        <v>8</v>
      </c>
      <c r="F3977" t="s">
        <v>12528</v>
      </c>
      <c r="G3977" t="s">
        <v>1105</v>
      </c>
    </row>
    <row r="3978" spans="1:7" hidden="1" x14ac:dyDescent="0.25">
      <c r="A3978" t="s">
        <v>651</v>
      </c>
      <c r="B3978" t="s">
        <v>86</v>
      </c>
      <c r="F3978" t="s">
        <v>12531</v>
      </c>
      <c r="G3978" t="s">
        <v>1106</v>
      </c>
    </row>
    <row r="3979" spans="1:7" hidden="1" x14ac:dyDescent="0.25">
      <c r="A3979" t="s">
        <v>9211</v>
      </c>
      <c r="B3979" t="s">
        <v>86</v>
      </c>
      <c r="F3979" t="s">
        <v>12534</v>
      </c>
      <c r="G3979" t="s">
        <v>1106</v>
      </c>
    </row>
    <row r="3980" spans="1:7" hidden="1" x14ac:dyDescent="0.25">
      <c r="A3980" t="s">
        <v>7</v>
      </c>
      <c r="F3980" t="s">
        <v>12537</v>
      </c>
      <c r="G3980" t="s">
        <v>1106</v>
      </c>
    </row>
    <row r="3981" spans="1:7" hidden="1" x14ac:dyDescent="0.25">
      <c r="A3981" t="s">
        <v>4</v>
      </c>
      <c r="B3981" t="s">
        <v>8</v>
      </c>
      <c r="F3981" t="s">
        <v>12540</v>
      </c>
      <c r="G3981" t="s">
        <v>1106</v>
      </c>
    </row>
    <row r="3982" spans="1:7" hidden="1" x14ac:dyDescent="0.25">
      <c r="A3982" t="s">
        <v>4</v>
      </c>
      <c r="B3982" t="s">
        <v>8</v>
      </c>
      <c r="F3982" t="s">
        <v>12513</v>
      </c>
      <c r="G3982" t="s">
        <v>1107</v>
      </c>
    </row>
    <row r="3983" spans="1:7" hidden="1" x14ac:dyDescent="0.25">
      <c r="A3983" t="s">
        <v>9876</v>
      </c>
      <c r="F3983" t="s">
        <v>12516</v>
      </c>
      <c r="G3983" t="s">
        <v>1107</v>
      </c>
    </row>
    <row r="3984" spans="1:7" hidden="1" x14ac:dyDescent="0.25">
      <c r="A3984" t="s">
        <v>12600</v>
      </c>
      <c r="B3984" t="s">
        <v>12493</v>
      </c>
      <c r="E3984" t="s">
        <v>12601</v>
      </c>
      <c r="F3984" t="s">
        <v>12519</v>
      </c>
      <c r="G3984" t="s">
        <v>1107</v>
      </c>
    </row>
    <row r="3985" spans="1:7" hidden="1" x14ac:dyDescent="0.25">
      <c r="A3985" t="s">
        <v>4</v>
      </c>
      <c r="B3985" t="s">
        <v>8</v>
      </c>
      <c r="F3985" t="s">
        <v>12522</v>
      </c>
      <c r="G3985" t="s">
        <v>1107</v>
      </c>
    </row>
    <row r="3986" spans="1:7" hidden="1" x14ac:dyDescent="0.25">
      <c r="A3986" t="s">
        <v>12381</v>
      </c>
      <c r="F3986" t="s">
        <v>12543</v>
      </c>
      <c r="G3986" t="s">
        <v>1934</v>
      </c>
    </row>
    <row r="3987" spans="1:7" hidden="1" x14ac:dyDescent="0.25">
      <c r="A3987" t="s">
        <v>12381</v>
      </c>
      <c r="F3987" t="s">
        <v>12546</v>
      </c>
      <c r="G3987" t="s">
        <v>1934</v>
      </c>
    </row>
    <row r="3988" spans="1:7" hidden="1" x14ac:dyDescent="0.25">
      <c r="A3988" t="s">
        <v>12381</v>
      </c>
      <c r="F3988" t="s">
        <v>12549</v>
      </c>
      <c r="G3988" t="s">
        <v>1934</v>
      </c>
    </row>
    <row r="3989" spans="1:7" hidden="1" x14ac:dyDescent="0.25">
      <c r="A3989" t="s">
        <v>12381</v>
      </c>
      <c r="F3989" t="s">
        <v>12552</v>
      </c>
      <c r="G3989" t="s">
        <v>1934</v>
      </c>
    </row>
    <row r="3990" spans="1:7" hidden="1" x14ac:dyDescent="0.25">
      <c r="A3990" t="s">
        <v>12381</v>
      </c>
      <c r="F3990" t="s">
        <v>12555</v>
      </c>
      <c r="G3990" t="s">
        <v>1934</v>
      </c>
    </row>
    <row r="3991" spans="1:7" hidden="1" x14ac:dyDescent="0.25">
      <c r="A3991" t="s">
        <v>12381</v>
      </c>
      <c r="F3991" t="s">
        <v>12558</v>
      </c>
      <c r="G3991" t="s">
        <v>1934</v>
      </c>
    </row>
    <row r="3992" spans="1:7" hidden="1" x14ac:dyDescent="0.25">
      <c r="A3992" t="s">
        <v>4</v>
      </c>
      <c r="B3992" t="s">
        <v>8</v>
      </c>
      <c r="F3992" t="s">
        <v>12561</v>
      </c>
      <c r="G3992" t="s">
        <v>1934</v>
      </c>
    </row>
    <row r="3993" spans="1:7" hidden="1" x14ac:dyDescent="0.25">
      <c r="A3993" t="s">
        <v>1936</v>
      </c>
      <c r="B3993" t="s">
        <v>1607</v>
      </c>
      <c r="F3993" t="s">
        <v>12564</v>
      </c>
      <c r="G3993" t="s">
        <v>1997</v>
      </c>
    </row>
    <row r="3994" spans="1:7" hidden="1" x14ac:dyDescent="0.25">
      <c r="A3994" t="s">
        <v>651</v>
      </c>
      <c r="B3994" t="s">
        <v>86</v>
      </c>
      <c r="F3994" t="s">
        <v>12567</v>
      </c>
      <c r="G3994" t="s">
        <v>1997</v>
      </c>
    </row>
    <row r="3995" spans="1:7" hidden="1" x14ac:dyDescent="0.25">
      <c r="A3995" t="s">
        <v>651</v>
      </c>
      <c r="B3995" t="s">
        <v>86</v>
      </c>
      <c r="F3995" t="s">
        <v>12570</v>
      </c>
      <c r="G3995" t="s">
        <v>1997</v>
      </c>
    </row>
    <row r="3996" spans="1:7" x14ac:dyDescent="0.25">
      <c r="A3996" t="s">
        <v>12602</v>
      </c>
      <c r="B3996" t="s">
        <v>86</v>
      </c>
      <c r="F3996" t="s">
        <v>12573</v>
      </c>
      <c r="G3996" t="s">
        <v>12383</v>
      </c>
    </row>
    <row r="3997" spans="1:7" x14ac:dyDescent="0.25">
      <c r="A3997" t="s">
        <v>7</v>
      </c>
      <c r="F3997" t="s">
        <v>12576</v>
      </c>
      <c r="G3997" t="s">
        <v>12383</v>
      </c>
    </row>
    <row r="3998" spans="1:7" x14ac:dyDescent="0.25">
      <c r="A3998" t="s">
        <v>4</v>
      </c>
      <c r="B3998" t="s">
        <v>8</v>
      </c>
      <c r="F3998" t="s">
        <v>12579</v>
      </c>
      <c r="G3998" t="s">
        <v>12383</v>
      </c>
    </row>
    <row r="3999" spans="1:7" x14ac:dyDescent="0.25">
      <c r="A3999" t="s">
        <v>4</v>
      </c>
      <c r="B3999" t="s">
        <v>8</v>
      </c>
      <c r="E3999" t="s">
        <v>2936</v>
      </c>
      <c r="F3999" t="s">
        <v>12582</v>
      </c>
      <c r="G3999" t="s">
        <v>12383</v>
      </c>
    </row>
    <row r="4000" spans="1:7" x14ac:dyDescent="0.25">
      <c r="A4000" t="s">
        <v>4</v>
      </c>
      <c r="B4000" t="s">
        <v>8</v>
      </c>
      <c r="E4000" t="s">
        <v>2936</v>
      </c>
      <c r="F4000" t="s">
        <v>12585</v>
      </c>
      <c r="G4000" t="s">
        <v>12383</v>
      </c>
    </row>
    <row r="4001" spans="1:7" x14ac:dyDescent="0.25">
      <c r="A4001" t="s">
        <v>12381</v>
      </c>
      <c r="F4001" t="s">
        <v>12588</v>
      </c>
      <c r="G4001" t="s">
        <v>12383</v>
      </c>
    </row>
    <row r="4002" spans="1:7" x14ac:dyDescent="0.25">
      <c r="A4002" t="s">
        <v>12381</v>
      </c>
      <c r="F4002" t="s">
        <v>12591</v>
      </c>
      <c r="G4002" t="s">
        <v>12383</v>
      </c>
    </row>
    <row r="4003" spans="1:7" x14ac:dyDescent="0.25">
      <c r="A4003" t="s">
        <v>4</v>
      </c>
      <c r="B4003" t="s">
        <v>8</v>
      </c>
      <c r="F4003" t="s">
        <v>12594</v>
      </c>
      <c r="G4003" t="s">
        <v>12383</v>
      </c>
    </row>
    <row r="4004" spans="1:7" hidden="1" x14ac:dyDescent="0.25">
      <c r="A4004" t="s">
        <v>1606</v>
      </c>
      <c r="B4004" t="s">
        <v>12776</v>
      </c>
      <c r="F4004" t="s">
        <v>12605</v>
      </c>
      <c r="G4004" t="s">
        <v>1104</v>
      </c>
    </row>
    <row r="4005" spans="1:7" hidden="1" x14ac:dyDescent="0.25">
      <c r="A4005" t="s">
        <v>6171</v>
      </c>
      <c r="B4005" t="s">
        <v>12776</v>
      </c>
      <c r="F4005" t="s">
        <v>12608</v>
      </c>
      <c r="G4005" t="s">
        <v>1104</v>
      </c>
    </row>
    <row r="4006" spans="1:7" hidden="1" x14ac:dyDescent="0.25">
      <c r="A4006" t="s">
        <v>62</v>
      </c>
      <c r="B4006" t="s">
        <v>12776</v>
      </c>
      <c r="F4006" t="s">
        <v>12611</v>
      </c>
      <c r="G4006" t="s">
        <v>1104</v>
      </c>
    </row>
    <row r="4007" spans="1:7" hidden="1" x14ac:dyDescent="0.25">
      <c r="A4007" t="s">
        <v>1606</v>
      </c>
      <c r="B4007" t="s">
        <v>12491</v>
      </c>
      <c r="F4007" t="s">
        <v>12614</v>
      </c>
      <c r="G4007" t="s">
        <v>1104</v>
      </c>
    </row>
    <row r="4008" spans="1:7" hidden="1" x14ac:dyDescent="0.25">
      <c r="A4008" t="s">
        <v>62</v>
      </c>
      <c r="B4008" t="s">
        <v>12491</v>
      </c>
      <c r="F4008" t="s">
        <v>12617</v>
      </c>
      <c r="G4008" t="s">
        <v>1104</v>
      </c>
    </row>
    <row r="4009" spans="1:7" hidden="1" x14ac:dyDescent="0.25">
      <c r="A4009" t="s">
        <v>11957</v>
      </c>
      <c r="B4009" t="s">
        <v>12777</v>
      </c>
      <c r="F4009" t="s">
        <v>12620</v>
      </c>
      <c r="G4009" t="s">
        <v>1104</v>
      </c>
    </row>
    <row r="4010" spans="1:7" hidden="1" x14ac:dyDescent="0.25">
      <c r="A4010" t="s">
        <v>62</v>
      </c>
      <c r="B4010" t="s">
        <v>12777</v>
      </c>
      <c r="F4010" t="s">
        <v>12623</v>
      </c>
      <c r="G4010" t="s">
        <v>1104</v>
      </c>
    </row>
    <row r="4011" spans="1:7" hidden="1" x14ac:dyDescent="0.25">
      <c r="A4011" t="s">
        <v>4</v>
      </c>
      <c r="B4011" t="s">
        <v>8</v>
      </c>
      <c r="F4011" t="s">
        <v>12626</v>
      </c>
      <c r="G4011" t="s">
        <v>1104</v>
      </c>
    </row>
    <row r="4012" spans="1:7" hidden="1" x14ac:dyDescent="0.25">
      <c r="A4012" t="s">
        <v>2004</v>
      </c>
      <c r="B4012" t="s">
        <v>8</v>
      </c>
      <c r="F4012" t="s">
        <v>12629</v>
      </c>
      <c r="G4012" t="s">
        <v>1104</v>
      </c>
    </row>
    <row r="4013" spans="1:7" hidden="1" x14ac:dyDescent="0.25">
      <c r="A4013" t="s">
        <v>6171</v>
      </c>
      <c r="B4013" t="s">
        <v>12777</v>
      </c>
      <c r="F4013" t="s">
        <v>12716</v>
      </c>
      <c r="G4013" t="s">
        <v>1105</v>
      </c>
    </row>
    <row r="4014" spans="1:7" hidden="1" x14ac:dyDescent="0.25">
      <c r="A4014" t="s">
        <v>4</v>
      </c>
      <c r="B4014" t="s">
        <v>8</v>
      </c>
      <c r="F4014" t="s">
        <v>12719</v>
      </c>
      <c r="G4014" t="s">
        <v>1105</v>
      </c>
    </row>
    <row r="4015" spans="1:7" hidden="1" x14ac:dyDescent="0.25">
      <c r="A4015" t="s">
        <v>2004</v>
      </c>
      <c r="B4015" t="s">
        <v>8</v>
      </c>
      <c r="F4015" t="s">
        <v>12722</v>
      </c>
      <c r="G4015" t="s">
        <v>1105</v>
      </c>
    </row>
    <row r="4016" spans="1:7" hidden="1" x14ac:dyDescent="0.25">
      <c r="A4016" t="s">
        <v>12381</v>
      </c>
      <c r="F4016" t="s">
        <v>12725</v>
      </c>
      <c r="G4016" t="s">
        <v>1106</v>
      </c>
    </row>
    <row r="4017" spans="1:7" hidden="1" x14ac:dyDescent="0.25">
      <c r="A4017" t="s">
        <v>12381</v>
      </c>
      <c r="F4017" t="s">
        <v>12728</v>
      </c>
      <c r="G4017" t="s">
        <v>1106</v>
      </c>
    </row>
    <row r="4018" spans="1:7" hidden="1" x14ac:dyDescent="0.25">
      <c r="A4018" t="s">
        <v>12381</v>
      </c>
      <c r="F4018" t="s">
        <v>12731</v>
      </c>
      <c r="G4018" t="s">
        <v>1106</v>
      </c>
    </row>
    <row r="4019" spans="1:7" hidden="1" x14ac:dyDescent="0.25">
      <c r="A4019" t="s">
        <v>12381</v>
      </c>
      <c r="F4019" t="s">
        <v>12734</v>
      </c>
      <c r="G4019" t="s">
        <v>1106</v>
      </c>
    </row>
    <row r="4020" spans="1:7" hidden="1" x14ac:dyDescent="0.25">
      <c r="A4020" t="s">
        <v>4</v>
      </c>
      <c r="B4020" t="s">
        <v>8</v>
      </c>
      <c r="F4020" t="s">
        <v>12737</v>
      </c>
      <c r="G4020" t="s">
        <v>1106</v>
      </c>
    </row>
    <row r="4021" spans="1:7" hidden="1" x14ac:dyDescent="0.25">
      <c r="A4021" t="s">
        <v>12381</v>
      </c>
      <c r="F4021" t="s">
        <v>12740</v>
      </c>
      <c r="G4021" t="s">
        <v>1106</v>
      </c>
    </row>
    <row r="4022" spans="1:7" hidden="1" x14ac:dyDescent="0.25">
      <c r="A4022" t="s">
        <v>12381</v>
      </c>
      <c r="F4022" t="s">
        <v>12743</v>
      </c>
      <c r="G4022" t="s">
        <v>1106</v>
      </c>
    </row>
    <row r="4023" spans="1:7" hidden="1" x14ac:dyDescent="0.25">
      <c r="A4023" t="s">
        <v>12381</v>
      </c>
      <c r="F4023" t="s">
        <v>12746</v>
      </c>
      <c r="G4023" t="s">
        <v>1106</v>
      </c>
    </row>
    <row r="4024" spans="1:7" hidden="1" x14ac:dyDescent="0.25">
      <c r="A4024" t="s">
        <v>4</v>
      </c>
      <c r="B4024" t="s">
        <v>8</v>
      </c>
      <c r="F4024" t="s">
        <v>12749</v>
      </c>
      <c r="G4024" t="s">
        <v>1106</v>
      </c>
    </row>
    <row r="4025" spans="1:7" hidden="1" x14ac:dyDescent="0.25">
      <c r="A4025" t="s">
        <v>12381</v>
      </c>
      <c r="F4025" t="s">
        <v>12752</v>
      </c>
      <c r="G4025" t="s">
        <v>1107</v>
      </c>
    </row>
    <row r="4026" spans="1:7" hidden="1" x14ac:dyDescent="0.25">
      <c r="A4026" t="s">
        <v>12381</v>
      </c>
      <c r="F4026" t="s">
        <v>12755</v>
      </c>
      <c r="G4026" t="s">
        <v>1107</v>
      </c>
    </row>
    <row r="4027" spans="1:7" hidden="1" x14ac:dyDescent="0.25">
      <c r="A4027" t="s">
        <v>12381</v>
      </c>
      <c r="F4027" t="s">
        <v>12758</v>
      </c>
      <c r="G4027" t="s">
        <v>1107</v>
      </c>
    </row>
    <row r="4028" spans="1:7" hidden="1" x14ac:dyDescent="0.25">
      <c r="A4028" t="s">
        <v>12381</v>
      </c>
      <c r="F4028" t="s">
        <v>12761</v>
      </c>
      <c r="G4028" t="s">
        <v>1107</v>
      </c>
    </row>
    <row r="4029" spans="1:7" hidden="1" x14ac:dyDescent="0.25">
      <c r="A4029" t="s">
        <v>4</v>
      </c>
      <c r="B4029" t="s">
        <v>8</v>
      </c>
      <c r="F4029" t="s">
        <v>12764</v>
      </c>
      <c r="G4029" t="s">
        <v>1107</v>
      </c>
    </row>
    <row r="4030" spans="1:7" hidden="1" x14ac:dyDescent="0.25">
      <c r="A4030" t="s">
        <v>12381</v>
      </c>
      <c r="F4030" t="s">
        <v>12767</v>
      </c>
      <c r="G4030" t="s">
        <v>1107</v>
      </c>
    </row>
    <row r="4031" spans="1:7" hidden="1" x14ac:dyDescent="0.25">
      <c r="A4031" t="s">
        <v>12381</v>
      </c>
      <c r="F4031" t="s">
        <v>12770</v>
      </c>
      <c r="G4031" t="s">
        <v>1107</v>
      </c>
    </row>
    <row r="4032" spans="1:7" hidden="1" x14ac:dyDescent="0.25">
      <c r="A4032" t="s">
        <v>4</v>
      </c>
      <c r="B4032" t="s">
        <v>8</v>
      </c>
      <c r="F4032" t="s">
        <v>12773</v>
      </c>
      <c r="G4032" t="s">
        <v>1107</v>
      </c>
    </row>
    <row r="4033" spans="1:7" hidden="1" x14ac:dyDescent="0.25">
      <c r="A4033" t="s">
        <v>12381</v>
      </c>
      <c r="F4033" t="s">
        <v>12632</v>
      </c>
      <c r="G4033" t="s">
        <v>1934</v>
      </c>
    </row>
    <row r="4034" spans="1:7" hidden="1" x14ac:dyDescent="0.25">
      <c r="A4034" t="s">
        <v>12381</v>
      </c>
      <c r="F4034" t="s">
        <v>12635</v>
      </c>
      <c r="G4034" t="s">
        <v>1934</v>
      </c>
    </row>
    <row r="4035" spans="1:7" hidden="1" x14ac:dyDescent="0.25">
      <c r="A4035" t="s">
        <v>12381</v>
      </c>
      <c r="F4035" t="s">
        <v>12638</v>
      </c>
      <c r="G4035" t="s">
        <v>1934</v>
      </c>
    </row>
    <row r="4036" spans="1:7" hidden="1" x14ac:dyDescent="0.25">
      <c r="A4036" t="s">
        <v>12381</v>
      </c>
      <c r="F4036" t="s">
        <v>12641</v>
      </c>
      <c r="G4036" t="s">
        <v>1934</v>
      </c>
    </row>
    <row r="4037" spans="1:7" hidden="1" x14ac:dyDescent="0.25">
      <c r="A4037" t="s">
        <v>12381</v>
      </c>
      <c r="F4037" t="s">
        <v>12644</v>
      </c>
      <c r="G4037" t="s">
        <v>1934</v>
      </c>
    </row>
    <row r="4038" spans="1:7" hidden="1" x14ac:dyDescent="0.25">
      <c r="A4038" t="s">
        <v>12381</v>
      </c>
      <c r="F4038" t="s">
        <v>12647</v>
      </c>
      <c r="G4038" t="s">
        <v>1934</v>
      </c>
    </row>
    <row r="4039" spans="1:7" hidden="1" x14ac:dyDescent="0.25">
      <c r="A4039" t="s">
        <v>4</v>
      </c>
      <c r="B4039" t="s">
        <v>8</v>
      </c>
      <c r="F4039" t="s">
        <v>12650</v>
      </c>
      <c r="G4039" t="s">
        <v>1934</v>
      </c>
    </row>
    <row r="4040" spans="1:7" hidden="1" x14ac:dyDescent="0.25">
      <c r="A4040" t="s">
        <v>12381</v>
      </c>
      <c r="F4040" t="s">
        <v>12653</v>
      </c>
      <c r="G4040" t="s">
        <v>1934</v>
      </c>
    </row>
    <row r="4041" spans="1:7" hidden="1" x14ac:dyDescent="0.25">
      <c r="A4041" t="s">
        <v>12381</v>
      </c>
      <c r="F4041" t="s">
        <v>12656</v>
      </c>
      <c r="G4041" t="s">
        <v>1934</v>
      </c>
    </row>
    <row r="4042" spans="1:7" hidden="1" x14ac:dyDescent="0.25">
      <c r="A4042" t="s">
        <v>4</v>
      </c>
      <c r="B4042" t="s">
        <v>8</v>
      </c>
      <c r="F4042" t="s">
        <v>12659</v>
      </c>
      <c r="G4042" t="s">
        <v>1934</v>
      </c>
    </row>
    <row r="4043" spans="1:7" hidden="1" x14ac:dyDescent="0.25">
      <c r="A4043" t="s">
        <v>4</v>
      </c>
      <c r="B4043" t="s">
        <v>8</v>
      </c>
      <c r="F4043" t="s">
        <v>12662</v>
      </c>
      <c r="G4043" t="s">
        <v>1997</v>
      </c>
    </row>
    <row r="4044" spans="1:7" hidden="1" x14ac:dyDescent="0.25">
      <c r="A4044" t="s">
        <v>2004</v>
      </c>
      <c r="B4044" t="s">
        <v>8</v>
      </c>
      <c r="F4044" t="s">
        <v>12665</v>
      </c>
      <c r="G4044" t="s">
        <v>1997</v>
      </c>
    </row>
    <row r="4045" spans="1:7" hidden="1" x14ac:dyDescent="0.25">
      <c r="A4045" t="s">
        <v>2004</v>
      </c>
      <c r="B4045" t="s">
        <v>8</v>
      </c>
      <c r="F4045" t="s">
        <v>12668</v>
      </c>
      <c r="G4045" t="s">
        <v>1997</v>
      </c>
    </row>
    <row r="4046" spans="1:7" x14ac:dyDescent="0.25">
      <c r="A4046" t="s">
        <v>12381</v>
      </c>
      <c r="F4046" t="s">
        <v>12671</v>
      </c>
      <c r="G4046" t="s">
        <v>12383</v>
      </c>
    </row>
    <row r="4047" spans="1:7" x14ac:dyDescent="0.25">
      <c r="A4047" t="s">
        <v>12381</v>
      </c>
      <c r="F4047" t="s">
        <v>12674</v>
      </c>
      <c r="G4047" t="s">
        <v>12383</v>
      </c>
    </row>
    <row r="4048" spans="1:7" x14ac:dyDescent="0.25">
      <c r="A4048" t="s">
        <v>12381</v>
      </c>
      <c r="F4048" t="s">
        <v>12677</v>
      </c>
      <c r="G4048" t="s">
        <v>12383</v>
      </c>
    </row>
    <row r="4049" spans="1:7" x14ac:dyDescent="0.25">
      <c r="A4049" t="s">
        <v>12381</v>
      </c>
      <c r="F4049" t="s">
        <v>12680</v>
      </c>
      <c r="G4049" t="s">
        <v>12383</v>
      </c>
    </row>
    <row r="4050" spans="1:7" x14ac:dyDescent="0.25">
      <c r="A4050" t="s">
        <v>12381</v>
      </c>
      <c r="F4050" t="s">
        <v>12683</v>
      </c>
      <c r="G4050" t="s">
        <v>12383</v>
      </c>
    </row>
    <row r="4051" spans="1:7" x14ac:dyDescent="0.25">
      <c r="A4051" t="s">
        <v>12381</v>
      </c>
      <c r="F4051" t="s">
        <v>12686</v>
      </c>
      <c r="G4051" t="s">
        <v>12383</v>
      </c>
    </row>
    <row r="4052" spans="1:7" x14ac:dyDescent="0.25">
      <c r="A4052" t="s">
        <v>12381</v>
      </c>
      <c r="F4052" t="s">
        <v>12689</v>
      </c>
      <c r="G4052" t="s">
        <v>12383</v>
      </c>
    </row>
    <row r="4053" spans="1:7" x14ac:dyDescent="0.25">
      <c r="A4053" t="s">
        <v>12381</v>
      </c>
      <c r="F4053" t="s">
        <v>12692</v>
      </c>
      <c r="G4053" t="s">
        <v>12383</v>
      </c>
    </row>
    <row r="4054" spans="1:7" x14ac:dyDescent="0.25">
      <c r="A4054" t="s">
        <v>4</v>
      </c>
      <c r="B4054" t="s">
        <v>8</v>
      </c>
      <c r="F4054" t="s">
        <v>12695</v>
      </c>
      <c r="G4054" t="s">
        <v>12383</v>
      </c>
    </row>
    <row r="4055" spans="1:7" x14ac:dyDescent="0.25">
      <c r="A4055" t="s">
        <v>12381</v>
      </c>
      <c r="F4055" t="s">
        <v>12698</v>
      </c>
      <c r="G4055" t="s">
        <v>12383</v>
      </c>
    </row>
    <row r="4056" spans="1:7" x14ac:dyDescent="0.25">
      <c r="A4056" t="s">
        <v>12381</v>
      </c>
      <c r="F4056" t="s">
        <v>12701</v>
      </c>
      <c r="G4056" t="s">
        <v>12383</v>
      </c>
    </row>
    <row r="4057" spans="1:7" x14ac:dyDescent="0.25">
      <c r="A4057" t="s">
        <v>12381</v>
      </c>
      <c r="F4057" t="s">
        <v>12704</v>
      </c>
      <c r="G4057" t="s">
        <v>12383</v>
      </c>
    </row>
    <row r="4058" spans="1:7" x14ac:dyDescent="0.25">
      <c r="A4058" t="s">
        <v>12381</v>
      </c>
      <c r="F4058" t="s">
        <v>12707</v>
      </c>
      <c r="G4058" t="s">
        <v>12383</v>
      </c>
    </row>
    <row r="4059" spans="1:7" x14ac:dyDescent="0.25">
      <c r="A4059" t="s">
        <v>12381</v>
      </c>
      <c r="F4059" t="s">
        <v>12710</v>
      </c>
      <c r="G4059" t="s">
        <v>12383</v>
      </c>
    </row>
    <row r="4060" spans="1:7" x14ac:dyDescent="0.25">
      <c r="A4060" t="s">
        <v>4</v>
      </c>
      <c r="B4060" t="s">
        <v>8</v>
      </c>
      <c r="F4060" t="s">
        <v>12713</v>
      </c>
      <c r="G4060" t="s">
        <v>12383</v>
      </c>
    </row>
    <row r="4061" spans="1:7" hidden="1" x14ac:dyDescent="0.25">
      <c r="A4061" t="s">
        <v>1606</v>
      </c>
      <c r="B4061" t="s">
        <v>4191</v>
      </c>
      <c r="F4061" s="10" t="s">
        <v>12778</v>
      </c>
      <c r="G4061" t="s">
        <v>1104</v>
      </c>
    </row>
    <row r="4062" spans="1:7" hidden="1" x14ac:dyDescent="0.25">
      <c r="A4062" t="s">
        <v>11957</v>
      </c>
      <c r="B4062" t="s">
        <v>12926</v>
      </c>
      <c r="C4062" t="s">
        <v>51</v>
      </c>
      <c r="F4062" s="10" t="s">
        <v>12781</v>
      </c>
      <c r="G4062" t="s">
        <v>1104</v>
      </c>
    </row>
    <row r="4063" spans="1:7" hidden="1" x14ac:dyDescent="0.25">
      <c r="A4063" t="s">
        <v>11957</v>
      </c>
      <c r="B4063" t="s">
        <v>12927</v>
      </c>
      <c r="C4063" t="s">
        <v>51</v>
      </c>
      <c r="F4063" s="10" t="s">
        <v>12784</v>
      </c>
      <c r="G4063" t="s">
        <v>1104</v>
      </c>
    </row>
    <row r="4064" spans="1:7" hidden="1" x14ac:dyDescent="0.25">
      <c r="A4064" t="s">
        <v>62</v>
      </c>
      <c r="B4064" t="s">
        <v>4191</v>
      </c>
      <c r="F4064" s="10" t="s">
        <v>12787</v>
      </c>
      <c r="G4064" t="s">
        <v>1104</v>
      </c>
    </row>
    <row r="4065" spans="1:7" hidden="1" x14ac:dyDescent="0.25">
      <c r="A4065" t="s">
        <v>62</v>
      </c>
      <c r="B4065" t="s">
        <v>12927</v>
      </c>
      <c r="C4065" t="s">
        <v>649</v>
      </c>
      <c r="F4065" s="10" t="s">
        <v>12790</v>
      </c>
      <c r="G4065" t="s">
        <v>1104</v>
      </c>
    </row>
    <row r="4066" spans="1:7" hidden="1" x14ac:dyDescent="0.25">
      <c r="A4066" t="s">
        <v>62</v>
      </c>
      <c r="B4066" t="s">
        <v>12926</v>
      </c>
      <c r="C4066" t="s">
        <v>649</v>
      </c>
      <c r="F4066" s="10" t="s">
        <v>12793</v>
      </c>
      <c r="G4066" t="s">
        <v>1104</v>
      </c>
    </row>
    <row r="4067" spans="1:7" hidden="1" x14ac:dyDescent="0.25">
      <c r="A4067" t="s">
        <v>289</v>
      </c>
      <c r="B4067" t="s">
        <v>12926</v>
      </c>
      <c r="C4067" t="s">
        <v>649</v>
      </c>
      <c r="F4067" s="10" t="s">
        <v>12797</v>
      </c>
      <c r="G4067" t="s">
        <v>1105</v>
      </c>
    </row>
    <row r="4068" spans="1:7" hidden="1" x14ac:dyDescent="0.25">
      <c r="A4068" t="s">
        <v>289</v>
      </c>
      <c r="B4068" t="s">
        <v>12926</v>
      </c>
      <c r="C4068" t="s">
        <v>649</v>
      </c>
      <c r="E4068" t="s">
        <v>2936</v>
      </c>
      <c r="F4068" s="10" t="s">
        <v>12800</v>
      </c>
      <c r="G4068" t="s">
        <v>1105</v>
      </c>
    </row>
    <row r="4069" spans="1:7" hidden="1" x14ac:dyDescent="0.25">
      <c r="A4069" t="s">
        <v>289</v>
      </c>
      <c r="B4069" t="s">
        <v>12926</v>
      </c>
      <c r="C4069" t="s">
        <v>649</v>
      </c>
      <c r="E4069" t="s">
        <v>2936</v>
      </c>
      <c r="F4069" s="10" t="s">
        <v>12803</v>
      </c>
      <c r="G4069" t="s">
        <v>1105</v>
      </c>
    </row>
    <row r="4070" spans="1:7" hidden="1" x14ac:dyDescent="0.25">
      <c r="A4070" t="s">
        <v>12928</v>
      </c>
      <c r="B4070" t="s">
        <v>12926</v>
      </c>
      <c r="C4070" t="s">
        <v>649</v>
      </c>
      <c r="F4070" s="10" t="s">
        <v>12806</v>
      </c>
      <c r="G4070" t="s">
        <v>1105</v>
      </c>
    </row>
    <row r="4071" spans="1:7" hidden="1" x14ac:dyDescent="0.25">
      <c r="A4071" t="s">
        <v>12929</v>
      </c>
      <c r="B4071" t="s">
        <v>12927</v>
      </c>
      <c r="C4071" t="s">
        <v>51</v>
      </c>
      <c r="F4071" s="10" t="s">
        <v>12809</v>
      </c>
      <c r="G4071" t="s">
        <v>1105</v>
      </c>
    </row>
    <row r="4072" spans="1:7" hidden="1" x14ac:dyDescent="0.25">
      <c r="A4072" t="s">
        <v>4</v>
      </c>
      <c r="B4072" t="s">
        <v>12930</v>
      </c>
      <c r="F4072" s="10" t="s">
        <v>12812</v>
      </c>
      <c r="G4072" t="s">
        <v>1105</v>
      </c>
    </row>
    <row r="4073" spans="1:7" hidden="1" x14ac:dyDescent="0.25">
      <c r="A4073" t="s">
        <v>12931</v>
      </c>
      <c r="B4073" t="s">
        <v>12927</v>
      </c>
      <c r="C4073" t="s">
        <v>649</v>
      </c>
      <c r="F4073" s="10" t="s">
        <v>12815</v>
      </c>
      <c r="G4073" t="s">
        <v>1105</v>
      </c>
    </row>
    <row r="4074" spans="1:7" hidden="1" x14ac:dyDescent="0.25">
      <c r="A4074" t="s">
        <v>12931</v>
      </c>
      <c r="B4074" t="s">
        <v>12926</v>
      </c>
      <c r="C4074" t="s">
        <v>649</v>
      </c>
      <c r="F4074" s="10" t="s">
        <v>12818</v>
      </c>
      <c r="G4074" t="s">
        <v>1105</v>
      </c>
    </row>
    <row r="4075" spans="1:7" hidden="1" x14ac:dyDescent="0.25">
      <c r="A4075" t="s">
        <v>12932</v>
      </c>
      <c r="F4075" s="10" t="s">
        <v>12821</v>
      </c>
      <c r="G4075" t="s">
        <v>1106</v>
      </c>
    </row>
    <row r="4076" spans="1:7" hidden="1" x14ac:dyDescent="0.25">
      <c r="A4076" t="s">
        <v>1606</v>
      </c>
      <c r="B4076" t="s">
        <v>12926</v>
      </c>
      <c r="C4076" t="s">
        <v>649</v>
      </c>
      <c r="F4076" s="10" t="s">
        <v>12824</v>
      </c>
      <c r="G4076" t="s">
        <v>1106</v>
      </c>
    </row>
    <row r="4077" spans="1:7" hidden="1" x14ac:dyDescent="0.25">
      <c r="A4077" t="s">
        <v>289</v>
      </c>
      <c r="B4077" t="s">
        <v>12926</v>
      </c>
      <c r="C4077" t="s">
        <v>649</v>
      </c>
      <c r="F4077" s="10" t="s">
        <v>12827</v>
      </c>
      <c r="G4077" t="s">
        <v>1106</v>
      </c>
    </row>
    <row r="4078" spans="1:7" hidden="1" x14ac:dyDescent="0.25">
      <c r="A4078" t="s">
        <v>289</v>
      </c>
      <c r="B4078" t="s">
        <v>12926</v>
      </c>
      <c r="C4078" t="s">
        <v>649</v>
      </c>
      <c r="E4078" t="s">
        <v>2936</v>
      </c>
      <c r="F4078" s="10" t="s">
        <v>12830</v>
      </c>
      <c r="G4078" t="s">
        <v>1106</v>
      </c>
    </row>
    <row r="4079" spans="1:7" hidden="1" x14ac:dyDescent="0.25">
      <c r="A4079" t="s">
        <v>12933</v>
      </c>
      <c r="B4079" t="s">
        <v>12926</v>
      </c>
      <c r="F4079" s="10" t="s">
        <v>12833</v>
      </c>
      <c r="G4079" t="s">
        <v>1106</v>
      </c>
    </row>
    <row r="4080" spans="1:7" hidden="1" x14ac:dyDescent="0.25">
      <c r="A4080" t="s">
        <v>289</v>
      </c>
      <c r="B4080" s="10" t="s">
        <v>12927</v>
      </c>
      <c r="C4080" t="s">
        <v>649</v>
      </c>
      <c r="F4080" s="10" t="s">
        <v>12836</v>
      </c>
      <c r="G4080" t="s">
        <v>1106</v>
      </c>
    </row>
    <row r="4081" spans="1:7" hidden="1" x14ac:dyDescent="0.25">
      <c r="A4081" t="s">
        <v>289</v>
      </c>
      <c r="B4081" s="10" t="s">
        <v>12927</v>
      </c>
      <c r="C4081" t="s">
        <v>649</v>
      </c>
      <c r="E4081" t="s">
        <v>2936</v>
      </c>
      <c r="F4081" s="10" t="s">
        <v>12839</v>
      </c>
      <c r="G4081" t="s">
        <v>1106</v>
      </c>
    </row>
    <row r="4082" spans="1:7" hidden="1" x14ac:dyDescent="0.25">
      <c r="A4082" t="s">
        <v>289</v>
      </c>
      <c r="B4082" s="10" t="s">
        <v>12927</v>
      </c>
      <c r="C4082" t="s">
        <v>649</v>
      </c>
      <c r="E4082" t="s">
        <v>2936</v>
      </c>
      <c r="F4082" s="10" t="s">
        <v>12842</v>
      </c>
      <c r="G4082" t="s">
        <v>1106</v>
      </c>
    </row>
    <row r="4083" spans="1:7" hidden="1" x14ac:dyDescent="0.25">
      <c r="A4083" t="s">
        <v>289</v>
      </c>
      <c r="B4083" t="s">
        <v>12926</v>
      </c>
      <c r="C4083" t="s">
        <v>649</v>
      </c>
      <c r="E4083" t="s">
        <v>2936</v>
      </c>
      <c r="F4083" s="10" t="s">
        <v>12845</v>
      </c>
      <c r="G4083" t="s">
        <v>1106</v>
      </c>
    </row>
    <row r="4084" spans="1:7" hidden="1" x14ac:dyDescent="0.25">
      <c r="A4084" t="s">
        <v>289</v>
      </c>
      <c r="B4084" t="s">
        <v>12926</v>
      </c>
      <c r="C4084" t="s">
        <v>649</v>
      </c>
      <c r="E4084" t="s">
        <v>2936</v>
      </c>
      <c r="F4084" s="10" t="s">
        <v>12848</v>
      </c>
      <c r="G4084" t="s">
        <v>1106</v>
      </c>
    </row>
    <row r="4085" spans="1:7" hidden="1" x14ac:dyDescent="0.25">
      <c r="A4085" t="s">
        <v>289</v>
      </c>
      <c r="B4085" t="s">
        <v>12926</v>
      </c>
      <c r="C4085" t="s">
        <v>649</v>
      </c>
      <c r="E4085" t="s">
        <v>2936</v>
      </c>
      <c r="F4085" s="10" t="s">
        <v>12851</v>
      </c>
      <c r="G4085" t="s">
        <v>1106</v>
      </c>
    </row>
    <row r="4086" spans="1:7" hidden="1" x14ac:dyDescent="0.25">
      <c r="A4086" t="s">
        <v>289</v>
      </c>
      <c r="B4086" t="s">
        <v>12926</v>
      </c>
      <c r="C4086" t="s">
        <v>649</v>
      </c>
      <c r="E4086" t="s">
        <v>2936</v>
      </c>
      <c r="F4086" s="10" t="s">
        <v>12854</v>
      </c>
      <c r="G4086" t="s">
        <v>1106</v>
      </c>
    </row>
    <row r="4087" spans="1:7" hidden="1" x14ac:dyDescent="0.25">
      <c r="A4087" t="s">
        <v>289</v>
      </c>
      <c r="B4087" t="s">
        <v>12926</v>
      </c>
      <c r="C4087" t="s">
        <v>649</v>
      </c>
      <c r="E4087" t="s">
        <v>2936</v>
      </c>
      <c r="F4087" s="10" t="s">
        <v>12857</v>
      </c>
      <c r="G4087" t="s">
        <v>1106</v>
      </c>
    </row>
    <row r="4088" spans="1:7" hidden="1" x14ac:dyDescent="0.25">
      <c r="A4088" t="s">
        <v>289</v>
      </c>
      <c r="B4088" s="10" t="s">
        <v>12927</v>
      </c>
      <c r="C4088" t="s">
        <v>649</v>
      </c>
      <c r="E4088" t="s">
        <v>2936</v>
      </c>
      <c r="F4088" s="10" t="s">
        <v>12860</v>
      </c>
      <c r="G4088" t="s">
        <v>1106</v>
      </c>
    </row>
    <row r="4089" spans="1:7" hidden="1" x14ac:dyDescent="0.25">
      <c r="A4089" t="s">
        <v>289</v>
      </c>
      <c r="B4089" s="10" t="s">
        <v>12927</v>
      </c>
      <c r="C4089" t="s">
        <v>649</v>
      </c>
      <c r="E4089" t="s">
        <v>2936</v>
      </c>
      <c r="F4089" s="10" t="s">
        <v>12863</v>
      </c>
      <c r="G4089" t="s">
        <v>1106</v>
      </c>
    </row>
    <row r="4090" spans="1:7" hidden="1" x14ac:dyDescent="0.25">
      <c r="A4090" t="s">
        <v>289</v>
      </c>
      <c r="B4090" s="10" t="s">
        <v>12927</v>
      </c>
      <c r="C4090" t="s">
        <v>649</v>
      </c>
      <c r="E4090" t="s">
        <v>2936</v>
      </c>
      <c r="F4090" s="10" t="s">
        <v>12866</v>
      </c>
      <c r="G4090" t="s">
        <v>1106</v>
      </c>
    </row>
    <row r="4091" spans="1:7" hidden="1" x14ac:dyDescent="0.25">
      <c r="A4091" t="s">
        <v>289</v>
      </c>
      <c r="B4091" s="10" t="s">
        <v>12927</v>
      </c>
      <c r="C4091" t="s">
        <v>649</v>
      </c>
      <c r="E4091" t="s">
        <v>2936</v>
      </c>
      <c r="F4091" s="10" t="s">
        <v>12869</v>
      </c>
      <c r="G4091" t="s">
        <v>1106</v>
      </c>
    </row>
    <row r="4092" spans="1:7" hidden="1" x14ac:dyDescent="0.25">
      <c r="A4092" t="s">
        <v>289</v>
      </c>
      <c r="B4092" s="10" t="s">
        <v>12927</v>
      </c>
      <c r="C4092" t="s">
        <v>649</v>
      </c>
      <c r="E4092" t="s">
        <v>2936</v>
      </c>
      <c r="F4092" s="10" t="s">
        <v>12872</v>
      </c>
      <c r="G4092" t="s">
        <v>1106</v>
      </c>
    </row>
    <row r="4093" spans="1:7" hidden="1" x14ac:dyDescent="0.25">
      <c r="A4093" t="s">
        <v>289</v>
      </c>
      <c r="B4093" s="10" t="s">
        <v>12927</v>
      </c>
      <c r="C4093" t="s">
        <v>649</v>
      </c>
      <c r="E4093" t="s">
        <v>2936</v>
      </c>
      <c r="F4093" s="10" t="s">
        <v>12875</v>
      </c>
      <c r="G4093" t="s">
        <v>1106</v>
      </c>
    </row>
    <row r="4094" spans="1:7" hidden="1" x14ac:dyDescent="0.25">
      <c r="A4094" t="s">
        <v>289</v>
      </c>
      <c r="B4094" s="10" t="s">
        <v>12927</v>
      </c>
      <c r="C4094" t="s">
        <v>649</v>
      </c>
      <c r="E4094" t="s">
        <v>2936</v>
      </c>
      <c r="F4094" s="10" t="s">
        <v>12878</v>
      </c>
      <c r="G4094" t="s">
        <v>1106</v>
      </c>
    </row>
    <row r="4095" spans="1:7" hidden="1" x14ac:dyDescent="0.25">
      <c r="A4095" t="s">
        <v>4232</v>
      </c>
      <c r="F4095" s="10" t="s">
        <v>12881</v>
      </c>
      <c r="G4095" t="s">
        <v>1106</v>
      </c>
    </row>
    <row r="4096" spans="1:7" hidden="1" x14ac:dyDescent="0.25">
      <c r="A4096" t="s">
        <v>650</v>
      </c>
      <c r="B4096" s="10" t="s">
        <v>12927</v>
      </c>
      <c r="C4096" t="s">
        <v>649</v>
      </c>
      <c r="F4096" s="10" t="s">
        <v>12884</v>
      </c>
      <c r="G4096" t="s">
        <v>1106</v>
      </c>
    </row>
    <row r="4097" spans="1:7" hidden="1" x14ac:dyDescent="0.25">
      <c r="A4097" t="s">
        <v>650</v>
      </c>
      <c r="B4097" t="s">
        <v>12926</v>
      </c>
      <c r="C4097" t="s">
        <v>649</v>
      </c>
      <c r="F4097" s="10" t="s">
        <v>12887</v>
      </c>
      <c r="G4097" t="s">
        <v>1106</v>
      </c>
    </row>
    <row r="4098" spans="1:7" hidden="1" x14ac:dyDescent="0.25">
      <c r="A4098" t="s">
        <v>7</v>
      </c>
      <c r="F4098" s="10" t="s">
        <v>12890</v>
      </c>
      <c r="G4098" t="s">
        <v>1106</v>
      </c>
    </row>
    <row r="4099" spans="1:7" hidden="1" x14ac:dyDescent="0.25">
      <c r="A4099" t="s">
        <v>1936</v>
      </c>
      <c r="F4099" s="10" t="s">
        <v>12893</v>
      </c>
      <c r="G4099" t="s">
        <v>1106</v>
      </c>
    </row>
    <row r="4100" spans="1:7" hidden="1" x14ac:dyDescent="0.25">
      <c r="A4100" t="s">
        <v>4</v>
      </c>
      <c r="B4100" t="s">
        <v>8</v>
      </c>
      <c r="F4100" s="10" t="s">
        <v>12896</v>
      </c>
      <c r="G4100" t="s">
        <v>1106</v>
      </c>
    </row>
    <row r="4101" spans="1:7" hidden="1" x14ac:dyDescent="0.25">
      <c r="A4101" t="s">
        <v>12381</v>
      </c>
      <c r="F4101" s="10" t="s">
        <v>12899</v>
      </c>
      <c r="G4101" t="s">
        <v>1107</v>
      </c>
    </row>
    <row r="4102" spans="1:7" hidden="1" x14ac:dyDescent="0.25">
      <c r="A4102" t="s">
        <v>7</v>
      </c>
      <c r="F4102" s="10" t="s">
        <v>12902</v>
      </c>
      <c r="G4102" t="s">
        <v>1107</v>
      </c>
    </row>
    <row r="4103" spans="1:7" hidden="1" x14ac:dyDescent="0.25">
      <c r="A4103" t="s">
        <v>4</v>
      </c>
      <c r="B4103" t="s">
        <v>8</v>
      </c>
      <c r="F4103" s="10" t="s">
        <v>12905</v>
      </c>
      <c r="G4103" t="s">
        <v>1107</v>
      </c>
    </row>
    <row r="4104" spans="1:7" hidden="1" x14ac:dyDescent="0.25">
      <c r="A4104" t="s">
        <v>12</v>
      </c>
      <c r="F4104" s="10" t="s">
        <v>12908</v>
      </c>
      <c r="G4104" t="s">
        <v>1934</v>
      </c>
    </row>
    <row r="4105" spans="1:7" hidden="1" x14ac:dyDescent="0.25">
      <c r="A4105" t="s">
        <v>4</v>
      </c>
      <c r="B4105" t="s">
        <v>8</v>
      </c>
      <c r="F4105" s="10" t="s">
        <v>12911</v>
      </c>
      <c r="G4105" t="s">
        <v>1934</v>
      </c>
    </row>
    <row r="4106" spans="1:7" hidden="1" x14ac:dyDescent="0.25">
      <c r="A4106" t="s">
        <v>2004</v>
      </c>
      <c r="B4106" t="s">
        <v>8</v>
      </c>
      <c r="F4106" s="10" t="s">
        <v>12914</v>
      </c>
      <c r="G4106" t="s">
        <v>1997</v>
      </c>
    </row>
    <row r="4107" spans="1:7" x14ac:dyDescent="0.25">
      <c r="A4107" t="s">
        <v>12381</v>
      </c>
      <c r="F4107" s="10" t="s">
        <v>12917</v>
      </c>
      <c r="G4107" t="s">
        <v>12383</v>
      </c>
    </row>
    <row r="4108" spans="1:7" x14ac:dyDescent="0.25">
      <c r="A4108" t="s">
        <v>12381</v>
      </c>
      <c r="F4108" s="10" t="s">
        <v>12920</v>
      </c>
      <c r="G4108" t="s">
        <v>12383</v>
      </c>
    </row>
    <row r="4109" spans="1:7" x14ac:dyDescent="0.25">
      <c r="A4109" t="s">
        <v>4</v>
      </c>
      <c r="B4109" t="s">
        <v>8</v>
      </c>
      <c r="F4109" s="10" t="s">
        <v>12923</v>
      </c>
      <c r="G4109" t="s">
        <v>12383</v>
      </c>
    </row>
  </sheetData>
  <phoneticPr fontId="2" type="noConversion"/>
  <conditionalFormatting sqref="C2:C11 C14 C16:C18 C23:C24">
    <cfRule type="notContainsText" dxfId="623" priority="612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622" priority="61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21" priority="610" operator="notContains" text="порожний">
      <formula>ISERROR(SEARCH("порожний",C12))</formula>
    </cfRule>
  </conditionalFormatting>
  <conditionalFormatting sqref="B12:B14">
    <cfRule type="containsText" dxfId="620" priority="609" operator="containsText" text="Выезд с территории">
      <formula>NOT(ISERROR(SEARCH("Выезд с территории",B12)))</formula>
    </cfRule>
  </conditionalFormatting>
  <conditionalFormatting sqref="C15">
    <cfRule type="notContainsText" dxfId="619" priority="608" operator="notContains" text="порожний">
      <formula>ISERROR(SEARCH("порожний",C15))</formula>
    </cfRule>
  </conditionalFormatting>
  <conditionalFormatting sqref="C19:C22">
    <cfRule type="notContainsText" dxfId="618" priority="607" operator="notContains" text="порожний">
      <formula>ISERROR(SEARCH("порожний",C19))</formula>
    </cfRule>
  </conditionalFormatting>
  <conditionalFormatting sqref="C25">
    <cfRule type="notContainsText" dxfId="617" priority="606" operator="notContains" text="порожний">
      <formula>ISERROR(SEARCH("порожний",C25))</formula>
    </cfRule>
  </conditionalFormatting>
  <conditionalFormatting sqref="C26:C27">
    <cfRule type="notContainsText" dxfId="616" priority="605" operator="notContains" text="порожний">
      <formula>ISERROR(SEARCH("порожний",C26))</formula>
    </cfRule>
  </conditionalFormatting>
  <conditionalFormatting sqref="C29">
    <cfRule type="notContainsText" dxfId="615" priority="604" operator="notContains" text="порожний">
      <formula>ISERROR(SEARCH("порожний",C29))</formula>
    </cfRule>
  </conditionalFormatting>
  <conditionalFormatting sqref="C39">
    <cfRule type="notContainsText" dxfId="614" priority="599" operator="notContains" text="порожний">
      <formula>ISERROR(SEARCH("порожний",C39))</formula>
    </cfRule>
  </conditionalFormatting>
  <conditionalFormatting sqref="C32">
    <cfRule type="notContainsText" dxfId="613" priority="603" operator="notContains" text="порожний">
      <formula>ISERROR(SEARCH("порожний",C32))</formula>
    </cfRule>
  </conditionalFormatting>
  <conditionalFormatting sqref="C34">
    <cfRule type="notContainsText" dxfId="612" priority="602" operator="notContains" text="порожний">
      <formula>ISERROR(SEARCH("порожний",C34))</formula>
    </cfRule>
  </conditionalFormatting>
  <conditionalFormatting sqref="C36">
    <cfRule type="notContainsText" dxfId="611" priority="601" operator="notContains" text="порожний">
      <formula>ISERROR(SEARCH("порожний",C36))</formula>
    </cfRule>
  </conditionalFormatting>
  <conditionalFormatting sqref="C38">
    <cfRule type="notContainsText" dxfId="610" priority="600" operator="notContains" text="порожний">
      <formula>ISERROR(SEARCH("порожний",C38))</formula>
    </cfRule>
  </conditionalFormatting>
  <conditionalFormatting sqref="E147">
    <cfRule type="containsText" dxfId="609" priority="59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08" priority="597" operator="notContains" text="порожний">
      <formula>ISERROR(SEARCH("порожний",C581))</formula>
    </cfRule>
  </conditionalFormatting>
  <conditionalFormatting sqref="C586">
    <cfRule type="notContainsText" dxfId="607" priority="596" operator="notContains" text="порожний">
      <formula>ISERROR(SEARCH("порожний",C586))</formula>
    </cfRule>
  </conditionalFormatting>
  <conditionalFormatting sqref="B609">
    <cfRule type="containsText" dxfId="606" priority="595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605" priority="593" operator="containsText" text="Газель базы">
      <formula>NOT(ISERROR(SEARCH("Газель базы",B609)))</formula>
    </cfRule>
    <cfRule type="containsText" dxfId="604" priority="594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603" priority="592" operator="containsText" text="Трактор базы">
      <formula>NOT(ISERROR(SEARCH("Трактор базы",B609)))</formula>
    </cfRule>
  </conditionalFormatting>
  <conditionalFormatting sqref="B614">
    <cfRule type="containsText" dxfId="602" priority="588" operator="containsText" text="Трактор базы">
      <formula>NOT(ISERROR(SEARCH("Трактор базы",B614)))</formula>
    </cfRule>
  </conditionalFormatting>
  <conditionalFormatting sqref="B614">
    <cfRule type="containsText" dxfId="601" priority="591" operator="containsText" text="Выезд с территории">
      <formula>NOT(ISERROR(SEARCH("Выезд с территории",B614)))</formula>
    </cfRule>
  </conditionalFormatting>
  <conditionalFormatting sqref="B614">
    <cfRule type="containsText" dxfId="600" priority="589" operator="containsText" text="Газель базы">
      <formula>NOT(ISERROR(SEARCH("Газель базы",B614)))</formula>
    </cfRule>
    <cfRule type="containsText" dxfId="599" priority="590" operator="containsText" text="Погрузчик базы">
      <formula>NOT(ISERROR(SEARCH("Погрузчик базы",B614)))</formula>
    </cfRule>
  </conditionalFormatting>
  <conditionalFormatting sqref="C649">
    <cfRule type="notContainsText" dxfId="598" priority="587" operator="notContains" text="порожний">
      <formula>ISERROR(SEARCH("порожний",C649))</formula>
    </cfRule>
  </conditionalFormatting>
  <conditionalFormatting sqref="C655">
    <cfRule type="notContainsText" dxfId="597" priority="584" operator="notContains" text="порожний">
      <formula>ISERROR(SEARCH("порожний",C655))</formula>
    </cfRule>
  </conditionalFormatting>
  <conditionalFormatting sqref="C650">
    <cfRule type="notContainsText" dxfId="596" priority="586" operator="notContains" text="порожний">
      <formula>ISERROR(SEARCH("порожний",C650))</formula>
    </cfRule>
  </conditionalFormatting>
  <conditionalFormatting sqref="C654">
    <cfRule type="notContainsText" dxfId="595" priority="585" operator="notContains" text="порожний">
      <formula>ISERROR(SEARCH("порожний",C654))</formula>
    </cfRule>
  </conditionalFormatting>
  <conditionalFormatting sqref="A663:A666 A668:A670 A695 A697:A701 A825 A3437">
    <cfRule type="containsText" dxfId="594" priority="58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93" priority="58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592" priority="58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91" priority="57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90" priority="58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89" priority="57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88" priority="56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87" priority="577" operator="containsText" text="Выезд с территории">
      <formula>NOT(ISERROR(SEARCH("Выезд с территории",A681)))</formula>
    </cfRule>
  </conditionalFormatting>
  <conditionalFormatting sqref="A681">
    <cfRule type="containsText" dxfId="586" priority="57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85" priority="57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84" priority="571" operator="containsText" text="Трактор базы">
      <formula>NOT(ISERROR(SEARCH("Трактор базы",B682)))</formula>
    </cfRule>
  </conditionalFormatting>
  <conditionalFormatting sqref="B682">
    <cfRule type="containsText" dxfId="583" priority="574" operator="containsText" text="Выезд с территории">
      <formula>NOT(ISERROR(SEARCH("Выезд с территории",B682)))</formula>
    </cfRule>
  </conditionalFormatting>
  <conditionalFormatting sqref="B682">
    <cfRule type="containsText" dxfId="582" priority="572" operator="containsText" text="Газель базы">
      <formula>NOT(ISERROR(SEARCH("Газель базы",B682)))</formula>
    </cfRule>
    <cfRule type="containsText" dxfId="581" priority="573" operator="containsText" text="Погрузчик базы">
      <formula>NOT(ISERROR(SEARCH("Погрузчик базы",B682)))</formula>
    </cfRule>
  </conditionalFormatting>
  <conditionalFormatting sqref="A684:A687">
    <cfRule type="containsText" dxfId="580" priority="57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79" priority="56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78" priority="55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77" priority="56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76" priority="56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75" priority="55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74" priority="558" operator="containsText" text="Выезд с территории">
      <formula>NOT(ISERROR(SEARCH("Выезд с территории",A824)))</formula>
    </cfRule>
  </conditionalFormatting>
  <conditionalFormatting sqref="A824">
    <cfRule type="containsText" dxfId="573" priority="55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72" priority="55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71" priority="550" operator="containsText" text="Газель базы">
      <formula>NOT(ISERROR(SEARCH("Газель базы",B846)))</formula>
    </cfRule>
    <cfRule type="containsText" dxfId="570" priority="551" operator="containsText" text="Погрузчик базы">
      <formula>NOT(ISERROR(SEARCH("Погрузчик базы",B846)))</formula>
    </cfRule>
  </conditionalFormatting>
  <conditionalFormatting sqref="B846:B850">
    <cfRule type="containsText" dxfId="569" priority="549" operator="containsText" text="Трактор базы">
      <formula>NOT(ISERROR(SEARCH("Трактор базы",B846)))</formula>
    </cfRule>
  </conditionalFormatting>
  <conditionalFormatting sqref="A916:A917">
    <cfRule type="containsText" dxfId="568" priority="54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67" priority="54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66" priority="546" operator="containsText" text="Газель базы">
      <formula>NOT(ISERROR(SEARCH("Газель базы",B916)))</formula>
    </cfRule>
    <cfRule type="containsText" dxfId="565" priority="547" operator="containsText" text="Погрузчик базы">
      <formula>NOT(ISERROR(SEARCH("Погрузчик базы",B916)))</formula>
    </cfRule>
  </conditionalFormatting>
  <conditionalFormatting sqref="B916:B917">
    <cfRule type="containsText" dxfId="564" priority="545" operator="containsText" text="Трактор базы">
      <formula>NOT(ISERROR(SEARCH("Трактор базы",B916)))</formula>
    </cfRule>
  </conditionalFormatting>
  <conditionalFormatting sqref="A916:A917">
    <cfRule type="containsText" dxfId="563" priority="54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62" priority="542" operator="containsText" text="Выезд с территории">
      <formula>NOT(ISERROR(SEARCH("Выезд с территории",E916)))</formula>
    </cfRule>
  </conditionalFormatting>
  <conditionalFormatting sqref="A932">
    <cfRule type="containsText" dxfId="561" priority="51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60" priority="54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59" priority="539" operator="containsText" text="Газель базы">
      <formula>NOT(ISERROR(SEARCH("Газель базы",B918)))</formula>
    </cfRule>
    <cfRule type="containsText" dxfId="558" priority="540" operator="containsText" text="Погрузчик базы">
      <formula>NOT(ISERROR(SEARCH("Погрузчик базы",B918)))</formula>
    </cfRule>
  </conditionalFormatting>
  <conditionalFormatting sqref="B918:B924">
    <cfRule type="containsText" dxfId="557" priority="538" operator="containsText" text="Трактор базы">
      <formula>NOT(ISERROR(SEARCH("Трактор базы",B918)))</formula>
    </cfRule>
  </conditionalFormatting>
  <conditionalFormatting sqref="A918">
    <cfRule type="containsText" dxfId="556" priority="53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55" priority="53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54" priority="53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53" priority="53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52" priority="533" operator="containsText" text="Газель базы">
      <formula>NOT(ISERROR(SEARCH("Газель базы",B926)))</formula>
    </cfRule>
    <cfRule type="containsText" dxfId="551" priority="534" operator="containsText" text="Погрузчик базы">
      <formula>NOT(ISERROR(SEARCH("Погрузчик базы",B926)))</formula>
    </cfRule>
  </conditionalFormatting>
  <conditionalFormatting sqref="B926:B928">
    <cfRule type="containsText" dxfId="550" priority="532" operator="containsText" text="Трактор базы">
      <formula>NOT(ISERROR(SEARCH("Трактор базы",B926)))</formula>
    </cfRule>
  </conditionalFormatting>
  <conditionalFormatting sqref="A926:A928">
    <cfRule type="containsText" dxfId="549" priority="53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48" priority="529" operator="containsText" text="Выезд с территории">
      <formula>NOT(ISERROR(SEARCH("Выезд с территории",E926)))</formula>
    </cfRule>
  </conditionalFormatting>
  <conditionalFormatting sqref="A930">
    <cfRule type="containsText" dxfId="547" priority="52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46" priority="528" operator="containsText" text="Выезд с территории">
      <formula>NOT(ISERROR(SEARCH("Выезд с территории",A930)))</formula>
    </cfRule>
  </conditionalFormatting>
  <conditionalFormatting sqref="B930">
    <cfRule type="containsText" dxfId="545" priority="526" operator="containsText" text="Газель базы">
      <formula>NOT(ISERROR(SEARCH("Газель базы",B930)))</formula>
    </cfRule>
    <cfRule type="containsText" dxfId="544" priority="527" operator="containsText" text="Погрузчик базы">
      <formula>NOT(ISERROR(SEARCH("Погрузчик базы",B930)))</formula>
    </cfRule>
  </conditionalFormatting>
  <conditionalFormatting sqref="B930">
    <cfRule type="containsText" dxfId="543" priority="525" operator="containsText" text="Трактор базы">
      <formula>NOT(ISERROR(SEARCH("Трактор базы",B930)))</formula>
    </cfRule>
  </conditionalFormatting>
  <conditionalFormatting sqref="A930">
    <cfRule type="containsText" dxfId="542" priority="52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41" priority="522" operator="containsText" text="Выезд с территории">
      <formula>NOT(ISERROR(SEARCH("Выезд с территории",E930)))</formula>
    </cfRule>
  </conditionalFormatting>
  <conditionalFormatting sqref="A932">
    <cfRule type="containsText" dxfId="540" priority="521" operator="containsText" text="Выезд с территории">
      <formula>NOT(ISERROR(SEARCH("Выезд с территории",A932)))</formula>
    </cfRule>
  </conditionalFormatting>
  <conditionalFormatting sqref="A932">
    <cfRule type="containsText" dxfId="539" priority="52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38" priority="51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37" priority="51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36" priority="51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35" priority="51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34" priority="514" operator="notContains" text="порожний">
      <formula>ISERROR(SEARCH("порожний",C954))</formula>
    </cfRule>
  </conditionalFormatting>
  <conditionalFormatting sqref="B954:B956">
    <cfRule type="containsText" dxfId="533" priority="512" operator="containsText" text="Газель базы">
      <formula>NOT(ISERROR(SEARCH("Газель базы",B954)))</formula>
    </cfRule>
    <cfRule type="containsText" dxfId="532" priority="513" operator="containsText" text="Погрузчик базы">
      <formula>NOT(ISERROR(SEARCH("Погрузчик базы",B954)))</formula>
    </cfRule>
  </conditionalFormatting>
  <conditionalFormatting sqref="B954:B956">
    <cfRule type="containsText" dxfId="531" priority="511" operator="containsText" text="Трактор базы">
      <formula>NOT(ISERROR(SEARCH("Трактор базы",B954)))</formula>
    </cfRule>
  </conditionalFormatting>
  <conditionalFormatting sqref="A954:A956">
    <cfRule type="containsText" dxfId="530" priority="51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29" priority="50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28" priority="507" operator="notContains" text="порожний">
      <formula>ISERROR(SEARCH("порожний",C995))</formula>
    </cfRule>
  </conditionalFormatting>
  <conditionalFormatting sqref="C987">
    <cfRule type="notContainsText" dxfId="527" priority="508" operator="notContains" text="порожний">
      <formula>ISERROR(SEARCH("порожний",C987))</formula>
    </cfRule>
  </conditionalFormatting>
  <conditionalFormatting sqref="B999">
    <cfRule type="containsText" dxfId="526" priority="506" operator="containsText" text="Выезд с территории">
      <formula>NOT(ISERROR(SEARCH("Выезд с территории",B999)))</formula>
    </cfRule>
  </conditionalFormatting>
  <conditionalFormatting sqref="B999">
    <cfRule type="containsText" dxfId="525" priority="504" operator="containsText" text="Газель базы">
      <formula>NOT(ISERROR(SEARCH("Газель базы",B999)))</formula>
    </cfRule>
    <cfRule type="containsText" dxfId="524" priority="505" operator="containsText" text="Погрузчик базы">
      <formula>NOT(ISERROR(SEARCH("Погрузчик базы",B999)))</formula>
    </cfRule>
  </conditionalFormatting>
  <conditionalFormatting sqref="B999">
    <cfRule type="containsText" dxfId="523" priority="503" operator="containsText" text="Трактор базы">
      <formula>NOT(ISERROR(SEARCH("Трактор базы",B999)))</formula>
    </cfRule>
  </conditionalFormatting>
  <conditionalFormatting sqref="B1019:B1022">
    <cfRule type="containsText" dxfId="522" priority="499" operator="containsText" text="Трактор базы">
      <formula>NOT(ISERROR(SEARCH("Трактор базы",B1019)))</formula>
    </cfRule>
  </conditionalFormatting>
  <conditionalFormatting sqref="B1019:B1022">
    <cfRule type="containsText" dxfId="521" priority="50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20" priority="500" operator="containsText" text="Газель базы">
      <formula>NOT(ISERROR(SEARCH("Газель базы",B1019)))</formula>
    </cfRule>
    <cfRule type="containsText" dxfId="519" priority="501" operator="containsText" text="Погрузчик базы">
      <formula>NOT(ISERROR(SEARCH("Погрузчик базы",B1019)))</formula>
    </cfRule>
  </conditionalFormatting>
  <conditionalFormatting sqref="C966">
    <cfRule type="notContainsText" dxfId="518" priority="498" operator="notContains" text="порожний">
      <formula>ISERROR(SEARCH("порожний",C966))</formula>
    </cfRule>
  </conditionalFormatting>
  <conditionalFormatting sqref="A1029">
    <cfRule type="containsText" dxfId="517" priority="49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16" priority="49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15" priority="49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14" priority="49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13" priority="492" operator="containsText" text="Газель базы">
      <formula>NOT(ISERROR(SEARCH("Газель базы",B1030)))</formula>
    </cfRule>
    <cfRule type="containsText" dxfId="512" priority="493" operator="containsText" text="Погрузчик базы">
      <formula>NOT(ISERROR(SEARCH("Погрузчик базы",B1030)))</formula>
    </cfRule>
  </conditionalFormatting>
  <conditionalFormatting sqref="B1030">
    <cfRule type="containsText" dxfId="511" priority="491" operator="containsText" text="Трактор базы">
      <formula>NOT(ISERROR(SEARCH("Трактор базы",B1030)))</formula>
    </cfRule>
  </conditionalFormatting>
  <conditionalFormatting sqref="A1035">
    <cfRule type="containsText" dxfId="510" priority="48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09" priority="48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08" priority="49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07" priority="48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06" priority="48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05" priority="48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04" priority="48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03" priority="482" operator="containsText" text="Газель базы">
      <formula>NOT(ISERROR(SEARCH("Газель базы",B1138)))</formula>
    </cfRule>
    <cfRule type="containsText" dxfId="502" priority="483" operator="containsText" text="Погрузчик базы">
      <formula>NOT(ISERROR(SEARCH("Погрузчик базы",B1138)))</formula>
    </cfRule>
  </conditionalFormatting>
  <conditionalFormatting sqref="B1138:B1161">
    <cfRule type="containsText" dxfId="501" priority="481" operator="containsText" text="Трактор базы">
      <formula>NOT(ISERROR(SEARCH("Трактор базы",B1138)))</formula>
    </cfRule>
  </conditionalFormatting>
  <conditionalFormatting sqref="B1258:B1262">
    <cfRule type="containsText" dxfId="500" priority="465" operator="containsText" text="Трактор базы">
      <formula>NOT(ISERROR(SEARCH("Трактор базы",B1258)))</formula>
    </cfRule>
  </conditionalFormatting>
  <conditionalFormatting sqref="B1244:B1252">
    <cfRule type="containsText" dxfId="499" priority="48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98" priority="478" operator="containsText" text="Газель базы">
      <formula>NOT(ISERROR(SEARCH("Газель базы",B1244)))</formula>
    </cfRule>
    <cfRule type="containsText" dxfId="497" priority="479" operator="containsText" text="Погрузчик базы">
      <formula>NOT(ISERROR(SEARCH("Погрузчик базы",B1244)))</formula>
    </cfRule>
  </conditionalFormatting>
  <conditionalFormatting sqref="B1244:B1252">
    <cfRule type="containsText" dxfId="496" priority="477" operator="containsText" text="Трактор базы">
      <formula>NOT(ISERROR(SEARCH("Трактор базы",B1244)))</formula>
    </cfRule>
  </conditionalFormatting>
  <conditionalFormatting sqref="B1253:B1256">
    <cfRule type="containsText" dxfId="495" priority="47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94" priority="474" operator="containsText" text="Газель базы">
      <formula>NOT(ISERROR(SEARCH("Газель базы",B1253)))</formula>
    </cfRule>
    <cfRule type="containsText" dxfId="493" priority="475" operator="containsText" text="Погрузчик базы">
      <formula>NOT(ISERROR(SEARCH("Погрузчик базы",B1253)))</formula>
    </cfRule>
  </conditionalFormatting>
  <conditionalFormatting sqref="B1253:B1256">
    <cfRule type="containsText" dxfId="492" priority="473" operator="containsText" text="Трактор базы">
      <formula>NOT(ISERROR(SEARCH("Трактор базы",B1253)))</formula>
    </cfRule>
  </conditionalFormatting>
  <conditionalFormatting sqref="B1257">
    <cfRule type="containsText" dxfId="491" priority="47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90" priority="470" operator="containsText" text="Газель базы">
      <formula>NOT(ISERROR(SEARCH("Газель базы",B1257)))</formula>
    </cfRule>
    <cfRule type="containsText" dxfId="489" priority="471" operator="containsText" text="Погрузчик базы">
      <formula>NOT(ISERROR(SEARCH("Погрузчик базы",B1257)))</formula>
    </cfRule>
  </conditionalFormatting>
  <conditionalFormatting sqref="B1257">
    <cfRule type="containsText" dxfId="488" priority="469" operator="containsText" text="Трактор базы">
      <formula>NOT(ISERROR(SEARCH("Трактор базы",B1257)))</formula>
    </cfRule>
  </conditionalFormatting>
  <conditionalFormatting sqref="B1258:B1262">
    <cfRule type="containsText" dxfId="487" priority="46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86" priority="466" operator="containsText" text="Газель базы">
      <formula>NOT(ISERROR(SEARCH("Газель базы",B1258)))</formula>
    </cfRule>
    <cfRule type="containsText" dxfId="485" priority="467" operator="containsText" text="Погрузчик базы">
      <formula>NOT(ISERROR(SEARCH("Погрузчик базы",B1258)))</formula>
    </cfRule>
  </conditionalFormatting>
  <conditionalFormatting sqref="B1281:B1287">
    <cfRule type="containsText" dxfId="484" priority="46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83" priority="462" operator="containsText" text="Газель базы">
      <formula>NOT(ISERROR(SEARCH("Газель базы",B1281)))</formula>
    </cfRule>
    <cfRule type="containsText" dxfId="482" priority="463" operator="containsText" text="Погрузчик базы">
      <formula>NOT(ISERROR(SEARCH("Погрузчик базы",B1281)))</formula>
    </cfRule>
  </conditionalFormatting>
  <conditionalFormatting sqref="B1281:B1287">
    <cfRule type="containsText" dxfId="481" priority="461" operator="containsText" text="Трактор базы">
      <formula>NOT(ISERROR(SEARCH("Трактор базы",B1281)))</formula>
    </cfRule>
  </conditionalFormatting>
  <conditionalFormatting sqref="B1296">
    <cfRule type="containsText" dxfId="480" priority="457" operator="containsText" text="Трактор базы">
      <formula>NOT(ISERROR(SEARCH("Трактор базы",B1296)))</formula>
    </cfRule>
  </conditionalFormatting>
  <conditionalFormatting sqref="B1296">
    <cfRule type="containsText" dxfId="479" priority="46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78" priority="458" operator="containsText" text="Газель базы">
      <formula>NOT(ISERROR(SEARCH("Газель базы",B1296)))</formula>
    </cfRule>
    <cfRule type="containsText" dxfId="477" priority="459" operator="containsText" text="Погрузчик базы">
      <formula>NOT(ISERROR(SEARCH("Погрузчик базы",B1296)))</formula>
    </cfRule>
  </conditionalFormatting>
  <conditionalFormatting sqref="C1320:C1321">
    <cfRule type="notContainsText" dxfId="476" priority="455" operator="notContains" text="порожний">
      <formula>ISERROR(SEARCH("порожний",C1320))</formula>
    </cfRule>
  </conditionalFormatting>
  <conditionalFormatting sqref="A1323">
    <cfRule type="containsText" dxfId="475" priority="44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74" priority="45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73" priority="45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72" priority="45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71" priority="45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70" priority="45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69" priority="448" operator="notContains" text="порожний">
      <formula>ISERROR(SEARCH("порожний",C1336))</formula>
    </cfRule>
  </conditionalFormatting>
  <conditionalFormatting sqref="C1346">
    <cfRule type="notContainsText" dxfId="468" priority="447" operator="notContains" text="порожний">
      <formula>ISERROR(SEARCH("порожний",C1346))</formula>
    </cfRule>
  </conditionalFormatting>
  <conditionalFormatting sqref="A1391">
    <cfRule type="containsText" dxfId="467" priority="44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66" priority="44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65" priority="44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64" priority="43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63" priority="44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62" priority="43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61" priority="437" operator="notContains" text="порожний">
      <formula>ISERROR(SEARCH("порожний",C1606))</formula>
    </cfRule>
  </conditionalFormatting>
  <conditionalFormatting sqref="B1633:B1636">
    <cfRule type="containsText" dxfId="460" priority="43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59" priority="434" operator="containsText" text="Газель базы">
      <formula>NOT(ISERROR(SEARCH("Газель базы",B1633)))</formula>
    </cfRule>
    <cfRule type="containsText" dxfId="458" priority="435" operator="containsText" text="Погрузчик базы">
      <formula>NOT(ISERROR(SEARCH("Погрузчик базы",B1633)))</formula>
    </cfRule>
  </conditionalFormatting>
  <conditionalFormatting sqref="B1633:B1636">
    <cfRule type="containsText" dxfId="457" priority="433" operator="containsText" text="Трактор базы">
      <formula>NOT(ISERROR(SEARCH("Трактор базы",B1633)))</formula>
    </cfRule>
  </conditionalFormatting>
  <conditionalFormatting sqref="B1637:B1642">
    <cfRule type="containsText" dxfId="456" priority="43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55" priority="430" operator="containsText" text="Газель базы">
      <formula>NOT(ISERROR(SEARCH("Газель базы",B1637)))</formula>
    </cfRule>
    <cfRule type="containsText" dxfId="454" priority="431" operator="containsText" text="Погрузчик базы">
      <formula>NOT(ISERROR(SEARCH("Погрузчик базы",B1637)))</formula>
    </cfRule>
  </conditionalFormatting>
  <conditionalFormatting sqref="B1637:B1642">
    <cfRule type="containsText" dxfId="453" priority="429" operator="containsText" text="Трактор базы">
      <formula>NOT(ISERROR(SEARCH("Трактор базы",B1637)))</formula>
    </cfRule>
  </conditionalFormatting>
  <conditionalFormatting sqref="B1671:B1672">
    <cfRule type="containsText" dxfId="452" priority="425" operator="containsText" text="Трактор базы">
      <formula>NOT(ISERROR(SEARCH("Трактор базы",B1671)))</formula>
    </cfRule>
  </conditionalFormatting>
  <conditionalFormatting sqref="B1671:B1672">
    <cfRule type="containsText" dxfId="451" priority="42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50" priority="426" operator="containsText" text="Газель базы">
      <formula>NOT(ISERROR(SEARCH("Газель базы",B1671)))</formula>
    </cfRule>
    <cfRule type="containsText" dxfId="449" priority="427" operator="containsText" text="Погрузчик базы">
      <formula>NOT(ISERROR(SEARCH("Погрузчик базы",B1671)))</formula>
    </cfRule>
  </conditionalFormatting>
  <conditionalFormatting sqref="B1675">
    <cfRule type="containsText" dxfId="448" priority="421" operator="containsText" text="Трактор базы">
      <formula>NOT(ISERROR(SEARCH("Трактор базы",B1675)))</formula>
    </cfRule>
  </conditionalFormatting>
  <conditionalFormatting sqref="B1675">
    <cfRule type="containsText" dxfId="447" priority="42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46" priority="422" operator="containsText" text="Газель базы">
      <formula>NOT(ISERROR(SEARCH("Газель базы",B1675)))</formula>
    </cfRule>
    <cfRule type="containsText" dxfId="445" priority="423" operator="containsText" text="Погрузчик базы">
      <formula>NOT(ISERROR(SEARCH("Погрузчик базы",B1675)))</formula>
    </cfRule>
  </conditionalFormatting>
  <conditionalFormatting sqref="A1678">
    <cfRule type="containsText" dxfId="444" priority="41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43" priority="42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42" priority="41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41" priority="417" operator="notContains" text="порожний">
      <formula>ISERROR(SEARCH("порожний",C1723))</formula>
    </cfRule>
  </conditionalFormatting>
  <conditionalFormatting sqref="C1725:C1726">
    <cfRule type="notContainsText" dxfId="440" priority="416" operator="notContains" text="порожний">
      <formula>ISERROR(SEARCH("порожний",C1725))</formula>
    </cfRule>
  </conditionalFormatting>
  <conditionalFormatting sqref="C1727">
    <cfRule type="notContainsText" dxfId="439" priority="415" operator="notContains" text="порожний">
      <formula>ISERROR(SEARCH("порожний",C1727))</formula>
    </cfRule>
  </conditionalFormatting>
  <conditionalFormatting sqref="C1728">
    <cfRule type="notContainsText" dxfId="438" priority="414" operator="notContains" text="порожний">
      <formula>ISERROR(SEARCH("порожний",C1728))</formula>
    </cfRule>
  </conditionalFormatting>
  <conditionalFormatting sqref="B1732:B1733">
    <cfRule type="containsText" dxfId="437" priority="41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36" priority="411" operator="containsText" text="Газель базы">
      <formula>NOT(ISERROR(SEARCH("Газель базы",B1732)))</formula>
    </cfRule>
    <cfRule type="containsText" dxfId="435" priority="412" operator="containsText" text="Погрузчик базы">
      <formula>NOT(ISERROR(SEARCH("Погрузчик базы",B1732)))</formula>
    </cfRule>
  </conditionalFormatting>
  <conditionalFormatting sqref="B1732:B1733">
    <cfRule type="containsText" dxfId="434" priority="410" operator="containsText" text="Трактор базы">
      <formula>NOT(ISERROR(SEARCH("Трактор базы",B1732)))</formula>
    </cfRule>
  </conditionalFormatting>
  <conditionalFormatting sqref="B1734:B1735">
    <cfRule type="containsText" dxfId="433" priority="40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32" priority="407" operator="containsText" text="Газель базы">
      <formula>NOT(ISERROR(SEARCH("Газель базы",B1734)))</formula>
    </cfRule>
    <cfRule type="containsText" dxfId="431" priority="408" operator="containsText" text="Погрузчик базы">
      <formula>NOT(ISERROR(SEARCH("Погрузчик базы",B1734)))</formula>
    </cfRule>
  </conditionalFormatting>
  <conditionalFormatting sqref="B1734:B1735">
    <cfRule type="containsText" dxfId="430" priority="406" operator="containsText" text="Трактор базы">
      <formula>NOT(ISERROR(SEARCH("Трактор базы",B1734)))</formula>
    </cfRule>
  </conditionalFormatting>
  <conditionalFormatting sqref="B1762:B1764">
    <cfRule type="containsText" dxfId="429" priority="392" operator="containsText" text="Трактор базы">
      <formula>NOT(ISERROR(SEARCH("Трактор базы",B1762)))</formula>
    </cfRule>
  </conditionalFormatting>
  <conditionalFormatting sqref="B1740:B1741">
    <cfRule type="containsText" dxfId="428" priority="40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27" priority="403" operator="containsText" text="Газель базы">
      <formula>NOT(ISERROR(SEARCH("Газель базы",B1740)))</formula>
    </cfRule>
    <cfRule type="containsText" dxfId="426" priority="404" operator="containsText" text="Погрузчик базы">
      <formula>NOT(ISERROR(SEARCH("Погрузчик базы",B1740)))</formula>
    </cfRule>
  </conditionalFormatting>
  <conditionalFormatting sqref="B1740:B1741">
    <cfRule type="containsText" dxfId="425" priority="402" operator="containsText" text="Трактор базы">
      <formula>NOT(ISERROR(SEARCH("Трактор базы",B1740)))</formula>
    </cfRule>
  </conditionalFormatting>
  <conditionalFormatting sqref="A1755">
    <cfRule type="containsText" dxfId="424" priority="39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23" priority="40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22" priority="40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21" priority="39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20" priority="39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19" priority="39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18" priority="383" operator="containsText" text="Трактор базы">
      <formula>NOT(ISERROR(SEARCH("Трактор базы",B1773)))</formula>
    </cfRule>
  </conditionalFormatting>
  <conditionalFormatting sqref="B1762:B1764">
    <cfRule type="containsText" dxfId="417" priority="39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16" priority="393" operator="containsText" text="Газель базы">
      <formula>NOT(ISERROR(SEARCH("Газель базы",B1762)))</formula>
    </cfRule>
    <cfRule type="containsText" dxfId="415" priority="394" operator="containsText" text="Погрузчик базы">
      <formula>NOT(ISERROR(SEARCH("Погрузчик базы",B1762)))</formula>
    </cfRule>
  </conditionalFormatting>
  <conditionalFormatting sqref="B1776:B1777">
    <cfRule type="containsText" dxfId="414" priority="374" operator="containsText" text="Трактор базы">
      <formula>NOT(ISERROR(SEARCH("Трактор базы",B1776)))</formula>
    </cfRule>
  </conditionalFormatting>
  <conditionalFormatting sqref="B1770:B1771">
    <cfRule type="containsText" dxfId="413" priority="39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12" priority="389" operator="containsText" text="Газель базы">
      <formula>NOT(ISERROR(SEARCH("Газель базы",B1770)))</formula>
    </cfRule>
    <cfRule type="containsText" dxfId="411" priority="390" operator="containsText" text="Погрузчик базы">
      <formula>NOT(ISERROR(SEARCH("Погрузчик базы",B1770)))</formula>
    </cfRule>
  </conditionalFormatting>
  <conditionalFormatting sqref="B1770:B1771">
    <cfRule type="containsText" dxfId="410" priority="388" operator="containsText" text="Трактор базы">
      <formula>NOT(ISERROR(SEARCH("Трактор базы",B1770)))</formula>
    </cfRule>
  </conditionalFormatting>
  <conditionalFormatting sqref="B1773">
    <cfRule type="containsText" dxfId="409" priority="38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08" priority="386" operator="notContains" text="порожний">
      <formula>ISERROR(SEARCH("порожний",C1773))</formula>
    </cfRule>
  </conditionalFormatting>
  <conditionalFormatting sqref="B1773">
    <cfRule type="containsText" dxfId="407" priority="384" operator="containsText" text="Газель базы">
      <formula>NOT(ISERROR(SEARCH("Газель базы",B1773)))</formula>
    </cfRule>
    <cfRule type="containsText" dxfId="406" priority="385" operator="containsText" text="Погрузчик базы">
      <formula>NOT(ISERROR(SEARCH("Погрузчик базы",B1773)))</formula>
    </cfRule>
  </conditionalFormatting>
  <conditionalFormatting sqref="B1775">
    <cfRule type="containsText" dxfId="405" priority="378" operator="containsText" text="Трактор базы">
      <formula>NOT(ISERROR(SEARCH("Трактор базы",B1775)))</formula>
    </cfRule>
  </conditionalFormatting>
  <conditionalFormatting sqref="B1775">
    <cfRule type="containsText" dxfId="404" priority="38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03" priority="381" operator="notContains" text="порожний">
      <formula>ISERROR(SEARCH("порожний",C1775))</formula>
    </cfRule>
  </conditionalFormatting>
  <conditionalFormatting sqref="B1775">
    <cfRule type="containsText" dxfId="402" priority="379" operator="containsText" text="Газель базы">
      <formula>NOT(ISERROR(SEARCH("Газель базы",B1775)))</formula>
    </cfRule>
    <cfRule type="containsText" dxfId="401" priority="380" operator="containsText" text="Погрузчик базы">
      <formula>NOT(ISERROR(SEARCH("Погрузчик базы",B1775)))</formula>
    </cfRule>
  </conditionalFormatting>
  <conditionalFormatting sqref="B1776:B1777">
    <cfRule type="containsText" dxfId="400" priority="37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99" priority="375" operator="containsText" text="Газель базы">
      <formula>NOT(ISERROR(SEARCH("Газель базы",B1776)))</formula>
    </cfRule>
    <cfRule type="containsText" dxfId="398" priority="376" operator="containsText" text="Погрузчик базы">
      <formula>NOT(ISERROR(SEARCH("Погрузчик базы",B1776)))</formula>
    </cfRule>
  </conditionalFormatting>
  <conditionalFormatting sqref="B1891">
    <cfRule type="containsText" dxfId="397" priority="366" operator="containsText" text="Трактор базы">
      <formula>NOT(ISERROR(SEARCH("Трактор базы",B1891)))</formula>
    </cfRule>
  </conditionalFormatting>
  <conditionalFormatting sqref="B1889">
    <cfRule type="containsText" dxfId="396" priority="37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95" priority="371" operator="containsText" text="Газель базы">
      <formula>NOT(ISERROR(SEARCH("Газель базы",B1889)))</formula>
    </cfRule>
    <cfRule type="containsText" dxfId="394" priority="372" operator="containsText" text="Погрузчик базы">
      <formula>NOT(ISERROR(SEARCH("Погрузчик базы",B1889)))</formula>
    </cfRule>
  </conditionalFormatting>
  <conditionalFormatting sqref="B1889">
    <cfRule type="containsText" dxfId="393" priority="370" operator="containsText" text="Трактор базы">
      <formula>NOT(ISERROR(SEARCH("Трактор базы",B1889)))</formula>
    </cfRule>
  </conditionalFormatting>
  <conditionalFormatting sqref="B1891">
    <cfRule type="containsText" dxfId="392" priority="36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91" priority="367" operator="containsText" text="Газель базы">
      <formula>NOT(ISERROR(SEARCH("Газель базы",B1891)))</formula>
    </cfRule>
    <cfRule type="containsText" dxfId="390" priority="368" operator="containsText" text="Погрузчик базы">
      <formula>NOT(ISERROR(SEARCH("Погрузчик базы",B1891)))</formula>
    </cfRule>
  </conditionalFormatting>
  <conditionalFormatting sqref="B1920">
    <cfRule type="containsText" dxfId="389" priority="354" operator="containsText" text="Трактор базы">
      <formula>NOT(ISERROR(SEARCH("Трактор базы",B1920)))</formula>
    </cfRule>
  </conditionalFormatting>
  <conditionalFormatting sqref="B1904:B1914">
    <cfRule type="containsText" dxfId="388" priority="36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87" priority="363" operator="containsText" text="Газель базы">
      <formula>NOT(ISERROR(SEARCH("Газель базы",B1904)))</formula>
    </cfRule>
    <cfRule type="containsText" dxfId="386" priority="364" operator="containsText" text="Погрузчик базы">
      <formula>NOT(ISERROR(SEARCH("Погрузчик базы",B1904)))</formula>
    </cfRule>
  </conditionalFormatting>
  <conditionalFormatting sqref="B1904:B1914">
    <cfRule type="containsText" dxfId="385" priority="362" operator="containsText" text="Трактор базы">
      <formula>NOT(ISERROR(SEARCH("Трактор базы",B1904)))</formula>
    </cfRule>
  </conditionalFormatting>
  <conditionalFormatting sqref="B1915:B1919">
    <cfRule type="containsText" dxfId="384" priority="36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83" priority="359" operator="containsText" text="Газель базы">
      <formula>NOT(ISERROR(SEARCH("Газель базы",B1915)))</formula>
    </cfRule>
    <cfRule type="containsText" dxfId="382" priority="360" operator="containsText" text="Погрузчик базы">
      <formula>NOT(ISERROR(SEARCH("Погрузчик базы",B1915)))</formula>
    </cfRule>
  </conditionalFormatting>
  <conditionalFormatting sqref="B1915:B1919">
    <cfRule type="containsText" dxfId="381" priority="358" operator="containsText" text="Трактор базы">
      <formula>NOT(ISERROR(SEARCH("Трактор базы",B1915)))</formula>
    </cfRule>
  </conditionalFormatting>
  <conditionalFormatting sqref="B1920">
    <cfRule type="containsText" dxfId="380" priority="35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79" priority="355" operator="containsText" text="Газель базы">
      <formula>NOT(ISERROR(SEARCH("Газель базы",B1920)))</formula>
    </cfRule>
    <cfRule type="containsText" dxfId="378" priority="356" operator="containsText" text="Погрузчик базы">
      <formula>NOT(ISERROR(SEARCH("Погрузчик базы",B1920)))</formula>
    </cfRule>
  </conditionalFormatting>
  <conditionalFormatting sqref="B1939">
    <cfRule type="containsText" dxfId="377" priority="350" operator="containsText" text="Трактор базы">
      <formula>NOT(ISERROR(SEARCH("Трактор базы",B1939)))</formula>
    </cfRule>
  </conditionalFormatting>
  <conditionalFormatting sqref="B1939">
    <cfRule type="containsText" dxfId="376" priority="35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75" priority="351" operator="containsText" text="Газель базы">
      <formula>NOT(ISERROR(SEARCH("Газель базы",B1939)))</formula>
    </cfRule>
    <cfRule type="containsText" dxfId="374" priority="352" operator="containsText" text="Погрузчик базы">
      <formula>NOT(ISERROR(SEARCH("Погрузчик базы",B1939)))</formula>
    </cfRule>
  </conditionalFormatting>
  <conditionalFormatting sqref="A1943">
    <cfRule type="containsText" dxfId="373" priority="34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72" priority="34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71" priority="34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70" priority="331" operator="containsText" text="Трактор базы">
      <formula>NOT(ISERROR(SEARCH("Трактор базы",B1977)))</formula>
    </cfRule>
  </conditionalFormatting>
  <conditionalFormatting sqref="B1974">
    <cfRule type="containsText" dxfId="369" priority="34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68" priority="344" operator="containsText" text="Газель базы">
      <formula>NOT(ISERROR(SEARCH("Газель базы",B1974)))</formula>
    </cfRule>
    <cfRule type="containsText" dxfId="367" priority="345" operator="containsText" text="Погрузчик базы">
      <formula>NOT(ISERROR(SEARCH("Погрузчик базы",B1974)))</formula>
    </cfRule>
  </conditionalFormatting>
  <conditionalFormatting sqref="B1974">
    <cfRule type="containsText" dxfId="366" priority="343" operator="containsText" text="Трактор базы">
      <formula>NOT(ISERROR(SEARCH("Трактор базы",B1974)))</formula>
    </cfRule>
  </conditionalFormatting>
  <conditionalFormatting sqref="B1975">
    <cfRule type="containsText" dxfId="365" priority="34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64" priority="340" operator="containsText" text="Газель базы">
      <formula>NOT(ISERROR(SEARCH("Газель базы",B1975)))</formula>
    </cfRule>
    <cfRule type="containsText" dxfId="363" priority="341" operator="containsText" text="Погрузчик базы">
      <formula>NOT(ISERROR(SEARCH("Погрузчик базы",B1975)))</formula>
    </cfRule>
  </conditionalFormatting>
  <conditionalFormatting sqref="B1975">
    <cfRule type="containsText" dxfId="362" priority="339" operator="containsText" text="Трактор базы">
      <formula>NOT(ISERROR(SEARCH("Трактор базы",B1975)))</formula>
    </cfRule>
  </conditionalFormatting>
  <conditionalFormatting sqref="B1976">
    <cfRule type="containsText" dxfId="361" priority="33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60" priority="336" operator="containsText" text="Газель базы">
      <formula>NOT(ISERROR(SEARCH("Газель базы",B1976)))</formula>
    </cfRule>
    <cfRule type="containsText" dxfId="359" priority="337" operator="containsText" text="Погрузчик базы">
      <formula>NOT(ISERROR(SEARCH("Погрузчик базы",B1976)))</formula>
    </cfRule>
  </conditionalFormatting>
  <conditionalFormatting sqref="B1976">
    <cfRule type="containsText" dxfId="358" priority="335" operator="containsText" text="Трактор базы">
      <formula>NOT(ISERROR(SEARCH("Трактор базы",B1976)))</formula>
    </cfRule>
  </conditionalFormatting>
  <conditionalFormatting sqref="B1977">
    <cfRule type="containsText" dxfId="357" priority="33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56" priority="332" operator="containsText" text="Газель базы">
      <formula>NOT(ISERROR(SEARCH("Газель базы",B1977)))</formula>
    </cfRule>
    <cfRule type="containsText" dxfId="355" priority="333" operator="containsText" text="Погрузчик базы">
      <formula>NOT(ISERROR(SEARCH("Погрузчик базы",B1977)))</formula>
    </cfRule>
  </conditionalFormatting>
  <conditionalFormatting sqref="C1965">
    <cfRule type="notContainsText" dxfId="354" priority="330" operator="notContains" text="порожний">
      <formula>ISERROR(SEARCH("порожний",C1965))</formula>
    </cfRule>
  </conditionalFormatting>
  <conditionalFormatting sqref="B2042">
    <cfRule type="containsText" dxfId="353" priority="326" operator="containsText" text="Трактор базы">
      <formula>NOT(ISERROR(SEARCH("Трактор базы",B2042)))</formula>
    </cfRule>
  </conditionalFormatting>
  <conditionalFormatting sqref="B2042">
    <cfRule type="containsText" dxfId="352" priority="32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51" priority="327" operator="containsText" text="Газель базы">
      <formula>NOT(ISERROR(SEARCH("Газель базы",B2042)))</formula>
    </cfRule>
    <cfRule type="containsText" dxfId="350" priority="328" operator="containsText" text="Погрузчик базы">
      <formula>NOT(ISERROR(SEARCH("Погрузчик базы",B2042)))</formula>
    </cfRule>
  </conditionalFormatting>
  <conditionalFormatting sqref="C2050">
    <cfRule type="notContainsText" dxfId="349" priority="325" operator="notContains" text="порожний">
      <formula>ISERROR(SEARCH("порожний",C2050))</formula>
    </cfRule>
  </conditionalFormatting>
  <conditionalFormatting sqref="B2054">
    <cfRule type="containsText" dxfId="348" priority="32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47" priority="322" operator="containsText" text="Газель базы">
      <formula>NOT(ISERROR(SEARCH("Газель базы",B2054)))</formula>
    </cfRule>
    <cfRule type="containsText" dxfId="346" priority="323" operator="containsText" text="Погрузчик базы">
      <formula>NOT(ISERROR(SEARCH("Погрузчик базы",B2054)))</formula>
    </cfRule>
  </conditionalFormatting>
  <conditionalFormatting sqref="B2054">
    <cfRule type="containsText" dxfId="345" priority="321" operator="containsText" text="Трактор базы">
      <formula>NOT(ISERROR(SEARCH("Трактор базы",B2054)))</formula>
    </cfRule>
  </conditionalFormatting>
  <conditionalFormatting sqref="B2055">
    <cfRule type="containsText" dxfId="344" priority="317" operator="containsText" text="Трактор базы">
      <formula>NOT(ISERROR(SEARCH("Трактор базы",B2055)))</formula>
    </cfRule>
  </conditionalFormatting>
  <conditionalFormatting sqref="B2055">
    <cfRule type="containsText" dxfId="343" priority="32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42" priority="318" operator="containsText" text="Газель базы">
      <formula>NOT(ISERROR(SEARCH("Газель базы",B2055)))</formula>
    </cfRule>
    <cfRule type="containsText" dxfId="341" priority="319" operator="containsText" text="Погрузчик базы">
      <formula>NOT(ISERROR(SEARCH("Погрузчик базы",B2055)))</formula>
    </cfRule>
  </conditionalFormatting>
  <conditionalFormatting sqref="A2087:A2089">
    <cfRule type="containsText" dxfId="340" priority="31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39" priority="31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38" priority="315" operator="notContains" text="порожний">
      <formula>ISERROR(SEARCH("порожний",C2087))</formula>
    </cfRule>
  </conditionalFormatting>
  <conditionalFormatting sqref="B2087:B2089">
    <cfRule type="containsText" dxfId="337" priority="313" operator="containsText" text="Газель базы">
      <formula>NOT(ISERROR(SEARCH("Газель базы",B2087)))</formula>
    </cfRule>
    <cfRule type="containsText" dxfId="336" priority="314" operator="containsText" text="Погрузчик базы">
      <formula>NOT(ISERROR(SEARCH("Погрузчик базы",B2087)))</formula>
    </cfRule>
  </conditionalFormatting>
  <conditionalFormatting sqref="B2087:B2089">
    <cfRule type="containsText" dxfId="335" priority="312" operator="containsText" text="Трактор базы">
      <formula>NOT(ISERROR(SEARCH("Трактор базы",B2087)))</formula>
    </cfRule>
  </conditionalFormatting>
  <conditionalFormatting sqref="A2087:A2089">
    <cfRule type="containsText" dxfId="334" priority="31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33" priority="30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32" priority="307" operator="containsText" text="Газель базы">
      <formula>NOT(ISERROR(SEARCH("Газель базы",B2101)))</formula>
    </cfRule>
    <cfRule type="containsText" dxfId="331" priority="308" operator="containsText" text="Погрузчик базы">
      <formula>NOT(ISERROR(SEARCH("Погрузчик базы",B2101)))</formula>
    </cfRule>
  </conditionalFormatting>
  <conditionalFormatting sqref="B2101">
    <cfRule type="containsText" dxfId="330" priority="306" operator="containsText" text="Трактор базы">
      <formula>NOT(ISERROR(SEARCH("Трактор базы",B2101)))</formula>
    </cfRule>
  </conditionalFormatting>
  <conditionalFormatting sqref="B2102">
    <cfRule type="containsText" dxfId="329" priority="30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28" priority="303" operator="containsText" text="Газель базы">
      <formula>NOT(ISERROR(SEARCH("Газель базы",B2102)))</formula>
    </cfRule>
    <cfRule type="containsText" dxfId="327" priority="304" operator="containsText" text="Погрузчик базы">
      <formula>NOT(ISERROR(SEARCH("Погрузчик базы",B2102)))</formula>
    </cfRule>
  </conditionalFormatting>
  <conditionalFormatting sqref="B2102">
    <cfRule type="containsText" dxfId="326" priority="302" operator="containsText" text="Трактор базы">
      <formula>NOT(ISERROR(SEARCH("Трактор базы",B2102)))</formula>
    </cfRule>
  </conditionalFormatting>
  <conditionalFormatting sqref="B2103">
    <cfRule type="containsText" dxfId="325" priority="298" operator="containsText" text="Трактор базы">
      <formula>NOT(ISERROR(SEARCH("Трактор базы",B2103)))</formula>
    </cfRule>
  </conditionalFormatting>
  <conditionalFormatting sqref="B2103">
    <cfRule type="containsText" dxfId="324" priority="30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23" priority="299" operator="containsText" text="Газель базы">
      <formula>NOT(ISERROR(SEARCH("Газель базы",B2103)))</formula>
    </cfRule>
    <cfRule type="containsText" dxfId="322" priority="30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21" priority="29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20" priority="29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19" priority="29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18" priority="29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17" priority="292" operator="containsText" text="Газель базы">
      <formula>NOT(ISERROR(SEARCH("Газель базы",B2276)))</formula>
    </cfRule>
    <cfRule type="containsText" dxfId="316" priority="293" operator="containsText" text="Погрузчик базы">
      <formula>NOT(ISERROR(SEARCH("Погрузчик базы",B2276)))</formula>
    </cfRule>
  </conditionalFormatting>
  <conditionalFormatting sqref="B2276">
    <cfRule type="containsText" dxfId="315" priority="291" operator="containsText" text="Трактор базы">
      <formula>NOT(ISERROR(SEARCH("Трактор базы",B2276)))</formula>
    </cfRule>
  </conditionalFormatting>
  <conditionalFormatting sqref="B2277">
    <cfRule type="containsText" dxfId="314" priority="287" operator="containsText" text="Трактор базы">
      <formula>NOT(ISERROR(SEARCH("Трактор базы",B2277)))</formula>
    </cfRule>
  </conditionalFormatting>
  <conditionalFormatting sqref="B2277">
    <cfRule type="containsText" dxfId="313" priority="29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12" priority="288" operator="containsText" text="Газель базы">
      <formula>NOT(ISERROR(SEARCH("Газель базы",B2277)))</formula>
    </cfRule>
    <cfRule type="containsText" dxfId="311" priority="289" operator="containsText" text="Погрузчик базы">
      <formula>NOT(ISERROR(SEARCH("Погрузчик базы",B2277)))</formula>
    </cfRule>
  </conditionalFormatting>
  <conditionalFormatting sqref="A2279">
    <cfRule type="containsText" dxfId="310" priority="28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09" priority="28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08" priority="28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07" priority="28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06" priority="28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05" priority="28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04" priority="262" operator="containsText" text="Трактор базы">
      <formula>NOT(ISERROR(SEARCH("Трактор базы",B2382)))</formula>
    </cfRule>
  </conditionalFormatting>
  <conditionalFormatting sqref="B2348:B2349">
    <cfRule type="containsText" dxfId="303" priority="28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02" priority="278" operator="containsText" text="Газель базы">
      <formula>NOT(ISERROR(SEARCH("Газель базы",B2348)))</formula>
    </cfRule>
    <cfRule type="containsText" dxfId="301" priority="279" operator="containsText" text="Погрузчик базы">
      <formula>NOT(ISERROR(SEARCH("Погрузчик базы",B2348)))</formula>
    </cfRule>
  </conditionalFormatting>
  <conditionalFormatting sqref="B2348:B2349">
    <cfRule type="containsText" dxfId="300" priority="277" operator="containsText" text="Трактор базы">
      <formula>NOT(ISERROR(SEARCH("Трактор базы",B2348)))</formula>
    </cfRule>
  </conditionalFormatting>
  <conditionalFormatting sqref="A2350">
    <cfRule type="containsText" dxfId="299" priority="27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98" priority="27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97" priority="27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96" priority="27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95" priority="271" operator="containsText" text="Газель базы">
      <formula>NOT(ISERROR(SEARCH("Газель базы",B2352)))</formula>
    </cfRule>
    <cfRule type="containsText" dxfId="294" priority="272" operator="containsText" text="Погрузчик базы">
      <formula>NOT(ISERROR(SEARCH("Погрузчик базы",B2352)))</formula>
    </cfRule>
  </conditionalFormatting>
  <conditionalFormatting sqref="B2352:B2354">
    <cfRule type="containsText" dxfId="293" priority="270" operator="containsText" text="Трактор базы">
      <formula>NOT(ISERROR(SEARCH("Трактор базы",B2352)))</formula>
    </cfRule>
  </conditionalFormatting>
  <conditionalFormatting sqref="B2358">
    <cfRule type="containsText" dxfId="292" priority="26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91" priority="267" operator="containsText" text="Газель базы">
      <formula>NOT(ISERROR(SEARCH("Газель базы",B2358)))</formula>
    </cfRule>
    <cfRule type="containsText" dxfId="290" priority="268" operator="containsText" text="Погрузчик базы">
      <formula>NOT(ISERROR(SEARCH("Погрузчик базы",B2358)))</formula>
    </cfRule>
  </conditionalFormatting>
  <conditionalFormatting sqref="B2358">
    <cfRule type="containsText" dxfId="289" priority="266" operator="containsText" text="Трактор базы">
      <formula>NOT(ISERROR(SEARCH("Трактор базы",B2358)))</formula>
    </cfRule>
  </conditionalFormatting>
  <conditionalFormatting sqref="B2382">
    <cfRule type="containsText" dxfId="288" priority="26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87" priority="263" operator="containsText" text="Газель базы">
      <formula>NOT(ISERROR(SEARCH("Газель базы",B2382)))</formula>
    </cfRule>
    <cfRule type="containsText" dxfId="286" priority="264" operator="containsText" text="Погрузчик базы">
      <formula>NOT(ISERROR(SEARCH("Погрузчик базы",B2382)))</formula>
    </cfRule>
  </conditionalFormatting>
  <conditionalFormatting sqref="B2423:B2424">
    <cfRule type="containsText" dxfId="285" priority="26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84" priority="259" operator="containsText" text="Газель базы">
      <formula>NOT(ISERROR(SEARCH("Газель базы",B2423)))</formula>
    </cfRule>
    <cfRule type="containsText" dxfId="283" priority="260" operator="containsText" text="Погрузчик базы">
      <formula>NOT(ISERROR(SEARCH("Погрузчик базы",B2423)))</formula>
    </cfRule>
  </conditionalFormatting>
  <conditionalFormatting sqref="B2423:B2424">
    <cfRule type="containsText" dxfId="282" priority="258" operator="containsText" text="Трактор базы">
      <formula>NOT(ISERROR(SEARCH("Трактор базы",B2423)))</formula>
    </cfRule>
  </conditionalFormatting>
  <conditionalFormatting sqref="B2431">
    <cfRule type="containsText" dxfId="281" priority="25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80" priority="255" operator="containsText" text="Газель базы">
      <formula>NOT(ISERROR(SEARCH("Газель базы",B2431)))</formula>
    </cfRule>
    <cfRule type="containsText" dxfId="279" priority="256" operator="containsText" text="Погрузчик базы">
      <formula>NOT(ISERROR(SEARCH("Погрузчик базы",B2431)))</formula>
    </cfRule>
  </conditionalFormatting>
  <conditionalFormatting sqref="B2431">
    <cfRule type="containsText" dxfId="278" priority="254" operator="containsText" text="Трактор базы">
      <formula>NOT(ISERROR(SEARCH("Трактор базы",B2431)))</formula>
    </cfRule>
  </conditionalFormatting>
  <conditionalFormatting sqref="B2478">
    <cfRule type="containsText" dxfId="277" priority="242" operator="containsText" text="Трактор базы">
      <formula>NOT(ISERROR(SEARCH("Трактор базы",B2478)))</formula>
    </cfRule>
  </conditionalFormatting>
  <conditionalFormatting sqref="B2462:B2463">
    <cfRule type="containsText" dxfId="276" priority="25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75" priority="251" operator="containsText" text="Газель базы">
      <formula>NOT(ISERROR(SEARCH("Газель базы",B2462)))</formula>
    </cfRule>
    <cfRule type="containsText" dxfId="274" priority="252" operator="containsText" text="Погрузчик базы">
      <formula>NOT(ISERROR(SEARCH("Погрузчик базы",B2462)))</formula>
    </cfRule>
  </conditionalFormatting>
  <conditionalFormatting sqref="B2462:B2463">
    <cfRule type="containsText" dxfId="273" priority="250" operator="containsText" text="Трактор базы">
      <formula>NOT(ISERROR(SEARCH("Трактор базы",B2462)))</formula>
    </cfRule>
  </conditionalFormatting>
  <conditionalFormatting sqref="B2467">
    <cfRule type="containsText" dxfId="272" priority="24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71" priority="247" operator="containsText" text="Газель базы">
      <formula>NOT(ISERROR(SEARCH("Газель базы",B2467)))</formula>
    </cfRule>
    <cfRule type="containsText" dxfId="270" priority="248" operator="containsText" text="Погрузчик базы">
      <formula>NOT(ISERROR(SEARCH("Погрузчик базы",B2467)))</formula>
    </cfRule>
  </conditionalFormatting>
  <conditionalFormatting sqref="B2467">
    <cfRule type="containsText" dxfId="269" priority="246" operator="containsText" text="Трактор базы">
      <formula>NOT(ISERROR(SEARCH("Трактор базы",B2467)))</formula>
    </cfRule>
  </conditionalFormatting>
  <conditionalFormatting sqref="B2478">
    <cfRule type="containsText" dxfId="268" priority="24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67" priority="243" operator="containsText" text="Газель базы">
      <formula>NOT(ISERROR(SEARCH("Газель базы",B2478)))</formula>
    </cfRule>
    <cfRule type="containsText" dxfId="266" priority="244" operator="containsText" text="Погрузчик базы">
      <formula>NOT(ISERROR(SEARCH("Погрузчик базы",B2478)))</formula>
    </cfRule>
  </conditionalFormatting>
  <conditionalFormatting sqref="B2499">
    <cfRule type="containsText" dxfId="265" priority="230" operator="containsText" text="Трактор базы">
      <formula>NOT(ISERROR(SEARCH("Трактор базы",B2499)))</formula>
    </cfRule>
  </conditionalFormatting>
  <conditionalFormatting sqref="B2497">
    <cfRule type="containsText" dxfId="264" priority="24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63" priority="239" operator="containsText" text="Газель базы">
      <formula>NOT(ISERROR(SEARCH("Газель базы",B2497)))</formula>
    </cfRule>
    <cfRule type="containsText" dxfId="262" priority="240" operator="containsText" text="Погрузчик базы">
      <formula>NOT(ISERROR(SEARCH("Погрузчик базы",B2497)))</formula>
    </cfRule>
  </conditionalFormatting>
  <conditionalFormatting sqref="B2497">
    <cfRule type="containsText" dxfId="261" priority="238" operator="containsText" text="Трактор базы">
      <formula>NOT(ISERROR(SEARCH("Трактор базы",B2497)))</formula>
    </cfRule>
  </conditionalFormatting>
  <conditionalFormatting sqref="B2498">
    <cfRule type="containsText" dxfId="260" priority="23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59" priority="235" operator="containsText" text="Газель базы">
      <formula>NOT(ISERROR(SEARCH("Газель базы",B2498)))</formula>
    </cfRule>
    <cfRule type="containsText" dxfId="258" priority="236" operator="containsText" text="Погрузчик базы">
      <formula>NOT(ISERROR(SEARCH("Погрузчик базы",B2498)))</formula>
    </cfRule>
  </conditionalFormatting>
  <conditionalFormatting sqref="B2498">
    <cfRule type="containsText" dxfId="257" priority="234" operator="containsText" text="Трактор базы">
      <formula>NOT(ISERROR(SEARCH("Трактор базы",B2498)))</formula>
    </cfRule>
  </conditionalFormatting>
  <conditionalFormatting sqref="B2499">
    <cfRule type="containsText" dxfId="256" priority="23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55" priority="231" operator="containsText" text="Газель базы">
      <formula>NOT(ISERROR(SEARCH("Газель базы",B2499)))</formula>
    </cfRule>
    <cfRule type="containsText" dxfId="254" priority="232" operator="containsText" text="Погрузчик базы">
      <formula>NOT(ISERROR(SEARCH("Погрузчик базы",B2499)))</formula>
    </cfRule>
  </conditionalFormatting>
  <conditionalFormatting sqref="B2512:B2513">
    <cfRule type="containsText" dxfId="253" priority="204" operator="containsText" text="Трактор базы">
      <formula>NOT(ISERROR(SEARCH("Трактор базы",B2512)))</formula>
    </cfRule>
  </conditionalFormatting>
  <conditionalFormatting sqref="B2500">
    <cfRule type="containsText" dxfId="252" priority="22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51" priority="227" operator="containsText" text="Газель базы">
      <formula>NOT(ISERROR(SEARCH("Газель базы",B2500)))</formula>
    </cfRule>
    <cfRule type="containsText" dxfId="250" priority="228" operator="containsText" text="Погрузчик базы">
      <formula>NOT(ISERROR(SEARCH("Погрузчик базы",B2500)))</formula>
    </cfRule>
  </conditionalFormatting>
  <conditionalFormatting sqref="B2500">
    <cfRule type="containsText" dxfId="249" priority="226" operator="containsText" text="Трактор базы">
      <formula>NOT(ISERROR(SEARCH("Трактор базы",B2500)))</formula>
    </cfRule>
  </conditionalFormatting>
  <conditionalFormatting sqref="B2501">
    <cfRule type="containsText" dxfId="248" priority="22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47" priority="223" operator="containsText" text="Газель базы">
      <formula>NOT(ISERROR(SEARCH("Газель базы",B2501)))</formula>
    </cfRule>
    <cfRule type="containsText" dxfId="246" priority="224" operator="containsText" text="Погрузчик базы">
      <formula>NOT(ISERROR(SEARCH("Погрузчик базы",B2501)))</formula>
    </cfRule>
  </conditionalFormatting>
  <conditionalFormatting sqref="B2501">
    <cfRule type="containsText" dxfId="245" priority="222" operator="containsText" text="Трактор базы">
      <formula>NOT(ISERROR(SEARCH("Трактор базы",B2501)))</formula>
    </cfRule>
  </conditionalFormatting>
  <conditionalFormatting sqref="B2502">
    <cfRule type="containsText" dxfId="244" priority="218" operator="containsText" text="Трактор базы">
      <formula>NOT(ISERROR(SEARCH("Трактор базы",B2502)))</formula>
    </cfRule>
  </conditionalFormatting>
  <conditionalFormatting sqref="B2502">
    <cfRule type="containsText" dxfId="243" priority="22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42" priority="219" operator="containsText" text="Газель базы">
      <formula>NOT(ISERROR(SEARCH("Газель базы",B2502)))</formula>
    </cfRule>
    <cfRule type="containsText" dxfId="241" priority="220" operator="containsText" text="Погрузчик базы">
      <formula>NOT(ISERROR(SEARCH("Погрузчик базы",B2502)))</formula>
    </cfRule>
  </conditionalFormatting>
  <conditionalFormatting sqref="A2503:A2504">
    <cfRule type="containsText" dxfId="240" priority="21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39" priority="21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38" priority="21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37" priority="21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36" priority="21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35" priority="21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34" priority="21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33" priority="209" operator="containsText" text="Газель базы">
      <formula>NOT(ISERROR(SEARCH("Газель базы",B2509)))</formula>
    </cfRule>
    <cfRule type="containsText" dxfId="232" priority="210" operator="containsText" text="Погрузчик базы">
      <formula>NOT(ISERROR(SEARCH("Погрузчик базы",B2509)))</formula>
    </cfRule>
  </conditionalFormatting>
  <conditionalFormatting sqref="B2509">
    <cfRule type="containsText" dxfId="231" priority="208" operator="containsText" text="Трактор базы">
      <formula>NOT(ISERROR(SEARCH("Трактор базы",B2509)))</formula>
    </cfRule>
  </conditionalFormatting>
  <conditionalFormatting sqref="B2512:B2513">
    <cfRule type="containsText" dxfId="230" priority="20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29" priority="205" operator="containsText" text="Газель базы">
      <formula>NOT(ISERROR(SEARCH("Газель базы",B2512)))</formula>
    </cfRule>
    <cfRule type="containsText" dxfId="228" priority="206" operator="containsText" text="Погрузчик базы">
      <formula>NOT(ISERROR(SEARCH("Погрузчик базы",B2512)))</formula>
    </cfRule>
  </conditionalFormatting>
  <conditionalFormatting sqref="E2586">
    <cfRule type="containsText" dxfId="227" priority="20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26" priority="20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25" priority="20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24" priority="20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23" priority="19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22" priority="197" operator="containsText" text="Газель базы">
      <formula>NOT(ISERROR(SEARCH("Газель базы",B2810)))</formula>
    </cfRule>
    <cfRule type="containsText" dxfId="221" priority="198" operator="containsText" text="Погрузчик базы">
      <formula>NOT(ISERROR(SEARCH("Погрузчик базы",B2810)))</formula>
    </cfRule>
  </conditionalFormatting>
  <conditionalFormatting sqref="B2810:B2811">
    <cfRule type="containsText" dxfId="220" priority="196" operator="containsText" text="Трактор базы">
      <formula>NOT(ISERROR(SEARCH("Трактор базы",B2810)))</formula>
    </cfRule>
  </conditionalFormatting>
  <conditionalFormatting sqref="B2923:B2927">
    <cfRule type="containsText" dxfId="219" priority="192" operator="containsText" text="Трактор базы">
      <formula>NOT(ISERROR(SEARCH("Трактор базы",B2923)))</formula>
    </cfRule>
  </conditionalFormatting>
  <conditionalFormatting sqref="B2923:B2927">
    <cfRule type="containsText" dxfId="218" priority="19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17" priority="193" operator="containsText" text="Газель базы">
      <formula>NOT(ISERROR(SEARCH("Газель базы",B2923)))</formula>
    </cfRule>
    <cfRule type="containsText" dxfId="216" priority="194" operator="containsText" text="Погрузчик базы">
      <formula>NOT(ISERROR(SEARCH("Погрузчик базы",B2923)))</formula>
    </cfRule>
  </conditionalFormatting>
  <conditionalFormatting sqref="A2991">
    <cfRule type="containsText" dxfId="215" priority="19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14" priority="19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13" priority="18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12" priority="18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11" priority="186" operator="containsText" text="Газель базы">
      <formula>NOT(ISERROR(SEARCH("Газель базы",B2993)))</formula>
    </cfRule>
    <cfRule type="containsText" dxfId="210" priority="187" operator="containsText" text="Погрузчик базы">
      <formula>NOT(ISERROR(SEARCH("Погрузчик базы",B2993)))</formula>
    </cfRule>
  </conditionalFormatting>
  <conditionalFormatting sqref="B2993">
    <cfRule type="containsText" dxfId="209" priority="185" operator="containsText" text="Трактор базы">
      <formula>NOT(ISERROR(SEARCH("Трактор базы",B2993)))</formula>
    </cfRule>
  </conditionalFormatting>
  <conditionalFormatting sqref="B2995">
    <cfRule type="containsText" dxfId="208" priority="181" operator="containsText" text="Трактор базы">
      <formula>NOT(ISERROR(SEARCH("Трактор базы",B2995)))</formula>
    </cfRule>
  </conditionalFormatting>
  <conditionalFormatting sqref="B2995">
    <cfRule type="containsText" dxfId="207" priority="18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06" priority="182" operator="containsText" text="Газель базы">
      <formula>NOT(ISERROR(SEARCH("Газель базы",B2995)))</formula>
    </cfRule>
    <cfRule type="containsText" dxfId="205" priority="183" operator="containsText" text="Погрузчик базы">
      <formula>NOT(ISERROR(SEARCH("Погрузчик базы",B2995)))</formula>
    </cfRule>
  </conditionalFormatting>
  <conditionalFormatting sqref="A3008">
    <cfRule type="containsText" dxfId="204" priority="17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03" priority="18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02" priority="17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01" priority="17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00" priority="17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99" priority="17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98" priority="17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97" priority="17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96" priority="17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195" priority="168" operator="containsText" text="Трактор базы">
      <formula>NOT(ISERROR(SEARCH("Трактор базы",B3150)))</formula>
    </cfRule>
  </conditionalFormatting>
  <conditionalFormatting sqref="B3203">
    <cfRule type="containsText" dxfId="194" priority="160" operator="containsText" text="Трактор базы">
      <formula>NOT(ISERROR(SEARCH("Трактор базы",B3203)))</formula>
    </cfRule>
  </conditionalFormatting>
  <conditionalFormatting sqref="B3150:B3151">
    <cfRule type="containsText" dxfId="193" priority="17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192" priority="169" operator="containsText" text="Газель базы">
      <formula>NOT(ISERROR(SEARCH("Газель базы",B3150)))</formula>
    </cfRule>
    <cfRule type="containsText" dxfId="191" priority="170" operator="containsText" text="Погрузчик базы">
      <formula>NOT(ISERROR(SEARCH("Погрузчик базы",B3150)))</formula>
    </cfRule>
  </conditionalFormatting>
  <conditionalFormatting sqref="B3201">
    <cfRule type="containsText" dxfId="190" priority="164" operator="containsText" text="Трактор базы">
      <formula>NOT(ISERROR(SEARCH("Трактор базы",B3201)))</formula>
    </cfRule>
  </conditionalFormatting>
  <conditionalFormatting sqref="B3201">
    <cfRule type="containsText" dxfId="189" priority="16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88" priority="165" operator="containsText" text="Газель базы">
      <formula>NOT(ISERROR(SEARCH("Газель базы",B3201)))</formula>
    </cfRule>
    <cfRule type="containsText" dxfId="187" priority="166" operator="containsText" text="Погрузчик базы">
      <formula>NOT(ISERROR(SEARCH("Погрузчик базы",B3201)))</formula>
    </cfRule>
  </conditionalFormatting>
  <conditionalFormatting sqref="B3203">
    <cfRule type="containsText" dxfId="186" priority="16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85" priority="161" operator="containsText" text="Газель базы">
      <formula>NOT(ISERROR(SEARCH("Газель базы",B3203)))</formula>
    </cfRule>
    <cfRule type="containsText" dxfId="184" priority="162" operator="containsText" text="Погрузчик базы">
      <formula>NOT(ISERROR(SEARCH("Погрузчик базы",B3203)))</formula>
    </cfRule>
  </conditionalFormatting>
  <conditionalFormatting sqref="B3227:B3229">
    <cfRule type="containsText" dxfId="183" priority="15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82" priority="157" operator="containsText" text="Газель базы">
      <formula>NOT(ISERROR(SEARCH("Газель базы",B3227)))</formula>
    </cfRule>
    <cfRule type="containsText" dxfId="181" priority="158" operator="containsText" text="Погрузчик базы">
      <formula>NOT(ISERROR(SEARCH("Погрузчик базы",B3227)))</formula>
    </cfRule>
  </conditionalFormatting>
  <conditionalFormatting sqref="B3227:B3229">
    <cfRule type="containsText" dxfId="180" priority="156" operator="containsText" text="Трактор базы">
      <formula>NOT(ISERROR(SEARCH("Трактор базы",B3227)))</formula>
    </cfRule>
  </conditionalFormatting>
  <conditionalFormatting sqref="B3259:B3261">
    <cfRule type="containsText" dxfId="179" priority="15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78" priority="153" operator="containsText" text="Газель базы">
      <formula>NOT(ISERROR(SEARCH("Газель базы",B3259)))</formula>
    </cfRule>
    <cfRule type="containsText" dxfId="177" priority="154" operator="containsText" text="Погрузчик базы">
      <formula>NOT(ISERROR(SEARCH("Погрузчик базы",B3259)))</formula>
    </cfRule>
  </conditionalFormatting>
  <conditionalFormatting sqref="B3259:B3261">
    <cfRule type="containsText" dxfId="176" priority="152" operator="containsText" text="Трактор базы">
      <formula>NOT(ISERROR(SEARCH("Трактор базы",B3259)))</formula>
    </cfRule>
  </conditionalFormatting>
  <conditionalFormatting sqref="A3335:A3336 A3373:A3374">
    <cfRule type="containsText" dxfId="175" priority="14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74" priority="14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73" priority="14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72" priority="14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71" priority="14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70" priority="14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69" priority="14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68" priority="140" operator="containsText" text="Газель базы">
      <formula>NOT(ISERROR(SEARCH("Газель базы",B3364)))</formula>
    </cfRule>
    <cfRule type="containsText" dxfId="167" priority="141" operator="containsText" text="Погрузчик базы">
      <formula>NOT(ISERROR(SEARCH("Погрузчик базы",B3364)))</formula>
    </cfRule>
  </conditionalFormatting>
  <conditionalFormatting sqref="B3364:B3365">
    <cfRule type="containsText" dxfId="166" priority="139" operator="containsText" text="Трактор базы">
      <formula>NOT(ISERROR(SEARCH("Трактор базы",B3364)))</formula>
    </cfRule>
  </conditionalFormatting>
  <conditionalFormatting sqref="A3364">
    <cfRule type="containsText" dxfId="165" priority="13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64" priority="13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63" priority="13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62" priority="134" operator="containsText" text="Газель базы">
      <formula>NOT(ISERROR(SEARCH("Газель базы",B3366)))</formula>
    </cfRule>
    <cfRule type="containsText" dxfId="161" priority="135" operator="containsText" text="Погрузчик базы">
      <formula>NOT(ISERROR(SEARCH("Погрузчик базы",B3366)))</formula>
    </cfRule>
  </conditionalFormatting>
  <conditionalFormatting sqref="B3366">
    <cfRule type="containsText" dxfId="160" priority="133" operator="containsText" text="Трактор базы">
      <formula>NOT(ISERROR(SEARCH("Трактор базы",B3366)))</formula>
    </cfRule>
  </conditionalFormatting>
  <conditionalFormatting sqref="A3366">
    <cfRule type="containsText" dxfId="159" priority="13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58" priority="13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57" priority="13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56" priority="128" operator="containsText" text="Газель базы">
      <formula>NOT(ISERROR(SEARCH("Газель базы",B3367)))</formula>
    </cfRule>
    <cfRule type="containsText" dxfId="155" priority="129" operator="containsText" text="Погрузчик базы">
      <formula>NOT(ISERROR(SEARCH("Погрузчик базы",B3367)))</formula>
    </cfRule>
  </conditionalFormatting>
  <conditionalFormatting sqref="B3367">
    <cfRule type="containsText" dxfId="154" priority="127" operator="containsText" text="Трактор базы">
      <formula>NOT(ISERROR(SEARCH("Трактор базы",B3367)))</formula>
    </cfRule>
  </conditionalFormatting>
  <conditionalFormatting sqref="A3430:B3430">
    <cfRule type="containsText" dxfId="153" priority="12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52" priority="124" operator="containsText" text="Газель базы">
      <formula>NOT(ISERROR(SEARCH("Газель базы",B3430)))</formula>
    </cfRule>
    <cfRule type="containsText" dxfId="151" priority="125" operator="containsText" text="Погрузчик базы">
      <formula>NOT(ISERROR(SEARCH("Погрузчик базы",B3430)))</formula>
    </cfRule>
  </conditionalFormatting>
  <conditionalFormatting sqref="B3430">
    <cfRule type="containsText" dxfId="150" priority="123" operator="containsText" text="Трактор базы">
      <formula>NOT(ISERROR(SEARCH("Трактор базы",B3430)))</formula>
    </cfRule>
  </conditionalFormatting>
  <conditionalFormatting sqref="A3430">
    <cfRule type="containsText" dxfId="149" priority="12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48" priority="12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47" priority="11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46" priority="11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45" priority="11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44" priority="11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43" priority="109" operator="containsText" text="Газель базы">
      <formula>NOT(ISERROR(SEARCH("Газель базы",B3480)))</formula>
    </cfRule>
    <cfRule type="containsText" dxfId="142" priority="110" operator="containsText" text="Погрузчик базы">
      <formula>NOT(ISERROR(SEARCH("Погрузчик базы",B3480)))</formula>
    </cfRule>
  </conditionalFormatting>
  <conditionalFormatting sqref="B3480">
    <cfRule type="containsText" dxfId="141" priority="108" operator="containsText" text="Трактор базы">
      <formula>NOT(ISERROR(SEARCH("Трактор базы",B3480)))</formula>
    </cfRule>
  </conditionalFormatting>
  <conditionalFormatting sqref="A3480">
    <cfRule type="containsText" dxfId="140" priority="10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39" priority="10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38" priority="10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37" priority="10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36" priority="10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35" priority="10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34" priority="10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33" priority="10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32" priority="92" operator="containsText" text="Трактор базы">
      <formula>NOT(ISERROR(SEARCH("Трактор базы",B3601)))</formula>
    </cfRule>
  </conditionalFormatting>
  <conditionalFormatting sqref="B3601:B3612">
    <cfRule type="containsText" dxfId="131" priority="9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30" priority="93" operator="containsText" text="Газель базы">
      <formula>NOT(ISERROR(SEARCH("Газель базы",B3601)))</formula>
    </cfRule>
    <cfRule type="containsText" dxfId="129" priority="94" operator="containsText" text="Погрузчик базы">
      <formula>NOT(ISERROR(SEARCH("Погрузчик базы",B3601)))</formula>
    </cfRule>
  </conditionalFormatting>
  <conditionalFormatting sqref="A3696">
    <cfRule type="containsText" dxfId="128" priority="8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27" priority="9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26" priority="9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25" priority="8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24" priority="8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23" priority="8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22" priority="8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21" priority="8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20" priority="8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19" priority="8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18" priority="80" operator="containsText" text="Газель базы">
      <formula>NOT(ISERROR(SEARCH("Газель базы",B3750)))</formula>
    </cfRule>
    <cfRule type="containsText" dxfId="117" priority="81" operator="containsText" text="Погрузчик базы">
      <formula>NOT(ISERROR(SEARCH("Погрузчик базы",B3750)))</formula>
    </cfRule>
  </conditionalFormatting>
  <conditionalFormatting sqref="B3750:B3751">
    <cfRule type="containsText" dxfId="116" priority="79" operator="containsText" text="Трактор базы">
      <formula>NOT(ISERROR(SEARCH("Трактор базы",B3750)))</formula>
    </cfRule>
  </conditionalFormatting>
  <conditionalFormatting sqref="B3761:B3762">
    <cfRule type="containsText" dxfId="115" priority="7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14" priority="76" operator="containsText" text="Газель базы">
      <formula>NOT(ISERROR(SEARCH("Газель базы",B3761)))</formula>
    </cfRule>
    <cfRule type="containsText" dxfId="113" priority="77" operator="containsText" text="Погрузчик базы">
      <formula>NOT(ISERROR(SEARCH("Погрузчик базы",B3761)))</formula>
    </cfRule>
  </conditionalFormatting>
  <conditionalFormatting sqref="B3761:B3762">
    <cfRule type="containsText" dxfId="112" priority="75" operator="containsText" text="Трактор базы">
      <formula>NOT(ISERROR(SEARCH("Трактор базы",B3761)))</formula>
    </cfRule>
  </conditionalFormatting>
  <conditionalFormatting sqref="A3778">
    <cfRule type="containsText" dxfId="111" priority="7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10" priority="7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09" priority="7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08" priority="6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07" priority="7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06" priority="7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05" priority="6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04" priority="6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03" priority="65" operator="containsText" text="Газель базы">
      <formula>NOT(ISERROR(SEARCH("Газель базы",B3797)))</formula>
    </cfRule>
    <cfRule type="containsText" dxfId="102" priority="66" operator="containsText" text="Погрузчик базы">
      <formula>NOT(ISERROR(SEARCH("Погрузчик базы",B3797)))</formula>
    </cfRule>
  </conditionalFormatting>
  <conditionalFormatting sqref="B3797">
    <cfRule type="containsText" dxfId="101" priority="64" operator="containsText" text="Трактор базы">
      <formula>NOT(ISERROR(SEARCH("Трактор базы",B3797)))</formula>
    </cfRule>
  </conditionalFormatting>
  <conditionalFormatting sqref="B3799:B3800">
    <cfRule type="containsText" dxfId="100" priority="6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99" priority="61" operator="containsText" text="Газель базы">
      <formula>NOT(ISERROR(SEARCH("Газель базы",B3799)))</formula>
    </cfRule>
    <cfRule type="containsText" dxfId="98" priority="62" operator="containsText" text="Погрузчик базы">
      <formula>NOT(ISERROR(SEARCH("Погрузчик базы",B3799)))</formula>
    </cfRule>
  </conditionalFormatting>
  <conditionalFormatting sqref="B3799:B3800">
    <cfRule type="containsText" dxfId="97" priority="60" operator="containsText" text="Трактор базы">
      <formula>NOT(ISERROR(SEARCH("Трактор базы",B3799)))</formula>
    </cfRule>
  </conditionalFormatting>
  <conditionalFormatting sqref="B3881">
    <cfRule type="containsText" dxfId="96" priority="5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95" priority="57" operator="containsText" text="Газель базы">
      <formula>NOT(ISERROR(SEARCH("Газель базы",B3881)))</formula>
    </cfRule>
    <cfRule type="containsText" dxfId="94" priority="58" operator="containsText" text="Погрузчик базы">
      <formula>NOT(ISERROR(SEARCH("Погрузчик базы",B3881)))</formula>
    </cfRule>
  </conditionalFormatting>
  <conditionalFormatting sqref="B3881">
    <cfRule type="containsText" dxfId="93" priority="56" operator="containsText" text="Трактор базы">
      <formula>NOT(ISERROR(SEARCH("Трактор базы",B3881)))</formula>
    </cfRule>
  </conditionalFormatting>
  <conditionalFormatting sqref="B3884">
    <cfRule type="containsText" dxfId="92" priority="52" operator="containsText" text="Трактор базы">
      <formula>NOT(ISERROR(SEARCH("Трактор базы",B3884)))</formula>
    </cfRule>
  </conditionalFormatting>
  <conditionalFormatting sqref="B3884">
    <cfRule type="containsText" dxfId="91" priority="5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90" priority="53" operator="containsText" text="Газель базы">
      <formula>NOT(ISERROR(SEARCH("Газель базы",B3884)))</formula>
    </cfRule>
    <cfRule type="containsText" dxfId="89" priority="54" operator="containsText" text="Погрузчик базы">
      <formula>NOT(ISERROR(SEARCH("Погрузчик базы",B3884)))</formula>
    </cfRule>
  </conditionalFormatting>
  <conditionalFormatting sqref="B3913">
    <cfRule type="containsText" dxfId="88" priority="48" operator="containsText" text="Трактор базы">
      <formula>NOT(ISERROR(SEARCH("Трактор базы",B3913)))</formula>
    </cfRule>
  </conditionalFormatting>
  <conditionalFormatting sqref="B3913">
    <cfRule type="containsText" dxfId="87" priority="5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86" priority="49" operator="containsText" text="Газель базы">
      <formula>NOT(ISERROR(SEARCH("Газель базы",B3913)))</formula>
    </cfRule>
    <cfRule type="containsText" dxfId="85" priority="50" operator="containsText" text="Погрузчик базы">
      <formula>NOT(ISERROR(SEARCH("Погрузчик базы",B3913)))</formula>
    </cfRule>
  </conditionalFormatting>
  <conditionalFormatting sqref="A3935">
    <cfRule type="containsText" dxfId="84" priority="4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83" priority="4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82" priority="45" operator="containsText" text="Газель базы">
      <formula>NOT(ISERROR(SEARCH("Газель базы",B3935)))</formula>
    </cfRule>
    <cfRule type="containsText" dxfId="81" priority="46" operator="containsText" text="Погрузчик базы">
      <formula>NOT(ISERROR(SEARCH("Погрузчик базы",B3935)))</formula>
    </cfRule>
  </conditionalFormatting>
  <conditionalFormatting sqref="B3935">
    <cfRule type="containsText" dxfId="80" priority="44" operator="containsText" text="Трактор базы">
      <formula>NOT(ISERROR(SEARCH("Трактор базы",B3935)))</formula>
    </cfRule>
  </conditionalFormatting>
  <conditionalFormatting sqref="A3935">
    <cfRule type="containsText" dxfId="79" priority="4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78" priority="38" operator="containsText" text="Трактор базы">
      <formula>NOT(ISERROR(SEARCH("Трактор базы",B3937)))</formula>
    </cfRule>
  </conditionalFormatting>
  <conditionalFormatting sqref="B3937">
    <cfRule type="containsText" dxfId="77" priority="4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76" priority="39" operator="containsText" text="Газель базы">
      <formula>NOT(ISERROR(SEARCH("Газель базы",B3937)))</formula>
    </cfRule>
    <cfRule type="containsText" dxfId="75" priority="40" operator="containsText" text="Погрузчик базы">
      <formula>NOT(ISERROR(SEARCH("Погрузчик базы",B3937)))</formula>
    </cfRule>
  </conditionalFormatting>
  <conditionalFormatting sqref="B3946">
    <cfRule type="containsText" dxfId="74" priority="29" operator="containsText" text="Трактор базы">
      <formula>NOT(ISERROR(SEARCH("Трактор базы",B3946)))</formula>
    </cfRule>
  </conditionalFormatting>
  <conditionalFormatting sqref="B3945">
    <cfRule type="containsText" dxfId="73" priority="3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72" priority="35" operator="containsText" text="Газель базы">
      <formula>NOT(ISERROR(SEARCH("Газель базы",B3945)))</formula>
    </cfRule>
    <cfRule type="containsText" dxfId="71" priority="36" operator="containsText" text="Погрузчик базы">
      <formula>NOT(ISERROR(SEARCH("Погрузчик базы",B3945)))</formula>
    </cfRule>
  </conditionalFormatting>
  <conditionalFormatting sqref="B3945">
    <cfRule type="containsText" dxfId="70" priority="34" operator="containsText" text="Трактор базы">
      <formula>NOT(ISERROR(SEARCH("Трактор базы",B3945)))</formula>
    </cfRule>
  </conditionalFormatting>
  <conditionalFormatting sqref="D3946:E3946 B3946">
    <cfRule type="containsText" dxfId="69" priority="3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68" priority="32" operator="notContains" text="порожний">
      <formula>ISERROR(SEARCH("порожний",C3946))</formula>
    </cfRule>
  </conditionalFormatting>
  <conditionalFormatting sqref="B3946">
    <cfRule type="containsText" dxfId="67" priority="30" operator="containsText" text="Газель базы">
      <formula>NOT(ISERROR(SEARCH("Газель базы",B3946)))</formula>
    </cfRule>
    <cfRule type="containsText" dxfId="66" priority="31" operator="containsText" text="Погрузчик базы">
      <formula>NOT(ISERROR(SEARCH("Погрузчик базы",B3946)))</formula>
    </cfRule>
  </conditionalFormatting>
  <conditionalFormatting sqref="B3966:B3967">
    <cfRule type="containsText" dxfId="65" priority="25" operator="containsText" text="Трактор базы">
      <formula>NOT(ISERROR(SEARCH("Трактор базы",B3966)))</formula>
    </cfRule>
  </conditionalFormatting>
  <conditionalFormatting sqref="B3966:B3967">
    <cfRule type="containsText" dxfId="64" priority="2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63" priority="26" operator="containsText" text="Газель базы">
      <formula>NOT(ISERROR(SEARCH("Газель базы",B3966)))</formula>
    </cfRule>
    <cfRule type="containsText" dxfId="62" priority="27" operator="containsText" text="Погрузчик базы">
      <formula>NOT(ISERROR(SEARCH("Погрузчик базы",B3966)))</formula>
    </cfRule>
  </conditionalFormatting>
  <conditionalFormatting sqref="B3976">
    <cfRule type="containsText" dxfId="61" priority="2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60" priority="22" operator="containsText" text="Газель базы">
      <formula>NOT(ISERROR(SEARCH("Газель базы",B3976)))</formula>
    </cfRule>
    <cfRule type="containsText" dxfId="59" priority="23" operator="containsText" text="Погрузчик базы">
      <formula>NOT(ISERROR(SEARCH("Погрузчик базы",B3976)))</formula>
    </cfRule>
  </conditionalFormatting>
  <conditionalFormatting sqref="B3976">
    <cfRule type="containsText" dxfId="58" priority="21" operator="containsText" text="Трактор базы">
      <formula>NOT(ISERROR(SEARCH("Трактор базы",B3976)))</formula>
    </cfRule>
  </conditionalFormatting>
  <conditionalFormatting sqref="B3984">
    <cfRule type="containsText" dxfId="57" priority="2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56" priority="18" operator="containsText" text="Газель базы">
      <formula>NOT(ISERROR(SEARCH("Газель базы",B3984)))</formula>
    </cfRule>
    <cfRule type="containsText" dxfId="55" priority="19" operator="containsText" text="Погрузчик базы">
      <formula>NOT(ISERROR(SEARCH("Погрузчик базы",B3984)))</formula>
    </cfRule>
  </conditionalFormatting>
  <conditionalFormatting sqref="B3984">
    <cfRule type="containsText" dxfId="54" priority="17" operator="containsText" text="Трактор базы">
      <formula>NOT(ISERROR(SEARCH("Трактор базы",B3984)))</formula>
    </cfRule>
  </conditionalFormatting>
  <conditionalFormatting sqref="B4007:B4008">
    <cfRule type="containsText" dxfId="53" priority="13" operator="containsText" text="Трактор базы">
      <formula>NOT(ISERROR(SEARCH("Трактор базы",B4007)))</formula>
    </cfRule>
  </conditionalFormatting>
  <conditionalFormatting sqref="B4007:B4008">
    <cfRule type="containsText" dxfId="52" priority="1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51" priority="14" operator="containsText" text="Газель базы">
      <formula>NOT(ISERROR(SEARCH("Газель базы",B4007)))</formula>
    </cfRule>
    <cfRule type="containsText" dxfId="50" priority="15" operator="containsText" text="Погрузчик базы">
      <formula>NOT(ISERROR(SEARCH("Погрузчик базы",B4007)))</formula>
    </cfRule>
  </conditionalFormatting>
  <conditionalFormatting sqref="B4096">
    <cfRule type="containsText" dxfId="49" priority="1" operator="containsText" text="Трактор базы">
      <formula>NOT(ISERROR(SEARCH("Трактор базы",B4096)))</formula>
    </cfRule>
  </conditionalFormatting>
  <conditionalFormatting sqref="B4080:B4082">
    <cfRule type="containsText" dxfId="48" priority="1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7" priority="10" operator="containsText" text="Газель базы">
      <formula>NOT(ISERROR(SEARCH("Газель базы",B4080)))</formula>
    </cfRule>
    <cfRule type="containsText" dxfId="46" priority="11" operator="containsText" text="Погрузчик базы">
      <formula>NOT(ISERROR(SEARCH("Погрузчик базы",B4080)))</formula>
    </cfRule>
  </conditionalFormatting>
  <conditionalFormatting sqref="B4080:B4082">
    <cfRule type="containsText" dxfId="45" priority="9" operator="containsText" text="Трактор базы">
      <formula>NOT(ISERROR(SEARCH("Трактор базы",B4080)))</formula>
    </cfRule>
  </conditionalFormatting>
  <conditionalFormatting sqref="B4088:B4094">
    <cfRule type="containsText" dxfId="44" priority="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3" priority="6" operator="containsText" text="Газель базы">
      <formula>NOT(ISERROR(SEARCH("Газель базы",B4088)))</formula>
    </cfRule>
    <cfRule type="containsText" dxfId="42" priority="7" operator="containsText" text="Погрузчик базы">
      <formula>NOT(ISERROR(SEARCH("Погрузчик базы",B4088)))</formula>
    </cfRule>
  </conditionalFormatting>
  <conditionalFormatting sqref="B4088:B4094">
    <cfRule type="containsText" dxfId="41" priority="5" operator="containsText" text="Трактор базы">
      <formula>NOT(ISERROR(SEARCH("Трактор базы",B4088)))</formula>
    </cfRule>
  </conditionalFormatting>
  <conditionalFormatting sqref="B4096">
    <cfRule type="containsText" dxfId="40" priority="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9" priority="2" operator="containsText" text="Газель базы">
      <formula>NOT(ISERROR(SEARCH("Газель базы",B4096)))</formula>
    </cfRule>
    <cfRule type="containsText" dxfId="38" priority="3" operator="containsText" text="Погрузчик базы">
      <formula>NOT(ISERROR(SEARCH("Погрузчик базы",B4096)))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9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18</v>
      </c>
      <c r="B2" s="4">
        <v>46067</v>
      </c>
      <c r="C2" s="5">
        <v>0.38753472222222224</v>
      </c>
      <c r="D2" t="s">
        <v>12174</v>
      </c>
      <c r="E2" t="s">
        <v>12175</v>
      </c>
      <c r="I2" t="s">
        <v>12093</v>
      </c>
      <c r="J2" t="s">
        <v>12062</v>
      </c>
      <c r="K2" t="s">
        <v>12094</v>
      </c>
      <c r="L2" t="s">
        <v>12075</v>
      </c>
      <c r="M2" s="3" t="str">
        <f>HYPERLINK(склад2въезд13192021222378910[[#This Row],[RelativePath]])</f>
        <v>19 Хронометраж\K07156189_22_20260214T091803Z.jpg</v>
      </c>
    </row>
    <row r="3" spans="1:13" x14ac:dyDescent="0.25">
      <c r="A3" s="2" t="s">
        <v>18</v>
      </c>
      <c r="B3" s="4">
        <v>46067</v>
      </c>
      <c r="C3" s="5">
        <v>0.38950231481481479</v>
      </c>
      <c r="D3" t="s">
        <v>12174</v>
      </c>
      <c r="E3" t="s">
        <v>12176</v>
      </c>
      <c r="I3" t="s">
        <v>12095</v>
      </c>
      <c r="J3" t="s">
        <v>12062</v>
      </c>
      <c r="K3" t="s">
        <v>12096</v>
      </c>
      <c r="L3" t="s">
        <v>12076</v>
      </c>
      <c r="M3" s="3" t="str">
        <f>HYPERLINK(склад2въезд13192021222378910[[#This Row],[RelativePath]])</f>
        <v>19 Хронометраж\K07156189_22_20260214T092053Z.jpg</v>
      </c>
    </row>
    <row r="4" spans="1:13" x14ac:dyDescent="0.25">
      <c r="A4" s="2" t="s">
        <v>18</v>
      </c>
      <c r="B4" s="4">
        <v>46067</v>
      </c>
      <c r="C4" s="5">
        <v>0.40157407407407408</v>
      </c>
      <c r="D4" t="s">
        <v>12177</v>
      </c>
      <c r="E4" t="s">
        <v>12178</v>
      </c>
      <c r="I4" t="s">
        <v>12097</v>
      </c>
      <c r="J4" t="s">
        <v>12062</v>
      </c>
      <c r="K4" t="s">
        <v>12098</v>
      </c>
      <c r="L4" t="s">
        <v>12063</v>
      </c>
      <c r="M4" s="3" t="str">
        <f>HYPERLINK(склад2въезд13192021222378910[[#This Row],[RelativePath]])</f>
        <v>19 Хронометраж\K07156189_22_20260214T093816Z.jpg</v>
      </c>
    </row>
    <row r="5" spans="1:13" x14ac:dyDescent="0.25">
      <c r="A5" s="2" t="s">
        <v>18</v>
      </c>
      <c r="B5" s="4">
        <v>46067</v>
      </c>
      <c r="C5" s="5">
        <v>0.40230324074074075</v>
      </c>
      <c r="D5" t="s">
        <v>12177</v>
      </c>
      <c r="E5" t="s">
        <v>12178</v>
      </c>
      <c r="I5" t="s">
        <v>12099</v>
      </c>
      <c r="J5" t="s">
        <v>12062</v>
      </c>
      <c r="K5" t="s">
        <v>12100</v>
      </c>
      <c r="L5" t="s">
        <v>12064</v>
      </c>
      <c r="M5" s="3" t="str">
        <f>HYPERLINK(склад2въезд13192021222378910[[#This Row],[RelativePath]])</f>
        <v>19 Хронометраж\K07156189_22_20260214T093919Z.jpg</v>
      </c>
    </row>
    <row r="6" spans="1:13" x14ac:dyDescent="0.25">
      <c r="A6" s="2" t="s">
        <v>18</v>
      </c>
      <c r="B6" s="4">
        <v>46067</v>
      </c>
      <c r="C6" s="5">
        <v>0.45494212962962965</v>
      </c>
      <c r="D6" t="s">
        <v>12179</v>
      </c>
      <c r="E6" t="s">
        <v>12176</v>
      </c>
      <c r="I6" t="s">
        <v>12101</v>
      </c>
      <c r="J6" t="s">
        <v>12062</v>
      </c>
      <c r="K6" t="s">
        <v>12102</v>
      </c>
      <c r="L6" t="s">
        <v>12077</v>
      </c>
      <c r="M6" s="3" t="str">
        <f>HYPERLINK(склад2въезд13192021222378910[[#This Row],[RelativePath]])</f>
        <v>19 Хронометраж\K07156189_22_20260214T105507Z.jpg</v>
      </c>
    </row>
    <row r="7" spans="1:13" x14ac:dyDescent="0.25">
      <c r="A7" s="2" t="s">
        <v>18</v>
      </c>
      <c r="B7" s="4">
        <v>46067</v>
      </c>
      <c r="C7" s="5">
        <v>0.45494212962962965</v>
      </c>
      <c r="D7" t="s">
        <v>12179</v>
      </c>
      <c r="E7" t="s">
        <v>12175</v>
      </c>
      <c r="I7" t="s">
        <v>12101</v>
      </c>
      <c r="J7" t="s">
        <v>12062</v>
      </c>
      <c r="K7" t="s">
        <v>12102</v>
      </c>
      <c r="L7" t="s">
        <v>12077</v>
      </c>
      <c r="M7" s="3" t="str">
        <f>HYPERLINK(склад2въезд13192021222378910[[#This Row],[RelativePath]])</f>
        <v>19 Хронометраж\K07156189_22_20260214T105507Z.jpg</v>
      </c>
    </row>
    <row r="8" spans="1:13" x14ac:dyDescent="0.25">
      <c r="A8" s="2" t="s">
        <v>18</v>
      </c>
      <c r="B8" s="4">
        <v>46067</v>
      </c>
      <c r="C8" s="5">
        <v>0.47659722222222223</v>
      </c>
      <c r="D8" t="s">
        <v>12174</v>
      </c>
      <c r="E8" t="s">
        <v>12175</v>
      </c>
      <c r="I8" t="s">
        <v>12103</v>
      </c>
      <c r="J8" t="s">
        <v>12062</v>
      </c>
      <c r="K8" t="s">
        <v>12104</v>
      </c>
      <c r="L8" t="s">
        <v>12078</v>
      </c>
      <c r="M8" s="3" t="str">
        <f>HYPERLINK(склад2въезд13192021222378910[[#This Row],[RelativePath]])</f>
        <v>19 Хронометраж\K07156189_22_20260214T112618Z.jpg</v>
      </c>
    </row>
    <row r="9" spans="1:13" x14ac:dyDescent="0.25">
      <c r="A9" s="2" t="s">
        <v>18</v>
      </c>
      <c r="B9" s="4">
        <v>46067</v>
      </c>
      <c r="C9" s="5">
        <v>0.47730324074074076</v>
      </c>
      <c r="D9" t="s">
        <v>12177</v>
      </c>
      <c r="E9" t="s">
        <v>12175</v>
      </c>
      <c r="I9" t="s">
        <v>12105</v>
      </c>
      <c r="J9" t="s">
        <v>12062</v>
      </c>
      <c r="K9" t="s">
        <v>12106</v>
      </c>
      <c r="L9" t="s">
        <v>12065</v>
      </c>
      <c r="M9" s="3" t="str">
        <f>HYPERLINK(склад2въезд13192021222378910[[#This Row],[RelativePath]])</f>
        <v>19 Хронометраж\K07156189_22_20260214T112719Z.jpg</v>
      </c>
    </row>
    <row r="10" spans="1:13" x14ac:dyDescent="0.25">
      <c r="A10" s="2" t="s">
        <v>18</v>
      </c>
      <c r="B10" s="4">
        <v>46067</v>
      </c>
      <c r="C10" s="5">
        <v>0.47759259259259257</v>
      </c>
      <c r="D10" t="s">
        <v>12174</v>
      </c>
      <c r="E10" t="s">
        <v>12176</v>
      </c>
      <c r="I10" t="s">
        <v>12107</v>
      </c>
      <c r="J10" t="s">
        <v>12062</v>
      </c>
      <c r="K10" t="s">
        <v>12108</v>
      </c>
      <c r="L10" t="s">
        <v>12079</v>
      </c>
      <c r="M10" s="3" t="str">
        <f>HYPERLINK(склад2въезд13192021222378910[[#This Row],[RelativePath]])</f>
        <v>19 Хронометраж\K07156189_22_20260214T112744Z.jpg</v>
      </c>
    </row>
    <row r="11" spans="1:13" x14ac:dyDescent="0.25">
      <c r="A11" s="2" t="s">
        <v>18</v>
      </c>
      <c r="B11" s="4">
        <v>46067</v>
      </c>
      <c r="C11" s="5">
        <v>0.4815740740740741</v>
      </c>
      <c r="D11" t="s">
        <v>12177</v>
      </c>
      <c r="E11" t="s">
        <v>12178</v>
      </c>
      <c r="I11" t="s">
        <v>12109</v>
      </c>
      <c r="J11" t="s">
        <v>12062</v>
      </c>
      <c r="K11" t="s">
        <v>12110</v>
      </c>
      <c r="L11" t="s">
        <v>12066</v>
      </c>
      <c r="M11" s="3" t="str">
        <f>HYPERLINK(склад2въезд13192021222378910[[#This Row],[RelativePath]])</f>
        <v>19 Хронометраж\K07156189_22_20260214T113328Z.jpg</v>
      </c>
    </row>
    <row r="12" spans="1:13" x14ac:dyDescent="0.25">
      <c r="A12" s="2" t="s">
        <v>18</v>
      </c>
      <c r="B12" s="4">
        <v>46067</v>
      </c>
      <c r="C12" s="5">
        <v>0.49539351851851854</v>
      </c>
      <c r="D12" t="s">
        <v>12179</v>
      </c>
      <c r="E12" t="s">
        <v>12176</v>
      </c>
      <c r="I12" t="s">
        <v>12111</v>
      </c>
      <c r="J12" t="s">
        <v>12062</v>
      </c>
      <c r="K12" t="s">
        <v>12112</v>
      </c>
      <c r="L12" t="s">
        <v>12080</v>
      </c>
      <c r="M12" s="3" t="str">
        <f>HYPERLINK(склад2въезд13192021222378910[[#This Row],[RelativePath]])</f>
        <v>19 Хронометраж\K07156189_22_20260214T115322Z.jpg</v>
      </c>
    </row>
    <row r="13" spans="1:13" x14ac:dyDescent="0.25">
      <c r="A13" s="2" t="s">
        <v>18</v>
      </c>
      <c r="B13" s="4">
        <v>46067</v>
      </c>
      <c r="C13" s="5">
        <v>0.49884259259259262</v>
      </c>
      <c r="D13" t="s">
        <v>12174</v>
      </c>
      <c r="E13" t="s">
        <v>12176</v>
      </c>
      <c r="I13" t="s">
        <v>12113</v>
      </c>
      <c r="J13" t="s">
        <v>12062</v>
      </c>
      <c r="K13" t="s">
        <v>12114</v>
      </c>
      <c r="L13" t="s">
        <v>12081</v>
      </c>
      <c r="M13" s="3" t="str">
        <f>HYPERLINK(склад2въезд13192021222378910[[#This Row],[RelativePath]])</f>
        <v>19 Хронометраж\K07156189_22_20260214T115820Z.jpg</v>
      </c>
    </row>
    <row r="14" spans="1:13" x14ac:dyDescent="0.25">
      <c r="A14" s="2" t="s">
        <v>18</v>
      </c>
      <c r="B14" s="4">
        <v>46067</v>
      </c>
      <c r="C14" s="5">
        <v>0.5</v>
      </c>
      <c r="D14" t="s">
        <v>12177</v>
      </c>
      <c r="E14" t="s">
        <v>12178</v>
      </c>
      <c r="I14" t="s">
        <v>12115</v>
      </c>
      <c r="J14" t="s">
        <v>12062</v>
      </c>
      <c r="K14" t="s">
        <v>12116</v>
      </c>
      <c r="L14" t="s">
        <v>12067</v>
      </c>
      <c r="M14" s="3" t="str">
        <f>HYPERLINK(склад2въезд13192021222378910[[#This Row],[RelativePath]])</f>
        <v>19 Хронометраж\K07156189_22_20260214T120000Z.jpg</v>
      </c>
    </row>
    <row r="15" spans="1:13" x14ac:dyDescent="0.25">
      <c r="A15" s="2" t="s">
        <v>18</v>
      </c>
      <c r="B15" s="4">
        <v>46067</v>
      </c>
      <c r="C15" s="5">
        <v>0.51717592592592587</v>
      </c>
      <c r="D15" t="s">
        <v>12179</v>
      </c>
      <c r="E15" t="s">
        <v>12176</v>
      </c>
      <c r="I15" t="s">
        <v>12117</v>
      </c>
      <c r="J15" t="s">
        <v>12062</v>
      </c>
      <c r="K15" t="s">
        <v>12118</v>
      </c>
      <c r="L15" t="s">
        <v>12082</v>
      </c>
      <c r="M15" s="3" t="str">
        <f>HYPERLINK(склад2въезд13192021222378910[[#This Row],[RelativePath]])</f>
        <v>19 Хронометраж\K07156189_22_20260214T122444Z.jpg</v>
      </c>
    </row>
    <row r="16" spans="1:13" x14ac:dyDescent="0.25">
      <c r="A16" s="2" t="s">
        <v>18</v>
      </c>
      <c r="B16" s="4">
        <v>46067</v>
      </c>
      <c r="C16" s="5">
        <v>0.51853009259259264</v>
      </c>
      <c r="D16" t="s">
        <v>12174</v>
      </c>
      <c r="E16" t="s">
        <v>12176</v>
      </c>
      <c r="I16" t="s">
        <v>12119</v>
      </c>
      <c r="J16" t="s">
        <v>12062</v>
      </c>
      <c r="K16" t="s">
        <v>12120</v>
      </c>
      <c r="L16" t="s">
        <v>12083</v>
      </c>
      <c r="M16" s="3" t="str">
        <f>HYPERLINK(склад2въезд13192021222378910[[#This Row],[RelativePath]])</f>
        <v>19 Хронометраж\K07156189_22_20260214T122641Z.jpg</v>
      </c>
    </row>
    <row r="17" spans="1:13" x14ac:dyDescent="0.25">
      <c r="A17" s="2" t="s">
        <v>18</v>
      </c>
      <c r="B17" s="4">
        <v>46067</v>
      </c>
      <c r="C17" s="5">
        <v>0.52085648148148145</v>
      </c>
      <c r="D17" t="s">
        <v>12177</v>
      </c>
      <c r="E17" t="s">
        <v>12178</v>
      </c>
      <c r="I17" t="s">
        <v>12121</v>
      </c>
      <c r="J17" t="s">
        <v>12062</v>
      </c>
      <c r="K17" t="s">
        <v>12122</v>
      </c>
      <c r="L17" t="s">
        <v>12068</v>
      </c>
      <c r="M17" s="3" t="str">
        <f>HYPERLINK(склад2въезд13192021222378910[[#This Row],[RelativePath]])</f>
        <v>19 Хронометраж\K07156189_22_20260214T123002Z.jpg</v>
      </c>
    </row>
    <row r="18" spans="1:13" x14ac:dyDescent="0.25">
      <c r="A18" s="2" t="s">
        <v>18</v>
      </c>
      <c r="B18" s="4">
        <v>46067</v>
      </c>
      <c r="C18" s="5">
        <v>0.53850694444444447</v>
      </c>
      <c r="D18" t="s">
        <v>12179</v>
      </c>
      <c r="E18" t="s">
        <v>12176</v>
      </c>
      <c r="I18" t="s">
        <v>12123</v>
      </c>
      <c r="J18" t="s">
        <v>12062</v>
      </c>
      <c r="K18" t="s">
        <v>12124</v>
      </c>
      <c r="L18" t="s">
        <v>12084</v>
      </c>
      <c r="M18" s="3" t="str">
        <f>HYPERLINK(склад2въезд13192021222378910[[#This Row],[RelativePath]])</f>
        <v>19 Хронометраж\K07156189_22_20260214T125527Z.jpg</v>
      </c>
    </row>
    <row r="19" spans="1:13" x14ac:dyDescent="0.25">
      <c r="A19" s="2" t="s">
        <v>18</v>
      </c>
      <c r="B19" s="4">
        <v>46067</v>
      </c>
      <c r="C19" s="5">
        <v>0.53856481481481477</v>
      </c>
      <c r="D19" t="s">
        <v>12179</v>
      </c>
      <c r="E19" t="s">
        <v>12175</v>
      </c>
      <c r="H19" t="s">
        <v>12181</v>
      </c>
      <c r="I19" t="s">
        <v>12072</v>
      </c>
      <c r="J19" t="s">
        <v>12062</v>
      </c>
      <c r="K19" t="s">
        <v>12073</v>
      </c>
      <c r="L19" t="s">
        <v>12074</v>
      </c>
      <c r="M19" s="3" t="str">
        <f>HYPERLINK(склад2въезд13192021222378910[[#This Row],[RelativePath]])</f>
        <v>19 Хронометраж\K07156189_22_20260214T125532Z.jpg</v>
      </c>
    </row>
    <row r="20" spans="1:13" x14ac:dyDescent="0.25">
      <c r="A20" s="2" t="s">
        <v>18</v>
      </c>
      <c r="B20" s="4">
        <v>46067</v>
      </c>
      <c r="C20" s="5">
        <v>0.58101851851851849</v>
      </c>
      <c r="D20" t="s">
        <v>12174</v>
      </c>
      <c r="E20" t="s">
        <v>12178</v>
      </c>
      <c r="I20" t="s">
        <v>12125</v>
      </c>
      <c r="J20" t="s">
        <v>12062</v>
      </c>
      <c r="K20" t="s">
        <v>12126</v>
      </c>
      <c r="L20" t="s">
        <v>12085</v>
      </c>
      <c r="M20" s="3" t="str">
        <f>HYPERLINK(склад2въезд13192021222378910[[#This Row],[RelativePath]])</f>
        <v>19 Хронометраж\K07156189_22_20260214T135640Z.jpg</v>
      </c>
    </row>
    <row r="21" spans="1:13" x14ac:dyDescent="0.25">
      <c r="A21" s="2" t="s">
        <v>18</v>
      </c>
      <c r="B21" s="4">
        <v>46067</v>
      </c>
      <c r="C21" s="5">
        <v>0.58179398148148154</v>
      </c>
      <c r="D21" t="s">
        <v>12177</v>
      </c>
      <c r="E21" t="s">
        <v>12178</v>
      </c>
      <c r="I21" t="s">
        <v>12127</v>
      </c>
      <c r="J21" t="s">
        <v>12062</v>
      </c>
      <c r="K21" t="s">
        <v>12128</v>
      </c>
      <c r="L21" t="s">
        <v>12069</v>
      </c>
      <c r="M21" s="3" t="str">
        <f>HYPERLINK(склад2въезд13192021222378910[[#This Row],[RelativePath]])</f>
        <v>19 Хронометраж\K07156189_22_20260214T135747Z.jpg</v>
      </c>
    </row>
    <row r="22" spans="1:13" x14ac:dyDescent="0.25">
      <c r="A22" s="2" t="s">
        <v>18</v>
      </c>
      <c r="B22" s="4">
        <v>46067</v>
      </c>
      <c r="C22" s="5">
        <v>0.6403240740740741</v>
      </c>
      <c r="D22" t="s">
        <v>12179</v>
      </c>
      <c r="E22" t="s">
        <v>12176</v>
      </c>
      <c r="I22" t="s">
        <v>12129</v>
      </c>
      <c r="J22" t="s">
        <v>12062</v>
      </c>
      <c r="K22" t="s">
        <v>12130</v>
      </c>
      <c r="L22" t="s">
        <v>12086</v>
      </c>
      <c r="M22" s="3" t="str">
        <f>HYPERLINK(склад2въезд13192021222378910[[#This Row],[RelativePath]])</f>
        <v>19 Хронометраж\K07156189_22_20260214T152204Z.jpg</v>
      </c>
    </row>
    <row r="23" spans="1:13" x14ac:dyDescent="0.25">
      <c r="A23" s="2" t="s">
        <v>18</v>
      </c>
      <c r="B23" s="4">
        <v>46067</v>
      </c>
      <c r="C23" s="5">
        <v>0.64269675925925929</v>
      </c>
      <c r="D23" t="s">
        <v>12174</v>
      </c>
      <c r="E23" t="s">
        <v>12176</v>
      </c>
      <c r="H23" t="s">
        <v>12180</v>
      </c>
      <c r="I23" t="s">
        <v>12131</v>
      </c>
      <c r="J23" t="s">
        <v>12062</v>
      </c>
      <c r="K23" t="s">
        <v>12132</v>
      </c>
      <c r="L23" t="s">
        <v>12026</v>
      </c>
      <c r="M23" s="3" t="str">
        <f>HYPERLINK(склад2въезд13192021222378910[[#This Row],[RelativePath]])</f>
        <v>19 Хронометраж\K07156189_22_20260214T152529Z.jpg</v>
      </c>
    </row>
    <row r="24" spans="1:13" x14ac:dyDescent="0.25">
      <c r="A24" s="2" t="s">
        <v>18</v>
      </c>
      <c r="B24" s="4">
        <v>46067</v>
      </c>
      <c r="C24" s="5">
        <v>0.64306712962962964</v>
      </c>
      <c r="D24" t="s">
        <v>12177</v>
      </c>
      <c r="E24" t="s">
        <v>12178</v>
      </c>
      <c r="I24" t="s">
        <v>12133</v>
      </c>
      <c r="J24" t="s">
        <v>12062</v>
      </c>
      <c r="K24" t="s">
        <v>12134</v>
      </c>
      <c r="L24" t="s">
        <v>12070</v>
      </c>
      <c r="M24" s="3" t="str">
        <f>HYPERLINK(склад2въезд13192021222378910[[#This Row],[RelativePath]])</f>
        <v>19 Хронометраж\K07156189_22_20260214T152601Z.jpg</v>
      </c>
    </row>
    <row r="25" spans="1:13" x14ac:dyDescent="0.25">
      <c r="A25" s="2" t="s">
        <v>18</v>
      </c>
      <c r="B25" s="4">
        <v>46067</v>
      </c>
      <c r="C25" s="5">
        <v>0.70311342592592596</v>
      </c>
      <c r="D25" t="s">
        <v>12179</v>
      </c>
      <c r="E25" t="s">
        <v>12176</v>
      </c>
      <c r="I25" t="s">
        <v>12135</v>
      </c>
      <c r="J25" t="s">
        <v>12062</v>
      </c>
      <c r="K25" t="s">
        <v>12136</v>
      </c>
      <c r="L25" t="s">
        <v>12087</v>
      </c>
      <c r="M25" s="3" t="str">
        <f>HYPERLINK(склад2въезд13192021222378910[[#This Row],[RelativePath]])</f>
        <v>19 Хронометраж\K07156189_22_20260214T165229Z.jpg</v>
      </c>
    </row>
    <row r="26" spans="1:13" x14ac:dyDescent="0.25">
      <c r="A26" s="2" t="s">
        <v>18</v>
      </c>
      <c r="B26" s="4">
        <v>46067</v>
      </c>
      <c r="C26" s="5">
        <v>0.70339120370370367</v>
      </c>
      <c r="D26" t="s">
        <v>12177</v>
      </c>
      <c r="E26" t="s">
        <v>12175</v>
      </c>
      <c r="I26" t="s">
        <v>12137</v>
      </c>
      <c r="J26" t="s">
        <v>12062</v>
      </c>
      <c r="K26" t="s">
        <v>12138</v>
      </c>
      <c r="L26" t="s">
        <v>12071</v>
      </c>
      <c r="M26" s="3" t="str">
        <f>HYPERLINK(склад2въезд13192021222378910[[#This Row],[RelativePath]])</f>
        <v>19 Хронометраж\K07156189_22_20260214T165253Z.jpg</v>
      </c>
    </row>
    <row r="27" spans="1:13" x14ac:dyDescent="0.25">
      <c r="A27" s="2" t="s">
        <v>18</v>
      </c>
      <c r="B27" s="4">
        <v>46067</v>
      </c>
      <c r="C27" s="5">
        <v>0.70679398148148154</v>
      </c>
      <c r="D27" t="s">
        <v>12179</v>
      </c>
      <c r="E27" t="s">
        <v>12175</v>
      </c>
      <c r="I27" t="s">
        <v>12139</v>
      </c>
      <c r="J27" t="s">
        <v>12062</v>
      </c>
      <c r="K27" t="s">
        <v>12140</v>
      </c>
      <c r="L27" t="s">
        <v>12088</v>
      </c>
      <c r="M27" s="3" t="str">
        <f>HYPERLINK(склад2въезд13192021222378910[[#This Row],[RelativePath]])</f>
        <v>19 Хронометраж\K07156189_22_20260214T165747Z.jpg</v>
      </c>
    </row>
    <row r="28" spans="1:13" x14ac:dyDescent="0.25">
      <c r="A28" s="2" t="s">
        <v>22</v>
      </c>
      <c r="B28" s="4">
        <v>46068</v>
      </c>
      <c r="C28" s="5">
        <v>0.40575231481481483</v>
      </c>
      <c r="D28" t="s">
        <v>12174</v>
      </c>
      <c r="E28" t="s">
        <v>12175</v>
      </c>
      <c r="I28" t="s">
        <v>12141</v>
      </c>
      <c r="J28" t="s">
        <v>12062</v>
      </c>
      <c r="K28" t="s">
        <v>12142</v>
      </c>
      <c r="L28" t="s">
        <v>12089</v>
      </c>
      <c r="M28" s="3" t="str">
        <f>HYPERLINK(склад2въезд13192021222378910[[#This Row],[RelativePath]])</f>
        <v>19 Хронометраж\K07156189_22_20260215T094417Z.jpg</v>
      </c>
    </row>
    <row r="29" spans="1:13" x14ac:dyDescent="0.25">
      <c r="A29" s="2" t="s">
        <v>22</v>
      </c>
      <c r="B29" s="4">
        <v>46068</v>
      </c>
      <c r="C29" s="5">
        <v>0.41005787037037039</v>
      </c>
      <c r="D29" t="s">
        <v>12177</v>
      </c>
      <c r="E29" t="s">
        <v>12175</v>
      </c>
      <c r="I29" t="s">
        <v>12143</v>
      </c>
      <c r="J29" t="s">
        <v>12062</v>
      </c>
      <c r="K29" t="s">
        <v>12144</v>
      </c>
      <c r="L29" t="s">
        <v>12145</v>
      </c>
      <c r="M29" s="3" t="str">
        <f>HYPERLINK(склад2въезд13192021222378910[[#This Row],[RelativePath]])</f>
        <v>19 Хронометраж\K07156189_22_20260215T095029Z.jpg</v>
      </c>
    </row>
    <row r="30" spans="1:13" x14ac:dyDescent="0.25">
      <c r="A30" s="2" t="s">
        <v>22</v>
      </c>
      <c r="B30" s="4">
        <v>46068</v>
      </c>
      <c r="C30" s="5">
        <v>0.55344907407407407</v>
      </c>
      <c r="D30" t="s">
        <v>12179</v>
      </c>
      <c r="E30" t="s">
        <v>12175</v>
      </c>
      <c r="I30" t="s">
        <v>12146</v>
      </c>
      <c r="J30" t="s">
        <v>12062</v>
      </c>
      <c r="K30" t="s">
        <v>12147</v>
      </c>
      <c r="L30" t="s">
        <v>12148</v>
      </c>
      <c r="M30" s="3" t="str">
        <f>HYPERLINK(склад2въезд13192021222378910[[#This Row],[RelativePath]])</f>
        <v>19 Хронометраж\K07156189_22_20260215T131658Z.jpg</v>
      </c>
    </row>
    <row r="31" spans="1:13" x14ac:dyDescent="0.25">
      <c r="A31" s="2" t="s">
        <v>22</v>
      </c>
      <c r="B31" s="4">
        <v>46068</v>
      </c>
      <c r="C31" s="5">
        <v>0.57603009259259264</v>
      </c>
      <c r="D31" t="s">
        <v>12174</v>
      </c>
      <c r="E31" t="s">
        <v>12175</v>
      </c>
      <c r="I31" t="s">
        <v>12149</v>
      </c>
      <c r="J31" t="s">
        <v>12062</v>
      </c>
      <c r="K31" t="s">
        <v>12150</v>
      </c>
      <c r="L31" t="s">
        <v>12151</v>
      </c>
      <c r="M31" s="3" t="str">
        <f>HYPERLINK(склад2въезд13192021222378910[[#This Row],[RelativePath]])</f>
        <v>19 Хронометраж\K07156189_22_20260215T134929Z.jpg</v>
      </c>
    </row>
    <row r="32" spans="1:13" x14ac:dyDescent="0.25">
      <c r="A32" s="2" t="s">
        <v>22</v>
      </c>
      <c r="B32" s="4">
        <v>46068</v>
      </c>
      <c r="C32" s="5">
        <v>0.57678240740740738</v>
      </c>
      <c r="D32" t="s">
        <v>12177</v>
      </c>
      <c r="E32" t="s">
        <v>12175</v>
      </c>
      <c r="I32" t="s">
        <v>12152</v>
      </c>
      <c r="J32" t="s">
        <v>12062</v>
      </c>
      <c r="K32" t="s">
        <v>12153</v>
      </c>
      <c r="L32" t="s">
        <v>12154</v>
      </c>
      <c r="M32" s="3" t="str">
        <f>HYPERLINK(склад2въезд13192021222378910[[#This Row],[RelativePath]])</f>
        <v>19 Хронометраж\K07156189_22_20260215T135034Z.jpg</v>
      </c>
    </row>
    <row r="33" spans="1:13" x14ac:dyDescent="0.25">
      <c r="A33" s="2" t="s">
        <v>22</v>
      </c>
      <c r="B33" s="4">
        <v>46068</v>
      </c>
      <c r="C33" s="5">
        <v>0.60243055555555558</v>
      </c>
      <c r="D33" t="s">
        <v>12182</v>
      </c>
      <c r="E33" t="s">
        <v>12175</v>
      </c>
      <c r="I33" t="s">
        <v>12155</v>
      </c>
      <c r="J33" t="s">
        <v>12062</v>
      </c>
      <c r="K33" t="s">
        <v>12156</v>
      </c>
      <c r="L33" t="s">
        <v>12157</v>
      </c>
      <c r="M33" s="3" t="str">
        <f>HYPERLINK(склад2въезд13192021222378910[[#This Row],[RelativePath]])</f>
        <v>19 Хронометраж\K07156189_22_20260215T142730Z.jpg</v>
      </c>
    </row>
    <row r="34" spans="1:13" x14ac:dyDescent="0.25">
      <c r="A34" s="2" t="s">
        <v>22</v>
      </c>
      <c r="B34" s="4">
        <v>46068</v>
      </c>
      <c r="C34" s="5">
        <v>0.6025462962962963</v>
      </c>
      <c r="D34" t="s">
        <v>12</v>
      </c>
      <c r="E34" t="s">
        <v>12175</v>
      </c>
      <c r="I34" t="s">
        <v>12158</v>
      </c>
      <c r="J34" t="s">
        <v>12062</v>
      </c>
      <c r="K34" t="s">
        <v>12159</v>
      </c>
      <c r="L34" t="s">
        <v>12160</v>
      </c>
      <c r="M34" s="3" t="str">
        <f>HYPERLINK(склад2въезд13192021222378910[[#This Row],[RelativePath]])</f>
        <v>19 Хронометраж\K07156189_22_20260215T142740Z.jpg</v>
      </c>
    </row>
    <row r="35" spans="1:13" x14ac:dyDescent="0.25">
      <c r="A35" s="2" t="s">
        <v>22</v>
      </c>
      <c r="B35" s="4">
        <v>46068</v>
      </c>
      <c r="C35" s="5">
        <v>0.62107638888888894</v>
      </c>
      <c r="D35" t="s">
        <v>12183</v>
      </c>
      <c r="E35" t="s">
        <v>12175</v>
      </c>
      <c r="I35" t="s">
        <v>12161</v>
      </c>
      <c r="J35" t="s">
        <v>12062</v>
      </c>
      <c r="K35" t="s">
        <v>12162</v>
      </c>
      <c r="L35" t="s">
        <v>12163</v>
      </c>
      <c r="M35" s="3" t="str">
        <f>HYPERLINK(склад2въезд13192021222378910[[#This Row],[RelativePath]])</f>
        <v>19 Хронометраж\K07156189_22_20260215T145421Z.jpg</v>
      </c>
    </row>
    <row r="36" spans="1:13" x14ac:dyDescent="0.25">
      <c r="A36" s="2" t="s">
        <v>22</v>
      </c>
      <c r="B36" s="4">
        <v>46068</v>
      </c>
      <c r="C36" s="5">
        <v>0.63246527777777772</v>
      </c>
      <c r="D36" t="s">
        <v>12179</v>
      </c>
      <c r="E36" t="s">
        <v>12175</v>
      </c>
      <c r="I36" t="s">
        <v>12164</v>
      </c>
      <c r="J36" t="s">
        <v>12062</v>
      </c>
      <c r="K36" t="s">
        <v>12165</v>
      </c>
      <c r="L36" t="s">
        <v>12090</v>
      </c>
      <c r="M36" s="3" t="str">
        <f>HYPERLINK(склад2въезд13192021222378910[[#This Row],[RelativePath]])</f>
        <v>19 Хронометраж\K07156189_22_20260215T151045Z.jpg</v>
      </c>
    </row>
    <row r="37" spans="1:13" x14ac:dyDescent="0.25">
      <c r="A37" s="2" t="s">
        <v>22</v>
      </c>
      <c r="B37" s="4">
        <v>46068</v>
      </c>
      <c r="C37" s="5">
        <v>0.64251157407407411</v>
      </c>
      <c r="D37" t="s">
        <v>12174</v>
      </c>
      <c r="E37" t="s">
        <v>12175</v>
      </c>
      <c r="I37" t="s">
        <v>12166</v>
      </c>
      <c r="J37" t="s">
        <v>12062</v>
      </c>
      <c r="K37" t="s">
        <v>12167</v>
      </c>
      <c r="L37" t="s">
        <v>12168</v>
      </c>
      <c r="M37" s="3" t="str">
        <f>HYPERLINK(склад2въезд13192021222378910[[#This Row],[RelativePath]])</f>
        <v>19 Хронометраж\K07156189_23_20260215T152513Z.jpg</v>
      </c>
    </row>
    <row r="38" spans="1:13" x14ac:dyDescent="0.25">
      <c r="A38" s="2" t="s">
        <v>22</v>
      </c>
      <c r="B38" s="4">
        <v>46068</v>
      </c>
      <c r="C38" s="5">
        <v>0.64290509259259254</v>
      </c>
      <c r="D38" t="s">
        <v>12183</v>
      </c>
      <c r="E38" t="s">
        <v>12175</v>
      </c>
      <c r="I38" t="s">
        <v>12169</v>
      </c>
      <c r="J38" t="s">
        <v>12062</v>
      </c>
      <c r="K38" t="s">
        <v>12170</v>
      </c>
      <c r="L38" t="s">
        <v>12091</v>
      </c>
      <c r="M38" s="3" t="str">
        <f>HYPERLINK(склад2въезд13192021222378910[[#This Row],[RelativePath]])</f>
        <v>19 Хронометраж\K07156189_22_20260215T152547Z.jpg</v>
      </c>
    </row>
    <row r="39" spans="1:13" x14ac:dyDescent="0.25">
      <c r="A39" s="2" t="s">
        <v>22</v>
      </c>
      <c r="B39" s="4">
        <v>46068</v>
      </c>
      <c r="C39" s="5">
        <v>0.69094907407407402</v>
      </c>
      <c r="D39" t="s">
        <v>12179</v>
      </c>
      <c r="E39" t="s">
        <v>12175</v>
      </c>
      <c r="I39" t="s">
        <v>12171</v>
      </c>
      <c r="J39" t="s">
        <v>12062</v>
      </c>
      <c r="K39" t="s">
        <v>12172</v>
      </c>
      <c r="L39" t="s">
        <v>12092</v>
      </c>
      <c r="M39" s="3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37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36" priority="13" operator="notContains" text="порожний">
      <formula>ISERROR(SEARCH("порожний",F2))</formula>
    </cfRule>
  </conditionalFormatting>
  <conditionalFormatting sqref="E2:E53">
    <cfRule type="containsText" dxfId="35" priority="11" operator="containsText" text="Газель базы">
      <formula>NOT(ISERROR(SEARCH("Газель базы",E2)))</formula>
    </cfRule>
    <cfRule type="containsText" dxfId="34" priority="12" operator="containsText" text="Погрузчик базы">
      <formula>NOT(ISERROR(SEARCH("Погрузчик базы",E2)))</formula>
    </cfRule>
  </conditionalFormatting>
  <conditionalFormatting sqref="E2:E53">
    <cfRule type="containsText" dxfId="33" priority="10" operator="containsText" text="Трактор базы">
      <formula>NOT(ISERROR(SEARCH("Трактор базы",E2)))</formula>
    </cfRule>
  </conditionalFormatting>
  <conditionalFormatting sqref="A2:C39">
    <cfRule type="expression" dxfId="32" priority="9">
      <formula>$A2="пн"</formula>
    </cfRule>
  </conditionalFormatting>
  <conditionalFormatting sqref="A2:C41">
    <cfRule type="expression" dxfId="31" priority="3">
      <formula>$A2="вс"</formula>
    </cfRule>
    <cfRule type="expression" dxfId="30" priority="4">
      <formula>$A2="сб"</formula>
    </cfRule>
    <cfRule type="expression" dxfId="29" priority="5">
      <formula>$A2="пт"</formula>
    </cfRule>
    <cfRule type="expression" dxfId="28" priority="6">
      <formula>$A2="чт"</formula>
    </cfRule>
    <cfRule type="expression" dxfId="27" priority="7">
      <formula>$A2="ср"</formula>
    </cfRule>
    <cfRule type="expression" dxfId="26" priority="8">
      <formula>$A2="вт"</formula>
    </cfRule>
  </conditionalFormatting>
  <conditionalFormatting sqref="D2:D50">
    <cfRule type="containsText" dxfId="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55"/>
  <sheetViews>
    <sheetView topLeftCell="A202" zoomScale="80" zoomScaleNormal="80" workbookViewId="0">
      <selection activeCell="F219" sqref="F219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62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10" t="s">
        <v>1398</v>
      </c>
      <c r="J2" s="10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10" t="s">
        <v>409</v>
      </c>
      <c r="J3" s="10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10" t="s">
        <v>1456</v>
      </c>
      <c r="J4" s="10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10" t="s">
        <v>1459</v>
      </c>
      <c r="J5" s="10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10" t="s">
        <v>400</v>
      </c>
      <c r="J6" s="10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10" t="s">
        <v>403</v>
      </c>
      <c r="J7" s="10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10" t="s">
        <v>406</v>
      </c>
      <c r="J8" s="10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10" t="s">
        <v>1462</v>
      </c>
      <c r="J9" s="10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10" t="s">
        <v>1480</v>
      </c>
      <c r="J10" s="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10" t="s">
        <v>1483</v>
      </c>
      <c r="J11" s="10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10" t="s">
        <v>1486</v>
      </c>
      <c r="J12" s="10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10" t="s">
        <v>1471</v>
      </c>
      <c r="J13" s="10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10" t="s">
        <v>1474</v>
      </c>
      <c r="J14" s="10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10" t="s">
        <v>1477</v>
      </c>
      <c r="J15" s="10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10" t="s">
        <v>376</v>
      </c>
      <c r="J16" s="10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10" t="s">
        <v>379</v>
      </c>
      <c r="J17" s="10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10" t="s">
        <v>382</v>
      </c>
      <c r="J18" s="10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10" t="s">
        <v>367</v>
      </c>
      <c r="J19" s="10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10" t="s">
        <v>370</v>
      </c>
      <c r="J20" s="1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10" t="s">
        <v>373</v>
      </c>
      <c r="J21" s="10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10" t="s">
        <v>391</v>
      </c>
      <c r="J22" s="10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10" t="s">
        <v>394</v>
      </c>
      <c r="J23" s="10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10" t="s">
        <v>397</v>
      </c>
      <c r="J24" s="10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10" t="s">
        <v>385</v>
      </c>
      <c r="J25" s="10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10" t="s">
        <v>388</v>
      </c>
      <c r="J26" s="10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10" t="s">
        <v>1522</v>
      </c>
      <c r="J27" s="10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10" t="s">
        <v>1525</v>
      </c>
      <c r="J28" s="10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10" t="s">
        <v>1271</v>
      </c>
      <c r="J29" s="10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10" t="s">
        <v>2699</v>
      </c>
      <c r="J30" s="1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10" t="s">
        <v>2701</v>
      </c>
      <c r="J31" s="10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10" t="s">
        <v>2697</v>
      </c>
      <c r="J32" s="10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10" t="s">
        <v>2679</v>
      </c>
      <c r="J33" s="10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10" t="s">
        <v>2535</v>
      </c>
      <c r="J34" s="10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10" t="s">
        <v>2550</v>
      </c>
      <c r="J35" s="10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10" t="s">
        <v>2547</v>
      </c>
      <c r="J36" s="10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10" t="s">
        <v>2538</v>
      </c>
      <c r="J37" s="10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10" t="s">
        <v>2541</v>
      </c>
      <c r="J38" s="10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10" t="s">
        <v>2664</v>
      </c>
      <c r="J39" s="10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10" t="s">
        <v>2070</v>
      </c>
      <c r="J40" s="1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10" t="s">
        <v>2658</v>
      </c>
      <c r="J41" s="10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10" t="s">
        <v>2661</v>
      </c>
      <c r="J42" s="10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10" t="s">
        <v>2673</v>
      </c>
      <c r="J43" s="10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10" t="s">
        <v>2667</v>
      </c>
      <c r="J44" s="10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10" t="s">
        <v>2670</v>
      </c>
      <c r="J45" s="10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10" t="s">
        <v>2676</v>
      </c>
      <c r="J46" s="10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10" t="s">
        <v>2779</v>
      </c>
      <c r="J47" s="10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10" t="s">
        <v>2776</v>
      </c>
      <c r="J48" s="10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10" t="s">
        <v>2770</v>
      </c>
      <c r="J49" s="10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10" t="s">
        <v>2773</v>
      </c>
      <c r="J50" s="1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10" t="s">
        <v>2791</v>
      </c>
      <c r="J51" s="10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10" t="s">
        <v>2761</v>
      </c>
      <c r="J52" s="10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10" t="s">
        <v>2788</v>
      </c>
      <c r="J53" s="10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10" t="s">
        <v>2782</v>
      </c>
      <c r="J54" s="10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10" t="s">
        <v>2785</v>
      </c>
      <c r="J55" s="10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10" t="s">
        <v>2740</v>
      </c>
      <c r="J56" s="10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10" t="s">
        <v>2743</v>
      </c>
      <c r="J57" s="10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10" t="s">
        <v>2746</v>
      </c>
      <c r="J58" s="10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10" t="s">
        <v>2731</v>
      </c>
      <c r="J59" s="10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10" t="s">
        <v>2734</v>
      </c>
      <c r="J60" s="1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10" t="s">
        <v>2737</v>
      </c>
      <c r="J61" s="10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10" t="s">
        <v>2758</v>
      </c>
      <c r="J62" s="10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10" t="s">
        <v>2764</v>
      </c>
      <c r="J63" s="10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10" t="s">
        <v>2767</v>
      </c>
      <c r="J64" s="10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10" t="s">
        <v>2749</v>
      </c>
      <c r="J65" s="10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10" t="s">
        <v>2752</v>
      </c>
      <c r="J66" s="10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10" t="s">
        <v>2755</v>
      </c>
      <c r="J67" s="10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10" t="s">
        <v>2082</v>
      </c>
      <c r="J68" s="10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10" t="s">
        <v>3940</v>
      </c>
      <c r="J69" s="10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10" t="s">
        <v>3931</v>
      </c>
      <c r="J70" s="1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10" t="s">
        <v>3928</v>
      </c>
      <c r="J71" s="10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10" t="s">
        <v>3937</v>
      </c>
      <c r="J72" s="10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10" t="s">
        <v>3934</v>
      </c>
      <c r="J73" s="10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10" t="s">
        <v>3943</v>
      </c>
      <c r="J74" s="10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10" t="s">
        <v>3946</v>
      </c>
      <c r="J75" s="10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10" t="s">
        <v>3949</v>
      </c>
      <c r="J76" s="10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10" t="s">
        <v>3955</v>
      </c>
      <c r="J77" s="10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10" t="s">
        <v>3980</v>
      </c>
      <c r="J78" s="10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10" t="s">
        <v>3965</v>
      </c>
      <c r="J79" s="10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10" t="s">
        <v>3968</v>
      </c>
      <c r="J80" s="1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10" t="s">
        <v>3983</v>
      </c>
      <c r="J81" s="10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10" t="s">
        <v>4013</v>
      </c>
      <c r="J82" s="10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10" t="s">
        <v>4097</v>
      </c>
      <c r="J83" s="10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10" t="s">
        <v>4100</v>
      </c>
      <c r="J84" s="10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10" t="s">
        <v>4103</v>
      </c>
      <c r="J85" s="10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10" t="s">
        <v>4094</v>
      </c>
      <c r="J86" s="10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10" t="s">
        <v>3992</v>
      </c>
      <c r="J87" s="10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10" t="s">
        <v>3995</v>
      </c>
      <c r="J88" s="10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10" t="s">
        <v>4010</v>
      </c>
      <c r="J89" s="10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10" t="s">
        <v>3989</v>
      </c>
      <c r="J90" s="1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10" t="s">
        <v>4007</v>
      </c>
      <c r="J91" s="10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10" t="s">
        <v>3977</v>
      </c>
      <c r="J92" s="10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10" t="s">
        <v>3974</v>
      </c>
      <c r="J93" s="10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10" t="s">
        <v>3971</v>
      </c>
      <c r="J94" s="10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10" t="s">
        <v>4004</v>
      </c>
      <c r="J95" s="10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10" t="s">
        <v>3630</v>
      </c>
      <c r="J96" s="10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10" t="s">
        <v>3627</v>
      </c>
      <c r="J97" s="10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10" t="s">
        <v>3689</v>
      </c>
      <c r="J98" s="10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10" t="s">
        <v>3659</v>
      </c>
      <c r="J99" s="10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10" t="s">
        <v>3624</v>
      </c>
      <c r="J100" s="1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10" t="s">
        <v>3615</v>
      </c>
      <c r="J101" s="10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10" t="s">
        <v>3645</v>
      </c>
      <c r="J102" s="10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10" t="s">
        <v>3653</v>
      </c>
      <c r="J103" s="10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10" t="s">
        <v>3656</v>
      </c>
      <c r="J104" s="10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10" t="s">
        <v>3618</v>
      </c>
      <c r="J105" s="10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10" t="s">
        <v>3621</v>
      </c>
      <c r="J106" s="10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10" t="s">
        <v>3633</v>
      </c>
      <c r="J107" s="10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10" t="s">
        <v>3677</v>
      </c>
      <c r="J108" s="10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10" t="s">
        <v>3662</v>
      </c>
      <c r="J109" s="10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10" t="s">
        <v>3665</v>
      </c>
      <c r="J110" s="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10" t="s">
        <v>3462</v>
      </c>
      <c r="J111" s="10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10" t="s">
        <v>3671</v>
      </c>
      <c r="J112" s="10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10" t="s">
        <v>3674</v>
      </c>
      <c r="J113" s="10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10" t="s">
        <v>3668</v>
      </c>
      <c r="J114" s="10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10" t="s">
        <v>3698</v>
      </c>
      <c r="J115" s="10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10" t="s">
        <v>3683</v>
      </c>
      <c r="J116" s="10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10" t="s">
        <v>3686</v>
      </c>
      <c r="J117" s="10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10" t="s">
        <v>3680</v>
      </c>
      <c r="J118" s="10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10" t="s">
        <v>3692</v>
      </c>
      <c r="J119" s="10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10" t="s">
        <v>3695</v>
      </c>
      <c r="J120" s="1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10" t="s">
        <v>3701</v>
      </c>
      <c r="J121" s="10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10" t="s">
        <v>3704</v>
      </c>
      <c r="J122" s="10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10" t="s">
        <v>3707</v>
      </c>
      <c r="J123" s="10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10" t="s">
        <v>3606</v>
      </c>
      <c r="J124" s="10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10" t="s">
        <v>3450</v>
      </c>
      <c r="J125" s="10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10" t="s">
        <v>3710</v>
      </c>
      <c r="J126" s="10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10" t="s">
        <v>3612</v>
      </c>
      <c r="J127" s="10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10" t="s">
        <v>3594</v>
      </c>
      <c r="J128" s="10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10" t="s">
        <v>3600</v>
      </c>
      <c r="J129" s="10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10" t="s">
        <v>3597</v>
      </c>
      <c r="J130" s="1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10" t="s">
        <v>3585</v>
      </c>
      <c r="J131" s="10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10" t="s">
        <v>3603</v>
      </c>
      <c r="J132" s="10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10" t="s">
        <v>3591</v>
      </c>
      <c r="J133" s="10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10" t="s">
        <v>3588</v>
      </c>
      <c r="J134" s="10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10" t="s">
        <v>3570</v>
      </c>
      <c r="J135" s="10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10" t="s">
        <v>3567</v>
      </c>
      <c r="J136" s="10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10" t="s">
        <v>3582</v>
      </c>
      <c r="J137" s="10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10" t="s">
        <v>3573</v>
      </c>
      <c r="J138" s="10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10" t="s">
        <v>3636</v>
      </c>
      <c r="J139" s="10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10" t="s">
        <v>3639</v>
      </c>
      <c r="J140" s="1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10" t="s">
        <v>3642</v>
      </c>
      <c r="J141" s="10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10" t="s">
        <v>3456</v>
      </c>
      <c r="J142" s="10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10" t="s">
        <v>3459</v>
      </c>
      <c r="J143" s="10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10" t="s">
        <v>3453</v>
      </c>
      <c r="J144" s="10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10" t="s">
        <v>3375</v>
      </c>
      <c r="J145" s="10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10" t="s">
        <v>3579</v>
      </c>
      <c r="J146" s="10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10" t="s">
        <v>3576</v>
      </c>
      <c r="J147" s="10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10" t="s">
        <v>3447</v>
      </c>
      <c r="J148" s="10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10" t="s">
        <v>4459</v>
      </c>
      <c r="J149" s="10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10" t="s">
        <v>5086</v>
      </c>
      <c r="J150" s="1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10" t="s">
        <v>4468</v>
      </c>
      <c r="J151" s="10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10" t="s">
        <v>4471</v>
      </c>
      <c r="J152" s="10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10" t="s">
        <v>4474</v>
      </c>
      <c r="J153" s="10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10" t="s">
        <v>4477</v>
      </c>
      <c r="J154" s="10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10" t="s">
        <v>5166</v>
      </c>
      <c r="J155" s="10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10" t="s">
        <v>5163</v>
      </c>
      <c r="J156" s="10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10" t="s">
        <v>5190</v>
      </c>
      <c r="J157" s="10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10" t="s">
        <v>5187</v>
      </c>
      <c r="J158" s="10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10" t="s">
        <v>5154</v>
      </c>
      <c r="J159" s="10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10" t="s">
        <v>5151</v>
      </c>
      <c r="J160" s="1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10" t="s">
        <v>5160</v>
      </c>
      <c r="J161" s="10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10" t="s">
        <v>5157</v>
      </c>
      <c r="J162" s="10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10" t="s">
        <v>6113</v>
      </c>
      <c r="J163" s="10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10" t="s">
        <v>6116</v>
      </c>
      <c r="J164" s="10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10" t="s">
        <v>6119</v>
      </c>
      <c r="J165" s="10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10" t="s">
        <v>6122</v>
      </c>
      <c r="J166" s="10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10" t="s">
        <v>6125</v>
      </c>
      <c r="J167" s="10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10" t="s">
        <v>6128</v>
      </c>
      <c r="J168" s="10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10" t="s">
        <v>6131</v>
      </c>
      <c r="J169" s="10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10" t="s">
        <v>6134</v>
      </c>
      <c r="J170" s="1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10" t="s">
        <v>6452</v>
      </c>
      <c r="J171" s="10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10" t="s">
        <v>6455</v>
      </c>
      <c r="J172" s="10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10" t="s">
        <v>6458</v>
      </c>
      <c r="J173" s="10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10" t="s">
        <v>6443</v>
      </c>
      <c r="J174" s="10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10" t="s">
        <v>6446</v>
      </c>
      <c r="J175" s="10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10" t="s">
        <v>6449</v>
      </c>
      <c r="J176" s="10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10" t="s">
        <v>6461</v>
      </c>
      <c r="J177" s="10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s="10" t="s">
        <v>6464</v>
      </c>
      <c r="J178" s="10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s="10" t="s">
        <v>6467</v>
      </c>
      <c r="J179" s="10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s="10" t="s">
        <v>6479</v>
      </c>
      <c r="J180" s="1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s="10" t="s">
        <v>6440</v>
      </c>
      <c r="J181" s="10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s="10" t="s">
        <v>6410</v>
      </c>
      <c r="J182" s="10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s="10" t="s">
        <v>6413</v>
      </c>
      <c r="J183" s="10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s="10" t="s">
        <v>6416</v>
      </c>
      <c r="J184" s="10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s="10" t="s">
        <v>6310</v>
      </c>
      <c r="J185" s="10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s="10" t="s">
        <v>6404</v>
      </c>
      <c r="J186" s="10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s="10" t="s">
        <v>6407</v>
      </c>
      <c r="J187" s="10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s="10" t="s">
        <v>6419</v>
      </c>
      <c r="J188" s="10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s="10" t="s">
        <v>6431</v>
      </c>
      <c r="J189" s="10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s="10" t="s">
        <v>6434</v>
      </c>
      <c r="J190" s="1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s="10" t="s">
        <v>6437</v>
      </c>
      <c r="J191" s="10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s="10" t="s">
        <v>6422</v>
      </c>
      <c r="J192" s="10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s="10" t="s">
        <v>6425</v>
      </c>
      <c r="J193" s="10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s="10" t="s">
        <v>6428</v>
      </c>
      <c r="J194" s="10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s="10" t="s">
        <v>6548</v>
      </c>
      <c r="J195" s="10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s="10" t="s">
        <v>7502</v>
      </c>
      <c r="J196" s="10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s="10" t="s">
        <v>7505</v>
      </c>
      <c r="J197" s="10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s="10" t="s">
        <v>7508</v>
      </c>
      <c r="J198" s="10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s="10" t="s">
        <v>7511</v>
      </c>
      <c r="J199" s="10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s="10" t="s">
        <v>7514</v>
      </c>
      <c r="J200" s="1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s="10" t="s">
        <v>7819</v>
      </c>
      <c r="J201" s="10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s="10" t="s">
        <v>7822</v>
      </c>
      <c r="J202" s="10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s="10" t="s">
        <v>7825</v>
      </c>
      <c r="J203" s="10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s="10" t="s">
        <v>8228</v>
      </c>
      <c r="J204" s="10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s="10" t="s">
        <v>8982</v>
      </c>
      <c r="J205" s="10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s="10" t="s">
        <v>8979</v>
      </c>
      <c r="J206" s="10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s="10" t="s">
        <v>9507</v>
      </c>
      <c r="J207" s="10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s="10" t="s">
        <v>10394</v>
      </c>
      <c r="J208" s="10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s="10" t="s">
        <v>10377</v>
      </c>
      <c r="J209" s="10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s="10" t="s">
        <v>10380</v>
      </c>
      <c r="J210" s="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s="10" t="s">
        <v>10653</v>
      </c>
      <c r="J211" s="10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s="10" t="s">
        <v>10656</v>
      </c>
      <c r="J212" s="10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s="10" t="s">
        <v>10659</v>
      </c>
      <c r="J213" s="10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s="10" t="s">
        <v>10662</v>
      </c>
      <c r="J214" s="10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s="10" t="s">
        <v>10911</v>
      </c>
      <c r="J215" s="10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s="10" t="s">
        <v>10959</v>
      </c>
      <c r="J216" s="10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s="10" t="s">
        <v>10962</v>
      </c>
      <c r="J217" s="10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s="10" t="s">
        <v>10965</v>
      </c>
      <c r="J218" s="10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s="10" t="s">
        <v>10968</v>
      </c>
      <c r="J219" s="10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s="10" t="s">
        <v>11076</v>
      </c>
      <c r="J220" s="1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s="10" t="s">
        <v>11079</v>
      </c>
      <c r="J221" s="10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s="10" t="s">
        <v>11082</v>
      </c>
      <c r="J222" s="10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s="10" t="s">
        <v>11085</v>
      </c>
      <c r="J223" s="10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s="10" t="s">
        <v>11088</v>
      </c>
      <c r="J224" s="10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s="10" t="s">
        <v>11091</v>
      </c>
      <c r="J225" s="10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s="10" t="s">
        <v>11094</v>
      </c>
      <c r="J226" s="10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s="10" t="s">
        <v>11097</v>
      </c>
      <c r="J227" s="10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s="10" t="s">
        <v>11100</v>
      </c>
      <c r="J228" s="10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s="10" t="s">
        <v>11103</v>
      </c>
      <c r="J229" s="10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s="10" t="s">
        <v>11106</v>
      </c>
      <c r="J230" s="1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s="10" t="s">
        <v>11190</v>
      </c>
      <c r="J231" s="10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s="10" t="s">
        <v>11193</v>
      </c>
      <c r="J232" s="10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s="10" t="s">
        <v>11577</v>
      </c>
      <c r="J233" s="10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4">
        <v>46072</v>
      </c>
      <c r="C234" s="6">
        <v>0.60603009259259255</v>
      </c>
      <c r="D234" s="2" t="s">
        <v>289</v>
      </c>
      <c r="E234" t="s">
        <v>12493</v>
      </c>
      <c r="F234" t="s">
        <v>532</v>
      </c>
      <c r="H234" t="s">
        <v>12496</v>
      </c>
      <c r="I234" s="10" t="s">
        <v>12418</v>
      </c>
      <c r="J234" s="10" t="s">
        <v>2988</v>
      </c>
      <c r="K234" t="s">
        <v>12419</v>
      </c>
      <c r="L234" t="s">
        <v>12420</v>
      </c>
      <c r="M234" s="3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4">
        <v>46072</v>
      </c>
      <c r="C235" s="6">
        <v>0.60628472222222218</v>
      </c>
      <c r="D235" s="2" t="s">
        <v>289</v>
      </c>
      <c r="E235" t="s">
        <v>12493</v>
      </c>
      <c r="F235" t="s">
        <v>532</v>
      </c>
      <c r="H235" t="s">
        <v>2936</v>
      </c>
      <c r="I235" s="10" t="s">
        <v>12421</v>
      </c>
      <c r="J235" s="10" t="s">
        <v>2988</v>
      </c>
      <c r="K235" t="s">
        <v>12422</v>
      </c>
      <c r="L235" t="s">
        <v>12423</v>
      </c>
      <c r="M235" s="3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4">
        <v>46072</v>
      </c>
      <c r="C236" s="6">
        <v>0.60662037037037042</v>
      </c>
      <c r="D236" s="2" t="s">
        <v>289</v>
      </c>
      <c r="E236" t="s">
        <v>12493</v>
      </c>
      <c r="F236" t="s">
        <v>532</v>
      </c>
      <c r="H236" t="s">
        <v>12497</v>
      </c>
      <c r="I236" s="10" t="s">
        <v>12424</v>
      </c>
      <c r="J236" s="10" t="s">
        <v>2988</v>
      </c>
      <c r="K236" t="s">
        <v>12425</v>
      </c>
      <c r="L236" t="s">
        <v>12426</v>
      </c>
      <c r="M236" s="3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4">
        <v>46076</v>
      </c>
      <c r="C237" s="6">
        <v>0.40337962962962964</v>
      </c>
      <c r="D237" s="2" t="s">
        <v>289</v>
      </c>
      <c r="E237" t="s">
        <v>12927</v>
      </c>
      <c r="F237" t="s">
        <v>649</v>
      </c>
      <c r="H237" t="s">
        <v>2936</v>
      </c>
      <c r="I237" s="10" t="s">
        <v>12860</v>
      </c>
      <c r="J237" s="10" t="s">
        <v>2983</v>
      </c>
      <c r="K237" t="s">
        <v>12861</v>
      </c>
      <c r="L237" t="s">
        <v>12862</v>
      </c>
      <c r="M237" s="3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4">
        <v>46076</v>
      </c>
      <c r="C238" s="6">
        <v>0.40519675925925924</v>
      </c>
      <c r="D238" s="2" t="s">
        <v>289</v>
      </c>
      <c r="E238" t="s">
        <v>12927</v>
      </c>
      <c r="F238" t="s">
        <v>649</v>
      </c>
      <c r="H238" t="s">
        <v>2936</v>
      </c>
      <c r="I238" s="10" t="s">
        <v>12863</v>
      </c>
      <c r="J238" s="10" t="s">
        <v>2983</v>
      </c>
      <c r="K238" t="s">
        <v>12864</v>
      </c>
      <c r="L238" t="s">
        <v>12865</v>
      </c>
      <c r="M238" s="3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4">
        <v>46076</v>
      </c>
      <c r="C239" s="6">
        <v>0.39706018518518521</v>
      </c>
      <c r="D239" s="2" t="s">
        <v>289</v>
      </c>
      <c r="E239" t="s">
        <v>12926</v>
      </c>
      <c r="F239" t="s">
        <v>649</v>
      </c>
      <c r="H239" t="s">
        <v>2936</v>
      </c>
      <c r="I239" s="10" t="s">
        <v>12854</v>
      </c>
      <c r="J239" s="10" t="s">
        <v>2983</v>
      </c>
      <c r="K239" t="s">
        <v>12855</v>
      </c>
      <c r="L239" t="s">
        <v>12856</v>
      </c>
      <c r="M239" s="3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4">
        <v>46076</v>
      </c>
      <c r="C240" s="6">
        <v>0.40009259259259261</v>
      </c>
      <c r="D240" s="2" t="s">
        <v>289</v>
      </c>
      <c r="E240" t="s">
        <v>12926</v>
      </c>
      <c r="F240" t="s">
        <v>649</v>
      </c>
      <c r="H240" t="s">
        <v>2936</v>
      </c>
      <c r="I240" s="10" t="s">
        <v>12857</v>
      </c>
      <c r="J240" s="10" t="s">
        <v>2983</v>
      </c>
      <c r="K240" t="s">
        <v>12858</v>
      </c>
      <c r="L240" t="s">
        <v>12859</v>
      </c>
      <c r="M240" s="3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4">
        <v>46076</v>
      </c>
      <c r="C241" s="6">
        <v>0.40694444444444444</v>
      </c>
      <c r="D241" s="2" t="s">
        <v>289</v>
      </c>
      <c r="E241" t="s">
        <v>12927</v>
      </c>
      <c r="F241" t="s">
        <v>649</v>
      </c>
      <c r="H241" t="s">
        <v>2936</v>
      </c>
      <c r="I241" s="10" t="s">
        <v>12866</v>
      </c>
      <c r="J241" s="10" t="s">
        <v>2983</v>
      </c>
      <c r="K241" t="s">
        <v>12867</v>
      </c>
      <c r="L241" t="s">
        <v>12868</v>
      </c>
      <c r="M241" s="3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4">
        <v>46076</v>
      </c>
      <c r="C242" s="6">
        <v>0.41336805555555556</v>
      </c>
      <c r="D242" s="2" t="s">
        <v>289</v>
      </c>
      <c r="E242" t="s">
        <v>12927</v>
      </c>
      <c r="F242" t="s">
        <v>649</v>
      </c>
      <c r="H242" t="s">
        <v>2936</v>
      </c>
      <c r="I242" s="10" t="s">
        <v>12875</v>
      </c>
      <c r="J242" s="10" t="s">
        <v>2983</v>
      </c>
      <c r="K242" t="s">
        <v>12876</v>
      </c>
      <c r="L242" t="s">
        <v>12877</v>
      </c>
      <c r="M242" s="3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4">
        <v>46076</v>
      </c>
      <c r="C243" s="6">
        <v>0.41523148148148148</v>
      </c>
      <c r="D243" s="2" t="s">
        <v>289</v>
      </c>
      <c r="E243" t="s">
        <v>12927</v>
      </c>
      <c r="F243" t="s">
        <v>649</v>
      </c>
      <c r="H243" t="s">
        <v>2936</v>
      </c>
      <c r="I243" s="10" t="s">
        <v>12878</v>
      </c>
      <c r="J243" s="10" t="s">
        <v>2983</v>
      </c>
      <c r="K243" t="s">
        <v>12879</v>
      </c>
      <c r="L243" t="s">
        <v>12880</v>
      </c>
      <c r="M243" s="3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4">
        <v>46076</v>
      </c>
      <c r="C244" s="6">
        <v>0.40980324074074076</v>
      </c>
      <c r="D244" s="2" t="s">
        <v>289</v>
      </c>
      <c r="E244" t="s">
        <v>12927</v>
      </c>
      <c r="F244" t="s">
        <v>649</v>
      </c>
      <c r="H244" t="s">
        <v>2936</v>
      </c>
      <c r="I244" s="10" t="s">
        <v>12869</v>
      </c>
      <c r="J244" s="10" t="s">
        <v>2983</v>
      </c>
      <c r="K244" t="s">
        <v>12870</v>
      </c>
      <c r="L244" t="s">
        <v>12871</v>
      </c>
      <c r="M244" s="3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4">
        <v>46076</v>
      </c>
      <c r="C245" s="6">
        <v>0.41170138888888891</v>
      </c>
      <c r="D245" s="2" t="s">
        <v>289</v>
      </c>
      <c r="E245" t="s">
        <v>12927</v>
      </c>
      <c r="F245" t="s">
        <v>649</v>
      </c>
      <c r="H245" t="s">
        <v>2936</v>
      </c>
      <c r="I245" s="10" t="s">
        <v>12872</v>
      </c>
      <c r="J245" s="10" t="s">
        <v>2983</v>
      </c>
      <c r="K245" t="s">
        <v>12873</v>
      </c>
      <c r="L245" t="s">
        <v>12874</v>
      </c>
      <c r="M245" s="3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4">
        <v>46076</v>
      </c>
      <c r="C246" s="6">
        <v>0.39396990740740739</v>
      </c>
      <c r="D246" s="2" t="s">
        <v>289</v>
      </c>
      <c r="E246" t="s">
        <v>12926</v>
      </c>
      <c r="F246" t="s">
        <v>649</v>
      </c>
      <c r="H246" t="s">
        <v>2936</v>
      </c>
      <c r="I246" s="10" t="s">
        <v>12851</v>
      </c>
      <c r="J246" s="10" t="s">
        <v>2983</v>
      </c>
      <c r="K246" t="s">
        <v>12852</v>
      </c>
      <c r="L246" t="s">
        <v>12853</v>
      </c>
      <c r="M246" s="3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4">
        <v>46076</v>
      </c>
      <c r="C247" s="6">
        <v>0.34070601851851851</v>
      </c>
      <c r="D247" s="2" t="s">
        <v>289</v>
      </c>
      <c r="I247" s="10" t="s">
        <v>12797</v>
      </c>
      <c r="J247" s="10" t="s">
        <v>12796</v>
      </c>
      <c r="K247" t="s">
        <v>12798</v>
      </c>
      <c r="L247" t="s">
        <v>12799</v>
      </c>
      <c r="M247" s="3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4">
        <v>46076</v>
      </c>
      <c r="C248" s="6">
        <v>0.35872685185185182</v>
      </c>
      <c r="D248" s="2" t="s">
        <v>289</v>
      </c>
      <c r="E248" t="s">
        <v>12926</v>
      </c>
      <c r="F248" t="s">
        <v>649</v>
      </c>
      <c r="I248" s="10" t="s">
        <v>12827</v>
      </c>
      <c r="J248" s="10" t="s">
        <v>2983</v>
      </c>
      <c r="K248" t="s">
        <v>12828</v>
      </c>
      <c r="L248" t="s">
        <v>12829</v>
      </c>
      <c r="M248" s="3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4">
        <v>46076</v>
      </c>
      <c r="C249" s="6">
        <v>0.34234953703703702</v>
      </c>
      <c r="D249" s="2" t="s">
        <v>289</v>
      </c>
      <c r="E249" t="s">
        <v>12926</v>
      </c>
      <c r="F249" t="s">
        <v>649</v>
      </c>
      <c r="H249" t="s">
        <v>2936</v>
      </c>
      <c r="I249" s="10" t="s">
        <v>12803</v>
      </c>
      <c r="J249" s="10" t="s">
        <v>2982</v>
      </c>
      <c r="K249" t="s">
        <v>12804</v>
      </c>
      <c r="L249" t="s">
        <v>12805</v>
      </c>
      <c r="M249" s="3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4">
        <v>46076</v>
      </c>
      <c r="C250" s="6">
        <v>0.34180555555555553</v>
      </c>
      <c r="D250" s="2" t="s">
        <v>289</v>
      </c>
      <c r="E250" t="s">
        <v>12926</v>
      </c>
      <c r="F250" t="s">
        <v>649</v>
      </c>
      <c r="H250" t="s">
        <v>2936</v>
      </c>
      <c r="I250" s="10" t="s">
        <v>12800</v>
      </c>
      <c r="J250" s="10" t="s">
        <v>2982</v>
      </c>
      <c r="K250" t="s">
        <v>12801</v>
      </c>
      <c r="L250" t="s">
        <v>12802</v>
      </c>
      <c r="M250" s="3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4">
        <v>46076</v>
      </c>
      <c r="C251" s="6">
        <v>0.36371527777777779</v>
      </c>
      <c r="D251" s="2" t="s">
        <v>289</v>
      </c>
      <c r="E251" t="s">
        <v>12926</v>
      </c>
      <c r="F251" t="s">
        <v>649</v>
      </c>
      <c r="H251" t="s">
        <v>2936</v>
      </c>
      <c r="I251" s="10" t="s">
        <v>12830</v>
      </c>
      <c r="J251" s="10" t="s">
        <v>2983</v>
      </c>
      <c r="K251" t="s">
        <v>12831</v>
      </c>
      <c r="L251" t="s">
        <v>12832</v>
      </c>
      <c r="M251" s="3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4">
        <v>46076</v>
      </c>
      <c r="C252" s="6">
        <v>0.39024305555555555</v>
      </c>
      <c r="D252" s="2" t="s">
        <v>289</v>
      </c>
      <c r="E252" t="s">
        <v>12926</v>
      </c>
      <c r="F252" t="s">
        <v>649</v>
      </c>
      <c r="H252" t="s">
        <v>2936</v>
      </c>
      <c r="I252" s="10" t="s">
        <v>12845</v>
      </c>
      <c r="J252" s="10" t="s">
        <v>2983</v>
      </c>
      <c r="K252" t="s">
        <v>12846</v>
      </c>
      <c r="L252" t="s">
        <v>12847</v>
      </c>
      <c r="M252" s="3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4">
        <v>46076</v>
      </c>
      <c r="C253" s="6">
        <v>0.39246527777777779</v>
      </c>
      <c r="D253" s="2" t="s">
        <v>289</v>
      </c>
      <c r="E253" t="s">
        <v>12926</v>
      </c>
      <c r="F253" t="s">
        <v>649</v>
      </c>
      <c r="H253" t="s">
        <v>2936</v>
      </c>
      <c r="I253" s="10" t="s">
        <v>12848</v>
      </c>
      <c r="J253" s="10" t="s">
        <v>2983</v>
      </c>
      <c r="K253" t="s">
        <v>12849</v>
      </c>
      <c r="L253" t="s">
        <v>12850</v>
      </c>
      <c r="M253" s="3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4">
        <v>46076</v>
      </c>
      <c r="C254" s="6">
        <v>0.37709490740740742</v>
      </c>
      <c r="D254" s="2" t="s">
        <v>289</v>
      </c>
      <c r="E254" t="s">
        <v>12927</v>
      </c>
      <c r="F254" t="s">
        <v>649</v>
      </c>
      <c r="I254" s="10" t="s">
        <v>12836</v>
      </c>
      <c r="J254" s="10" t="s">
        <v>2983</v>
      </c>
      <c r="K254" t="s">
        <v>12837</v>
      </c>
      <c r="L254" t="s">
        <v>12838</v>
      </c>
      <c r="M254" s="3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4">
        <v>46076</v>
      </c>
      <c r="C255" s="6">
        <v>0.37910879629629629</v>
      </c>
      <c r="D255" s="2" t="s">
        <v>289</v>
      </c>
      <c r="E255" t="s">
        <v>12927</v>
      </c>
      <c r="F255" t="s">
        <v>649</v>
      </c>
      <c r="H255" t="s">
        <v>2936</v>
      </c>
      <c r="I255" s="10" t="s">
        <v>12839</v>
      </c>
      <c r="J255" s="10" t="s">
        <v>2983</v>
      </c>
      <c r="K255" t="s">
        <v>12840</v>
      </c>
      <c r="L255" t="s">
        <v>12841</v>
      </c>
      <c r="M255" s="3" t="str">
        <f>HYPERLINK(Таблица3[[#This Row],[RelativePath]])</f>
        <v>6 Площадка 1 общага\826398429_1_20260223T090555Z.jpg</v>
      </c>
    </row>
  </sheetData>
  <phoneticPr fontId="2" type="noConversion"/>
  <conditionalFormatting sqref="E256:E277 D2:E255">
    <cfRule type="containsText" dxfId="23" priority="7" operator="containsText" text="Выезд с территории">
      <formula>NOT(ISERROR(SEARCH("Выезд с территории",D2)))</formula>
    </cfRule>
  </conditionalFormatting>
  <conditionalFormatting sqref="D2:D255">
    <cfRule type="containsText" dxfId="2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5">
    <cfRule type="containsText" dxfId="2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77">
    <cfRule type="containsText" dxfId="20" priority="2" operator="containsText" text="Газель базы">
      <formula>NOT(ISERROR(SEARCH("Газель базы",E2)))</formula>
    </cfRule>
    <cfRule type="containsText" dxfId="19" priority="3" operator="containsText" text="Погрузчик базы">
      <formula>NOT(ISERROR(SEARCH("Погрузчик базы",E2)))</formula>
    </cfRule>
  </conditionalFormatting>
  <conditionalFormatting sqref="E2:E277">
    <cfRule type="containsText" dxfId="1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57"/>
  <sheetViews>
    <sheetView zoomScale="80" zoomScaleNormal="80" workbookViewId="0">
      <selection sqref="A1:M145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10" t="s">
        <v>29</v>
      </c>
      <c r="J2" s="10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10" t="s">
        <v>28</v>
      </c>
      <c r="J3" s="10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10" t="s">
        <v>27</v>
      </c>
      <c r="J4" s="10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10" t="s">
        <v>415</v>
      </c>
      <c r="J5" s="10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10" t="s">
        <v>36</v>
      </c>
      <c r="J6" s="10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10" t="s">
        <v>37</v>
      </c>
      <c r="J7" s="10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10" t="s">
        <v>38</v>
      </c>
      <c r="J8" s="10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10" t="s">
        <v>33</v>
      </c>
      <c r="J9" s="10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10" t="s">
        <v>34</v>
      </c>
      <c r="J10" s="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10" t="s">
        <v>35</v>
      </c>
      <c r="J11" s="10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10" t="s">
        <v>42</v>
      </c>
      <c r="J12" s="10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10" t="s">
        <v>41</v>
      </c>
      <c r="J13" s="10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10" t="s">
        <v>81</v>
      </c>
      <c r="J14" s="10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10" t="s">
        <v>80</v>
      </c>
      <c r="J15" s="10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10" t="s">
        <v>83</v>
      </c>
      <c r="J16" s="10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10" t="s">
        <v>82</v>
      </c>
      <c r="J17" s="10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10" t="s">
        <v>77</v>
      </c>
      <c r="J18" s="10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10" t="s">
        <v>75</v>
      </c>
      <c r="J19" s="10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10" t="s">
        <v>79</v>
      </c>
      <c r="J20" s="1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10" t="s">
        <v>78</v>
      </c>
      <c r="J21" s="10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10" t="s">
        <v>1112</v>
      </c>
      <c r="J22" s="10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10" t="s">
        <v>1114</v>
      </c>
      <c r="J23" s="10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10" t="s">
        <v>2003</v>
      </c>
      <c r="J24" s="10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10" t="s">
        <v>1108</v>
      </c>
      <c r="J25" s="10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10" t="s">
        <v>1110</v>
      </c>
      <c r="J26" s="10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10" t="s">
        <v>1111</v>
      </c>
      <c r="J27" s="10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10" t="s">
        <v>2054</v>
      </c>
      <c r="J28" s="10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10" t="s">
        <v>2053</v>
      </c>
      <c r="J29" s="10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10" t="s">
        <v>2052</v>
      </c>
      <c r="J30" s="1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10" t="s">
        <v>2058</v>
      </c>
      <c r="J31" s="10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10" t="s">
        <v>2057</v>
      </c>
      <c r="J32" s="10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10" t="s">
        <v>3231</v>
      </c>
      <c r="J33" s="10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10" t="s">
        <v>3234</v>
      </c>
      <c r="J34" s="10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10" t="s">
        <v>3225</v>
      </c>
      <c r="J35" s="10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10" t="s">
        <v>3228</v>
      </c>
      <c r="J36" s="10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10" t="s">
        <v>3240</v>
      </c>
      <c r="J37" s="10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10" t="s">
        <v>3237</v>
      </c>
      <c r="J38" s="10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10" t="s">
        <v>3246</v>
      </c>
      <c r="J39" s="10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10" t="s">
        <v>3243</v>
      </c>
      <c r="J40" s="1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10" t="s">
        <v>3255</v>
      </c>
      <c r="J41" s="10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10" t="s">
        <v>3258</v>
      </c>
      <c r="J42" s="10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10" t="s">
        <v>3249</v>
      </c>
      <c r="J43" s="10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10" t="s">
        <v>3252</v>
      </c>
      <c r="J44" s="10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10" t="s">
        <v>4405</v>
      </c>
      <c r="J45" s="10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10" t="s">
        <v>4402</v>
      </c>
      <c r="J46" s="10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10" t="s">
        <v>5146</v>
      </c>
      <c r="J47" s="10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10" t="s">
        <v>5144</v>
      </c>
      <c r="J48" s="10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10" t="s">
        <v>5274</v>
      </c>
      <c r="J49" s="10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10" t="s">
        <v>5272</v>
      </c>
      <c r="J50" s="1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10" t="s">
        <v>5490</v>
      </c>
      <c r="J51" s="10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10" t="s">
        <v>5493</v>
      </c>
      <c r="J52" s="10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10" t="s">
        <v>5496</v>
      </c>
      <c r="J53" s="10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10" t="s">
        <v>5481</v>
      </c>
      <c r="J54" s="10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10" t="s">
        <v>5484</v>
      </c>
      <c r="J55" s="10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10" t="s">
        <v>5487</v>
      </c>
      <c r="J56" s="10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10" t="s">
        <v>5502</v>
      </c>
      <c r="J57" s="10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10" t="s">
        <v>5499</v>
      </c>
      <c r="J58" s="10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10" t="s">
        <v>6035</v>
      </c>
      <c r="J59" s="10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10" t="s">
        <v>6038</v>
      </c>
      <c r="J60" s="1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10" t="s">
        <v>6041</v>
      </c>
      <c r="J61" s="10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10" t="s">
        <v>6032</v>
      </c>
      <c r="J62" s="10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10" t="s">
        <v>6023</v>
      </c>
      <c r="J63" s="10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10" t="s">
        <v>6026</v>
      </c>
      <c r="J64" s="10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10" t="s">
        <v>6029</v>
      </c>
      <c r="J65" s="10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10" t="s">
        <v>6269</v>
      </c>
      <c r="J66" s="10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10" t="s">
        <v>6278</v>
      </c>
      <c r="J67" s="10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10" t="s">
        <v>6266</v>
      </c>
      <c r="J68" s="10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10" t="s">
        <v>6263</v>
      </c>
      <c r="J69" s="10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10" t="s">
        <v>6343</v>
      </c>
      <c r="J70" s="1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10" t="s">
        <v>6539</v>
      </c>
      <c r="J71" s="10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10" t="s">
        <v>6542</v>
      </c>
      <c r="J72" s="10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10" t="s">
        <v>6533</v>
      </c>
      <c r="J73" s="10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10" t="s">
        <v>6536</v>
      </c>
      <c r="J74" s="10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10" t="s">
        <v>6679</v>
      </c>
      <c r="J75" s="10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10" t="s">
        <v>6667</v>
      </c>
      <c r="J76" s="10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10" t="s">
        <v>7245</v>
      </c>
      <c r="J77" s="10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10" t="s">
        <v>7242</v>
      </c>
      <c r="J78" s="10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10" t="s">
        <v>7251</v>
      </c>
      <c r="J79" s="10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10" t="s">
        <v>7248</v>
      </c>
      <c r="J80" s="1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10" t="s">
        <v>7421</v>
      </c>
      <c r="J81" s="10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10" t="s">
        <v>7436</v>
      </c>
      <c r="J82" s="10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10" t="s">
        <v>7430</v>
      </c>
      <c r="J83" s="10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10" t="s">
        <v>7424</v>
      </c>
      <c r="J84" s="10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10" t="s">
        <v>7726</v>
      </c>
      <c r="J85" s="10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10" t="s">
        <v>7723</v>
      </c>
      <c r="J86" s="10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10" t="s">
        <v>7896</v>
      </c>
      <c r="J87" s="10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10" t="s">
        <v>7899</v>
      </c>
      <c r="J88" s="10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10" t="s">
        <v>7890</v>
      </c>
      <c r="J89" s="10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10" t="s">
        <v>7893</v>
      </c>
      <c r="J90" s="1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10" t="s">
        <v>7917</v>
      </c>
      <c r="J91" s="10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10" t="s">
        <v>7920</v>
      </c>
      <c r="J92" s="10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10" t="s">
        <v>7923</v>
      </c>
      <c r="J93" s="10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10" t="s">
        <v>7902</v>
      </c>
      <c r="J94" s="10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10" t="s">
        <v>7905</v>
      </c>
      <c r="J95" s="10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10" t="s">
        <v>7911</v>
      </c>
      <c r="J96" s="10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10" t="s">
        <v>8378</v>
      </c>
      <c r="J97" s="10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10" t="s">
        <v>8375</v>
      </c>
      <c r="J98" s="10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10" t="s">
        <v>8511</v>
      </c>
      <c r="J99" s="10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10" t="s">
        <v>8508</v>
      </c>
      <c r="J100" s="1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10" t="s">
        <v>8520</v>
      </c>
      <c r="J101" s="10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10" t="s">
        <v>8517</v>
      </c>
      <c r="J102" s="10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10" t="s">
        <v>8526</v>
      </c>
      <c r="J103" s="10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10" t="s">
        <v>8523</v>
      </c>
      <c r="J104" s="10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10" t="s">
        <v>8538</v>
      </c>
      <c r="J105" s="10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10" t="s">
        <v>8541</v>
      </c>
      <c r="J106" s="10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10" t="s">
        <v>8544</v>
      </c>
      <c r="J107" s="10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10" t="s">
        <v>8529</v>
      </c>
      <c r="J108" s="10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10" t="s">
        <v>8532</v>
      </c>
      <c r="J109" s="10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10" t="s">
        <v>8535</v>
      </c>
      <c r="J110" s="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10" t="s">
        <v>8553</v>
      </c>
      <c r="J111" s="10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10" t="s">
        <v>8550</v>
      </c>
      <c r="J112" s="10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10" t="s">
        <v>8858</v>
      </c>
      <c r="J113" s="10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10" t="s">
        <v>8855</v>
      </c>
      <c r="J114" s="10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10" t="s">
        <v>9246</v>
      </c>
      <c r="J115" s="10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10" t="s">
        <v>9243</v>
      </c>
      <c r="J116" s="10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10" t="s">
        <v>9252</v>
      </c>
      <c r="J117" s="10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10" t="s">
        <v>9600</v>
      </c>
      <c r="J118" s="10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10" t="s">
        <v>9603</v>
      </c>
      <c r="J119" s="10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10" t="s">
        <v>9606</v>
      </c>
      <c r="J120" s="1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10" t="s">
        <v>9591</v>
      </c>
      <c r="J121" s="10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10" t="s">
        <v>9594</v>
      </c>
      <c r="J122" s="10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10" t="s">
        <v>9597</v>
      </c>
      <c r="J123" s="10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10" t="s">
        <v>10158</v>
      </c>
      <c r="J124" s="10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10" t="s">
        <v>9933</v>
      </c>
      <c r="J125" s="10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10" t="s">
        <v>9930</v>
      </c>
      <c r="J126" s="10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10" t="s">
        <v>10149</v>
      </c>
      <c r="J127" s="10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10" t="s">
        <v>10152</v>
      </c>
      <c r="J128" s="10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10" t="s">
        <v>10155</v>
      </c>
      <c r="J129" s="10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10" t="s">
        <v>10161</v>
      </c>
      <c r="J130" s="1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10" t="s">
        <v>10143</v>
      </c>
      <c r="J131" s="10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10" t="s">
        <v>10146</v>
      </c>
      <c r="J132" s="10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10" t="s">
        <v>10719</v>
      </c>
      <c r="J133" s="10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10" t="s">
        <v>11016</v>
      </c>
      <c r="J134" s="10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10" t="s">
        <v>11013</v>
      </c>
      <c r="J135" s="10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10" t="s">
        <v>11010</v>
      </c>
      <c r="J136" s="10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10" t="s">
        <v>11151</v>
      </c>
      <c r="J137" s="10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10" t="s">
        <v>11148</v>
      </c>
      <c r="J138" s="10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s="10" t="s">
        <v>11466</v>
      </c>
      <c r="J139" s="10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s="10" t="s">
        <v>11463</v>
      </c>
      <c r="J140" s="10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s="10" t="s">
        <v>11685</v>
      </c>
      <c r="J141" s="10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s="10" t="s">
        <v>11682</v>
      </c>
      <c r="J142" s="10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s="10" t="s">
        <v>11882</v>
      </c>
      <c r="J143" s="10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s="10" t="s">
        <v>11888</v>
      </c>
      <c r="J144" s="10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s="10" t="s">
        <v>11992</v>
      </c>
      <c r="J145" s="10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4">
        <v>46071</v>
      </c>
      <c r="C146" s="6">
        <v>0.39587962962962964</v>
      </c>
      <c r="D146" s="7" t="s">
        <v>62</v>
      </c>
      <c r="E146" t="s">
        <v>12377</v>
      </c>
      <c r="F146" t="s">
        <v>12378</v>
      </c>
      <c r="H146" t="s">
        <v>12379</v>
      </c>
      <c r="I146" s="10" t="s">
        <v>12202</v>
      </c>
      <c r="J146" s="10" t="s">
        <v>2982</v>
      </c>
      <c r="K146" t="s">
        <v>12203</v>
      </c>
      <c r="L146" t="s">
        <v>12204</v>
      </c>
      <c r="M146" s="3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4">
        <v>46071</v>
      </c>
      <c r="C147" s="6">
        <v>0.52504629629629629</v>
      </c>
      <c r="D147" s="7" t="s">
        <v>62</v>
      </c>
      <c r="E147" t="s">
        <v>12372</v>
      </c>
      <c r="I147" s="10" t="s">
        <v>12293</v>
      </c>
      <c r="J147" s="10" t="s">
        <v>2991</v>
      </c>
      <c r="K147" t="s">
        <v>12294</v>
      </c>
      <c r="L147" t="s">
        <v>12295</v>
      </c>
      <c r="M147" s="3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4">
        <v>46071</v>
      </c>
      <c r="C148" s="6">
        <v>0.5130555555555556</v>
      </c>
      <c r="D148" s="7" t="s">
        <v>62</v>
      </c>
      <c r="E148" t="s">
        <v>4193</v>
      </c>
      <c r="I148" s="10" t="s">
        <v>12287</v>
      </c>
      <c r="J148" s="10" t="s">
        <v>2991</v>
      </c>
      <c r="K148" t="s">
        <v>12288</v>
      </c>
      <c r="L148" t="s">
        <v>12289</v>
      </c>
      <c r="M148" s="3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4">
        <v>46072</v>
      </c>
      <c r="C149" s="6">
        <v>0.70650462962962968</v>
      </c>
      <c r="D149" s="7" t="s">
        <v>62</v>
      </c>
      <c r="E149" t="s">
        <v>12491</v>
      </c>
      <c r="H149" t="s">
        <v>12492</v>
      </c>
      <c r="I149" s="10" t="s">
        <v>12440</v>
      </c>
      <c r="J149" s="10" t="s">
        <v>2982</v>
      </c>
      <c r="K149" t="s">
        <v>12441</v>
      </c>
      <c r="L149" t="s">
        <v>12442</v>
      </c>
      <c r="M149" s="3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4">
        <v>46072</v>
      </c>
      <c r="C150" s="6">
        <v>0.60810185185185184</v>
      </c>
      <c r="D150" s="7" t="s">
        <v>62</v>
      </c>
      <c r="E150" t="s">
        <v>12493</v>
      </c>
      <c r="F150" t="s">
        <v>12597</v>
      </c>
      <c r="I150" s="10" t="s">
        <v>12458</v>
      </c>
      <c r="J150" s="10" t="s">
        <v>2991</v>
      </c>
      <c r="K150" t="s">
        <v>12459</v>
      </c>
      <c r="L150" t="s">
        <v>12460</v>
      </c>
      <c r="M150" s="3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4">
        <v>46072</v>
      </c>
      <c r="C151" s="6">
        <v>0.58318287037037042</v>
      </c>
      <c r="D151" s="7" t="s">
        <v>62</v>
      </c>
      <c r="E151" t="s">
        <v>4193</v>
      </c>
      <c r="I151" s="10" t="s">
        <v>12452</v>
      </c>
      <c r="J151" s="10" t="s">
        <v>2991</v>
      </c>
      <c r="K151" t="s">
        <v>12453</v>
      </c>
      <c r="L151" t="s">
        <v>12454</v>
      </c>
      <c r="M151" s="3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4">
        <v>46074</v>
      </c>
      <c r="C152" s="6">
        <v>0.62526620370370367</v>
      </c>
      <c r="D152" s="7" t="s">
        <v>62</v>
      </c>
      <c r="E152" t="s">
        <v>12777</v>
      </c>
      <c r="I152" s="10" t="s">
        <v>12623</v>
      </c>
      <c r="J152" s="10" t="s">
        <v>2991</v>
      </c>
      <c r="K152" t="s">
        <v>12624</v>
      </c>
      <c r="L152" t="s">
        <v>12625</v>
      </c>
      <c r="M152" s="3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4">
        <v>46074</v>
      </c>
      <c r="C153" s="6">
        <v>0.47270833333333334</v>
      </c>
      <c r="D153" s="7" t="s">
        <v>62</v>
      </c>
      <c r="E153" t="s">
        <v>12491</v>
      </c>
      <c r="I153" s="10" t="s">
        <v>12617</v>
      </c>
      <c r="J153" s="10" t="s">
        <v>2991</v>
      </c>
      <c r="K153" t="s">
        <v>12618</v>
      </c>
      <c r="L153" t="s">
        <v>12619</v>
      </c>
      <c r="M153" s="3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4">
        <v>46074</v>
      </c>
      <c r="C154" s="6">
        <v>0.36126157407407405</v>
      </c>
      <c r="D154" s="7" t="s">
        <v>62</v>
      </c>
      <c r="E154" t="s">
        <v>12776</v>
      </c>
      <c r="I154" s="10" t="s">
        <v>12611</v>
      </c>
      <c r="J154" s="10" t="s">
        <v>2991</v>
      </c>
      <c r="K154" t="s">
        <v>12612</v>
      </c>
      <c r="L154" t="s">
        <v>12613</v>
      </c>
      <c r="M154" s="3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4">
        <v>46076</v>
      </c>
      <c r="C155" s="6">
        <v>0.44133101851851853</v>
      </c>
      <c r="D155" s="7" t="s">
        <v>62</v>
      </c>
      <c r="E155" t="s">
        <v>12926</v>
      </c>
      <c r="F155" t="s">
        <v>649</v>
      </c>
      <c r="I155" s="10" t="s">
        <v>12793</v>
      </c>
      <c r="J155" s="10" t="s">
        <v>2991</v>
      </c>
      <c r="K155" t="s">
        <v>12794</v>
      </c>
      <c r="L155" t="s">
        <v>12795</v>
      </c>
      <c r="M155" s="3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4">
        <v>46076</v>
      </c>
      <c r="C156" s="6">
        <v>0.42350694444444442</v>
      </c>
      <c r="D156" s="7" t="s">
        <v>62</v>
      </c>
      <c r="E156" t="s">
        <v>12927</v>
      </c>
      <c r="F156" t="s">
        <v>649</v>
      </c>
      <c r="I156" s="10" t="s">
        <v>12790</v>
      </c>
      <c r="J156" s="10" t="s">
        <v>2991</v>
      </c>
      <c r="K156" t="s">
        <v>12791</v>
      </c>
      <c r="L156" t="s">
        <v>12792</v>
      </c>
      <c r="M156" s="3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4">
        <v>46076</v>
      </c>
      <c r="C157" s="6">
        <v>0.42282407407407407</v>
      </c>
      <c r="D157" s="7" t="s">
        <v>62</v>
      </c>
      <c r="E157" t="s">
        <v>4191</v>
      </c>
      <c r="I157" s="10" t="s">
        <v>12787</v>
      </c>
      <c r="J157" s="10" t="s">
        <v>2991</v>
      </c>
      <c r="K157" t="s">
        <v>12788</v>
      </c>
      <c r="L157" t="s">
        <v>12789</v>
      </c>
      <c r="M157" s="3" t="str">
        <f>HYPERLINK(СторонТрансп[[#This Row],[RelativePath]])</f>
        <v>4 Крыльцо офиса\K07156189_21_20260223T100852Z.jpg</v>
      </c>
    </row>
  </sheetData>
  <conditionalFormatting sqref="E158:E179 D2:E157">
    <cfRule type="containsText" dxfId="17" priority="6" operator="containsText" text="Выезд с территории">
      <formula>NOT(ISERROR(SEARCH("Выезд с территории",D2)))</formula>
    </cfRule>
  </conditionalFormatting>
  <conditionalFormatting sqref="D2:D157">
    <cfRule type="containsText" dxfId="1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">
    <cfRule type="containsText" dxfId="1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9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179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14 На гаражи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2026-02-26T01:50:05Z</dcterms:modified>
</cp:coreProperties>
</file>